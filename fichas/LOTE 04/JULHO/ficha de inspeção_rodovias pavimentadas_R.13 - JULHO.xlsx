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AREA DE SERVIÇO JULHO\ARQUIVOS PRICILLA\FICHA DE INSPEÇÃO - JULHO\"/>
    </mc:Choice>
  </mc:AlternateContent>
  <xr:revisionPtr revIDLastSave="0" documentId="13_ncr:1_{F74D8DA4-BF80-449E-9BFA-56AED25AD025}" xr6:coauthVersionLast="47" xr6:coauthVersionMax="47" xr10:uidLastSave="{00000000-0000-0000-0000-000000000000}"/>
  <bookViews>
    <workbookView xWindow="-108" yWindow="-108" windowWidth="23256" windowHeight="12456" tabRatio="835" activeTab="4" xr2:uid="{B3ADFE79-E3C6-47F3-8176-221C62BDF425}"/>
  </bookViews>
  <sheets>
    <sheet name="Trechos" sheetId="33" r:id="rId1"/>
    <sheet name="246" sheetId="1" r:id="rId2"/>
    <sheet name="247" sheetId="18" r:id="rId3"/>
    <sheet name="248" sheetId="19" r:id="rId4"/>
    <sheet name="249" sheetId="20" r:id="rId5"/>
    <sheet name="250" sheetId="21" r:id="rId6"/>
    <sheet name="251" sheetId="22" r:id="rId7"/>
    <sheet name="252" sheetId="23" r:id="rId8"/>
    <sheet name="253" sheetId="24" r:id="rId9"/>
    <sheet name="254" sheetId="25" r:id="rId10"/>
    <sheet name="255" sheetId="26" r:id="rId11"/>
    <sheet name="256" sheetId="27" r:id="rId12"/>
    <sheet name="257" sheetId="28" r:id="rId13"/>
    <sheet name="258" sheetId="29" r:id="rId14"/>
    <sheet name="259" sheetId="30" r:id="rId15"/>
    <sheet name="265" sheetId="31" r:id="rId16"/>
    <sheet name="266" sheetId="32" r:id="rId17"/>
    <sheet name="T.T." sheetId="2" r:id="rId18"/>
  </sheets>
  <externalReferences>
    <externalReference r:id="rId19"/>
  </externalReferences>
  <definedNames>
    <definedName name="_xlnm.Print_Area" localSheetId="1">'246'!$A$1:$U$34</definedName>
    <definedName name="_xlnm.Print_Area" localSheetId="2">'247'!$A$1:$U$37</definedName>
    <definedName name="_xlnm.Print_Area" localSheetId="3">'248'!$A$1:$U$34</definedName>
    <definedName name="_xlnm.Print_Area" localSheetId="4">'249'!$A$1:$U$39</definedName>
    <definedName name="_xlnm.Print_Area" localSheetId="5">'250'!$A$1:$U$34</definedName>
    <definedName name="_xlnm.Print_Area" localSheetId="6">'251'!$A$1:$U$34</definedName>
    <definedName name="_xlnm.Print_Area" localSheetId="7">'252'!$A$1:$U$34</definedName>
    <definedName name="_xlnm.Print_Area" localSheetId="8">'253'!$A$1:$U$34</definedName>
    <definedName name="_xlnm.Print_Area" localSheetId="9">'254'!$A$1:$U$34</definedName>
    <definedName name="_xlnm.Print_Area" localSheetId="10">'255'!$A$1:$U$34</definedName>
    <definedName name="_xlnm.Print_Area" localSheetId="11">'256'!$A$1:$U$34</definedName>
    <definedName name="_xlnm.Print_Area" localSheetId="12">'257'!$A$1:$U$34</definedName>
    <definedName name="_xlnm.Print_Area" localSheetId="13">'258'!$A$1:$U$37</definedName>
    <definedName name="_xlnm.Print_Area" localSheetId="14">'259'!$A$1:$U$41</definedName>
    <definedName name="_xlnm.Print_Area" localSheetId="15">'265'!$A$1:$U$34</definedName>
    <definedName name="_xlnm.Print_Area" localSheetId="16">'266'!$A$1:$U$34</definedName>
    <definedName name="_xlnm.Print_Area" localSheetId="17">'T.T.'!$A$1:$S$23</definedName>
    <definedName name="_xlnm.Print_Area" localSheetId="0">Trechos!$A$1:$G$45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9" l="1"/>
  <c r="O2" i="26"/>
  <c r="O2" i="25"/>
  <c r="J2" i="18"/>
  <c r="O2" i="18"/>
  <c r="O2" i="32" s="1"/>
  <c r="E40" i="23"/>
  <c r="G40" i="23"/>
  <c r="I40" i="23"/>
  <c r="J40" i="23"/>
  <c r="J72" i="23" s="1"/>
  <c r="J104" i="23" s="1"/>
  <c r="K40" i="23"/>
  <c r="K72" i="23" s="1"/>
  <c r="K104" i="23" s="1"/>
  <c r="M40" i="23"/>
  <c r="N40" i="23"/>
  <c r="O40" i="23"/>
  <c r="Q40" i="23"/>
  <c r="R40" i="23"/>
  <c r="T40" i="23"/>
  <c r="E41" i="23"/>
  <c r="F41" i="23"/>
  <c r="H41" i="23"/>
  <c r="K41" i="23"/>
  <c r="L41" i="23"/>
  <c r="M41" i="23"/>
  <c r="M73" i="23" s="1"/>
  <c r="M105" i="23" s="1"/>
  <c r="N41" i="23"/>
  <c r="O41" i="23"/>
  <c r="Q41" i="23"/>
  <c r="R41" i="23"/>
  <c r="T41" i="23"/>
  <c r="E42" i="23"/>
  <c r="F42" i="23"/>
  <c r="I42" i="23"/>
  <c r="I74" i="23" s="1"/>
  <c r="I106" i="23" s="1"/>
  <c r="K42" i="23"/>
  <c r="K74" i="23" s="1"/>
  <c r="K106" i="23" s="1"/>
  <c r="L42" i="23"/>
  <c r="M42" i="23"/>
  <c r="M74" i="23" s="1"/>
  <c r="M106" i="23" s="1"/>
  <c r="N42" i="23"/>
  <c r="O42" i="23"/>
  <c r="Q42" i="23"/>
  <c r="R42" i="23"/>
  <c r="T42" i="23"/>
  <c r="E43" i="23"/>
  <c r="G43" i="23"/>
  <c r="G75" i="23" s="1"/>
  <c r="G107" i="23" s="1"/>
  <c r="I43" i="23"/>
  <c r="J43" i="23"/>
  <c r="J75" i="23" s="1"/>
  <c r="J107" i="23" s="1"/>
  <c r="L43" i="23"/>
  <c r="N43" i="23"/>
  <c r="O43" i="23"/>
  <c r="Q43" i="23"/>
  <c r="R43" i="23"/>
  <c r="T43" i="23"/>
  <c r="E44" i="23"/>
  <c r="G44" i="23"/>
  <c r="I44" i="23"/>
  <c r="J44" i="23"/>
  <c r="J76" i="23" s="1"/>
  <c r="J108" i="23" s="1"/>
  <c r="L44" i="23"/>
  <c r="N44" i="23"/>
  <c r="O44" i="23"/>
  <c r="Q44" i="23"/>
  <c r="R44" i="23"/>
  <c r="T44" i="23"/>
  <c r="E45" i="23"/>
  <c r="F45" i="23"/>
  <c r="H45" i="23"/>
  <c r="H77" i="23" s="1"/>
  <c r="H109" i="23" s="1"/>
  <c r="J45" i="23"/>
  <c r="J77" i="23" s="1"/>
  <c r="J109" i="23" s="1"/>
  <c r="L45" i="23"/>
  <c r="N45" i="23"/>
  <c r="O45" i="23"/>
  <c r="Q45" i="23"/>
  <c r="R45" i="23"/>
  <c r="T45" i="23"/>
  <c r="E46" i="23"/>
  <c r="F46" i="23"/>
  <c r="I46" i="23"/>
  <c r="I78" i="23" s="1"/>
  <c r="I110" i="23" s="1"/>
  <c r="J46" i="23"/>
  <c r="J78" i="23" s="1"/>
  <c r="J110" i="23" s="1"/>
  <c r="L46" i="23"/>
  <c r="O46" i="23"/>
  <c r="Q46" i="23"/>
  <c r="R46" i="23"/>
  <c r="T46" i="23"/>
  <c r="E47" i="23"/>
  <c r="G47" i="23"/>
  <c r="I47" i="23"/>
  <c r="J47" i="23"/>
  <c r="J79" i="23" s="1"/>
  <c r="J111" i="23" s="1"/>
  <c r="L47" i="23"/>
  <c r="O47" i="23"/>
  <c r="Q47" i="23"/>
  <c r="R47" i="23"/>
  <c r="T47" i="23"/>
  <c r="E48" i="23"/>
  <c r="F48" i="23"/>
  <c r="G48" i="23"/>
  <c r="H48" i="23"/>
  <c r="I48" i="23"/>
  <c r="J48" i="23"/>
  <c r="J80" i="23" s="1"/>
  <c r="J112" i="23" s="1"/>
  <c r="K48" i="23"/>
  <c r="L48" i="23"/>
  <c r="M48" i="23"/>
  <c r="N48" i="23"/>
  <c r="O48" i="23"/>
  <c r="P48" i="23"/>
  <c r="Q48" i="23"/>
  <c r="R48" i="23"/>
  <c r="S48" i="23"/>
  <c r="T48" i="23"/>
  <c r="E49" i="23"/>
  <c r="F49" i="23"/>
  <c r="G49" i="23"/>
  <c r="H49" i="23"/>
  <c r="I49" i="23"/>
  <c r="J49" i="23"/>
  <c r="J81" i="23" s="1"/>
  <c r="J113" i="23" s="1"/>
  <c r="K49" i="23"/>
  <c r="K81" i="23" s="1"/>
  <c r="K113" i="23" s="1"/>
  <c r="L49" i="23"/>
  <c r="M49" i="23"/>
  <c r="N49" i="23"/>
  <c r="O49" i="23"/>
  <c r="P49" i="23"/>
  <c r="Q49" i="23"/>
  <c r="R49" i="23"/>
  <c r="S49" i="23"/>
  <c r="T49" i="23"/>
  <c r="E50" i="23"/>
  <c r="F50" i="23"/>
  <c r="G50" i="23"/>
  <c r="H50" i="23"/>
  <c r="I50" i="23"/>
  <c r="J50" i="23"/>
  <c r="K50" i="23"/>
  <c r="L50" i="23"/>
  <c r="M50" i="23"/>
  <c r="N50" i="23"/>
  <c r="O50" i="23"/>
  <c r="P50" i="23"/>
  <c r="Q50" i="23"/>
  <c r="R50" i="23"/>
  <c r="S50" i="23"/>
  <c r="T50" i="23"/>
  <c r="E51" i="23"/>
  <c r="F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E71" i="23"/>
  <c r="F71" i="23"/>
  <c r="G71" i="23"/>
  <c r="L71" i="23"/>
  <c r="M71" i="23"/>
  <c r="N71" i="23"/>
  <c r="O71" i="23"/>
  <c r="P71" i="23"/>
  <c r="Q71" i="23"/>
  <c r="E72" i="23"/>
  <c r="G72" i="23"/>
  <c r="I72" i="23"/>
  <c r="I104" i="23" s="1"/>
  <c r="M72" i="23"/>
  <c r="M104" i="23" s="1"/>
  <c r="N72" i="23"/>
  <c r="O72" i="23"/>
  <c r="Q72" i="23"/>
  <c r="R72" i="23"/>
  <c r="T72" i="23"/>
  <c r="E73" i="23"/>
  <c r="F73" i="23"/>
  <c r="H73" i="23"/>
  <c r="K73" i="23"/>
  <c r="L73" i="23"/>
  <c r="N73" i="23"/>
  <c r="O73" i="23"/>
  <c r="Q73" i="23"/>
  <c r="R73" i="23"/>
  <c r="T73" i="23"/>
  <c r="E74" i="23"/>
  <c r="F74" i="23"/>
  <c r="L74" i="23"/>
  <c r="N74" i="23"/>
  <c r="O74" i="23"/>
  <c r="Q74" i="23"/>
  <c r="R74" i="23"/>
  <c r="T74" i="23"/>
  <c r="E75" i="23"/>
  <c r="I75" i="23"/>
  <c r="I107" i="23" s="1"/>
  <c r="L75" i="23"/>
  <c r="N75" i="23"/>
  <c r="O75" i="23"/>
  <c r="Q75" i="23"/>
  <c r="R75" i="23"/>
  <c r="T75" i="23"/>
  <c r="E76" i="23"/>
  <c r="G76" i="23"/>
  <c r="I76" i="23"/>
  <c r="L76" i="23"/>
  <c r="N76" i="23"/>
  <c r="O76" i="23"/>
  <c r="Q76" i="23"/>
  <c r="R76" i="23"/>
  <c r="T76" i="23"/>
  <c r="E77" i="23"/>
  <c r="F77" i="23"/>
  <c r="L77" i="23"/>
  <c r="N77" i="23"/>
  <c r="O77" i="23"/>
  <c r="Q77" i="23"/>
  <c r="R77" i="23"/>
  <c r="T77" i="23"/>
  <c r="E78" i="23"/>
  <c r="F78" i="23"/>
  <c r="L78" i="23"/>
  <c r="O78" i="23"/>
  <c r="Q78" i="23"/>
  <c r="R78" i="23"/>
  <c r="T78" i="23"/>
  <c r="E79" i="23"/>
  <c r="G79" i="23"/>
  <c r="I79" i="23"/>
  <c r="L79" i="23"/>
  <c r="O79" i="23"/>
  <c r="Q79" i="23"/>
  <c r="R79" i="23"/>
  <c r="T79" i="23"/>
  <c r="E80" i="23"/>
  <c r="F80" i="23"/>
  <c r="G80" i="23"/>
  <c r="H80" i="23"/>
  <c r="I80" i="23"/>
  <c r="K80" i="23"/>
  <c r="L80" i="23"/>
  <c r="M80" i="23"/>
  <c r="N80" i="23"/>
  <c r="O80" i="23"/>
  <c r="P80" i="23"/>
  <c r="Q80" i="23"/>
  <c r="R80" i="23"/>
  <c r="S80" i="23"/>
  <c r="T80" i="23"/>
  <c r="E81" i="23"/>
  <c r="F81" i="23"/>
  <c r="G81" i="23"/>
  <c r="H81" i="23"/>
  <c r="I81" i="23"/>
  <c r="L81" i="23"/>
  <c r="M81" i="23"/>
  <c r="N81" i="23"/>
  <c r="O81" i="23"/>
  <c r="P81" i="23"/>
  <c r="Q81" i="23"/>
  <c r="R81" i="23"/>
  <c r="S81" i="23"/>
  <c r="T81" i="23"/>
  <c r="E82" i="23"/>
  <c r="F82" i="23"/>
  <c r="G82" i="23"/>
  <c r="H82" i="23"/>
  <c r="I82" i="23"/>
  <c r="J82" i="23"/>
  <c r="K82" i="23"/>
  <c r="L82" i="23"/>
  <c r="M82" i="23"/>
  <c r="N82" i="23"/>
  <c r="O82" i="23"/>
  <c r="P82" i="23"/>
  <c r="Q82" i="23"/>
  <c r="R82" i="23"/>
  <c r="S82" i="23"/>
  <c r="T82" i="23"/>
  <c r="E83" i="23"/>
  <c r="F83" i="23"/>
  <c r="G83" i="23"/>
  <c r="H83" i="23"/>
  <c r="I83" i="23"/>
  <c r="J83" i="23"/>
  <c r="K83" i="23"/>
  <c r="L83" i="23"/>
  <c r="M83" i="23"/>
  <c r="N83" i="23"/>
  <c r="O83" i="23"/>
  <c r="P83" i="23"/>
  <c r="Q83" i="23"/>
  <c r="R83" i="23"/>
  <c r="S83" i="23"/>
  <c r="T83" i="23"/>
  <c r="E84" i="23"/>
  <c r="F84" i="23"/>
  <c r="G84" i="23"/>
  <c r="H84" i="23"/>
  <c r="I84" i="23"/>
  <c r="J84" i="23"/>
  <c r="K84" i="23"/>
  <c r="L84" i="23"/>
  <c r="M84" i="23"/>
  <c r="N84" i="23"/>
  <c r="O84" i="23"/>
  <c r="P84" i="23"/>
  <c r="Q84" i="23"/>
  <c r="R84" i="23"/>
  <c r="S84" i="23"/>
  <c r="T84" i="23"/>
  <c r="E85" i="23"/>
  <c r="F85" i="23"/>
  <c r="G85" i="23"/>
  <c r="H85" i="23"/>
  <c r="I85" i="23"/>
  <c r="J85" i="23"/>
  <c r="K85" i="23"/>
  <c r="L85" i="23"/>
  <c r="M85" i="23"/>
  <c r="N85" i="23"/>
  <c r="O85" i="23"/>
  <c r="P85" i="23"/>
  <c r="Q85" i="23"/>
  <c r="R85" i="23"/>
  <c r="S85" i="23"/>
  <c r="T85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E89" i="23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E98" i="23"/>
  <c r="F98" i="23"/>
  <c r="G98" i="23"/>
  <c r="H98" i="23"/>
  <c r="I98" i="23"/>
  <c r="J98" i="23"/>
  <c r="K98" i="23"/>
  <c r="L98" i="23"/>
  <c r="M98" i="23"/>
  <c r="N98" i="23"/>
  <c r="O98" i="23"/>
  <c r="P98" i="23"/>
  <c r="Q98" i="23"/>
  <c r="R98" i="23"/>
  <c r="S98" i="23"/>
  <c r="T98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S99" i="23"/>
  <c r="T99" i="23"/>
  <c r="E100" i="23"/>
  <c r="F100" i="23"/>
  <c r="G100" i="23"/>
  <c r="H100" i="23"/>
  <c r="I100" i="23"/>
  <c r="J100" i="23"/>
  <c r="K100" i="23"/>
  <c r="L100" i="23"/>
  <c r="M100" i="23"/>
  <c r="N100" i="23"/>
  <c r="O100" i="23"/>
  <c r="P100" i="23"/>
  <c r="Q100" i="23"/>
  <c r="R100" i="23"/>
  <c r="S100" i="23"/>
  <c r="T100" i="23"/>
  <c r="E101" i="23"/>
  <c r="F101" i="23"/>
  <c r="G101" i="23"/>
  <c r="H101" i="23"/>
  <c r="I101" i="23"/>
  <c r="J101" i="23"/>
  <c r="K101" i="23"/>
  <c r="L101" i="23"/>
  <c r="M101" i="23"/>
  <c r="N101" i="23"/>
  <c r="O101" i="23"/>
  <c r="P101" i="23"/>
  <c r="Q101" i="23"/>
  <c r="R101" i="23"/>
  <c r="S101" i="23"/>
  <c r="T101" i="23"/>
  <c r="E102" i="23"/>
  <c r="F102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S102" i="23"/>
  <c r="T102" i="23"/>
  <c r="E103" i="23"/>
  <c r="F103" i="23"/>
  <c r="G103" i="23"/>
  <c r="L103" i="23"/>
  <c r="M103" i="23"/>
  <c r="N103" i="23"/>
  <c r="O103" i="23"/>
  <c r="P103" i="23"/>
  <c r="Q103" i="23"/>
  <c r="E104" i="23"/>
  <c r="G104" i="23"/>
  <c r="N104" i="23"/>
  <c r="O104" i="23"/>
  <c r="Q104" i="23"/>
  <c r="R104" i="23"/>
  <c r="T104" i="23"/>
  <c r="E105" i="23"/>
  <c r="F105" i="23"/>
  <c r="H105" i="23"/>
  <c r="K105" i="23"/>
  <c r="L105" i="23"/>
  <c r="N105" i="23"/>
  <c r="O105" i="23"/>
  <c r="Q105" i="23"/>
  <c r="R105" i="23"/>
  <c r="T105" i="23"/>
  <c r="E106" i="23"/>
  <c r="F106" i="23"/>
  <c r="L106" i="23"/>
  <c r="N106" i="23"/>
  <c r="O106" i="23"/>
  <c r="Q106" i="23"/>
  <c r="R106" i="23"/>
  <c r="T106" i="23"/>
  <c r="E107" i="23"/>
  <c r="L107" i="23"/>
  <c r="N107" i="23"/>
  <c r="O107" i="23"/>
  <c r="Q107" i="23"/>
  <c r="R107" i="23"/>
  <c r="T107" i="23"/>
  <c r="E108" i="23"/>
  <c r="G108" i="23"/>
  <c r="I108" i="23"/>
  <c r="L108" i="23"/>
  <c r="N108" i="23"/>
  <c r="O108" i="23"/>
  <c r="Q108" i="23"/>
  <c r="R108" i="23"/>
  <c r="T108" i="23"/>
  <c r="E109" i="23"/>
  <c r="F109" i="23"/>
  <c r="L109" i="23"/>
  <c r="N109" i="23"/>
  <c r="O109" i="23"/>
  <c r="Q109" i="23"/>
  <c r="R109" i="23"/>
  <c r="T109" i="23"/>
  <c r="E110" i="23"/>
  <c r="F110" i="23"/>
  <c r="L110" i="23"/>
  <c r="O110" i="23"/>
  <c r="Q110" i="23"/>
  <c r="R110" i="23"/>
  <c r="T110" i="23"/>
  <c r="E111" i="23"/>
  <c r="G111" i="23"/>
  <c r="I111" i="23"/>
  <c r="L111" i="23"/>
  <c r="O111" i="23"/>
  <c r="Q111" i="23"/>
  <c r="R111" i="23"/>
  <c r="T111" i="23"/>
  <c r="E112" i="23"/>
  <c r="F112" i="23"/>
  <c r="G112" i="23"/>
  <c r="H112" i="23"/>
  <c r="I112" i="23"/>
  <c r="K112" i="23"/>
  <c r="L112" i="23"/>
  <c r="M112" i="23"/>
  <c r="N112" i="23"/>
  <c r="O112" i="23"/>
  <c r="P112" i="23"/>
  <c r="Q112" i="23"/>
  <c r="R112" i="23"/>
  <c r="S112" i="23"/>
  <c r="T112" i="23"/>
  <c r="E113" i="23"/>
  <c r="F113" i="23"/>
  <c r="G113" i="23"/>
  <c r="H113" i="23"/>
  <c r="I113" i="23"/>
  <c r="L113" i="23"/>
  <c r="M113" i="23"/>
  <c r="N113" i="23"/>
  <c r="O113" i="23"/>
  <c r="P113" i="23"/>
  <c r="Q113" i="23"/>
  <c r="R113" i="23"/>
  <c r="S113" i="23"/>
  <c r="T113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E119" i="23"/>
  <c r="F119" i="23"/>
  <c r="G119" i="23"/>
  <c r="H119" i="23"/>
  <c r="I119" i="23"/>
  <c r="J119" i="23"/>
  <c r="K119" i="23"/>
  <c r="L119" i="23"/>
  <c r="M119" i="23"/>
  <c r="N119" i="23"/>
  <c r="O119" i="23"/>
  <c r="P119" i="23"/>
  <c r="Q119" i="23"/>
  <c r="R119" i="23"/>
  <c r="S119" i="23"/>
  <c r="T119" i="23"/>
  <c r="E120" i="23"/>
  <c r="F120" i="23"/>
  <c r="G120" i="23"/>
  <c r="H120" i="23"/>
  <c r="I120" i="23"/>
  <c r="J120" i="23"/>
  <c r="K120" i="23"/>
  <c r="L120" i="23"/>
  <c r="M120" i="23"/>
  <c r="N120" i="23"/>
  <c r="O120" i="23"/>
  <c r="P120" i="23"/>
  <c r="Q120" i="23"/>
  <c r="R120" i="23"/>
  <c r="S120" i="23"/>
  <c r="T120" i="23"/>
  <c r="E121" i="23"/>
  <c r="F121" i="23"/>
  <c r="G121" i="23"/>
  <c r="H121" i="23"/>
  <c r="I121" i="23"/>
  <c r="J121" i="23"/>
  <c r="K121" i="23"/>
  <c r="L121" i="23"/>
  <c r="M121" i="23"/>
  <c r="N121" i="23"/>
  <c r="O121" i="23"/>
  <c r="P121" i="23"/>
  <c r="Q121" i="23"/>
  <c r="R121" i="23"/>
  <c r="S121" i="23"/>
  <c r="T121" i="23"/>
  <c r="E122" i="23"/>
  <c r="F122" i="23"/>
  <c r="G122" i="23"/>
  <c r="H122" i="23"/>
  <c r="I122" i="23"/>
  <c r="J122" i="23"/>
  <c r="K122" i="23"/>
  <c r="L122" i="23"/>
  <c r="M122" i="23"/>
  <c r="N122" i="23"/>
  <c r="O122" i="23"/>
  <c r="P122" i="23"/>
  <c r="Q122" i="23"/>
  <c r="R122" i="23"/>
  <c r="S122" i="23"/>
  <c r="T122" i="23"/>
  <c r="E123" i="23"/>
  <c r="F123" i="23"/>
  <c r="G123" i="23"/>
  <c r="H123" i="23"/>
  <c r="I123" i="23"/>
  <c r="J123" i="23"/>
  <c r="K123" i="23"/>
  <c r="L123" i="23"/>
  <c r="M123" i="23"/>
  <c r="N123" i="23"/>
  <c r="O123" i="23"/>
  <c r="P123" i="23"/>
  <c r="Q123" i="23"/>
  <c r="R123" i="23"/>
  <c r="S123" i="23"/>
  <c r="T123" i="23"/>
  <c r="E124" i="23"/>
  <c r="F124" i="23"/>
  <c r="G124" i="23"/>
  <c r="H124" i="23"/>
  <c r="I124" i="23"/>
  <c r="J124" i="23"/>
  <c r="K124" i="23"/>
  <c r="L124" i="23"/>
  <c r="M124" i="23"/>
  <c r="N124" i="23"/>
  <c r="O124" i="23"/>
  <c r="P124" i="23"/>
  <c r="Q124" i="23"/>
  <c r="R124" i="23"/>
  <c r="S124" i="23"/>
  <c r="T124" i="23"/>
  <c r="E125" i="23"/>
  <c r="F125" i="23"/>
  <c r="G125" i="23"/>
  <c r="H125" i="23"/>
  <c r="I125" i="23"/>
  <c r="J125" i="23"/>
  <c r="K125" i="23"/>
  <c r="L125" i="23"/>
  <c r="M125" i="23"/>
  <c r="N125" i="23"/>
  <c r="O125" i="23"/>
  <c r="P125" i="23"/>
  <c r="Q125" i="23"/>
  <c r="R125" i="23"/>
  <c r="S125" i="23"/>
  <c r="T125" i="23"/>
  <c r="E126" i="23"/>
  <c r="F126" i="23"/>
  <c r="G126" i="23"/>
  <c r="H126" i="23"/>
  <c r="I126" i="23"/>
  <c r="J126" i="23"/>
  <c r="K126" i="23"/>
  <c r="L126" i="23"/>
  <c r="M126" i="23"/>
  <c r="N126" i="23"/>
  <c r="O126" i="23"/>
  <c r="P126" i="23"/>
  <c r="Q126" i="23"/>
  <c r="R126" i="23"/>
  <c r="S126" i="23"/>
  <c r="T126" i="23"/>
  <c r="C9" i="32"/>
  <c r="C8" i="32"/>
  <c r="C12" i="32"/>
  <c r="C11" i="32"/>
  <c r="F43" i="32" s="1"/>
  <c r="F75" i="32" s="1"/>
  <c r="F107" i="32" s="1"/>
  <c r="E40" i="26"/>
  <c r="E72" i="26" s="1"/>
  <c r="E104" i="26" s="1"/>
  <c r="F40" i="26"/>
  <c r="F72" i="26" s="1"/>
  <c r="F104" i="26" s="1"/>
  <c r="I40" i="26"/>
  <c r="I72" i="26" s="1"/>
  <c r="I104" i="26" s="1"/>
  <c r="J40" i="26"/>
  <c r="J72" i="26" s="1"/>
  <c r="J104" i="26" s="1"/>
  <c r="M40" i="26"/>
  <c r="M72" i="26" s="1"/>
  <c r="M104" i="26" s="1"/>
  <c r="N40" i="26"/>
  <c r="N72" i="26" s="1"/>
  <c r="N104" i="26" s="1"/>
  <c r="P40" i="26"/>
  <c r="P72" i="26" s="1"/>
  <c r="P104" i="26" s="1"/>
  <c r="Q40" i="26"/>
  <c r="Q72" i="26" s="1"/>
  <c r="Q104" i="26" s="1"/>
  <c r="R40" i="26"/>
  <c r="R72" i="26" s="1"/>
  <c r="R104" i="26" s="1"/>
  <c r="T40" i="26"/>
  <c r="T72" i="26" s="1"/>
  <c r="T104" i="26" s="1"/>
  <c r="E41" i="26"/>
  <c r="E73" i="26" s="1"/>
  <c r="E105" i="26" s="1"/>
  <c r="G41" i="26"/>
  <c r="G73" i="26" s="1"/>
  <c r="G105" i="26" s="1"/>
  <c r="H41" i="26"/>
  <c r="H73" i="26" s="1"/>
  <c r="H105" i="26" s="1"/>
  <c r="I41" i="26"/>
  <c r="I73" i="26" s="1"/>
  <c r="I105" i="26" s="1"/>
  <c r="J41" i="26"/>
  <c r="J73" i="26" s="1"/>
  <c r="J105" i="26" s="1"/>
  <c r="M41" i="26"/>
  <c r="M73" i="26" s="1"/>
  <c r="M105" i="26" s="1"/>
  <c r="N41" i="26"/>
  <c r="N73" i="26" s="1"/>
  <c r="N105" i="26" s="1"/>
  <c r="P41" i="26"/>
  <c r="P73" i="26" s="1"/>
  <c r="P105" i="26" s="1"/>
  <c r="Q41" i="26"/>
  <c r="Q73" i="26" s="1"/>
  <c r="Q105" i="26" s="1"/>
  <c r="R41" i="26"/>
  <c r="R73" i="26" s="1"/>
  <c r="R105" i="26" s="1"/>
  <c r="T41" i="26"/>
  <c r="T73" i="26" s="1"/>
  <c r="T105" i="26" s="1"/>
  <c r="E42" i="26"/>
  <c r="E74" i="26" s="1"/>
  <c r="E106" i="26" s="1"/>
  <c r="G42" i="26"/>
  <c r="G74" i="26" s="1"/>
  <c r="G106" i="26" s="1"/>
  <c r="I42" i="26"/>
  <c r="I74" i="26" s="1"/>
  <c r="I106" i="26" s="1"/>
  <c r="J42" i="26"/>
  <c r="J74" i="26" s="1"/>
  <c r="J106" i="26" s="1"/>
  <c r="L42" i="26"/>
  <c r="L74" i="26" s="1"/>
  <c r="L106" i="26" s="1"/>
  <c r="N42" i="26"/>
  <c r="N74" i="26" s="1"/>
  <c r="N106" i="26" s="1"/>
  <c r="P42" i="26"/>
  <c r="P74" i="26" s="1"/>
  <c r="P106" i="26" s="1"/>
  <c r="Q42" i="26"/>
  <c r="Q74" i="26" s="1"/>
  <c r="Q106" i="26" s="1"/>
  <c r="R42" i="26"/>
  <c r="R74" i="26" s="1"/>
  <c r="R106" i="26" s="1"/>
  <c r="T42" i="26"/>
  <c r="T74" i="26" s="1"/>
  <c r="T106" i="26" s="1"/>
  <c r="E43" i="26"/>
  <c r="E75" i="26" s="1"/>
  <c r="E107" i="26" s="1"/>
  <c r="G43" i="26"/>
  <c r="G75" i="26" s="1"/>
  <c r="G107" i="26" s="1"/>
  <c r="H43" i="26"/>
  <c r="H75" i="26" s="1"/>
  <c r="H107" i="26" s="1"/>
  <c r="I43" i="26"/>
  <c r="I75" i="26" s="1"/>
  <c r="I107" i="26" s="1"/>
  <c r="J43" i="26"/>
  <c r="J75" i="26" s="1"/>
  <c r="J107" i="26" s="1"/>
  <c r="L43" i="26"/>
  <c r="L75" i="26" s="1"/>
  <c r="L107" i="26" s="1"/>
  <c r="N43" i="26"/>
  <c r="N75" i="26" s="1"/>
  <c r="N107" i="26" s="1"/>
  <c r="P43" i="26"/>
  <c r="P75" i="26" s="1"/>
  <c r="P107" i="26" s="1"/>
  <c r="Q43" i="26"/>
  <c r="Q75" i="26" s="1"/>
  <c r="Q107" i="26" s="1"/>
  <c r="R43" i="26"/>
  <c r="R75" i="26" s="1"/>
  <c r="R107" i="26" s="1"/>
  <c r="T43" i="26"/>
  <c r="T75" i="26" s="1"/>
  <c r="T107" i="26" s="1"/>
  <c r="E44" i="26"/>
  <c r="E76" i="26" s="1"/>
  <c r="E108" i="26" s="1"/>
  <c r="F44" i="26"/>
  <c r="F76" i="26" s="1"/>
  <c r="F108" i="26" s="1"/>
  <c r="I44" i="26"/>
  <c r="I76" i="26" s="1"/>
  <c r="I108" i="26" s="1"/>
  <c r="J44" i="26"/>
  <c r="J76" i="26" s="1"/>
  <c r="J108" i="26" s="1"/>
  <c r="L44" i="26"/>
  <c r="L76" i="26" s="1"/>
  <c r="L108" i="26" s="1"/>
  <c r="N44" i="26"/>
  <c r="N76" i="26" s="1"/>
  <c r="N108" i="26" s="1"/>
  <c r="P44" i="26"/>
  <c r="P76" i="26" s="1"/>
  <c r="P108" i="26" s="1"/>
  <c r="Q44" i="26"/>
  <c r="Q76" i="26" s="1"/>
  <c r="Q108" i="26" s="1"/>
  <c r="R44" i="26"/>
  <c r="R76" i="26" s="1"/>
  <c r="R108" i="26" s="1"/>
  <c r="T44" i="26"/>
  <c r="T76" i="26" s="1"/>
  <c r="T108" i="26" s="1"/>
  <c r="E45" i="26"/>
  <c r="E77" i="26" s="1"/>
  <c r="E109" i="26" s="1"/>
  <c r="G45" i="26"/>
  <c r="G77" i="26" s="1"/>
  <c r="G109" i="26" s="1"/>
  <c r="H45" i="26"/>
  <c r="H77" i="26" s="1"/>
  <c r="H109" i="26" s="1"/>
  <c r="I45" i="26"/>
  <c r="I77" i="26" s="1"/>
  <c r="I109" i="26" s="1"/>
  <c r="J45" i="26"/>
  <c r="J77" i="26" s="1"/>
  <c r="J109" i="26" s="1"/>
  <c r="L45" i="26"/>
  <c r="L77" i="26" s="1"/>
  <c r="L109" i="26" s="1"/>
  <c r="N45" i="26"/>
  <c r="N77" i="26" s="1"/>
  <c r="N109" i="26" s="1"/>
  <c r="P45" i="26"/>
  <c r="P77" i="26" s="1"/>
  <c r="P109" i="26" s="1"/>
  <c r="Q45" i="26"/>
  <c r="Q77" i="26" s="1"/>
  <c r="Q109" i="26" s="1"/>
  <c r="R45" i="26"/>
  <c r="R77" i="26" s="1"/>
  <c r="R109" i="26" s="1"/>
  <c r="T45" i="26"/>
  <c r="T77" i="26" s="1"/>
  <c r="T109" i="26" s="1"/>
  <c r="E46" i="26"/>
  <c r="E78" i="26" s="1"/>
  <c r="E110" i="26" s="1"/>
  <c r="G46" i="26"/>
  <c r="G78" i="26" s="1"/>
  <c r="G110" i="26" s="1"/>
  <c r="H46" i="26"/>
  <c r="H78" i="26" s="1"/>
  <c r="H110" i="26" s="1"/>
  <c r="I46" i="26"/>
  <c r="I78" i="26" s="1"/>
  <c r="I110" i="26" s="1"/>
  <c r="K46" i="26"/>
  <c r="K78" i="26" s="1"/>
  <c r="K110" i="26" s="1"/>
  <c r="L46" i="26"/>
  <c r="L78" i="26" s="1"/>
  <c r="L110" i="26" s="1"/>
  <c r="N46" i="26"/>
  <c r="N78" i="26" s="1"/>
  <c r="N110" i="26" s="1"/>
  <c r="P46" i="26"/>
  <c r="P78" i="26" s="1"/>
  <c r="P110" i="26" s="1"/>
  <c r="Q46" i="26"/>
  <c r="Q78" i="26" s="1"/>
  <c r="Q110" i="26" s="1"/>
  <c r="R46" i="26"/>
  <c r="R78" i="26" s="1"/>
  <c r="R110" i="26" s="1"/>
  <c r="T46" i="26"/>
  <c r="T78" i="26" s="1"/>
  <c r="T110" i="26" s="1"/>
  <c r="E47" i="26"/>
  <c r="E79" i="26" s="1"/>
  <c r="E111" i="26" s="1"/>
  <c r="G47" i="26"/>
  <c r="G79" i="26" s="1"/>
  <c r="G111" i="26" s="1"/>
  <c r="H47" i="26"/>
  <c r="H79" i="26" s="1"/>
  <c r="H111" i="26" s="1"/>
  <c r="I47" i="26"/>
  <c r="I79" i="26" s="1"/>
  <c r="I111" i="26" s="1"/>
  <c r="J47" i="26"/>
  <c r="J79" i="26" s="1"/>
  <c r="J111" i="26" s="1"/>
  <c r="L47" i="26"/>
  <c r="L79" i="26" s="1"/>
  <c r="L111" i="26" s="1"/>
  <c r="N47" i="26"/>
  <c r="N79" i="26" s="1"/>
  <c r="N111" i="26" s="1"/>
  <c r="P47" i="26"/>
  <c r="P79" i="26" s="1"/>
  <c r="P111" i="26" s="1"/>
  <c r="Q47" i="26"/>
  <c r="Q79" i="26" s="1"/>
  <c r="Q111" i="26" s="1"/>
  <c r="R47" i="26"/>
  <c r="R79" i="26" s="1"/>
  <c r="R111" i="26" s="1"/>
  <c r="T47" i="26"/>
  <c r="T79" i="26" s="1"/>
  <c r="T111" i="26" s="1"/>
  <c r="F48" i="26"/>
  <c r="F80" i="26" s="1"/>
  <c r="F112" i="26" s="1"/>
  <c r="G48" i="26"/>
  <c r="G80" i="26" s="1"/>
  <c r="G112" i="26" s="1"/>
  <c r="H48" i="26"/>
  <c r="H80" i="26" s="1"/>
  <c r="H112" i="26" s="1"/>
  <c r="I48" i="26"/>
  <c r="I80" i="26" s="1"/>
  <c r="I112" i="26" s="1"/>
  <c r="K48" i="26"/>
  <c r="K80" i="26" s="1"/>
  <c r="K112" i="26" s="1"/>
  <c r="L48" i="26"/>
  <c r="L80" i="26" s="1"/>
  <c r="L112" i="26" s="1"/>
  <c r="N48" i="26"/>
  <c r="N80" i="26" s="1"/>
  <c r="N112" i="26" s="1"/>
  <c r="P48" i="26"/>
  <c r="P80" i="26" s="1"/>
  <c r="P112" i="26" s="1"/>
  <c r="Q48" i="26"/>
  <c r="Q80" i="26" s="1"/>
  <c r="Q112" i="26" s="1"/>
  <c r="R48" i="26"/>
  <c r="R80" i="26" s="1"/>
  <c r="R112" i="26" s="1"/>
  <c r="T48" i="26"/>
  <c r="T80" i="26" s="1"/>
  <c r="T112" i="26" s="1"/>
  <c r="E49" i="26"/>
  <c r="E81" i="26" s="1"/>
  <c r="E113" i="26" s="1"/>
  <c r="G49" i="26"/>
  <c r="G81" i="26" s="1"/>
  <c r="G113" i="26" s="1"/>
  <c r="H49" i="26"/>
  <c r="H81" i="26" s="1"/>
  <c r="H113" i="26" s="1"/>
  <c r="I49" i="26"/>
  <c r="I81" i="26" s="1"/>
  <c r="I113" i="26" s="1"/>
  <c r="K49" i="26"/>
  <c r="K81" i="26" s="1"/>
  <c r="K113" i="26" s="1"/>
  <c r="L49" i="26"/>
  <c r="L81" i="26" s="1"/>
  <c r="L113" i="26" s="1"/>
  <c r="P49" i="26"/>
  <c r="P81" i="26" s="1"/>
  <c r="P113" i="26" s="1"/>
  <c r="Q49" i="26"/>
  <c r="Q81" i="26" s="1"/>
  <c r="Q113" i="26" s="1"/>
  <c r="R49" i="26"/>
  <c r="R81" i="26" s="1"/>
  <c r="R113" i="26" s="1"/>
  <c r="T49" i="26"/>
  <c r="T81" i="26" s="1"/>
  <c r="T113" i="26" s="1"/>
  <c r="E50" i="26"/>
  <c r="E82" i="26" s="1"/>
  <c r="E114" i="26" s="1"/>
  <c r="G50" i="26"/>
  <c r="G82" i="26" s="1"/>
  <c r="G114" i="26" s="1"/>
  <c r="H50" i="26"/>
  <c r="H82" i="26" s="1"/>
  <c r="H114" i="26" s="1"/>
  <c r="I50" i="26"/>
  <c r="I82" i="26" s="1"/>
  <c r="I114" i="26" s="1"/>
  <c r="J50" i="26"/>
  <c r="J82" i="26" s="1"/>
  <c r="J114" i="26" s="1"/>
  <c r="L50" i="26"/>
  <c r="L82" i="26" s="1"/>
  <c r="L114" i="26" s="1"/>
  <c r="N50" i="26"/>
  <c r="N82" i="26" s="1"/>
  <c r="N114" i="26" s="1"/>
  <c r="P50" i="26"/>
  <c r="P82" i="26" s="1"/>
  <c r="P114" i="26" s="1"/>
  <c r="Q50" i="26"/>
  <c r="Q82" i="26" s="1"/>
  <c r="Q114" i="26" s="1"/>
  <c r="R50" i="26"/>
  <c r="R82" i="26" s="1"/>
  <c r="R114" i="26" s="1"/>
  <c r="T50" i="26"/>
  <c r="T82" i="26" s="1"/>
  <c r="T114" i="26" s="1"/>
  <c r="E51" i="26"/>
  <c r="E83" i="26" s="1"/>
  <c r="E115" i="26" s="1"/>
  <c r="F51" i="26"/>
  <c r="F83" i="26" s="1"/>
  <c r="F115" i="26" s="1"/>
  <c r="G51" i="26"/>
  <c r="G83" i="26" s="1"/>
  <c r="G115" i="26" s="1"/>
  <c r="H51" i="26"/>
  <c r="H83" i="26" s="1"/>
  <c r="H115" i="26" s="1"/>
  <c r="I51" i="26"/>
  <c r="I83" i="26" s="1"/>
  <c r="I115" i="26" s="1"/>
  <c r="J51" i="26"/>
  <c r="J83" i="26" s="1"/>
  <c r="J115" i="26" s="1"/>
  <c r="K51" i="26"/>
  <c r="K83" i="26" s="1"/>
  <c r="K115" i="26" s="1"/>
  <c r="L51" i="26"/>
  <c r="L83" i="26" s="1"/>
  <c r="L115" i="26" s="1"/>
  <c r="M51" i="26"/>
  <c r="M83" i="26" s="1"/>
  <c r="M115" i="26" s="1"/>
  <c r="N51" i="26"/>
  <c r="N83" i="26" s="1"/>
  <c r="N115" i="26" s="1"/>
  <c r="O51" i="26"/>
  <c r="O83" i="26" s="1"/>
  <c r="O115" i="26" s="1"/>
  <c r="P51" i="26"/>
  <c r="P83" i="26" s="1"/>
  <c r="P115" i="26" s="1"/>
  <c r="Q51" i="26"/>
  <c r="Q83" i="26" s="1"/>
  <c r="Q115" i="26" s="1"/>
  <c r="R51" i="26"/>
  <c r="R83" i="26" s="1"/>
  <c r="R115" i="26" s="1"/>
  <c r="S51" i="26"/>
  <c r="S83" i="26" s="1"/>
  <c r="S115" i="26" s="1"/>
  <c r="T51" i="26"/>
  <c r="T83" i="26" s="1"/>
  <c r="T115" i="26" s="1"/>
  <c r="E52" i="26"/>
  <c r="E84" i="26" s="1"/>
  <c r="E116" i="26" s="1"/>
  <c r="F52" i="26"/>
  <c r="F84" i="26" s="1"/>
  <c r="F116" i="26" s="1"/>
  <c r="G52" i="26"/>
  <c r="G84" i="26" s="1"/>
  <c r="G116" i="26" s="1"/>
  <c r="H52" i="26"/>
  <c r="H84" i="26" s="1"/>
  <c r="H116" i="26" s="1"/>
  <c r="I52" i="26"/>
  <c r="I84" i="26" s="1"/>
  <c r="I116" i="26" s="1"/>
  <c r="J52" i="26"/>
  <c r="J84" i="26" s="1"/>
  <c r="J116" i="26" s="1"/>
  <c r="K52" i="26"/>
  <c r="K84" i="26" s="1"/>
  <c r="K116" i="26" s="1"/>
  <c r="L52" i="26"/>
  <c r="L84" i="26" s="1"/>
  <c r="L116" i="26" s="1"/>
  <c r="M52" i="26"/>
  <c r="M84" i="26" s="1"/>
  <c r="M116" i="26" s="1"/>
  <c r="N52" i="26"/>
  <c r="N84" i="26" s="1"/>
  <c r="N116" i="26" s="1"/>
  <c r="O52" i="26"/>
  <c r="O84" i="26" s="1"/>
  <c r="O116" i="26" s="1"/>
  <c r="P52" i="26"/>
  <c r="P84" i="26" s="1"/>
  <c r="P116" i="26" s="1"/>
  <c r="Q52" i="26"/>
  <c r="Q84" i="26" s="1"/>
  <c r="Q116" i="26" s="1"/>
  <c r="R52" i="26"/>
  <c r="R84" i="26" s="1"/>
  <c r="R116" i="26" s="1"/>
  <c r="S52" i="26"/>
  <c r="S84" i="26" s="1"/>
  <c r="S116" i="26" s="1"/>
  <c r="T52" i="26"/>
  <c r="T84" i="26" s="1"/>
  <c r="T116" i="26" s="1"/>
  <c r="E53" i="26"/>
  <c r="E85" i="26" s="1"/>
  <c r="E117" i="26" s="1"/>
  <c r="F53" i="26"/>
  <c r="F85" i="26" s="1"/>
  <c r="F117" i="26" s="1"/>
  <c r="G53" i="26"/>
  <c r="G85" i="26" s="1"/>
  <c r="G117" i="26" s="1"/>
  <c r="H53" i="26"/>
  <c r="H85" i="26" s="1"/>
  <c r="H117" i="26" s="1"/>
  <c r="I53" i="26"/>
  <c r="I85" i="26" s="1"/>
  <c r="I117" i="26" s="1"/>
  <c r="J53" i="26"/>
  <c r="J85" i="26" s="1"/>
  <c r="J117" i="26" s="1"/>
  <c r="K53" i="26"/>
  <c r="K85" i="26" s="1"/>
  <c r="K117" i="26" s="1"/>
  <c r="L53" i="26"/>
  <c r="L85" i="26" s="1"/>
  <c r="L117" i="26" s="1"/>
  <c r="M53" i="26"/>
  <c r="M85" i="26" s="1"/>
  <c r="M117" i="26" s="1"/>
  <c r="N53" i="26"/>
  <c r="N85" i="26" s="1"/>
  <c r="N117" i="26" s="1"/>
  <c r="O53" i="26"/>
  <c r="O85" i="26" s="1"/>
  <c r="O117" i="26" s="1"/>
  <c r="P53" i="26"/>
  <c r="P85" i="26" s="1"/>
  <c r="P117" i="26" s="1"/>
  <c r="Q53" i="26"/>
  <c r="Q85" i="26" s="1"/>
  <c r="Q117" i="26" s="1"/>
  <c r="R53" i="26"/>
  <c r="R85" i="26" s="1"/>
  <c r="R117" i="26" s="1"/>
  <c r="S53" i="26"/>
  <c r="S85" i="26" s="1"/>
  <c r="S117" i="26" s="1"/>
  <c r="T53" i="26"/>
  <c r="T85" i="26" s="1"/>
  <c r="T117" i="26" s="1"/>
  <c r="E54" i="26"/>
  <c r="E86" i="26" s="1"/>
  <c r="E118" i="26" s="1"/>
  <c r="F54" i="26"/>
  <c r="F86" i="26" s="1"/>
  <c r="F118" i="26" s="1"/>
  <c r="G54" i="26"/>
  <c r="G86" i="26" s="1"/>
  <c r="G118" i="26" s="1"/>
  <c r="H54" i="26"/>
  <c r="H86" i="26" s="1"/>
  <c r="H118" i="26" s="1"/>
  <c r="I54" i="26"/>
  <c r="I86" i="26" s="1"/>
  <c r="I118" i="26" s="1"/>
  <c r="J54" i="26"/>
  <c r="J86" i="26" s="1"/>
  <c r="J118" i="26" s="1"/>
  <c r="K54" i="26"/>
  <c r="K86" i="26" s="1"/>
  <c r="K118" i="26" s="1"/>
  <c r="L54" i="26"/>
  <c r="L86" i="26" s="1"/>
  <c r="L118" i="26" s="1"/>
  <c r="M54" i="26"/>
  <c r="M86" i="26" s="1"/>
  <c r="M118" i="26" s="1"/>
  <c r="N54" i="26"/>
  <c r="N86" i="26" s="1"/>
  <c r="N118" i="26" s="1"/>
  <c r="O54" i="26"/>
  <c r="O86" i="26" s="1"/>
  <c r="O118" i="26" s="1"/>
  <c r="P54" i="26"/>
  <c r="P86" i="26" s="1"/>
  <c r="P118" i="26" s="1"/>
  <c r="Q54" i="26"/>
  <c r="Q86" i="26" s="1"/>
  <c r="Q118" i="26" s="1"/>
  <c r="R54" i="26"/>
  <c r="R86" i="26" s="1"/>
  <c r="R118" i="26" s="1"/>
  <c r="S54" i="26"/>
  <c r="S86" i="26" s="1"/>
  <c r="S118" i="26" s="1"/>
  <c r="T54" i="26"/>
  <c r="T86" i="26" s="1"/>
  <c r="T118" i="26" s="1"/>
  <c r="E55" i="26"/>
  <c r="E87" i="26" s="1"/>
  <c r="E119" i="26" s="1"/>
  <c r="F55" i="26"/>
  <c r="F87" i="26" s="1"/>
  <c r="F119" i="26" s="1"/>
  <c r="G55" i="26"/>
  <c r="G87" i="26" s="1"/>
  <c r="G119" i="26" s="1"/>
  <c r="H55" i="26"/>
  <c r="H87" i="26" s="1"/>
  <c r="H119" i="26" s="1"/>
  <c r="I55" i="26"/>
  <c r="I87" i="26" s="1"/>
  <c r="I119" i="26" s="1"/>
  <c r="J55" i="26"/>
  <c r="J87" i="26" s="1"/>
  <c r="J119" i="26" s="1"/>
  <c r="K55" i="26"/>
  <c r="K87" i="26" s="1"/>
  <c r="K119" i="26" s="1"/>
  <c r="L55" i="26"/>
  <c r="L87" i="26" s="1"/>
  <c r="L119" i="26" s="1"/>
  <c r="M55" i="26"/>
  <c r="M87" i="26" s="1"/>
  <c r="M119" i="26" s="1"/>
  <c r="N55" i="26"/>
  <c r="N87" i="26" s="1"/>
  <c r="N119" i="26" s="1"/>
  <c r="O55" i="26"/>
  <c r="O87" i="26" s="1"/>
  <c r="O119" i="26" s="1"/>
  <c r="P55" i="26"/>
  <c r="P87" i="26" s="1"/>
  <c r="P119" i="26" s="1"/>
  <c r="Q55" i="26"/>
  <c r="Q87" i="26" s="1"/>
  <c r="Q119" i="26" s="1"/>
  <c r="R55" i="26"/>
  <c r="R87" i="26" s="1"/>
  <c r="R119" i="26" s="1"/>
  <c r="S55" i="26"/>
  <c r="S87" i="26" s="1"/>
  <c r="S119" i="26" s="1"/>
  <c r="T55" i="26"/>
  <c r="T87" i="26" s="1"/>
  <c r="T119" i="26" s="1"/>
  <c r="E56" i="26"/>
  <c r="E88" i="26" s="1"/>
  <c r="E120" i="26" s="1"/>
  <c r="F56" i="26"/>
  <c r="F88" i="26" s="1"/>
  <c r="F120" i="26" s="1"/>
  <c r="G56" i="26"/>
  <c r="G88" i="26" s="1"/>
  <c r="G120" i="26" s="1"/>
  <c r="H56" i="26"/>
  <c r="H88" i="26" s="1"/>
  <c r="H120" i="26" s="1"/>
  <c r="I56" i="26"/>
  <c r="I88" i="26" s="1"/>
  <c r="I120" i="26" s="1"/>
  <c r="J56" i="26"/>
  <c r="J88" i="26" s="1"/>
  <c r="J120" i="26" s="1"/>
  <c r="K56" i="26"/>
  <c r="K88" i="26" s="1"/>
  <c r="K120" i="26" s="1"/>
  <c r="L56" i="26"/>
  <c r="L88" i="26" s="1"/>
  <c r="L120" i="26" s="1"/>
  <c r="M56" i="26"/>
  <c r="M88" i="26" s="1"/>
  <c r="M120" i="26" s="1"/>
  <c r="N56" i="26"/>
  <c r="N88" i="26" s="1"/>
  <c r="N120" i="26" s="1"/>
  <c r="O56" i="26"/>
  <c r="O88" i="26" s="1"/>
  <c r="O120" i="26" s="1"/>
  <c r="P56" i="26"/>
  <c r="P88" i="26" s="1"/>
  <c r="P120" i="26" s="1"/>
  <c r="Q56" i="26"/>
  <c r="Q88" i="26" s="1"/>
  <c r="Q120" i="26" s="1"/>
  <c r="R56" i="26"/>
  <c r="R88" i="26" s="1"/>
  <c r="R120" i="26" s="1"/>
  <c r="S56" i="26"/>
  <c r="S88" i="26" s="1"/>
  <c r="S120" i="26" s="1"/>
  <c r="T56" i="26"/>
  <c r="T88" i="26" s="1"/>
  <c r="T120" i="26" s="1"/>
  <c r="E57" i="26"/>
  <c r="E89" i="26" s="1"/>
  <c r="E121" i="26" s="1"/>
  <c r="F57" i="26"/>
  <c r="F89" i="26" s="1"/>
  <c r="F121" i="26" s="1"/>
  <c r="G57" i="26"/>
  <c r="G89" i="26" s="1"/>
  <c r="G121" i="26" s="1"/>
  <c r="H57" i="26"/>
  <c r="H89" i="26" s="1"/>
  <c r="H121" i="26" s="1"/>
  <c r="I57" i="26"/>
  <c r="I89" i="26" s="1"/>
  <c r="I121" i="26" s="1"/>
  <c r="J57" i="26"/>
  <c r="J89" i="26" s="1"/>
  <c r="J121" i="26" s="1"/>
  <c r="K57" i="26"/>
  <c r="K89" i="26" s="1"/>
  <c r="K121" i="26" s="1"/>
  <c r="L57" i="26"/>
  <c r="L89" i="26" s="1"/>
  <c r="L121" i="26" s="1"/>
  <c r="M57" i="26"/>
  <c r="M89" i="26" s="1"/>
  <c r="M121" i="26" s="1"/>
  <c r="N57" i="26"/>
  <c r="N89" i="26" s="1"/>
  <c r="N121" i="26" s="1"/>
  <c r="O57" i="26"/>
  <c r="O89" i="26" s="1"/>
  <c r="O121" i="26" s="1"/>
  <c r="P57" i="26"/>
  <c r="P89" i="26" s="1"/>
  <c r="P121" i="26" s="1"/>
  <c r="Q57" i="26"/>
  <c r="Q89" i="26" s="1"/>
  <c r="Q121" i="26" s="1"/>
  <c r="R57" i="26"/>
  <c r="R89" i="26" s="1"/>
  <c r="R121" i="26" s="1"/>
  <c r="S57" i="26"/>
  <c r="S89" i="26" s="1"/>
  <c r="S121" i="26" s="1"/>
  <c r="T57" i="26"/>
  <c r="T89" i="26" s="1"/>
  <c r="T121" i="26" s="1"/>
  <c r="E58" i="26"/>
  <c r="E90" i="26" s="1"/>
  <c r="E122" i="26" s="1"/>
  <c r="F58" i="26"/>
  <c r="F90" i="26" s="1"/>
  <c r="F122" i="26" s="1"/>
  <c r="G58" i="26"/>
  <c r="G90" i="26" s="1"/>
  <c r="G122" i="26" s="1"/>
  <c r="H58" i="26"/>
  <c r="H90" i="26" s="1"/>
  <c r="H122" i="26" s="1"/>
  <c r="I58" i="26"/>
  <c r="I90" i="26" s="1"/>
  <c r="I122" i="26" s="1"/>
  <c r="J58" i="26"/>
  <c r="J90" i="26" s="1"/>
  <c r="J122" i="26" s="1"/>
  <c r="K58" i="26"/>
  <c r="K90" i="26" s="1"/>
  <c r="K122" i="26" s="1"/>
  <c r="L58" i="26"/>
  <c r="L90" i="26" s="1"/>
  <c r="L122" i="26" s="1"/>
  <c r="M58" i="26"/>
  <c r="M90" i="26" s="1"/>
  <c r="M122" i="26" s="1"/>
  <c r="N58" i="26"/>
  <c r="N90" i="26" s="1"/>
  <c r="N122" i="26" s="1"/>
  <c r="O58" i="26"/>
  <c r="O90" i="26" s="1"/>
  <c r="O122" i="26" s="1"/>
  <c r="P58" i="26"/>
  <c r="P90" i="26" s="1"/>
  <c r="P122" i="26" s="1"/>
  <c r="Q58" i="26"/>
  <c r="R58" i="26"/>
  <c r="S58" i="26"/>
  <c r="T58" i="26"/>
  <c r="E59" i="26"/>
  <c r="F59" i="26"/>
  <c r="G59" i="26"/>
  <c r="H59" i="26"/>
  <c r="I59" i="26"/>
  <c r="J59" i="26"/>
  <c r="K59" i="26"/>
  <c r="L59" i="26"/>
  <c r="L91" i="26" s="1"/>
  <c r="L123" i="26" s="1"/>
  <c r="M59" i="26"/>
  <c r="N59" i="26"/>
  <c r="O59" i="26"/>
  <c r="P59" i="26"/>
  <c r="Q59" i="26"/>
  <c r="R59" i="26"/>
  <c r="S59" i="26"/>
  <c r="T59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Q90" i="26"/>
  <c r="R90" i="26"/>
  <c r="S90" i="26"/>
  <c r="T90" i="26"/>
  <c r="E91" i="26"/>
  <c r="F91" i="26"/>
  <c r="G91" i="26"/>
  <c r="H91" i="26"/>
  <c r="I91" i="26"/>
  <c r="J91" i="26"/>
  <c r="K91" i="26"/>
  <c r="M91" i="26"/>
  <c r="N91" i="26"/>
  <c r="O91" i="26"/>
  <c r="P91" i="26"/>
  <c r="Q91" i="26"/>
  <c r="R91" i="26"/>
  <c r="S91" i="26"/>
  <c r="T91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Q122" i="26"/>
  <c r="R122" i="26"/>
  <c r="S122" i="26"/>
  <c r="T122" i="26"/>
  <c r="E123" i="26"/>
  <c r="F123" i="26"/>
  <c r="G123" i="26"/>
  <c r="H123" i="26"/>
  <c r="I123" i="26"/>
  <c r="J123" i="26"/>
  <c r="K123" i="26"/>
  <c r="M123" i="26"/>
  <c r="N123" i="26"/>
  <c r="O123" i="26"/>
  <c r="P123" i="26"/>
  <c r="Q123" i="26"/>
  <c r="R123" i="26"/>
  <c r="S123" i="26"/>
  <c r="T123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C9" i="26"/>
  <c r="C10" i="26"/>
  <c r="C11" i="26"/>
  <c r="C12" i="26"/>
  <c r="C13" i="26"/>
  <c r="C14" i="26"/>
  <c r="C15" i="26"/>
  <c r="C16" i="26"/>
  <c r="C17" i="26"/>
  <c r="C18" i="26"/>
  <c r="C8" i="26"/>
  <c r="C9" i="20"/>
  <c r="C8" i="20"/>
  <c r="C14" i="20"/>
  <c r="C13" i="20"/>
  <c r="R39" i="23"/>
  <c r="R71" i="23" s="1"/>
  <c r="R103" i="23" s="1"/>
  <c r="S39" i="23"/>
  <c r="S71" i="23" s="1"/>
  <c r="S103" i="23" s="1"/>
  <c r="T39" i="23"/>
  <c r="T71" i="23" s="1"/>
  <c r="T103" i="23" s="1"/>
  <c r="C11" i="23"/>
  <c r="C12" i="23"/>
  <c r="C13" i="23"/>
  <c r="C14" i="23"/>
  <c r="C15" i="23"/>
  <c r="C9" i="23"/>
  <c r="C10" i="23"/>
  <c r="C8" i="23"/>
  <c r="E40" i="32"/>
  <c r="E72" i="32" s="1"/>
  <c r="E104" i="32" s="1"/>
  <c r="F40" i="32"/>
  <c r="F72" i="32" s="1"/>
  <c r="F104" i="32" s="1"/>
  <c r="G40" i="32"/>
  <c r="G72" i="32" s="1"/>
  <c r="G104" i="32" s="1"/>
  <c r="H40" i="32"/>
  <c r="H72" i="32" s="1"/>
  <c r="H104" i="32" s="1"/>
  <c r="I40" i="32"/>
  <c r="I72" i="32" s="1"/>
  <c r="I104" i="32" s="1"/>
  <c r="J40" i="32"/>
  <c r="J72" i="32" s="1"/>
  <c r="J104" i="32" s="1"/>
  <c r="K40" i="32"/>
  <c r="K72" i="32" s="1"/>
  <c r="K104" i="32" s="1"/>
  <c r="L40" i="32"/>
  <c r="L72" i="32" s="1"/>
  <c r="L104" i="32" s="1"/>
  <c r="M40" i="32"/>
  <c r="M72" i="32" s="1"/>
  <c r="M104" i="32" s="1"/>
  <c r="N40" i="32"/>
  <c r="N72" i="32" s="1"/>
  <c r="N104" i="32" s="1"/>
  <c r="O40" i="32"/>
  <c r="O72" i="32" s="1"/>
  <c r="O104" i="32" s="1"/>
  <c r="P40" i="32"/>
  <c r="P72" i="32" s="1"/>
  <c r="P104" i="32" s="1"/>
  <c r="Q40" i="32"/>
  <c r="Q72" i="32" s="1"/>
  <c r="Q104" i="32" s="1"/>
  <c r="R40" i="32"/>
  <c r="R72" i="32" s="1"/>
  <c r="R104" i="32" s="1"/>
  <c r="S40" i="32"/>
  <c r="S72" i="32" s="1"/>
  <c r="S104" i="32" s="1"/>
  <c r="T40" i="32"/>
  <c r="T72" i="32" s="1"/>
  <c r="T104" i="32" s="1"/>
  <c r="E41" i="32"/>
  <c r="E73" i="32" s="1"/>
  <c r="E105" i="32" s="1"/>
  <c r="F41" i="32"/>
  <c r="F73" i="32" s="1"/>
  <c r="F105" i="32" s="1"/>
  <c r="G41" i="32"/>
  <c r="G73" i="32" s="1"/>
  <c r="G105" i="32" s="1"/>
  <c r="H41" i="32"/>
  <c r="H73" i="32" s="1"/>
  <c r="H105" i="32" s="1"/>
  <c r="I41" i="32"/>
  <c r="I73" i="32" s="1"/>
  <c r="I105" i="32" s="1"/>
  <c r="J41" i="32"/>
  <c r="J73" i="32" s="1"/>
  <c r="J105" i="32" s="1"/>
  <c r="K41" i="32"/>
  <c r="K73" i="32" s="1"/>
  <c r="K105" i="32" s="1"/>
  <c r="L41" i="32"/>
  <c r="L73" i="32" s="1"/>
  <c r="L105" i="32" s="1"/>
  <c r="M41" i="32"/>
  <c r="M73" i="32" s="1"/>
  <c r="M105" i="32" s="1"/>
  <c r="N41" i="32"/>
  <c r="N73" i="32" s="1"/>
  <c r="N105" i="32" s="1"/>
  <c r="O41" i="32"/>
  <c r="O73" i="32" s="1"/>
  <c r="O105" i="32" s="1"/>
  <c r="P41" i="32"/>
  <c r="P73" i="32" s="1"/>
  <c r="P105" i="32" s="1"/>
  <c r="Q41" i="32"/>
  <c r="Q73" i="32" s="1"/>
  <c r="Q105" i="32" s="1"/>
  <c r="R41" i="32"/>
  <c r="R73" i="32" s="1"/>
  <c r="R105" i="32" s="1"/>
  <c r="S41" i="32"/>
  <c r="S73" i="32" s="1"/>
  <c r="S105" i="32" s="1"/>
  <c r="T41" i="32"/>
  <c r="T73" i="32" s="1"/>
  <c r="T105" i="32" s="1"/>
  <c r="E42" i="32"/>
  <c r="E74" i="32" s="1"/>
  <c r="E106" i="32" s="1"/>
  <c r="F42" i="32"/>
  <c r="F74" i="32" s="1"/>
  <c r="F106" i="32" s="1"/>
  <c r="G42" i="32"/>
  <c r="G74" i="32" s="1"/>
  <c r="G106" i="32" s="1"/>
  <c r="H42" i="32"/>
  <c r="H74" i="32" s="1"/>
  <c r="H106" i="32" s="1"/>
  <c r="I42" i="32"/>
  <c r="I74" i="32" s="1"/>
  <c r="I106" i="32" s="1"/>
  <c r="J42" i="32"/>
  <c r="J74" i="32" s="1"/>
  <c r="J106" i="32" s="1"/>
  <c r="K42" i="32"/>
  <c r="K74" i="32" s="1"/>
  <c r="K106" i="32" s="1"/>
  <c r="L42" i="32"/>
  <c r="L74" i="32" s="1"/>
  <c r="L106" i="32" s="1"/>
  <c r="M42" i="32"/>
  <c r="M74" i="32" s="1"/>
  <c r="M106" i="32" s="1"/>
  <c r="N42" i="32"/>
  <c r="N74" i="32" s="1"/>
  <c r="N106" i="32" s="1"/>
  <c r="O42" i="32"/>
  <c r="O74" i="32" s="1"/>
  <c r="O106" i="32" s="1"/>
  <c r="P42" i="32"/>
  <c r="P74" i="32" s="1"/>
  <c r="P106" i="32" s="1"/>
  <c r="Q42" i="32"/>
  <c r="Q74" i="32" s="1"/>
  <c r="Q106" i="32" s="1"/>
  <c r="R42" i="32"/>
  <c r="R74" i="32" s="1"/>
  <c r="R106" i="32" s="1"/>
  <c r="S42" i="32"/>
  <c r="S74" i="32" s="1"/>
  <c r="S106" i="32" s="1"/>
  <c r="T42" i="32"/>
  <c r="T74" i="32" s="1"/>
  <c r="T106" i="32" s="1"/>
  <c r="E43" i="32"/>
  <c r="E75" i="32" s="1"/>
  <c r="E107" i="32" s="1"/>
  <c r="G43" i="32"/>
  <c r="G75" i="32" s="1"/>
  <c r="G107" i="32" s="1"/>
  <c r="H43" i="32"/>
  <c r="H75" i="32" s="1"/>
  <c r="H107" i="32" s="1"/>
  <c r="I43" i="32"/>
  <c r="I75" i="32" s="1"/>
  <c r="I107" i="32" s="1"/>
  <c r="J43" i="32"/>
  <c r="J75" i="32" s="1"/>
  <c r="J107" i="32" s="1"/>
  <c r="M43" i="32"/>
  <c r="M75" i="32" s="1"/>
  <c r="M107" i="32" s="1"/>
  <c r="O43" i="32"/>
  <c r="O75" i="32" s="1"/>
  <c r="O107" i="32" s="1"/>
  <c r="Q43" i="32"/>
  <c r="Q75" i="32" s="1"/>
  <c r="Q107" i="32" s="1"/>
  <c r="R43" i="32"/>
  <c r="R75" i="32" s="1"/>
  <c r="R107" i="32" s="1"/>
  <c r="T43" i="32"/>
  <c r="T75" i="32" s="1"/>
  <c r="T107" i="32" s="1"/>
  <c r="E44" i="32"/>
  <c r="E76" i="32" s="1"/>
  <c r="E108" i="32" s="1"/>
  <c r="F44" i="32"/>
  <c r="F76" i="32" s="1"/>
  <c r="F108" i="32" s="1"/>
  <c r="G44" i="32"/>
  <c r="G76" i="32" s="1"/>
  <c r="G108" i="32" s="1"/>
  <c r="H44" i="32"/>
  <c r="H76" i="32" s="1"/>
  <c r="H108" i="32" s="1"/>
  <c r="I44" i="32"/>
  <c r="I76" i="32" s="1"/>
  <c r="I108" i="32" s="1"/>
  <c r="J44" i="32"/>
  <c r="J76" i="32" s="1"/>
  <c r="J108" i="32" s="1"/>
  <c r="K44" i="32"/>
  <c r="K76" i="32" s="1"/>
  <c r="K108" i="32" s="1"/>
  <c r="L44" i="32"/>
  <c r="L76" i="32" s="1"/>
  <c r="L108" i="32" s="1"/>
  <c r="M44" i="32"/>
  <c r="M76" i="32" s="1"/>
  <c r="M108" i="32" s="1"/>
  <c r="N44" i="32"/>
  <c r="N76" i="32" s="1"/>
  <c r="N108" i="32" s="1"/>
  <c r="O44" i="32"/>
  <c r="O76" i="32" s="1"/>
  <c r="O108" i="32" s="1"/>
  <c r="P44" i="32"/>
  <c r="P76" i="32" s="1"/>
  <c r="P108" i="32" s="1"/>
  <c r="Q44" i="32"/>
  <c r="Q76" i="32" s="1"/>
  <c r="Q108" i="32" s="1"/>
  <c r="R44" i="32"/>
  <c r="R76" i="32" s="1"/>
  <c r="R108" i="32" s="1"/>
  <c r="S44" i="32"/>
  <c r="S76" i="32" s="1"/>
  <c r="S108" i="32" s="1"/>
  <c r="T44" i="32"/>
  <c r="T76" i="32" s="1"/>
  <c r="T108" i="32" s="1"/>
  <c r="E45" i="32"/>
  <c r="E77" i="32" s="1"/>
  <c r="E109" i="32" s="1"/>
  <c r="F45" i="32"/>
  <c r="F77" i="32" s="1"/>
  <c r="F109" i="32" s="1"/>
  <c r="G45" i="32"/>
  <c r="G77" i="32" s="1"/>
  <c r="G109" i="32" s="1"/>
  <c r="H45" i="32"/>
  <c r="H77" i="32" s="1"/>
  <c r="H109" i="32" s="1"/>
  <c r="I45" i="32"/>
  <c r="I77" i="32" s="1"/>
  <c r="I109" i="32" s="1"/>
  <c r="J45" i="32"/>
  <c r="J77" i="32" s="1"/>
  <c r="J109" i="32" s="1"/>
  <c r="K45" i="32"/>
  <c r="K77" i="32" s="1"/>
  <c r="K109" i="32" s="1"/>
  <c r="L45" i="32"/>
  <c r="L77" i="32" s="1"/>
  <c r="L109" i="32" s="1"/>
  <c r="M45" i="32"/>
  <c r="M77" i="32" s="1"/>
  <c r="M109" i="32" s="1"/>
  <c r="N45" i="32"/>
  <c r="N77" i="32" s="1"/>
  <c r="N109" i="32" s="1"/>
  <c r="O45" i="32"/>
  <c r="O77" i="32" s="1"/>
  <c r="O109" i="32" s="1"/>
  <c r="P45" i="32"/>
  <c r="P77" i="32" s="1"/>
  <c r="P109" i="32" s="1"/>
  <c r="Q45" i="32"/>
  <c r="Q77" i="32" s="1"/>
  <c r="Q109" i="32" s="1"/>
  <c r="R45" i="32"/>
  <c r="R77" i="32" s="1"/>
  <c r="R109" i="32" s="1"/>
  <c r="S45" i="32"/>
  <c r="S77" i="32" s="1"/>
  <c r="S109" i="32" s="1"/>
  <c r="T45" i="32"/>
  <c r="T77" i="32" s="1"/>
  <c r="T109" i="32" s="1"/>
  <c r="E46" i="32"/>
  <c r="E78" i="32" s="1"/>
  <c r="E110" i="32" s="1"/>
  <c r="F46" i="32"/>
  <c r="F78" i="32" s="1"/>
  <c r="F110" i="32" s="1"/>
  <c r="G46" i="32"/>
  <c r="G78" i="32" s="1"/>
  <c r="G110" i="32" s="1"/>
  <c r="H46" i="32"/>
  <c r="H78" i="32" s="1"/>
  <c r="H110" i="32" s="1"/>
  <c r="I46" i="32"/>
  <c r="I78" i="32" s="1"/>
  <c r="I110" i="32" s="1"/>
  <c r="J46" i="32"/>
  <c r="J78" i="32" s="1"/>
  <c r="J110" i="32" s="1"/>
  <c r="K46" i="32"/>
  <c r="K78" i="32" s="1"/>
  <c r="K110" i="32" s="1"/>
  <c r="L46" i="32"/>
  <c r="L78" i="32" s="1"/>
  <c r="L110" i="32" s="1"/>
  <c r="M46" i="32"/>
  <c r="M78" i="32" s="1"/>
  <c r="M110" i="32" s="1"/>
  <c r="N46" i="32"/>
  <c r="N78" i="32" s="1"/>
  <c r="N110" i="32" s="1"/>
  <c r="O46" i="32"/>
  <c r="O78" i="32" s="1"/>
  <c r="O110" i="32" s="1"/>
  <c r="P46" i="32"/>
  <c r="P78" i="32" s="1"/>
  <c r="P110" i="32" s="1"/>
  <c r="Q46" i="32"/>
  <c r="Q78" i="32" s="1"/>
  <c r="Q110" i="32" s="1"/>
  <c r="R46" i="32"/>
  <c r="R78" i="32" s="1"/>
  <c r="R110" i="32" s="1"/>
  <c r="S46" i="32"/>
  <c r="S78" i="32" s="1"/>
  <c r="S110" i="32" s="1"/>
  <c r="T46" i="32"/>
  <c r="T78" i="32" s="1"/>
  <c r="T110" i="32" s="1"/>
  <c r="E47" i="32"/>
  <c r="E79" i="32" s="1"/>
  <c r="E111" i="32" s="1"/>
  <c r="F47" i="32"/>
  <c r="F79" i="32" s="1"/>
  <c r="F111" i="32" s="1"/>
  <c r="G47" i="32"/>
  <c r="G79" i="32" s="1"/>
  <c r="G111" i="32" s="1"/>
  <c r="H47" i="32"/>
  <c r="H79" i="32" s="1"/>
  <c r="H111" i="32" s="1"/>
  <c r="I47" i="32"/>
  <c r="I79" i="32" s="1"/>
  <c r="I111" i="32" s="1"/>
  <c r="J47" i="32"/>
  <c r="J79" i="32" s="1"/>
  <c r="J111" i="32" s="1"/>
  <c r="K47" i="32"/>
  <c r="K79" i="32" s="1"/>
  <c r="K111" i="32" s="1"/>
  <c r="L47" i="32"/>
  <c r="L79" i="32" s="1"/>
  <c r="L111" i="32" s="1"/>
  <c r="M47" i="32"/>
  <c r="M79" i="32" s="1"/>
  <c r="M111" i="32" s="1"/>
  <c r="N47" i="32"/>
  <c r="N79" i="32" s="1"/>
  <c r="N111" i="32" s="1"/>
  <c r="O47" i="32"/>
  <c r="O79" i="32" s="1"/>
  <c r="O111" i="32" s="1"/>
  <c r="P47" i="32"/>
  <c r="P79" i="32" s="1"/>
  <c r="P111" i="32" s="1"/>
  <c r="Q47" i="32"/>
  <c r="Q79" i="32" s="1"/>
  <c r="Q111" i="32" s="1"/>
  <c r="R47" i="32"/>
  <c r="R79" i="32" s="1"/>
  <c r="R111" i="32" s="1"/>
  <c r="S47" i="32"/>
  <c r="S79" i="32" s="1"/>
  <c r="S111" i="32" s="1"/>
  <c r="T47" i="32"/>
  <c r="T79" i="32" s="1"/>
  <c r="T111" i="32" s="1"/>
  <c r="E48" i="32"/>
  <c r="E80" i="32" s="1"/>
  <c r="E112" i="32" s="1"/>
  <c r="F48" i="32"/>
  <c r="F80" i="32" s="1"/>
  <c r="F112" i="32" s="1"/>
  <c r="G48" i="32"/>
  <c r="G80" i="32" s="1"/>
  <c r="G112" i="32" s="1"/>
  <c r="H48" i="32"/>
  <c r="H80" i="32" s="1"/>
  <c r="H112" i="32" s="1"/>
  <c r="I48" i="32"/>
  <c r="I80" i="32" s="1"/>
  <c r="I112" i="32" s="1"/>
  <c r="J48" i="32"/>
  <c r="J80" i="32" s="1"/>
  <c r="J112" i="32" s="1"/>
  <c r="K48" i="32"/>
  <c r="K80" i="32" s="1"/>
  <c r="K112" i="32" s="1"/>
  <c r="L48" i="32"/>
  <c r="L80" i="32" s="1"/>
  <c r="L112" i="32" s="1"/>
  <c r="M48" i="32"/>
  <c r="M80" i="32" s="1"/>
  <c r="M112" i="32" s="1"/>
  <c r="N48" i="32"/>
  <c r="N80" i="32" s="1"/>
  <c r="N112" i="32" s="1"/>
  <c r="O48" i="32"/>
  <c r="O80" i="32" s="1"/>
  <c r="O112" i="32" s="1"/>
  <c r="P48" i="32"/>
  <c r="P80" i="32" s="1"/>
  <c r="P112" i="32" s="1"/>
  <c r="Q48" i="32"/>
  <c r="Q80" i="32" s="1"/>
  <c r="Q112" i="32" s="1"/>
  <c r="R48" i="32"/>
  <c r="R80" i="32" s="1"/>
  <c r="R112" i="32" s="1"/>
  <c r="S48" i="32"/>
  <c r="S80" i="32" s="1"/>
  <c r="S112" i="32" s="1"/>
  <c r="T48" i="32"/>
  <c r="T80" i="32" s="1"/>
  <c r="T112" i="32" s="1"/>
  <c r="E49" i="32"/>
  <c r="E81" i="32" s="1"/>
  <c r="E113" i="32" s="1"/>
  <c r="F49" i="32"/>
  <c r="F81" i="32" s="1"/>
  <c r="F113" i="32" s="1"/>
  <c r="G49" i="32"/>
  <c r="G81" i="32" s="1"/>
  <c r="G113" i="32" s="1"/>
  <c r="H49" i="32"/>
  <c r="H81" i="32" s="1"/>
  <c r="H113" i="32" s="1"/>
  <c r="I49" i="32"/>
  <c r="I81" i="32" s="1"/>
  <c r="I113" i="32" s="1"/>
  <c r="J49" i="32"/>
  <c r="J81" i="32" s="1"/>
  <c r="J113" i="32" s="1"/>
  <c r="K49" i="32"/>
  <c r="K81" i="32" s="1"/>
  <c r="K113" i="32" s="1"/>
  <c r="L49" i="32"/>
  <c r="L81" i="32" s="1"/>
  <c r="L113" i="32" s="1"/>
  <c r="M49" i="32"/>
  <c r="M81" i="32" s="1"/>
  <c r="M113" i="32" s="1"/>
  <c r="N49" i="32"/>
  <c r="N81" i="32" s="1"/>
  <c r="N113" i="32" s="1"/>
  <c r="O49" i="32"/>
  <c r="O81" i="32" s="1"/>
  <c r="O113" i="32" s="1"/>
  <c r="P49" i="32"/>
  <c r="P81" i="32" s="1"/>
  <c r="P113" i="32" s="1"/>
  <c r="Q49" i="32"/>
  <c r="Q81" i="32" s="1"/>
  <c r="Q113" i="32" s="1"/>
  <c r="R49" i="32"/>
  <c r="R81" i="32" s="1"/>
  <c r="R113" i="32" s="1"/>
  <c r="S49" i="32"/>
  <c r="S81" i="32" s="1"/>
  <c r="S113" i="32" s="1"/>
  <c r="T49" i="32"/>
  <c r="T81" i="32" s="1"/>
  <c r="T113" i="32" s="1"/>
  <c r="E50" i="32"/>
  <c r="E82" i="32" s="1"/>
  <c r="E114" i="32" s="1"/>
  <c r="F50" i="32"/>
  <c r="F82" i="32" s="1"/>
  <c r="F114" i="32" s="1"/>
  <c r="G50" i="32"/>
  <c r="G82" i="32" s="1"/>
  <c r="G114" i="32" s="1"/>
  <c r="H50" i="32"/>
  <c r="H82" i="32" s="1"/>
  <c r="H114" i="32" s="1"/>
  <c r="I50" i="32"/>
  <c r="I82" i="32" s="1"/>
  <c r="I114" i="32" s="1"/>
  <c r="J50" i="32"/>
  <c r="J82" i="32" s="1"/>
  <c r="J114" i="32" s="1"/>
  <c r="K50" i="32"/>
  <c r="K82" i="32" s="1"/>
  <c r="K114" i="32" s="1"/>
  <c r="L50" i="32"/>
  <c r="L82" i="32" s="1"/>
  <c r="L114" i="32" s="1"/>
  <c r="M50" i="32"/>
  <c r="M82" i="32" s="1"/>
  <c r="M114" i="32" s="1"/>
  <c r="N50" i="32"/>
  <c r="N82" i="32" s="1"/>
  <c r="N114" i="32" s="1"/>
  <c r="O50" i="32"/>
  <c r="O82" i="32" s="1"/>
  <c r="O114" i="32" s="1"/>
  <c r="P50" i="32"/>
  <c r="P82" i="32" s="1"/>
  <c r="P114" i="32" s="1"/>
  <c r="Q50" i="32"/>
  <c r="Q82" i="32" s="1"/>
  <c r="Q114" i="32" s="1"/>
  <c r="R50" i="32"/>
  <c r="R82" i="32" s="1"/>
  <c r="R114" i="32" s="1"/>
  <c r="S50" i="32"/>
  <c r="S82" i="32" s="1"/>
  <c r="S114" i="32" s="1"/>
  <c r="T50" i="32"/>
  <c r="T82" i="32" s="1"/>
  <c r="T114" i="32" s="1"/>
  <c r="E51" i="32"/>
  <c r="E83" i="32" s="1"/>
  <c r="E115" i="32" s="1"/>
  <c r="F51" i="32"/>
  <c r="F83" i="32" s="1"/>
  <c r="F115" i="32" s="1"/>
  <c r="G51" i="32"/>
  <c r="G83" i="32" s="1"/>
  <c r="G115" i="32" s="1"/>
  <c r="H51" i="32"/>
  <c r="H83" i="32" s="1"/>
  <c r="H115" i="32" s="1"/>
  <c r="I51" i="32"/>
  <c r="I83" i="32" s="1"/>
  <c r="I115" i="32" s="1"/>
  <c r="J51" i="32"/>
  <c r="J83" i="32" s="1"/>
  <c r="J115" i="32" s="1"/>
  <c r="K51" i="32"/>
  <c r="K83" i="32" s="1"/>
  <c r="K115" i="32" s="1"/>
  <c r="L51" i="32"/>
  <c r="L83" i="32" s="1"/>
  <c r="L115" i="32" s="1"/>
  <c r="M51" i="32"/>
  <c r="M83" i="32" s="1"/>
  <c r="M115" i="32" s="1"/>
  <c r="N51" i="32"/>
  <c r="N83" i="32" s="1"/>
  <c r="N115" i="32" s="1"/>
  <c r="O51" i="32"/>
  <c r="O83" i="32" s="1"/>
  <c r="O115" i="32" s="1"/>
  <c r="P51" i="32"/>
  <c r="P83" i="32" s="1"/>
  <c r="P115" i="32" s="1"/>
  <c r="Q51" i="32"/>
  <c r="Q83" i="32" s="1"/>
  <c r="Q115" i="32" s="1"/>
  <c r="R51" i="32"/>
  <c r="R83" i="32" s="1"/>
  <c r="R115" i="32" s="1"/>
  <c r="S51" i="32"/>
  <c r="S83" i="32" s="1"/>
  <c r="S115" i="32" s="1"/>
  <c r="T51" i="32"/>
  <c r="T83" i="32" s="1"/>
  <c r="T115" i="32" s="1"/>
  <c r="E52" i="32"/>
  <c r="E84" i="32" s="1"/>
  <c r="E116" i="32" s="1"/>
  <c r="F52" i="32"/>
  <c r="F84" i="32" s="1"/>
  <c r="F116" i="32" s="1"/>
  <c r="G52" i="32"/>
  <c r="G84" i="32" s="1"/>
  <c r="G116" i="32" s="1"/>
  <c r="H52" i="32"/>
  <c r="H84" i="32" s="1"/>
  <c r="H116" i="32" s="1"/>
  <c r="I52" i="32"/>
  <c r="I84" i="32" s="1"/>
  <c r="I116" i="32" s="1"/>
  <c r="J52" i="32"/>
  <c r="J84" i="32" s="1"/>
  <c r="J116" i="32" s="1"/>
  <c r="K52" i="32"/>
  <c r="K84" i="32" s="1"/>
  <c r="K116" i="32" s="1"/>
  <c r="L52" i="32"/>
  <c r="L84" i="32" s="1"/>
  <c r="L116" i="32" s="1"/>
  <c r="M52" i="32"/>
  <c r="M84" i="32" s="1"/>
  <c r="M116" i="32" s="1"/>
  <c r="N52" i="32"/>
  <c r="N84" i="32" s="1"/>
  <c r="N116" i="32" s="1"/>
  <c r="O52" i="32"/>
  <c r="O84" i="32" s="1"/>
  <c r="O116" i="32" s="1"/>
  <c r="P52" i="32"/>
  <c r="P84" i="32" s="1"/>
  <c r="P116" i="32" s="1"/>
  <c r="Q52" i="32"/>
  <c r="Q84" i="32" s="1"/>
  <c r="Q116" i="32" s="1"/>
  <c r="R52" i="32"/>
  <c r="R84" i="32" s="1"/>
  <c r="R116" i="32" s="1"/>
  <c r="S52" i="32"/>
  <c r="S84" i="32" s="1"/>
  <c r="S116" i="32" s="1"/>
  <c r="T52" i="32"/>
  <c r="T84" i="32" s="1"/>
  <c r="T116" i="32" s="1"/>
  <c r="E53" i="32"/>
  <c r="E85" i="32" s="1"/>
  <c r="E117" i="32" s="1"/>
  <c r="F53" i="32"/>
  <c r="F85" i="32" s="1"/>
  <c r="F117" i="32" s="1"/>
  <c r="G53" i="32"/>
  <c r="G85" i="32" s="1"/>
  <c r="G117" i="32" s="1"/>
  <c r="H53" i="32"/>
  <c r="H85" i="32" s="1"/>
  <c r="H117" i="32" s="1"/>
  <c r="I53" i="32"/>
  <c r="I85" i="32" s="1"/>
  <c r="I117" i="32" s="1"/>
  <c r="J53" i="32"/>
  <c r="J85" i="32" s="1"/>
  <c r="J117" i="32" s="1"/>
  <c r="K53" i="32"/>
  <c r="K85" i="32" s="1"/>
  <c r="K117" i="32" s="1"/>
  <c r="L53" i="32"/>
  <c r="L85" i="32" s="1"/>
  <c r="L117" i="32" s="1"/>
  <c r="M53" i="32"/>
  <c r="M85" i="32" s="1"/>
  <c r="M117" i="32" s="1"/>
  <c r="N53" i="32"/>
  <c r="N85" i="32" s="1"/>
  <c r="N117" i="32" s="1"/>
  <c r="O53" i="32"/>
  <c r="O85" i="32" s="1"/>
  <c r="O117" i="32" s="1"/>
  <c r="P53" i="32"/>
  <c r="P85" i="32" s="1"/>
  <c r="P117" i="32" s="1"/>
  <c r="Q53" i="32"/>
  <c r="Q85" i="32" s="1"/>
  <c r="Q117" i="32" s="1"/>
  <c r="R53" i="32"/>
  <c r="R85" i="32" s="1"/>
  <c r="R117" i="32" s="1"/>
  <c r="S53" i="32"/>
  <c r="S85" i="32" s="1"/>
  <c r="S117" i="32" s="1"/>
  <c r="T53" i="32"/>
  <c r="T85" i="32" s="1"/>
  <c r="T117" i="32" s="1"/>
  <c r="E54" i="32"/>
  <c r="E86" i="32" s="1"/>
  <c r="E118" i="32" s="1"/>
  <c r="F54" i="32"/>
  <c r="F86" i="32" s="1"/>
  <c r="F118" i="32" s="1"/>
  <c r="G54" i="32"/>
  <c r="G86" i="32" s="1"/>
  <c r="G118" i="32" s="1"/>
  <c r="H54" i="32"/>
  <c r="H86" i="32" s="1"/>
  <c r="H118" i="32" s="1"/>
  <c r="I54" i="32"/>
  <c r="I86" i="32" s="1"/>
  <c r="I118" i="32" s="1"/>
  <c r="J54" i="32"/>
  <c r="J86" i="32" s="1"/>
  <c r="J118" i="32" s="1"/>
  <c r="K54" i="32"/>
  <c r="K86" i="32" s="1"/>
  <c r="K118" i="32" s="1"/>
  <c r="L54" i="32"/>
  <c r="L86" i="32" s="1"/>
  <c r="L118" i="32" s="1"/>
  <c r="M54" i="32"/>
  <c r="M86" i="32" s="1"/>
  <c r="M118" i="32" s="1"/>
  <c r="N54" i="32"/>
  <c r="N86" i="32" s="1"/>
  <c r="N118" i="32" s="1"/>
  <c r="O54" i="32"/>
  <c r="O86" i="32" s="1"/>
  <c r="O118" i="32" s="1"/>
  <c r="P54" i="32"/>
  <c r="P86" i="32" s="1"/>
  <c r="P118" i="32" s="1"/>
  <c r="Q54" i="32"/>
  <c r="Q86" i="32" s="1"/>
  <c r="Q118" i="32" s="1"/>
  <c r="R54" i="32"/>
  <c r="R86" i="32" s="1"/>
  <c r="R118" i="32" s="1"/>
  <c r="S54" i="32"/>
  <c r="S86" i="32" s="1"/>
  <c r="S118" i="32" s="1"/>
  <c r="T54" i="32"/>
  <c r="T86" i="32" s="1"/>
  <c r="T118" i="32" s="1"/>
  <c r="E55" i="32"/>
  <c r="E87" i="32" s="1"/>
  <c r="E119" i="32" s="1"/>
  <c r="F55" i="32"/>
  <c r="F87" i="32" s="1"/>
  <c r="F119" i="32" s="1"/>
  <c r="G55" i="32"/>
  <c r="G87" i="32" s="1"/>
  <c r="G119" i="32" s="1"/>
  <c r="H55" i="32"/>
  <c r="H87" i="32" s="1"/>
  <c r="H119" i="32" s="1"/>
  <c r="I55" i="32"/>
  <c r="I87" i="32" s="1"/>
  <c r="I119" i="32" s="1"/>
  <c r="J55" i="32"/>
  <c r="J87" i="32" s="1"/>
  <c r="J119" i="32" s="1"/>
  <c r="K55" i="32"/>
  <c r="K87" i="32" s="1"/>
  <c r="K119" i="32" s="1"/>
  <c r="L55" i="32"/>
  <c r="L87" i="32" s="1"/>
  <c r="L119" i="32" s="1"/>
  <c r="M55" i="32"/>
  <c r="M87" i="32" s="1"/>
  <c r="M119" i="32" s="1"/>
  <c r="N55" i="32"/>
  <c r="N87" i="32" s="1"/>
  <c r="N119" i="32" s="1"/>
  <c r="O55" i="32"/>
  <c r="O87" i="32" s="1"/>
  <c r="O119" i="32" s="1"/>
  <c r="P55" i="32"/>
  <c r="P87" i="32" s="1"/>
  <c r="P119" i="32" s="1"/>
  <c r="Q55" i="32"/>
  <c r="Q87" i="32" s="1"/>
  <c r="Q119" i="32" s="1"/>
  <c r="R55" i="32"/>
  <c r="R87" i="32" s="1"/>
  <c r="R119" i="32" s="1"/>
  <c r="S55" i="32"/>
  <c r="S87" i="32" s="1"/>
  <c r="S119" i="32" s="1"/>
  <c r="T55" i="32"/>
  <c r="T87" i="32" s="1"/>
  <c r="T119" i="32" s="1"/>
  <c r="E56" i="32"/>
  <c r="E88" i="32" s="1"/>
  <c r="E120" i="32" s="1"/>
  <c r="F56" i="32"/>
  <c r="F88" i="32" s="1"/>
  <c r="F120" i="32" s="1"/>
  <c r="G56" i="32"/>
  <c r="G88" i="32" s="1"/>
  <c r="G120" i="32" s="1"/>
  <c r="H56" i="32"/>
  <c r="H88" i="32" s="1"/>
  <c r="H120" i="32" s="1"/>
  <c r="I56" i="32"/>
  <c r="I88" i="32" s="1"/>
  <c r="I120" i="32" s="1"/>
  <c r="J56" i="32"/>
  <c r="J88" i="32" s="1"/>
  <c r="J120" i="32" s="1"/>
  <c r="K56" i="32"/>
  <c r="K88" i="32" s="1"/>
  <c r="K120" i="32" s="1"/>
  <c r="L56" i="32"/>
  <c r="L88" i="32" s="1"/>
  <c r="L120" i="32" s="1"/>
  <c r="M56" i="32"/>
  <c r="M88" i="32" s="1"/>
  <c r="M120" i="32" s="1"/>
  <c r="N56" i="32"/>
  <c r="N88" i="32" s="1"/>
  <c r="N120" i="32" s="1"/>
  <c r="O56" i="32"/>
  <c r="O88" i="32" s="1"/>
  <c r="O120" i="32" s="1"/>
  <c r="P56" i="32"/>
  <c r="P88" i="32" s="1"/>
  <c r="P120" i="32" s="1"/>
  <c r="Q56" i="32"/>
  <c r="Q88" i="32" s="1"/>
  <c r="Q120" i="32" s="1"/>
  <c r="R56" i="32"/>
  <c r="R88" i="32" s="1"/>
  <c r="R120" i="32" s="1"/>
  <c r="S56" i="32"/>
  <c r="S88" i="32" s="1"/>
  <c r="S120" i="32" s="1"/>
  <c r="T56" i="32"/>
  <c r="T88" i="32" s="1"/>
  <c r="T120" i="32" s="1"/>
  <c r="E57" i="32"/>
  <c r="E89" i="32" s="1"/>
  <c r="E121" i="32" s="1"/>
  <c r="F57" i="32"/>
  <c r="F89" i="32" s="1"/>
  <c r="F121" i="32" s="1"/>
  <c r="G57" i="32"/>
  <c r="G89" i="32" s="1"/>
  <c r="G121" i="32" s="1"/>
  <c r="H57" i="32"/>
  <c r="H89" i="32" s="1"/>
  <c r="H121" i="32" s="1"/>
  <c r="I57" i="32"/>
  <c r="I89" i="32" s="1"/>
  <c r="I121" i="32" s="1"/>
  <c r="J57" i="32"/>
  <c r="J89" i="32" s="1"/>
  <c r="J121" i="32" s="1"/>
  <c r="K57" i="32"/>
  <c r="K89" i="32" s="1"/>
  <c r="K121" i="32" s="1"/>
  <c r="L57" i="32"/>
  <c r="L89" i="32" s="1"/>
  <c r="L121" i="32" s="1"/>
  <c r="M57" i="32"/>
  <c r="M89" i="32" s="1"/>
  <c r="M121" i="32" s="1"/>
  <c r="N57" i="32"/>
  <c r="N89" i="32" s="1"/>
  <c r="N121" i="32" s="1"/>
  <c r="O57" i="32"/>
  <c r="O89" i="32" s="1"/>
  <c r="O121" i="32" s="1"/>
  <c r="P57" i="32"/>
  <c r="P89" i="32" s="1"/>
  <c r="P121" i="32" s="1"/>
  <c r="Q57" i="32"/>
  <c r="Q89" i="32" s="1"/>
  <c r="Q121" i="32" s="1"/>
  <c r="R57" i="32"/>
  <c r="R89" i="32" s="1"/>
  <c r="R121" i="32" s="1"/>
  <c r="S57" i="32"/>
  <c r="S89" i="32" s="1"/>
  <c r="S121" i="32" s="1"/>
  <c r="T57" i="32"/>
  <c r="T89" i="32" s="1"/>
  <c r="T121" i="32" s="1"/>
  <c r="E58" i="32"/>
  <c r="E90" i="32" s="1"/>
  <c r="E122" i="32" s="1"/>
  <c r="F58" i="32"/>
  <c r="F90" i="32" s="1"/>
  <c r="F122" i="32" s="1"/>
  <c r="G58" i="32"/>
  <c r="G90" i="32" s="1"/>
  <c r="G122" i="32" s="1"/>
  <c r="H58" i="32"/>
  <c r="H90" i="32" s="1"/>
  <c r="H122" i="32" s="1"/>
  <c r="I58" i="32"/>
  <c r="I90" i="32" s="1"/>
  <c r="I122" i="32" s="1"/>
  <c r="J58" i="32"/>
  <c r="J90" i="32" s="1"/>
  <c r="J122" i="32" s="1"/>
  <c r="K58" i="32"/>
  <c r="K90" i="32" s="1"/>
  <c r="K122" i="32" s="1"/>
  <c r="L58" i="32"/>
  <c r="L90" i="32" s="1"/>
  <c r="L122" i="32" s="1"/>
  <c r="M58" i="32"/>
  <c r="M90" i="32" s="1"/>
  <c r="M122" i="32" s="1"/>
  <c r="N58" i="32"/>
  <c r="N90" i="32" s="1"/>
  <c r="N122" i="32" s="1"/>
  <c r="O58" i="32"/>
  <c r="O90" i="32" s="1"/>
  <c r="O122" i="32" s="1"/>
  <c r="P58" i="32"/>
  <c r="P90" i="32" s="1"/>
  <c r="P122" i="32" s="1"/>
  <c r="Q58" i="32"/>
  <c r="Q90" i="32" s="1"/>
  <c r="Q122" i="32" s="1"/>
  <c r="R58" i="32"/>
  <c r="R90" i="32" s="1"/>
  <c r="R122" i="32" s="1"/>
  <c r="S58" i="32"/>
  <c r="S90" i="32" s="1"/>
  <c r="S122" i="32" s="1"/>
  <c r="T58" i="32"/>
  <c r="T90" i="32" s="1"/>
  <c r="T122" i="32" s="1"/>
  <c r="E59" i="32"/>
  <c r="E91" i="32" s="1"/>
  <c r="E123" i="32" s="1"/>
  <c r="F59" i="32"/>
  <c r="F91" i="32" s="1"/>
  <c r="F123" i="32" s="1"/>
  <c r="G59" i="32"/>
  <c r="G91" i="32" s="1"/>
  <c r="G123" i="32" s="1"/>
  <c r="H59" i="32"/>
  <c r="H91" i="32" s="1"/>
  <c r="H123" i="32" s="1"/>
  <c r="I59" i="32"/>
  <c r="I91" i="32" s="1"/>
  <c r="I123" i="32" s="1"/>
  <c r="J59" i="32"/>
  <c r="J91" i="32" s="1"/>
  <c r="J123" i="32" s="1"/>
  <c r="K59" i="32"/>
  <c r="K91" i="32" s="1"/>
  <c r="K123" i="32" s="1"/>
  <c r="L59" i="32"/>
  <c r="L91" i="32" s="1"/>
  <c r="L123" i="32" s="1"/>
  <c r="M59" i="32"/>
  <c r="M91" i="32" s="1"/>
  <c r="M123" i="32" s="1"/>
  <c r="N59" i="32"/>
  <c r="N91" i="32" s="1"/>
  <c r="N123" i="32" s="1"/>
  <c r="O59" i="32"/>
  <c r="O91" i="32" s="1"/>
  <c r="O123" i="32" s="1"/>
  <c r="P59" i="32"/>
  <c r="P91" i="32" s="1"/>
  <c r="P123" i="32" s="1"/>
  <c r="Q59" i="32"/>
  <c r="Q91" i="32" s="1"/>
  <c r="Q123" i="32" s="1"/>
  <c r="R59" i="32"/>
  <c r="R91" i="32" s="1"/>
  <c r="R123" i="32" s="1"/>
  <c r="S59" i="32"/>
  <c r="S91" i="32" s="1"/>
  <c r="S123" i="32" s="1"/>
  <c r="T59" i="32"/>
  <c r="T91" i="32" s="1"/>
  <c r="T123" i="32" s="1"/>
  <c r="E60" i="32"/>
  <c r="E92" i="32" s="1"/>
  <c r="E124" i="32" s="1"/>
  <c r="F60" i="32"/>
  <c r="F92" i="32" s="1"/>
  <c r="F124" i="32" s="1"/>
  <c r="G60" i="32"/>
  <c r="G92" i="32" s="1"/>
  <c r="G124" i="32" s="1"/>
  <c r="H60" i="32"/>
  <c r="H92" i="32" s="1"/>
  <c r="H124" i="32" s="1"/>
  <c r="I60" i="32"/>
  <c r="I92" i="32" s="1"/>
  <c r="I124" i="32" s="1"/>
  <c r="J60" i="32"/>
  <c r="J92" i="32" s="1"/>
  <c r="J124" i="32" s="1"/>
  <c r="K60" i="32"/>
  <c r="K92" i="32" s="1"/>
  <c r="K124" i="32" s="1"/>
  <c r="L60" i="32"/>
  <c r="L92" i="32" s="1"/>
  <c r="L124" i="32" s="1"/>
  <c r="M60" i="32"/>
  <c r="M92" i="32" s="1"/>
  <c r="M124" i="32" s="1"/>
  <c r="N60" i="32"/>
  <c r="N92" i="32" s="1"/>
  <c r="N124" i="32" s="1"/>
  <c r="O60" i="32"/>
  <c r="O92" i="32" s="1"/>
  <c r="O124" i="32" s="1"/>
  <c r="P60" i="32"/>
  <c r="P92" i="32" s="1"/>
  <c r="P124" i="32" s="1"/>
  <c r="Q60" i="32"/>
  <c r="Q92" i="32" s="1"/>
  <c r="Q124" i="32" s="1"/>
  <c r="R60" i="32"/>
  <c r="R92" i="32" s="1"/>
  <c r="R124" i="32" s="1"/>
  <c r="S60" i="32"/>
  <c r="S92" i="32" s="1"/>
  <c r="S124" i="32" s="1"/>
  <c r="T60" i="32"/>
  <c r="T92" i="32" s="1"/>
  <c r="T124" i="32" s="1"/>
  <c r="E61" i="32"/>
  <c r="E93" i="32" s="1"/>
  <c r="E125" i="32" s="1"/>
  <c r="F61" i="32"/>
  <c r="F93" i="32" s="1"/>
  <c r="F125" i="32" s="1"/>
  <c r="G61" i="32"/>
  <c r="G93" i="32" s="1"/>
  <c r="G125" i="32" s="1"/>
  <c r="H61" i="32"/>
  <c r="H93" i="32" s="1"/>
  <c r="H125" i="32" s="1"/>
  <c r="I61" i="32"/>
  <c r="I93" i="32" s="1"/>
  <c r="I125" i="32" s="1"/>
  <c r="J61" i="32"/>
  <c r="J93" i="32" s="1"/>
  <c r="J125" i="32" s="1"/>
  <c r="K61" i="32"/>
  <c r="K93" i="32" s="1"/>
  <c r="K125" i="32" s="1"/>
  <c r="L61" i="32"/>
  <c r="L93" i="32" s="1"/>
  <c r="L125" i="32" s="1"/>
  <c r="M61" i="32"/>
  <c r="M93" i="32" s="1"/>
  <c r="M125" i="32" s="1"/>
  <c r="N61" i="32"/>
  <c r="N93" i="32" s="1"/>
  <c r="N125" i="32" s="1"/>
  <c r="O61" i="32"/>
  <c r="O93" i="32" s="1"/>
  <c r="O125" i="32" s="1"/>
  <c r="P61" i="32"/>
  <c r="P93" i="32" s="1"/>
  <c r="P125" i="32" s="1"/>
  <c r="Q61" i="32"/>
  <c r="Q93" i="32" s="1"/>
  <c r="Q125" i="32" s="1"/>
  <c r="R61" i="32"/>
  <c r="R93" i="32" s="1"/>
  <c r="R125" i="32" s="1"/>
  <c r="S61" i="32"/>
  <c r="S93" i="32" s="1"/>
  <c r="S125" i="32" s="1"/>
  <c r="T61" i="32"/>
  <c r="T93" i="32" s="1"/>
  <c r="T125" i="32" s="1"/>
  <c r="E62" i="32"/>
  <c r="E94" i="32" s="1"/>
  <c r="E126" i="32" s="1"/>
  <c r="F62" i="32"/>
  <c r="F94" i="32" s="1"/>
  <c r="F126" i="32" s="1"/>
  <c r="G62" i="32"/>
  <c r="G94" i="32" s="1"/>
  <c r="G126" i="32" s="1"/>
  <c r="H62" i="32"/>
  <c r="H94" i="32" s="1"/>
  <c r="H126" i="32" s="1"/>
  <c r="I62" i="32"/>
  <c r="I94" i="32" s="1"/>
  <c r="I126" i="32" s="1"/>
  <c r="J62" i="32"/>
  <c r="J94" i="32" s="1"/>
  <c r="J126" i="32" s="1"/>
  <c r="K62" i="32"/>
  <c r="K94" i="32" s="1"/>
  <c r="K126" i="32" s="1"/>
  <c r="L62" i="32"/>
  <c r="L94" i="32" s="1"/>
  <c r="L126" i="32" s="1"/>
  <c r="M62" i="32"/>
  <c r="M94" i="32" s="1"/>
  <c r="M126" i="32" s="1"/>
  <c r="N62" i="32"/>
  <c r="N94" i="32" s="1"/>
  <c r="N126" i="32" s="1"/>
  <c r="O62" i="32"/>
  <c r="O94" i="32" s="1"/>
  <c r="O126" i="32" s="1"/>
  <c r="P62" i="32"/>
  <c r="P94" i="32" s="1"/>
  <c r="P126" i="32" s="1"/>
  <c r="Q62" i="32"/>
  <c r="Q94" i="32" s="1"/>
  <c r="Q126" i="32" s="1"/>
  <c r="R62" i="32"/>
  <c r="R94" i="32" s="1"/>
  <c r="R126" i="32" s="1"/>
  <c r="S62" i="32"/>
  <c r="S94" i="32" s="1"/>
  <c r="S126" i="32" s="1"/>
  <c r="T62" i="32"/>
  <c r="T94" i="32" s="1"/>
  <c r="T126" i="32" s="1"/>
  <c r="E63" i="32"/>
  <c r="E95" i="32" s="1"/>
  <c r="F63" i="32"/>
  <c r="F95" i="32" s="1"/>
  <c r="G63" i="32"/>
  <c r="G95" i="32" s="1"/>
  <c r="H63" i="32"/>
  <c r="H95" i="32" s="1"/>
  <c r="I63" i="32"/>
  <c r="I95" i="32" s="1"/>
  <c r="J63" i="32"/>
  <c r="J95" i="32" s="1"/>
  <c r="K63" i="32"/>
  <c r="K95" i="32" s="1"/>
  <c r="L63" i="32"/>
  <c r="L95" i="32" s="1"/>
  <c r="M63" i="32"/>
  <c r="M95" i="32" s="1"/>
  <c r="N63" i="32"/>
  <c r="N95" i="32" s="1"/>
  <c r="O63" i="32"/>
  <c r="O95" i="32" s="1"/>
  <c r="P63" i="32"/>
  <c r="P95" i="32" s="1"/>
  <c r="Q63" i="32"/>
  <c r="Q95" i="32" s="1"/>
  <c r="R63" i="32"/>
  <c r="R95" i="32" s="1"/>
  <c r="S63" i="32"/>
  <c r="S95" i="32" s="1"/>
  <c r="T63" i="32"/>
  <c r="T95" i="32" s="1"/>
  <c r="E64" i="32"/>
  <c r="E96" i="32" s="1"/>
  <c r="F64" i="32"/>
  <c r="F96" i="32" s="1"/>
  <c r="G64" i="32"/>
  <c r="G96" i="32" s="1"/>
  <c r="H64" i="32"/>
  <c r="H96" i="32" s="1"/>
  <c r="I64" i="32"/>
  <c r="I96" i="32" s="1"/>
  <c r="J64" i="32"/>
  <c r="J96" i="32" s="1"/>
  <c r="K64" i="32"/>
  <c r="K96" i="32" s="1"/>
  <c r="L64" i="32"/>
  <c r="L96" i="32" s="1"/>
  <c r="M64" i="32"/>
  <c r="M96" i="32" s="1"/>
  <c r="N64" i="32"/>
  <c r="N96" i="32" s="1"/>
  <c r="O64" i="32"/>
  <c r="O96" i="32" s="1"/>
  <c r="P64" i="32"/>
  <c r="P96" i="32" s="1"/>
  <c r="Q64" i="32"/>
  <c r="R64" i="32"/>
  <c r="S64" i="32"/>
  <c r="T64" i="32"/>
  <c r="E65" i="32"/>
  <c r="F65" i="32"/>
  <c r="G65" i="32"/>
  <c r="H65" i="32"/>
  <c r="I65" i="32"/>
  <c r="J65" i="32"/>
  <c r="K65" i="32"/>
  <c r="L65" i="32"/>
  <c r="M65" i="32"/>
  <c r="N65" i="32"/>
  <c r="O65" i="32"/>
  <c r="P65" i="32"/>
  <c r="Q65" i="32"/>
  <c r="R65" i="32"/>
  <c r="S65" i="32"/>
  <c r="T65" i="32"/>
  <c r="E66" i="32"/>
  <c r="F66" i="32"/>
  <c r="G66" i="32"/>
  <c r="H66" i="32"/>
  <c r="I66" i="32"/>
  <c r="J66" i="32"/>
  <c r="K66" i="32"/>
  <c r="L66" i="32"/>
  <c r="M66" i="32"/>
  <c r="N66" i="32"/>
  <c r="O66" i="32"/>
  <c r="P66" i="32"/>
  <c r="Q66" i="32"/>
  <c r="R66" i="32"/>
  <c r="S66" i="32"/>
  <c r="T66" i="32"/>
  <c r="E67" i="32"/>
  <c r="F67" i="32"/>
  <c r="G67" i="32"/>
  <c r="H67" i="32"/>
  <c r="I67" i="32"/>
  <c r="J67" i="32"/>
  <c r="K67" i="32"/>
  <c r="L67" i="32"/>
  <c r="M67" i="32"/>
  <c r="N67" i="32"/>
  <c r="O67" i="32"/>
  <c r="P67" i="32"/>
  <c r="Q67" i="32"/>
  <c r="R67" i="32"/>
  <c r="S67" i="32"/>
  <c r="T67" i="32"/>
  <c r="E68" i="32"/>
  <c r="F68" i="32"/>
  <c r="G68" i="32"/>
  <c r="H68" i="32"/>
  <c r="I68" i="32"/>
  <c r="J68" i="32"/>
  <c r="K68" i="32"/>
  <c r="L68" i="32"/>
  <c r="M68" i="32"/>
  <c r="N68" i="32"/>
  <c r="O68" i="32"/>
  <c r="P68" i="32"/>
  <c r="Q68" i="32"/>
  <c r="R68" i="32"/>
  <c r="S68" i="32"/>
  <c r="T68" i="32"/>
  <c r="T100" i="32" s="1"/>
  <c r="E69" i="32"/>
  <c r="F69" i="32"/>
  <c r="G69" i="32"/>
  <c r="H69" i="32"/>
  <c r="I69" i="32"/>
  <c r="J69" i="32"/>
  <c r="K69" i="32"/>
  <c r="L69" i="32"/>
  <c r="M69" i="32"/>
  <c r="N69" i="32"/>
  <c r="O69" i="32"/>
  <c r="P69" i="32"/>
  <c r="Q69" i="32"/>
  <c r="R69" i="32"/>
  <c r="S69" i="32"/>
  <c r="T69" i="32"/>
  <c r="E70" i="32"/>
  <c r="F70" i="32"/>
  <c r="G70" i="32"/>
  <c r="H70" i="32"/>
  <c r="I70" i="32"/>
  <c r="J70" i="32"/>
  <c r="K70" i="32"/>
  <c r="L70" i="32"/>
  <c r="M70" i="32"/>
  <c r="N70" i="32"/>
  <c r="O70" i="32"/>
  <c r="P70" i="32"/>
  <c r="Q70" i="32"/>
  <c r="R70" i="32"/>
  <c r="S70" i="32"/>
  <c r="T70" i="32"/>
  <c r="Q96" i="32"/>
  <c r="R96" i="32"/>
  <c r="S96" i="32"/>
  <c r="T96" i="32"/>
  <c r="E97" i="32"/>
  <c r="F97" i="32"/>
  <c r="G97" i="32"/>
  <c r="H97" i="32"/>
  <c r="I97" i="32"/>
  <c r="J97" i="32"/>
  <c r="K97" i="32"/>
  <c r="L97" i="32"/>
  <c r="M97" i="32"/>
  <c r="N97" i="32"/>
  <c r="O97" i="32"/>
  <c r="P97" i="32"/>
  <c r="Q97" i="32"/>
  <c r="R97" i="32"/>
  <c r="S97" i="32"/>
  <c r="T97" i="32"/>
  <c r="E98" i="32"/>
  <c r="F98" i="32"/>
  <c r="G98" i="32"/>
  <c r="H98" i="32"/>
  <c r="I98" i="32"/>
  <c r="J98" i="32"/>
  <c r="K98" i="32"/>
  <c r="L98" i="32"/>
  <c r="M98" i="32"/>
  <c r="N98" i="32"/>
  <c r="O98" i="32"/>
  <c r="P98" i="32"/>
  <c r="Q98" i="32"/>
  <c r="R98" i="32"/>
  <c r="S98" i="32"/>
  <c r="T98" i="32"/>
  <c r="E99" i="32"/>
  <c r="F99" i="32"/>
  <c r="G99" i="32"/>
  <c r="H99" i="32"/>
  <c r="I99" i="32"/>
  <c r="J99" i="32"/>
  <c r="K99" i="32"/>
  <c r="L99" i="32"/>
  <c r="M99" i="32"/>
  <c r="N99" i="32"/>
  <c r="O99" i="32"/>
  <c r="P99" i="32"/>
  <c r="Q99" i="32"/>
  <c r="R99" i="32"/>
  <c r="S99" i="32"/>
  <c r="T99" i="32"/>
  <c r="E100" i="32"/>
  <c r="F100" i="32"/>
  <c r="G100" i="32"/>
  <c r="H100" i="32"/>
  <c r="I100" i="32"/>
  <c r="J100" i="32"/>
  <c r="K100" i="32"/>
  <c r="L100" i="32"/>
  <c r="M100" i="32"/>
  <c r="N100" i="32"/>
  <c r="O100" i="32"/>
  <c r="P100" i="32"/>
  <c r="Q100" i="32"/>
  <c r="R100" i="32"/>
  <c r="S100" i="32"/>
  <c r="E101" i="32"/>
  <c r="F101" i="32"/>
  <c r="G101" i="32"/>
  <c r="H101" i="32"/>
  <c r="I101" i="32"/>
  <c r="J101" i="32"/>
  <c r="K101" i="32"/>
  <c r="L101" i="32"/>
  <c r="M101" i="32"/>
  <c r="N101" i="32"/>
  <c r="O101" i="32"/>
  <c r="P101" i="32"/>
  <c r="Q101" i="32"/>
  <c r="R101" i="32"/>
  <c r="S101" i="32"/>
  <c r="T101" i="32"/>
  <c r="E102" i="32"/>
  <c r="F102" i="32"/>
  <c r="G102" i="32"/>
  <c r="H102" i="32"/>
  <c r="I102" i="32"/>
  <c r="J102" i="32"/>
  <c r="K102" i="32"/>
  <c r="L102" i="32"/>
  <c r="M102" i="32"/>
  <c r="N102" i="32"/>
  <c r="O102" i="32"/>
  <c r="P102" i="32"/>
  <c r="Q102" i="32"/>
  <c r="R102" i="32"/>
  <c r="S102" i="32"/>
  <c r="T102" i="32"/>
  <c r="T39" i="32"/>
  <c r="T71" i="32" s="1"/>
  <c r="T103" i="32" s="1"/>
  <c r="S39" i="32"/>
  <c r="S71" i="32" s="1"/>
  <c r="S103" i="32" s="1"/>
  <c r="R39" i="32"/>
  <c r="R71" i="32" s="1"/>
  <c r="R103" i="32" s="1"/>
  <c r="Q39" i="32"/>
  <c r="Q71" i="32" s="1"/>
  <c r="Q103" i="32" s="1"/>
  <c r="P39" i="32"/>
  <c r="P71" i="32" s="1"/>
  <c r="P103" i="32" s="1"/>
  <c r="O39" i="32"/>
  <c r="O71" i="32" s="1"/>
  <c r="O103" i="32" s="1"/>
  <c r="N39" i="32"/>
  <c r="N71" i="32" s="1"/>
  <c r="N103" i="32" s="1"/>
  <c r="M39" i="32"/>
  <c r="M71" i="32" s="1"/>
  <c r="M103" i="32" s="1"/>
  <c r="L39" i="32"/>
  <c r="L71" i="32" s="1"/>
  <c r="L103" i="32" s="1"/>
  <c r="K39" i="32"/>
  <c r="K71" i="32" s="1"/>
  <c r="K103" i="32" s="1"/>
  <c r="J39" i="32"/>
  <c r="J71" i="32" s="1"/>
  <c r="J103" i="32" s="1"/>
  <c r="I39" i="32"/>
  <c r="I71" i="32" s="1"/>
  <c r="I103" i="32" s="1"/>
  <c r="H39" i="32"/>
  <c r="H71" i="32" s="1"/>
  <c r="H103" i="32" s="1"/>
  <c r="G39" i="32"/>
  <c r="G71" i="32" s="1"/>
  <c r="G103" i="32" s="1"/>
  <c r="F39" i="32"/>
  <c r="F71" i="32" s="1"/>
  <c r="F103" i="32" s="1"/>
  <c r="E39" i="32"/>
  <c r="E71" i="32" s="1"/>
  <c r="E103" i="32" s="1"/>
  <c r="E40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E41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E42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E43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E44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E45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E46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E49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E52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E55" i="31"/>
  <c r="F55" i="31"/>
  <c r="G55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T55" i="31"/>
  <c r="E56" i="31"/>
  <c r="F56" i="31"/>
  <c r="G56" i="31"/>
  <c r="H56" i="31"/>
  <c r="I56" i="31"/>
  <c r="J56" i="31"/>
  <c r="K56" i="31"/>
  <c r="L56" i="31"/>
  <c r="M56" i="31"/>
  <c r="N56" i="31"/>
  <c r="O56" i="31"/>
  <c r="P56" i="31"/>
  <c r="Q56" i="31"/>
  <c r="R56" i="31"/>
  <c r="S56" i="31"/>
  <c r="T56" i="31"/>
  <c r="E57" i="31"/>
  <c r="F57" i="31"/>
  <c r="G57" i="31"/>
  <c r="H57" i="31"/>
  <c r="I57" i="31"/>
  <c r="J57" i="31"/>
  <c r="K57" i="31"/>
  <c r="L57" i="31"/>
  <c r="M57" i="31"/>
  <c r="N57" i="31"/>
  <c r="O57" i="31"/>
  <c r="P57" i="31"/>
  <c r="Q57" i="31"/>
  <c r="R57" i="31"/>
  <c r="S57" i="31"/>
  <c r="T57" i="31"/>
  <c r="E58" i="31"/>
  <c r="F58" i="31"/>
  <c r="G58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T58" i="31"/>
  <c r="E59" i="31"/>
  <c r="F59" i="31"/>
  <c r="G59" i="31"/>
  <c r="H59" i="31"/>
  <c r="I59" i="31"/>
  <c r="J59" i="31"/>
  <c r="K59" i="31"/>
  <c r="L59" i="31"/>
  <c r="M59" i="31"/>
  <c r="N59" i="31"/>
  <c r="O59" i="31"/>
  <c r="P59" i="31"/>
  <c r="Q59" i="31"/>
  <c r="R59" i="31"/>
  <c r="S59" i="31"/>
  <c r="T59" i="31"/>
  <c r="E60" i="31"/>
  <c r="F60" i="31"/>
  <c r="G60" i="31"/>
  <c r="H60" i="31"/>
  <c r="I60" i="31"/>
  <c r="J60" i="31"/>
  <c r="K60" i="31"/>
  <c r="L60" i="31"/>
  <c r="M60" i="31"/>
  <c r="N60" i="31"/>
  <c r="O60" i="31"/>
  <c r="P60" i="31"/>
  <c r="Q60" i="31"/>
  <c r="R60" i="31"/>
  <c r="S60" i="31"/>
  <c r="T60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R95" i="31" s="1"/>
  <c r="S63" i="31"/>
  <c r="S95" i="31" s="1"/>
  <c r="T63" i="31"/>
  <c r="T95" i="31" s="1"/>
  <c r="E64" i="31"/>
  <c r="E96" i="31" s="1"/>
  <c r="F64" i="31"/>
  <c r="F96" i="31" s="1"/>
  <c r="G64" i="31"/>
  <c r="G96" i="31" s="1"/>
  <c r="H64" i="31"/>
  <c r="H96" i="31" s="1"/>
  <c r="I64" i="31"/>
  <c r="I96" i="31" s="1"/>
  <c r="J64" i="31"/>
  <c r="J96" i="31" s="1"/>
  <c r="K64" i="31"/>
  <c r="K96" i="31" s="1"/>
  <c r="L64" i="31"/>
  <c r="L96" i="31" s="1"/>
  <c r="M64" i="31"/>
  <c r="M96" i="31" s="1"/>
  <c r="N64" i="31"/>
  <c r="N96" i="31" s="1"/>
  <c r="O64" i="31"/>
  <c r="O96" i="31" s="1"/>
  <c r="P64" i="31"/>
  <c r="P96" i="31" s="1"/>
  <c r="Q64" i="31"/>
  <c r="Q96" i="31" s="1"/>
  <c r="R64" i="31"/>
  <c r="R96" i="31" s="1"/>
  <c r="S64" i="31"/>
  <c r="S96" i="31" s="1"/>
  <c r="T64" i="31"/>
  <c r="T96" i="31" s="1"/>
  <c r="E65" i="31"/>
  <c r="E97" i="31" s="1"/>
  <c r="F65" i="31"/>
  <c r="F97" i="31" s="1"/>
  <c r="G65" i="31"/>
  <c r="G97" i="31" s="1"/>
  <c r="H65" i="31"/>
  <c r="H97" i="31" s="1"/>
  <c r="I65" i="31"/>
  <c r="I97" i="31" s="1"/>
  <c r="J65" i="31"/>
  <c r="J97" i="31" s="1"/>
  <c r="K65" i="31"/>
  <c r="K97" i="31" s="1"/>
  <c r="L65" i="31"/>
  <c r="L97" i="31" s="1"/>
  <c r="M65" i="31"/>
  <c r="M97" i="31" s="1"/>
  <c r="N65" i="31"/>
  <c r="N97" i="31" s="1"/>
  <c r="O65" i="31"/>
  <c r="O97" i="31" s="1"/>
  <c r="P65" i="31"/>
  <c r="P97" i="31" s="1"/>
  <c r="Q65" i="31"/>
  <c r="Q97" i="31" s="1"/>
  <c r="R65" i="31"/>
  <c r="R97" i="31" s="1"/>
  <c r="S65" i="31"/>
  <c r="S97" i="31" s="1"/>
  <c r="T65" i="31"/>
  <c r="T97" i="31" s="1"/>
  <c r="E66" i="31"/>
  <c r="E98" i="31" s="1"/>
  <c r="F66" i="31"/>
  <c r="F98" i="31" s="1"/>
  <c r="G66" i="31"/>
  <c r="G98" i="31" s="1"/>
  <c r="H66" i="31"/>
  <c r="H98" i="31" s="1"/>
  <c r="I66" i="31"/>
  <c r="I98" i="31" s="1"/>
  <c r="J66" i="31"/>
  <c r="J98" i="31" s="1"/>
  <c r="K66" i="31"/>
  <c r="K98" i="31" s="1"/>
  <c r="L66" i="31"/>
  <c r="L98" i="31" s="1"/>
  <c r="M66" i="31"/>
  <c r="M98" i="31" s="1"/>
  <c r="N66" i="31"/>
  <c r="N98" i="31" s="1"/>
  <c r="O66" i="31"/>
  <c r="O98" i="31" s="1"/>
  <c r="P66" i="31"/>
  <c r="P98" i="31" s="1"/>
  <c r="Q66" i="31"/>
  <c r="Q98" i="31" s="1"/>
  <c r="R66" i="31"/>
  <c r="R98" i="31" s="1"/>
  <c r="S66" i="31"/>
  <c r="S98" i="31" s="1"/>
  <c r="T66" i="31"/>
  <c r="T98" i="31" s="1"/>
  <c r="E67" i="31"/>
  <c r="E99" i="31" s="1"/>
  <c r="F67" i="31"/>
  <c r="F99" i="31" s="1"/>
  <c r="G67" i="31"/>
  <c r="G99" i="31" s="1"/>
  <c r="H67" i="31"/>
  <c r="H99" i="31" s="1"/>
  <c r="I67" i="31"/>
  <c r="I99" i="31" s="1"/>
  <c r="J67" i="31"/>
  <c r="J99" i="31" s="1"/>
  <c r="K67" i="31"/>
  <c r="K99" i="31" s="1"/>
  <c r="L67" i="31"/>
  <c r="L99" i="31" s="1"/>
  <c r="M67" i="31"/>
  <c r="M99" i="31" s="1"/>
  <c r="N67" i="31"/>
  <c r="N99" i="31" s="1"/>
  <c r="O67" i="31"/>
  <c r="O99" i="31" s="1"/>
  <c r="P67" i="31"/>
  <c r="P99" i="31" s="1"/>
  <c r="Q67" i="31"/>
  <c r="Q99" i="31" s="1"/>
  <c r="R67" i="31"/>
  <c r="R99" i="31" s="1"/>
  <c r="S67" i="31"/>
  <c r="S99" i="31" s="1"/>
  <c r="T67" i="31"/>
  <c r="T99" i="31" s="1"/>
  <c r="E68" i="31"/>
  <c r="E100" i="31" s="1"/>
  <c r="F68" i="31"/>
  <c r="F100" i="31" s="1"/>
  <c r="G68" i="31"/>
  <c r="G100" i="31" s="1"/>
  <c r="H68" i="31"/>
  <c r="H100" i="31" s="1"/>
  <c r="I68" i="31"/>
  <c r="I100" i="31" s="1"/>
  <c r="J68" i="31"/>
  <c r="J100" i="31" s="1"/>
  <c r="K68" i="31"/>
  <c r="K100" i="31" s="1"/>
  <c r="L68" i="31"/>
  <c r="L100" i="31" s="1"/>
  <c r="M68" i="31"/>
  <c r="M100" i="31" s="1"/>
  <c r="N68" i="31"/>
  <c r="N100" i="31" s="1"/>
  <c r="O68" i="31"/>
  <c r="O100" i="31" s="1"/>
  <c r="P68" i="31"/>
  <c r="P100" i="31" s="1"/>
  <c r="Q68" i="31"/>
  <c r="Q100" i="31" s="1"/>
  <c r="R68" i="31"/>
  <c r="R100" i="31" s="1"/>
  <c r="S68" i="31"/>
  <c r="S100" i="31" s="1"/>
  <c r="T68" i="31"/>
  <c r="T100" i="31" s="1"/>
  <c r="E69" i="31"/>
  <c r="E101" i="31" s="1"/>
  <c r="F69" i="31"/>
  <c r="F101" i="31" s="1"/>
  <c r="G69" i="31"/>
  <c r="G101" i="31" s="1"/>
  <c r="H69" i="31"/>
  <c r="H101" i="31" s="1"/>
  <c r="I69" i="31"/>
  <c r="I101" i="31" s="1"/>
  <c r="J69" i="31"/>
  <c r="J101" i="31" s="1"/>
  <c r="K69" i="31"/>
  <c r="K101" i="31" s="1"/>
  <c r="L69" i="31"/>
  <c r="L101" i="31" s="1"/>
  <c r="M69" i="31"/>
  <c r="M101" i="31" s="1"/>
  <c r="N69" i="31"/>
  <c r="N101" i="31" s="1"/>
  <c r="O69" i="31"/>
  <c r="O101" i="31" s="1"/>
  <c r="P69" i="31"/>
  <c r="P101" i="31" s="1"/>
  <c r="Q69" i="31"/>
  <c r="Q101" i="31" s="1"/>
  <c r="R69" i="31"/>
  <c r="R101" i="31" s="1"/>
  <c r="S69" i="31"/>
  <c r="S101" i="31" s="1"/>
  <c r="T69" i="31"/>
  <c r="T101" i="31" s="1"/>
  <c r="E70" i="31"/>
  <c r="E102" i="31" s="1"/>
  <c r="F70" i="31"/>
  <c r="F102" i="31" s="1"/>
  <c r="G70" i="31"/>
  <c r="G102" i="31" s="1"/>
  <c r="H70" i="31"/>
  <c r="H102" i="31" s="1"/>
  <c r="I70" i="31"/>
  <c r="I102" i="31" s="1"/>
  <c r="J70" i="31"/>
  <c r="J102" i="31" s="1"/>
  <c r="K70" i="31"/>
  <c r="K102" i="31" s="1"/>
  <c r="L70" i="31"/>
  <c r="L102" i="31" s="1"/>
  <c r="M70" i="31"/>
  <c r="M102" i="31" s="1"/>
  <c r="N70" i="31"/>
  <c r="N102" i="31" s="1"/>
  <c r="O70" i="31"/>
  <c r="O102" i="31" s="1"/>
  <c r="P70" i="31"/>
  <c r="P102" i="31" s="1"/>
  <c r="Q70" i="31"/>
  <c r="Q102" i="31" s="1"/>
  <c r="R70" i="31"/>
  <c r="R102" i="31" s="1"/>
  <c r="S70" i="31"/>
  <c r="S102" i="31" s="1"/>
  <c r="T70" i="31"/>
  <c r="T102" i="31" s="1"/>
  <c r="E71" i="31"/>
  <c r="E103" i="31" s="1"/>
  <c r="F71" i="31"/>
  <c r="F103" i="31" s="1"/>
  <c r="G71" i="31"/>
  <c r="G103" i="31" s="1"/>
  <c r="H71" i="31"/>
  <c r="H103" i="31" s="1"/>
  <c r="I71" i="31"/>
  <c r="I103" i="31" s="1"/>
  <c r="J71" i="31"/>
  <c r="J103" i="31" s="1"/>
  <c r="K71" i="31"/>
  <c r="K103" i="31" s="1"/>
  <c r="L71" i="31"/>
  <c r="L103" i="31" s="1"/>
  <c r="M71" i="31"/>
  <c r="M103" i="31" s="1"/>
  <c r="N71" i="31"/>
  <c r="N103" i="31" s="1"/>
  <c r="O71" i="31"/>
  <c r="O103" i="31" s="1"/>
  <c r="P71" i="31"/>
  <c r="P103" i="31" s="1"/>
  <c r="Q71" i="31"/>
  <c r="Q103" i="31" s="1"/>
  <c r="R71" i="31"/>
  <c r="R103" i="31" s="1"/>
  <c r="S71" i="31"/>
  <c r="S103" i="31" s="1"/>
  <c r="T71" i="31"/>
  <c r="T103" i="31" s="1"/>
  <c r="E72" i="31"/>
  <c r="E104" i="31" s="1"/>
  <c r="F72" i="31"/>
  <c r="F104" i="31" s="1"/>
  <c r="G72" i="31"/>
  <c r="G104" i="31" s="1"/>
  <c r="H72" i="31"/>
  <c r="H104" i="31" s="1"/>
  <c r="I72" i="31"/>
  <c r="I104" i="31" s="1"/>
  <c r="J72" i="31"/>
  <c r="J104" i="31" s="1"/>
  <c r="K72" i="31"/>
  <c r="K104" i="31" s="1"/>
  <c r="L72" i="31"/>
  <c r="L104" i="31" s="1"/>
  <c r="M72" i="31"/>
  <c r="M104" i="31" s="1"/>
  <c r="N72" i="31"/>
  <c r="N104" i="31" s="1"/>
  <c r="O72" i="31"/>
  <c r="O104" i="31" s="1"/>
  <c r="P72" i="31"/>
  <c r="P104" i="31" s="1"/>
  <c r="Q72" i="31"/>
  <c r="Q104" i="31" s="1"/>
  <c r="R72" i="31"/>
  <c r="R104" i="31" s="1"/>
  <c r="S72" i="31"/>
  <c r="S104" i="31" s="1"/>
  <c r="T72" i="31"/>
  <c r="T104" i="31" s="1"/>
  <c r="E73" i="31"/>
  <c r="E105" i="31" s="1"/>
  <c r="F73" i="31"/>
  <c r="F105" i="31" s="1"/>
  <c r="G73" i="31"/>
  <c r="G105" i="31" s="1"/>
  <c r="H73" i="31"/>
  <c r="H105" i="31" s="1"/>
  <c r="I73" i="31"/>
  <c r="I105" i="31" s="1"/>
  <c r="J73" i="31"/>
  <c r="J105" i="31" s="1"/>
  <c r="K73" i="31"/>
  <c r="K105" i="31" s="1"/>
  <c r="L73" i="31"/>
  <c r="L105" i="31" s="1"/>
  <c r="M73" i="31"/>
  <c r="M105" i="31" s="1"/>
  <c r="N73" i="31"/>
  <c r="N105" i="31" s="1"/>
  <c r="O73" i="31"/>
  <c r="O105" i="31" s="1"/>
  <c r="P73" i="31"/>
  <c r="P105" i="31" s="1"/>
  <c r="Q73" i="31"/>
  <c r="Q105" i="31" s="1"/>
  <c r="R73" i="31"/>
  <c r="R105" i="31" s="1"/>
  <c r="S73" i="31"/>
  <c r="S105" i="31" s="1"/>
  <c r="T73" i="31"/>
  <c r="T105" i="31" s="1"/>
  <c r="E74" i="31"/>
  <c r="E106" i="31" s="1"/>
  <c r="F74" i="31"/>
  <c r="F106" i="31" s="1"/>
  <c r="G74" i="31"/>
  <c r="G106" i="31" s="1"/>
  <c r="H74" i="31"/>
  <c r="H106" i="31" s="1"/>
  <c r="I74" i="31"/>
  <c r="I106" i="31" s="1"/>
  <c r="J74" i="31"/>
  <c r="J106" i="31" s="1"/>
  <c r="K74" i="31"/>
  <c r="K106" i="31" s="1"/>
  <c r="L74" i="31"/>
  <c r="L106" i="31" s="1"/>
  <c r="M74" i="31"/>
  <c r="M106" i="31" s="1"/>
  <c r="N74" i="31"/>
  <c r="N106" i="31" s="1"/>
  <c r="O74" i="31"/>
  <c r="O106" i="31" s="1"/>
  <c r="P74" i="31"/>
  <c r="P106" i="31" s="1"/>
  <c r="Q74" i="31"/>
  <c r="Q106" i="31" s="1"/>
  <c r="R74" i="31"/>
  <c r="R106" i="31" s="1"/>
  <c r="S74" i="31"/>
  <c r="S106" i="31" s="1"/>
  <c r="T74" i="31"/>
  <c r="T106" i="31" s="1"/>
  <c r="E75" i="31"/>
  <c r="E107" i="31" s="1"/>
  <c r="F75" i="31"/>
  <c r="F107" i="31" s="1"/>
  <c r="G75" i="31"/>
  <c r="G107" i="31" s="1"/>
  <c r="H75" i="31"/>
  <c r="H107" i="31" s="1"/>
  <c r="I75" i="31"/>
  <c r="I107" i="31" s="1"/>
  <c r="J75" i="31"/>
  <c r="J107" i="31" s="1"/>
  <c r="K75" i="31"/>
  <c r="K107" i="31" s="1"/>
  <c r="L75" i="31"/>
  <c r="L107" i="31" s="1"/>
  <c r="M75" i="31"/>
  <c r="M107" i="31" s="1"/>
  <c r="N75" i="31"/>
  <c r="N107" i="31" s="1"/>
  <c r="O75" i="31"/>
  <c r="O107" i="31" s="1"/>
  <c r="P75" i="31"/>
  <c r="P107" i="31" s="1"/>
  <c r="Q75" i="31"/>
  <c r="Q107" i="31" s="1"/>
  <c r="R75" i="31"/>
  <c r="R107" i="31" s="1"/>
  <c r="S75" i="31"/>
  <c r="S107" i="31" s="1"/>
  <c r="T75" i="31"/>
  <c r="T107" i="31" s="1"/>
  <c r="E76" i="31"/>
  <c r="E108" i="31" s="1"/>
  <c r="F76" i="31"/>
  <c r="F108" i="31" s="1"/>
  <c r="G76" i="31"/>
  <c r="G108" i="31" s="1"/>
  <c r="H76" i="31"/>
  <c r="H108" i="31" s="1"/>
  <c r="I76" i="31"/>
  <c r="I108" i="31" s="1"/>
  <c r="J76" i="31"/>
  <c r="J108" i="31" s="1"/>
  <c r="K76" i="31"/>
  <c r="K108" i="31" s="1"/>
  <c r="L76" i="31"/>
  <c r="L108" i="31" s="1"/>
  <c r="M76" i="31"/>
  <c r="M108" i="31" s="1"/>
  <c r="N76" i="31"/>
  <c r="N108" i="31" s="1"/>
  <c r="O76" i="31"/>
  <c r="O108" i="31" s="1"/>
  <c r="P76" i="31"/>
  <c r="P108" i="31" s="1"/>
  <c r="Q76" i="31"/>
  <c r="Q108" i="31" s="1"/>
  <c r="R76" i="31"/>
  <c r="R108" i="31" s="1"/>
  <c r="S76" i="31"/>
  <c r="S108" i="31" s="1"/>
  <c r="T76" i="31"/>
  <c r="T108" i="31" s="1"/>
  <c r="E77" i="31"/>
  <c r="E109" i="31" s="1"/>
  <c r="F77" i="31"/>
  <c r="F109" i="31" s="1"/>
  <c r="G77" i="31"/>
  <c r="G109" i="31" s="1"/>
  <c r="H77" i="31"/>
  <c r="H109" i="31" s="1"/>
  <c r="I77" i="31"/>
  <c r="I109" i="31" s="1"/>
  <c r="J77" i="31"/>
  <c r="J109" i="31" s="1"/>
  <c r="K77" i="31"/>
  <c r="K109" i="31" s="1"/>
  <c r="L77" i="31"/>
  <c r="L109" i="31" s="1"/>
  <c r="M77" i="31"/>
  <c r="M109" i="31" s="1"/>
  <c r="N77" i="31"/>
  <c r="N109" i="31" s="1"/>
  <c r="O77" i="31"/>
  <c r="O109" i="31" s="1"/>
  <c r="P77" i="31"/>
  <c r="P109" i="31" s="1"/>
  <c r="Q77" i="31"/>
  <c r="Q109" i="31" s="1"/>
  <c r="R77" i="31"/>
  <c r="R109" i="31" s="1"/>
  <c r="S77" i="31"/>
  <c r="S109" i="31" s="1"/>
  <c r="T77" i="31"/>
  <c r="T109" i="31" s="1"/>
  <c r="E78" i="31"/>
  <c r="E110" i="31" s="1"/>
  <c r="F78" i="31"/>
  <c r="F110" i="31" s="1"/>
  <c r="G78" i="31"/>
  <c r="G110" i="31" s="1"/>
  <c r="H78" i="31"/>
  <c r="H110" i="31" s="1"/>
  <c r="I78" i="31"/>
  <c r="I110" i="31" s="1"/>
  <c r="J78" i="31"/>
  <c r="J110" i="31" s="1"/>
  <c r="K78" i="31"/>
  <c r="K110" i="31" s="1"/>
  <c r="L78" i="31"/>
  <c r="L110" i="31" s="1"/>
  <c r="M78" i="31"/>
  <c r="M110" i="31" s="1"/>
  <c r="N78" i="31"/>
  <c r="N110" i="31" s="1"/>
  <c r="O78" i="31"/>
  <c r="O110" i="31" s="1"/>
  <c r="P78" i="31"/>
  <c r="P110" i="31" s="1"/>
  <c r="Q78" i="31"/>
  <c r="Q110" i="31" s="1"/>
  <c r="R78" i="31"/>
  <c r="R110" i="31" s="1"/>
  <c r="S78" i="31"/>
  <c r="S110" i="31" s="1"/>
  <c r="T78" i="31"/>
  <c r="T110" i="31" s="1"/>
  <c r="E79" i="31"/>
  <c r="E111" i="31" s="1"/>
  <c r="F79" i="31"/>
  <c r="F111" i="31" s="1"/>
  <c r="G79" i="31"/>
  <c r="G111" i="31" s="1"/>
  <c r="H79" i="31"/>
  <c r="H111" i="31" s="1"/>
  <c r="I79" i="31"/>
  <c r="I111" i="31" s="1"/>
  <c r="J79" i="31"/>
  <c r="J111" i="31" s="1"/>
  <c r="K79" i="31"/>
  <c r="K111" i="31" s="1"/>
  <c r="L79" i="31"/>
  <c r="L111" i="31" s="1"/>
  <c r="M79" i="31"/>
  <c r="M111" i="31" s="1"/>
  <c r="N79" i="31"/>
  <c r="N111" i="31" s="1"/>
  <c r="O79" i="31"/>
  <c r="O111" i="31" s="1"/>
  <c r="P79" i="31"/>
  <c r="P111" i="31" s="1"/>
  <c r="Q79" i="31"/>
  <c r="Q111" i="31" s="1"/>
  <c r="R79" i="31"/>
  <c r="R111" i="31" s="1"/>
  <c r="S79" i="31"/>
  <c r="S111" i="31" s="1"/>
  <c r="T79" i="31"/>
  <c r="T111" i="31" s="1"/>
  <c r="E80" i="31"/>
  <c r="E112" i="31" s="1"/>
  <c r="F80" i="31"/>
  <c r="F112" i="31" s="1"/>
  <c r="G80" i="31"/>
  <c r="G112" i="31" s="1"/>
  <c r="H80" i="31"/>
  <c r="H112" i="31" s="1"/>
  <c r="I80" i="31"/>
  <c r="I112" i="31" s="1"/>
  <c r="J80" i="31"/>
  <c r="J112" i="31" s="1"/>
  <c r="K80" i="31"/>
  <c r="K112" i="31" s="1"/>
  <c r="L80" i="31"/>
  <c r="L112" i="31" s="1"/>
  <c r="M80" i="31"/>
  <c r="M112" i="31" s="1"/>
  <c r="N80" i="31"/>
  <c r="N112" i="31" s="1"/>
  <c r="O80" i="31"/>
  <c r="O112" i="31" s="1"/>
  <c r="P80" i="31"/>
  <c r="P112" i="31" s="1"/>
  <c r="Q80" i="31"/>
  <c r="Q112" i="31" s="1"/>
  <c r="R80" i="31"/>
  <c r="R112" i="31" s="1"/>
  <c r="S80" i="31"/>
  <c r="S112" i="31" s="1"/>
  <c r="T80" i="31"/>
  <c r="T112" i="31" s="1"/>
  <c r="E81" i="31"/>
  <c r="E113" i="31" s="1"/>
  <c r="F81" i="31"/>
  <c r="F113" i="31" s="1"/>
  <c r="G81" i="31"/>
  <c r="G113" i="31" s="1"/>
  <c r="H81" i="31"/>
  <c r="H113" i="31" s="1"/>
  <c r="I81" i="31"/>
  <c r="I113" i="31" s="1"/>
  <c r="J81" i="31"/>
  <c r="J113" i="31" s="1"/>
  <c r="K81" i="31"/>
  <c r="K113" i="31" s="1"/>
  <c r="L81" i="31"/>
  <c r="L113" i="31" s="1"/>
  <c r="M81" i="31"/>
  <c r="M113" i="31" s="1"/>
  <c r="N81" i="31"/>
  <c r="N113" i="31" s="1"/>
  <c r="O81" i="31"/>
  <c r="O113" i="31" s="1"/>
  <c r="P81" i="31"/>
  <c r="P113" i="31" s="1"/>
  <c r="Q81" i="31"/>
  <c r="Q113" i="31" s="1"/>
  <c r="R81" i="31"/>
  <c r="R113" i="31" s="1"/>
  <c r="S81" i="31"/>
  <c r="S113" i="31" s="1"/>
  <c r="T81" i="31"/>
  <c r="T113" i="31" s="1"/>
  <c r="E82" i="31"/>
  <c r="E114" i="31" s="1"/>
  <c r="F82" i="31"/>
  <c r="F114" i="31" s="1"/>
  <c r="G82" i="31"/>
  <c r="G114" i="31" s="1"/>
  <c r="H82" i="31"/>
  <c r="H114" i="31" s="1"/>
  <c r="I82" i="31"/>
  <c r="I114" i="31" s="1"/>
  <c r="J82" i="31"/>
  <c r="J114" i="31" s="1"/>
  <c r="K82" i="31"/>
  <c r="K114" i="31" s="1"/>
  <c r="L82" i="31"/>
  <c r="L114" i="31" s="1"/>
  <c r="M82" i="31"/>
  <c r="M114" i="31" s="1"/>
  <c r="N82" i="31"/>
  <c r="N114" i="31" s="1"/>
  <c r="O82" i="31"/>
  <c r="O114" i="31" s="1"/>
  <c r="P82" i="31"/>
  <c r="P114" i="31" s="1"/>
  <c r="Q82" i="31"/>
  <c r="Q114" i="31" s="1"/>
  <c r="R82" i="31"/>
  <c r="R114" i="31" s="1"/>
  <c r="S82" i="31"/>
  <c r="S114" i="31" s="1"/>
  <c r="T82" i="31"/>
  <c r="T114" i="31" s="1"/>
  <c r="E83" i="31"/>
  <c r="E115" i="31" s="1"/>
  <c r="F83" i="31"/>
  <c r="F115" i="31" s="1"/>
  <c r="G83" i="31"/>
  <c r="G115" i="31" s="1"/>
  <c r="H83" i="31"/>
  <c r="H115" i="31" s="1"/>
  <c r="I83" i="31"/>
  <c r="I115" i="31" s="1"/>
  <c r="J83" i="31"/>
  <c r="J115" i="31" s="1"/>
  <c r="K83" i="31"/>
  <c r="K115" i="31" s="1"/>
  <c r="L83" i="31"/>
  <c r="L115" i="31" s="1"/>
  <c r="M83" i="31"/>
  <c r="M115" i="31" s="1"/>
  <c r="N83" i="31"/>
  <c r="N115" i="31" s="1"/>
  <c r="O83" i="31"/>
  <c r="O115" i="31" s="1"/>
  <c r="P83" i="31"/>
  <c r="P115" i="31" s="1"/>
  <c r="Q83" i="31"/>
  <c r="Q115" i="31" s="1"/>
  <c r="R83" i="31"/>
  <c r="R115" i="31" s="1"/>
  <c r="S83" i="31"/>
  <c r="S115" i="31" s="1"/>
  <c r="T83" i="31"/>
  <c r="T115" i="31" s="1"/>
  <c r="E84" i="31"/>
  <c r="E116" i="31" s="1"/>
  <c r="F84" i="31"/>
  <c r="F116" i="31" s="1"/>
  <c r="G84" i="31"/>
  <c r="G116" i="31" s="1"/>
  <c r="H84" i="31"/>
  <c r="H116" i="31" s="1"/>
  <c r="I84" i="31"/>
  <c r="I116" i="31" s="1"/>
  <c r="J84" i="31"/>
  <c r="J116" i="31" s="1"/>
  <c r="K84" i="31"/>
  <c r="K116" i="31" s="1"/>
  <c r="L84" i="31"/>
  <c r="L116" i="31" s="1"/>
  <c r="M84" i="31"/>
  <c r="M116" i="31" s="1"/>
  <c r="N84" i="31"/>
  <c r="N116" i="31" s="1"/>
  <c r="O84" i="31"/>
  <c r="O116" i="31" s="1"/>
  <c r="P84" i="31"/>
  <c r="P116" i="31" s="1"/>
  <c r="Q84" i="31"/>
  <c r="Q116" i="31" s="1"/>
  <c r="R84" i="31"/>
  <c r="R116" i="31" s="1"/>
  <c r="S84" i="31"/>
  <c r="S116" i="31" s="1"/>
  <c r="T84" i="31"/>
  <c r="T116" i="31" s="1"/>
  <c r="E85" i="31"/>
  <c r="E117" i="31" s="1"/>
  <c r="F85" i="31"/>
  <c r="F117" i="31" s="1"/>
  <c r="G85" i="31"/>
  <c r="G117" i="31" s="1"/>
  <c r="H85" i="31"/>
  <c r="H117" i="31" s="1"/>
  <c r="I85" i="31"/>
  <c r="I117" i="31" s="1"/>
  <c r="J85" i="31"/>
  <c r="J117" i="31" s="1"/>
  <c r="K85" i="31"/>
  <c r="K117" i="31" s="1"/>
  <c r="L85" i="31"/>
  <c r="L117" i="31" s="1"/>
  <c r="M85" i="31"/>
  <c r="M117" i="31" s="1"/>
  <c r="N85" i="31"/>
  <c r="N117" i="31" s="1"/>
  <c r="O85" i="31"/>
  <c r="O117" i="31" s="1"/>
  <c r="P85" i="31"/>
  <c r="P117" i="31" s="1"/>
  <c r="Q85" i="31"/>
  <c r="Q117" i="31" s="1"/>
  <c r="R85" i="31"/>
  <c r="R117" i="31" s="1"/>
  <c r="S85" i="31"/>
  <c r="S117" i="31" s="1"/>
  <c r="T85" i="31"/>
  <c r="T117" i="31" s="1"/>
  <c r="E86" i="31"/>
  <c r="E118" i="31" s="1"/>
  <c r="F86" i="31"/>
  <c r="F118" i="31" s="1"/>
  <c r="G86" i="31"/>
  <c r="G118" i="31" s="1"/>
  <c r="H86" i="31"/>
  <c r="H118" i="31" s="1"/>
  <c r="I86" i="31"/>
  <c r="I118" i="31" s="1"/>
  <c r="J86" i="31"/>
  <c r="J118" i="31" s="1"/>
  <c r="K86" i="31"/>
  <c r="K118" i="31" s="1"/>
  <c r="L86" i="31"/>
  <c r="L118" i="31" s="1"/>
  <c r="M86" i="31"/>
  <c r="M118" i="31" s="1"/>
  <c r="N86" i="31"/>
  <c r="N118" i="31" s="1"/>
  <c r="O86" i="31"/>
  <c r="O118" i="31" s="1"/>
  <c r="P86" i="31"/>
  <c r="P118" i="31" s="1"/>
  <c r="Q86" i="31"/>
  <c r="Q118" i="31" s="1"/>
  <c r="R86" i="31"/>
  <c r="R118" i="31" s="1"/>
  <c r="S86" i="31"/>
  <c r="S118" i="31" s="1"/>
  <c r="T86" i="31"/>
  <c r="T118" i="31" s="1"/>
  <c r="E87" i="31"/>
  <c r="E119" i="31" s="1"/>
  <c r="F87" i="31"/>
  <c r="F119" i="31" s="1"/>
  <c r="G87" i="31"/>
  <c r="G119" i="31" s="1"/>
  <c r="H87" i="31"/>
  <c r="H119" i="31" s="1"/>
  <c r="I87" i="31"/>
  <c r="I119" i="31" s="1"/>
  <c r="J87" i="31"/>
  <c r="J119" i="31" s="1"/>
  <c r="K87" i="31"/>
  <c r="K119" i="31" s="1"/>
  <c r="L87" i="31"/>
  <c r="L119" i="31" s="1"/>
  <c r="M87" i="31"/>
  <c r="M119" i="31" s="1"/>
  <c r="N87" i="31"/>
  <c r="N119" i="31" s="1"/>
  <c r="O87" i="31"/>
  <c r="O119" i="31" s="1"/>
  <c r="P87" i="31"/>
  <c r="P119" i="31" s="1"/>
  <c r="Q87" i="31"/>
  <c r="Q119" i="31" s="1"/>
  <c r="R87" i="31"/>
  <c r="R119" i="31" s="1"/>
  <c r="S87" i="31"/>
  <c r="S119" i="31" s="1"/>
  <c r="T87" i="31"/>
  <c r="T119" i="31" s="1"/>
  <c r="E88" i="31"/>
  <c r="E120" i="31" s="1"/>
  <c r="F88" i="31"/>
  <c r="F120" i="31" s="1"/>
  <c r="G88" i="31"/>
  <c r="G120" i="31" s="1"/>
  <c r="H88" i="31"/>
  <c r="H120" i="31" s="1"/>
  <c r="I88" i="31"/>
  <c r="I120" i="31" s="1"/>
  <c r="J88" i="31"/>
  <c r="J120" i="31" s="1"/>
  <c r="K88" i="31"/>
  <c r="K120" i="31" s="1"/>
  <c r="L88" i="31"/>
  <c r="L120" i="31" s="1"/>
  <c r="M88" i="31"/>
  <c r="M120" i="31" s="1"/>
  <c r="N88" i="31"/>
  <c r="N120" i="31" s="1"/>
  <c r="O88" i="31"/>
  <c r="O120" i="31" s="1"/>
  <c r="P88" i="31"/>
  <c r="P120" i="31" s="1"/>
  <c r="Q88" i="31"/>
  <c r="Q120" i="31" s="1"/>
  <c r="R88" i="31"/>
  <c r="R120" i="31" s="1"/>
  <c r="S88" i="31"/>
  <c r="S120" i="31" s="1"/>
  <c r="T88" i="31"/>
  <c r="T120" i="31" s="1"/>
  <c r="E89" i="31"/>
  <c r="E121" i="31" s="1"/>
  <c r="F89" i="31"/>
  <c r="F121" i="31" s="1"/>
  <c r="G89" i="31"/>
  <c r="G121" i="31" s="1"/>
  <c r="H89" i="31"/>
  <c r="H121" i="31" s="1"/>
  <c r="I89" i="31"/>
  <c r="I121" i="31" s="1"/>
  <c r="J89" i="31"/>
  <c r="J121" i="31" s="1"/>
  <c r="K89" i="31"/>
  <c r="K121" i="31" s="1"/>
  <c r="L89" i="31"/>
  <c r="L121" i="31" s="1"/>
  <c r="M89" i="31"/>
  <c r="M121" i="31" s="1"/>
  <c r="N89" i="31"/>
  <c r="N121" i="31" s="1"/>
  <c r="O89" i="31"/>
  <c r="O121" i="31" s="1"/>
  <c r="P89" i="31"/>
  <c r="P121" i="31" s="1"/>
  <c r="Q89" i="31"/>
  <c r="Q121" i="31" s="1"/>
  <c r="R89" i="31"/>
  <c r="R121" i="31" s="1"/>
  <c r="S89" i="31"/>
  <c r="S121" i="31" s="1"/>
  <c r="T89" i="31"/>
  <c r="T121" i="31" s="1"/>
  <c r="E90" i="31"/>
  <c r="E122" i="31" s="1"/>
  <c r="F90" i="31"/>
  <c r="F122" i="31" s="1"/>
  <c r="G90" i="31"/>
  <c r="G122" i="31" s="1"/>
  <c r="H90" i="31"/>
  <c r="H122" i="31" s="1"/>
  <c r="I90" i="31"/>
  <c r="I122" i="31" s="1"/>
  <c r="J90" i="31"/>
  <c r="J122" i="31" s="1"/>
  <c r="K90" i="31"/>
  <c r="K122" i="31" s="1"/>
  <c r="L90" i="31"/>
  <c r="L122" i="31" s="1"/>
  <c r="M90" i="31"/>
  <c r="M122" i="31" s="1"/>
  <c r="N90" i="31"/>
  <c r="N122" i="31" s="1"/>
  <c r="O90" i="31"/>
  <c r="O122" i="31" s="1"/>
  <c r="P90" i="31"/>
  <c r="P122" i="31" s="1"/>
  <c r="Q90" i="31"/>
  <c r="Q122" i="31" s="1"/>
  <c r="R90" i="31"/>
  <c r="R122" i="31" s="1"/>
  <c r="S90" i="31"/>
  <c r="S122" i="31" s="1"/>
  <c r="T90" i="31"/>
  <c r="T122" i="31" s="1"/>
  <c r="E91" i="31"/>
  <c r="E123" i="31" s="1"/>
  <c r="F91" i="31"/>
  <c r="F123" i="31" s="1"/>
  <c r="G91" i="31"/>
  <c r="G123" i="31" s="1"/>
  <c r="H91" i="31"/>
  <c r="H123" i="31" s="1"/>
  <c r="I91" i="31"/>
  <c r="I123" i="31" s="1"/>
  <c r="J91" i="31"/>
  <c r="J123" i="31" s="1"/>
  <c r="K91" i="31"/>
  <c r="K123" i="31" s="1"/>
  <c r="L91" i="31"/>
  <c r="L123" i="31" s="1"/>
  <c r="M91" i="31"/>
  <c r="M123" i="31" s="1"/>
  <c r="N91" i="31"/>
  <c r="N123" i="31" s="1"/>
  <c r="O91" i="31"/>
  <c r="O123" i="31" s="1"/>
  <c r="P91" i="31"/>
  <c r="P123" i="31" s="1"/>
  <c r="Q91" i="31"/>
  <c r="Q123" i="31" s="1"/>
  <c r="R91" i="31"/>
  <c r="R123" i="31" s="1"/>
  <c r="S91" i="31"/>
  <c r="S123" i="31" s="1"/>
  <c r="T91" i="31"/>
  <c r="T123" i="31" s="1"/>
  <c r="E92" i="31"/>
  <c r="E124" i="31" s="1"/>
  <c r="F92" i="31"/>
  <c r="F124" i="31" s="1"/>
  <c r="G92" i="31"/>
  <c r="G124" i="31" s="1"/>
  <c r="H92" i="31"/>
  <c r="H124" i="31" s="1"/>
  <c r="I92" i="31"/>
  <c r="I124" i="31" s="1"/>
  <c r="J92" i="31"/>
  <c r="J124" i="31" s="1"/>
  <c r="K92" i="31"/>
  <c r="K124" i="31" s="1"/>
  <c r="L92" i="31"/>
  <c r="L124" i="31" s="1"/>
  <c r="M92" i="31"/>
  <c r="M124" i="31" s="1"/>
  <c r="N92" i="31"/>
  <c r="N124" i="31" s="1"/>
  <c r="O92" i="31"/>
  <c r="O124" i="31" s="1"/>
  <c r="P92" i="31"/>
  <c r="P124" i="31" s="1"/>
  <c r="Q92" i="31"/>
  <c r="Q124" i="31" s="1"/>
  <c r="R92" i="31"/>
  <c r="R124" i="31" s="1"/>
  <c r="S92" i="31"/>
  <c r="S124" i="31" s="1"/>
  <c r="T92" i="31"/>
  <c r="T124" i="31" s="1"/>
  <c r="E93" i="31"/>
  <c r="E125" i="31" s="1"/>
  <c r="F93" i="31"/>
  <c r="F125" i="31" s="1"/>
  <c r="G93" i="31"/>
  <c r="G125" i="31" s="1"/>
  <c r="H93" i="31"/>
  <c r="H125" i="31" s="1"/>
  <c r="I93" i="31"/>
  <c r="I125" i="31" s="1"/>
  <c r="J93" i="31"/>
  <c r="J125" i="31" s="1"/>
  <c r="K93" i="31"/>
  <c r="K125" i="31" s="1"/>
  <c r="L93" i="31"/>
  <c r="L125" i="31" s="1"/>
  <c r="M93" i="31"/>
  <c r="M125" i="31" s="1"/>
  <c r="N93" i="31"/>
  <c r="N125" i="31" s="1"/>
  <c r="O93" i="31"/>
  <c r="O125" i="31" s="1"/>
  <c r="P93" i="31"/>
  <c r="P125" i="31" s="1"/>
  <c r="Q93" i="31"/>
  <c r="Q125" i="31" s="1"/>
  <c r="R93" i="31"/>
  <c r="R125" i="31" s="1"/>
  <c r="S93" i="31"/>
  <c r="S125" i="31" s="1"/>
  <c r="T93" i="31"/>
  <c r="T125" i="31" s="1"/>
  <c r="E94" i="31"/>
  <c r="E126" i="31" s="1"/>
  <c r="F94" i="31"/>
  <c r="F126" i="31" s="1"/>
  <c r="G94" i="31"/>
  <c r="G126" i="31" s="1"/>
  <c r="H94" i="31"/>
  <c r="H126" i="31" s="1"/>
  <c r="I94" i="31"/>
  <c r="I126" i="31" s="1"/>
  <c r="J94" i="31"/>
  <c r="J126" i="31" s="1"/>
  <c r="K94" i="31"/>
  <c r="K126" i="31" s="1"/>
  <c r="L94" i="31"/>
  <c r="L126" i="31" s="1"/>
  <c r="M94" i="31"/>
  <c r="M126" i="31" s="1"/>
  <c r="N94" i="31"/>
  <c r="N126" i="31" s="1"/>
  <c r="O94" i="31"/>
  <c r="O126" i="31" s="1"/>
  <c r="P94" i="31"/>
  <c r="P126" i="31" s="1"/>
  <c r="Q94" i="31"/>
  <c r="Q126" i="31" s="1"/>
  <c r="R94" i="31"/>
  <c r="R126" i="31" s="1"/>
  <c r="S94" i="31"/>
  <c r="S126" i="31" s="1"/>
  <c r="T94" i="31"/>
  <c r="T126" i="31" s="1"/>
  <c r="E95" i="31"/>
  <c r="F95" i="31"/>
  <c r="G95" i="31"/>
  <c r="H95" i="31"/>
  <c r="I95" i="31"/>
  <c r="J95" i="31"/>
  <c r="K95" i="31"/>
  <c r="L95" i="31"/>
  <c r="M95" i="31"/>
  <c r="N95" i="31"/>
  <c r="O95" i="31"/>
  <c r="P95" i="31"/>
  <c r="Q95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E47" i="30"/>
  <c r="F47" i="30"/>
  <c r="G47" i="30"/>
  <c r="H47" i="30"/>
  <c r="I47" i="30"/>
  <c r="J47" i="30"/>
  <c r="K47" i="30"/>
  <c r="K86" i="30" s="1"/>
  <c r="K125" i="30" s="1"/>
  <c r="L47" i="30"/>
  <c r="M47" i="30"/>
  <c r="N47" i="30"/>
  <c r="O47" i="30"/>
  <c r="P47" i="30"/>
  <c r="Q47" i="30"/>
  <c r="R47" i="30"/>
  <c r="S47" i="30"/>
  <c r="T47" i="30"/>
  <c r="E48" i="30"/>
  <c r="F48" i="30"/>
  <c r="G48" i="30"/>
  <c r="H48" i="30"/>
  <c r="I48" i="30"/>
  <c r="J48" i="30"/>
  <c r="K48" i="30"/>
  <c r="K87" i="30" s="1"/>
  <c r="K126" i="30" s="1"/>
  <c r="L48" i="30"/>
  <c r="M48" i="30"/>
  <c r="N48" i="30"/>
  <c r="O48" i="30"/>
  <c r="P48" i="30"/>
  <c r="Q48" i="30"/>
  <c r="R48" i="30"/>
  <c r="S48" i="30"/>
  <c r="T48" i="30"/>
  <c r="E49" i="30"/>
  <c r="F49" i="30"/>
  <c r="G49" i="30"/>
  <c r="H49" i="30"/>
  <c r="I49" i="30"/>
  <c r="J49" i="30"/>
  <c r="K49" i="30"/>
  <c r="K88" i="30" s="1"/>
  <c r="K127" i="30" s="1"/>
  <c r="L49" i="30"/>
  <c r="M49" i="30"/>
  <c r="N49" i="30"/>
  <c r="O49" i="30"/>
  <c r="P49" i="30"/>
  <c r="Q49" i="30"/>
  <c r="R49" i="30"/>
  <c r="S49" i="30"/>
  <c r="T49" i="30"/>
  <c r="E50" i="30"/>
  <c r="F50" i="30"/>
  <c r="G50" i="30"/>
  <c r="H50" i="30"/>
  <c r="I50" i="30"/>
  <c r="J50" i="30"/>
  <c r="K50" i="30"/>
  <c r="K89" i="30" s="1"/>
  <c r="K128" i="30" s="1"/>
  <c r="L50" i="30"/>
  <c r="M50" i="30"/>
  <c r="N50" i="30"/>
  <c r="O50" i="30"/>
  <c r="P50" i="30"/>
  <c r="Q50" i="30"/>
  <c r="R50" i="30"/>
  <c r="S50" i="30"/>
  <c r="T50" i="30"/>
  <c r="E51" i="30"/>
  <c r="F51" i="30"/>
  <c r="G51" i="30"/>
  <c r="H51" i="30"/>
  <c r="I51" i="30"/>
  <c r="J51" i="30"/>
  <c r="K51" i="30"/>
  <c r="K90" i="30" s="1"/>
  <c r="K129" i="30" s="1"/>
  <c r="L51" i="30"/>
  <c r="M51" i="30"/>
  <c r="N51" i="30"/>
  <c r="O51" i="30"/>
  <c r="P51" i="30"/>
  <c r="Q51" i="30"/>
  <c r="R51" i="30"/>
  <c r="S51" i="30"/>
  <c r="T51" i="30"/>
  <c r="E52" i="30"/>
  <c r="F52" i="30"/>
  <c r="G52" i="30"/>
  <c r="H52" i="30"/>
  <c r="I52" i="30"/>
  <c r="J52" i="30"/>
  <c r="K52" i="30"/>
  <c r="K91" i="30" s="1"/>
  <c r="K130" i="30" s="1"/>
  <c r="L52" i="30"/>
  <c r="M52" i="30"/>
  <c r="N52" i="30"/>
  <c r="O52" i="30"/>
  <c r="P52" i="30"/>
  <c r="Q52" i="30"/>
  <c r="R52" i="30"/>
  <c r="S52" i="30"/>
  <c r="T52" i="30"/>
  <c r="E53" i="30"/>
  <c r="F53" i="30"/>
  <c r="G53" i="30"/>
  <c r="H53" i="30"/>
  <c r="I53" i="30"/>
  <c r="J53" i="30"/>
  <c r="K53" i="30"/>
  <c r="K92" i="30" s="1"/>
  <c r="K131" i="30" s="1"/>
  <c r="L53" i="30"/>
  <c r="M53" i="30"/>
  <c r="N53" i="30"/>
  <c r="O53" i="30"/>
  <c r="P53" i="30"/>
  <c r="Q53" i="30"/>
  <c r="R53" i="30"/>
  <c r="S53" i="30"/>
  <c r="T53" i="30"/>
  <c r="E54" i="30"/>
  <c r="F54" i="30"/>
  <c r="G54" i="30"/>
  <c r="H54" i="30"/>
  <c r="I54" i="30"/>
  <c r="J54" i="30"/>
  <c r="K54" i="30"/>
  <c r="K93" i="30" s="1"/>
  <c r="K132" i="30" s="1"/>
  <c r="L54" i="30"/>
  <c r="M54" i="30"/>
  <c r="N54" i="30"/>
  <c r="O54" i="30"/>
  <c r="P54" i="30"/>
  <c r="Q54" i="30"/>
  <c r="R54" i="30"/>
  <c r="S54" i="30"/>
  <c r="T54" i="30"/>
  <c r="E55" i="30"/>
  <c r="F55" i="30"/>
  <c r="G55" i="30"/>
  <c r="H55" i="30"/>
  <c r="I55" i="30"/>
  <c r="J55" i="30"/>
  <c r="K55" i="30"/>
  <c r="K94" i="30" s="1"/>
  <c r="K133" i="30" s="1"/>
  <c r="L55" i="30"/>
  <c r="M55" i="30"/>
  <c r="N55" i="30"/>
  <c r="O55" i="30"/>
  <c r="P55" i="30"/>
  <c r="Q55" i="30"/>
  <c r="R55" i="30"/>
  <c r="S55" i="30"/>
  <c r="T55" i="30"/>
  <c r="E56" i="30"/>
  <c r="F56" i="30"/>
  <c r="G56" i="30"/>
  <c r="H56" i="30"/>
  <c r="I56" i="30"/>
  <c r="J56" i="30"/>
  <c r="K56" i="30"/>
  <c r="K95" i="30" s="1"/>
  <c r="L56" i="30"/>
  <c r="M56" i="30"/>
  <c r="N56" i="30"/>
  <c r="O56" i="30"/>
  <c r="P56" i="30"/>
  <c r="Q56" i="30"/>
  <c r="R56" i="30"/>
  <c r="S56" i="30"/>
  <c r="T56" i="30"/>
  <c r="E57" i="30"/>
  <c r="F57" i="30"/>
  <c r="G57" i="30"/>
  <c r="H57" i="30"/>
  <c r="I57" i="30"/>
  <c r="J57" i="30"/>
  <c r="K57" i="30"/>
  <c r="K96" i="30" s="1"/>
  <c r="L57" i="30"/>
  <c r="M57" i="30"/>
  <c r="N57" i="30"/>
  <c r="O57" i="30"/>
  <c r="P57" i="30"/>
  <c r="Q57" i="30"/>
  <c r="R57" i="30"/>
  <c r="S57" i="30"/>
  <c r="T57" i="30"/>
  <c r="E58" i="30"/>
  <c r="F58" i="30"/>
  <c r="G58" i="30"/>
  <c r="H58" i="30"/>
  <c r="I58" i="30"/>
  <c r="J58" i="30"/>
  <c r="K58" i="30"/>
  <c r="K97" i="30" s="1"/>
  <c r="L58" i="30"/>
  <c r="M58" i="30"/>
  <c r="N58" i="30"/>
  <c r="O58" i="30"/>
  <c r="P58" i="30"/>
  <c r="Q58" i="30"/>
  <c r="R58" i="30"/>
  <c r="S58" i="30"/>
  <c r="T58" i="30"/>
  <c r="E59" i="30"/>
  <c r="F59" i="30"/>
  <c r="G59" i="30"/>
  <c r="H59" i="30"/>
  <c r="I59" i="30"/>
  <c r="J59" i="30"/>
  <c r="K59" i="30"/>
  <c r="K98" i="30" s="1"/>
  <c r="L59" i="30"/>
  <c r="M59" i="30"/>
  <c r="N59" i="30"/>
  <c r="O59" i="30"/>
  <c r="P59" i="30"/>
  <c r="Q59" i="30"/>
  <c r="R59" i="30"/>
  <c r="S59" i="30"/>
  <c r="T59" i="30"/>
  <c r="E60" i="30"/>
  <c r="F60" i="30"/>
  <c r="G60" i="30"/>
  <c r="H60" i="30"/>
  <c r="I60" i="30"/>
  <c r="J60" i="30"/>
  <c r="K60" i="30"/>
  <c r="K99" i="30" s="1"/>
  <c r="L60" i="30"/>
  <c r="M60" i="30"/>
  <c r="N60" i="30"/>
  <c r="O60" i="30"/>
  <c r="P60" i="30"/>
  <c r="Q60" i="30"/>
  <c r="R60" i="30"/>
  <c r="S60" i="30"/>
  <c r="T60" i="30"/>
  <c r="E61" i="30"/>
  <c r="F61" i="30"/>
  <c r="G61" i="30"/>
  <c r="H61" i="30"/>
  <c r="I61" i="30"/>
  <c r="J61" i="30"/>
  <c r="K61" i="30"/>
  <c r="K100" i="30" s="1"/>
  <c r="L61" i="30"/>
  <c r="M61" i="30"/>
  <c r="N61" i="30"/>
  <c r="O61" i="30"/>
  <c r="P61" i="30"/>
  <c r="Q61" i="30"/>
  <c r="R61" i="30"/>
  <c r="S61" i="30"/>
  <c r="T61" i="30"/>
  <c r="E62" i="30"/>
  <c r="F62" i="30"/>
  <c r="G62" i="30"/>
  <c r="H62" i="30"/>
  <c r="I62" i="30"/>
  <c r="J62" i="30"/>
  <c r="K62" i="30"/>
  <c r="K101" i="30" s="1"/>
  <c r="L62" i="30"/>
  <c r="M62" i="30"/>
  <c r="N62" i="30"/>
  <c r="O62" i="30"/>
  <c r="P62" i="30"/>
  <c r="Q62" i="30"/>
  <c r="R62" i="30"/>
  <c r="S62" i="30"/>
  <c r="T62" i="30"/>
  <c r="E63" i="30"/>
  <c r="F63" i="30"/>
  <c r="G63" i="30"/>
  <c r="H63" i="30"/>
  <c r="I63" i="30"/>
  <c r="J63" i="30"/>
  <c r="K63" i="30"/>
  <c r="K102" i="30" s="1"/>
  <c r="L63" i="30"/>
  <c r="M63" i="30"/>
  <c r="N63" i="30"/>
  <c r="O63" i="30"/>
  <c r="P63" i="30"/>
  <c r="Q63" i="30"/>
  <c r="R63" i="30"/>
  <c r="S63" i="30"/>
  <c r="T63" i="30"/>
  <c r="E64" i="30"/>
  <c r="F64" i="30"/>
  <c r="G64" i="30"/>
  <c r="H64" i="30"/>
  <c r="I64" i="30"/>
  <c r="J64" i="30"/>
  <c r="K64" i="30"/>
  <c r="K103" i="30" s="1"/>
  <c r="L64" i="30"/>
  <c r="M64" i="30"/>
  <c r="N64" i="30"/>
  <c r="O64" i="30"/>
  <c r="P64" i="30"/>
  <c r="Q64" i="30"/>
  <c r="R64" i="30"/>
  <c r="S64" i="30"/>
  <c r="T64" i="30"/>
  <c r="E65" i="30"/>
  <c r="F65" i="30"/>
  <c r="G65" i="30"/>
  <c r="H65" i="30"/>
  <c r="I65" i="30"/>
  <c r="J65" i="30"/>
  <c r="K65" i="30"/>
  <c r="K104" i="30" s="1"/>
  <c r="L65" i="30"/>
  <c r="M65" i="30"/>
  <c r="N65" i="30"/>
  <c r="O65" i="30"/>
  <c r="P65" i="30"/>
  <c r="Q65" i="30"/>
  <c r="R65" i="30"/>
  <c r="S65" i="30"/>
  <c r="T65" i="30"/>
  <c r="E66" i="30"/>
  <c r="F66" i="30"/>
  <c r="G66" i="30"/>
  <c r="H66" i="30"/>
  <c r="I66" i="30"/>
  <c r="J66" i="30"/>
  <c r="K66" i="30"/>
  <c r="K105" i="30" s="1"/>
  <c r="L66" i="30"/>
  <c r="M66" i="30"/>
  <c r="N66" i="30"/>
  <c r="O66" i="30"/>
  <c r="P66" i="30"/>
  <c r="Q66" i="30"/>
  <c r="R66" i="30"/>
  <c r="S66" i="30"/>
  <c r="T66" i="30"/>
  <c r="E67" i="30"/>
  <c r="F67" i="30"/>
  <c r="G67" i="30"/>
  <c r="H67" i="30"/>
  <c r="H106" i="30" s="1"/>
  <c r="I67" i="30"/>
  <c r="I106" i="30" s="1"/>
  <c r="J67" i="30"/>
  <c r="K67" i="30"/>
  <c r="L67" i="30"/>
  <c r="M67" i="30"/>
  <c r="N67" i="30"/>
  <c r="O67" i="30"/>
  <c r="P67" i="30"/>
  <c r="Q67" i="30"/>
  <c r="R67" i="30"/>
  <c r="S67" i="30"/>
  <c r="T67" i="30"/>
  <c r="E68" i="30"/>
  <c r="F68" i="30"/>
  <c r="G68" i="30"/>
  <c r="G107" i="30" s="1"/>
  <c r="H68" i="30"/>
  <c r="I68" i="30"/>
  <c r="I107" i="30" s="1"/>
  <c r="J68" i="30"/>
  <c r="K68" i="30"/>
  <c r="L68" i="30"/>
  <c r="M68" i="30"/>
  <c r="N68" i="30"/>
  <c r="O68" i="30"/>
  <c r="P68" i="30"/>
  <c r="Q68" i="30"/>
  <c r="R68" i="30"/>
  <c r="S68" i="30"/>
  <c r="T68" i="30"/>
  <c r="E69" i="30"/>
  <c r="F69" i="30"/>
  <c r="G69" i="30"/>
  <c r="H69" i="30"/>
  <c r="I69" i="30"/>
  <c r="I108" i="30" s="1"/>
  <c r="J69" i="30"/>
  <c r="K69" i="30"/>
  <c r="L69" i="30"/>
  <c r="M69" i="30"/>
  <c r="N69" i="30"/>
  <c r="O69" i="30"/>
  <c r="P69" i="30"/>
  <c r="Q69" i="30"/>
  <c r="R69" i="30"/>
  <c r="S69" i="30"/>
  <c r="T69" i="30"/>
  <c r="E70" i="30"/>
  <c r="F70" i="30"/>
  <c r="G70" i="30"/>
  <c r="H70" i="30"/>
  <c r="I70" i="30"/>
  <c r="I109" i="30" s="1"/>
  <c r="J70" i="30"/>
  <c r="K70" i="30"/>
  <c r="L70" i="30"/>
  <c r="M70" i="30"/>
  <c r="N70" i="30"/>
  <c r="O70" i="30"/>
  <c r="P70" i="30"/>
  <c r="Q70" i="30"/>
  <c r="R70" i="30"/>
  <c r="S70" i="30"/>
  <c r="T70" i="30"/>
  <c r="E71" i="30"/>
  <c r="F71" i="30"/>
  <c r="G71" i="30"/>
  <c r="H71" i="30"/>
  <c r="I71" i="30"/>
  <c r="I110" i="30" s="1"/>
  <c r="J71" i="30"/>
  <c r="K71" i="30"/>
  <c r="L71" i="30"/>
  <c r="M71" i="30"/>
  <c r="N71" i="30"/>
  <c r="O71" i="30"/>
  <c r="P71" i="30"/>
  <c r="Q71" i="30"/>
  <c r="R71" i="30"/>
  <c r="S71" i="30"/>
  <c r="T71" i="30"/>
  <c r="E72" i="30"/>
  <c r="F72" i="30"/>
  <c r="G72" i="30"/>
  <c r="H72" i="30"/>
  <c r="I72" i="30"/>
  <c r="J72" i="30"/>
  <c r="J111" i="30" s="1"/>
  <c r="K72" i="30"/>
  <c r="L72" i="30"/>
  <c r="M72" i="30"/>
  <c r="N72" i="30"/>
  <c r="O72" i="30"/>
  <c r="P72" i="30"/>
  <c r="Q72" i="30"/>
  <c r="R72" i="30"/>
  <c r="S72" i="30"/>
  <c r="T72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E76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E78" i="30"/>
  <c r="F78" i="30"/>
  <c r="G78" i="30"/>
  <c r="H78" i="30"/>
  <c r="I78" i="30"/>
  <c r="J78" i="30"/>
  <c r="K78" i="30"/>
  <c r="L78" i="30"/>
  <c r="M78" i="30"/>
  <c r="N78" i="30"/>
  <c r="O78" i="30"/>
  <c r="P78" i="30"/>
  <c r="Q78" i="30"/>
  <c r="R78" i="30"/>
  <c r="S78" i="30"/>
  <c r="T78" i="30"/>
  <c r="E79" i="30"/>
  <c r="F79" i="30"/>
  <c r="G79" i="30"/>
  <c r="H79" i="30"/>
  <c r="I79" i="30"/>
  <c r="J79" i="30"/>
  <c r="K79" i="30"/>
  <c r="L79" i="30"/>
  <c r="M79" i="30"/>
  <c r="N79" i="30"/>
  <c r="O79" i="30"/>
  <c r="P79" i="30"/>
  <c r="Q79" i="30"/>
  <c r="R79" i="30"/>
  <c r="S79" i="30"/>
  <c r="T79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E82" i="30"/>
  <c r="F82" i="30"/>
  <c r="G82" i="30"/>
  <c r="G121" i="30" s="1"/>
  <c r="H82" i="30"/>
  <c r="H121" i="30" s="1"/>
  <c r="I82" i="30"/>
  <c r="I121" i="30" s="1"/>
  <c r="J82" i="30"/>
  <c r="J121" i="30" s="1"/>
  <c r="K82" i="30"/>
  <c r="K121" i="30" s="1"/>
  <c r="L82" i="30"/>
  <c r="L121" i="30" s="1"/>
  <c r="M82" i="30"/>
  <c r="M121" i="30" s="1"/>
  <c r="N82" i="30"/>
  <c r="N121" i="30" s="1"/>
  <c r="O82" i="30"/>
  <c r="O121" i="30" s="1"/>
  <c r="P82" i="30"/>
  <c r="P121" i="30" s="1"/>
  <c r="Q82" i="30"/>
  <c r="Q121" i="30" s="1"/>
  <c r="R82" i="30"/>
  <c r="R121" i="30" s="1"/>
  <c r="S82" i="30"/>
  <c r="S121" i="30" s="1"/>
  <c r="T82" i="30"/>
  <c r="T121" i="30" s="1"/>
  <c r="E83" i="30"/>
  <c r="E122" i="30" s="1"/>
  <c r="F83" i="30"/>
  <c r="F122" i="30" s="1"/>
  <c r="G83" i="30"/>
  <c r="G122" i="30" s="1"/>
  <c r="H83" i="30"/>
  <c r="H122" i="30" s="1"/>
  <c r="I83" i="30"/>
  <c r="I122" i="30" s="1"/>
  <c r="J83" i="30"/>
  <c r="J122" i="30" s="1"/>
  <c r="K83" i="30"/>
  <c r="K122" i="30" s="1"/>
  <c r="L83" i="30"/>
  <c r="L122" i="30" s="1"/>
  <c r="M83" i="30"/>
  <c r="M122" i="30" s="1"/>
  <c r="N83" i="30"/>
  <c r="N122" i="30" s="1"/>
  <c r="O83" i="30"/>
  <c r="O122" i="30" s="1"/>
  <c r="P83" i="30"/>
  <c r="P122" i="30" s="1"/>
  <c r="Q83" i="30"/>
  <c r="Q122" i="30" s="1"/>
  <c r="R83" i="30"/>
  <c r="R122" i="30" s="1"/>
  <c r="S83" i="30"/>
  <c r="S122" i="30" s="1"/>
  <c r="T83" i="30"/>
  <c r="T122" i="30" s="1"/>
  <c r="E84" i="30"/>
  <c r="E123" i="30" s="1"/>
  <c r="F84" i="30"/>
  <c r="F123" i="30" s="1"/>
  <c r="G84" i="30"/>
  <c r="G123" i="30" s="1"/>
  <c r="H84" i="30"/>
  <c r="H123" i="30" s="1"/>
  <c r="I84" i="30"/>
  <c r="I123" i="30" s="1"/>
  <c r="J84" i="30"/>
  <c r="J123" i="30" s="1"/>
  <c r="K84" i="30"/>
  <c r="K123" i="30" s="1"/>
  <c r="L84" i="30"/>
  <c r="L123" i="30" s="1"/>
  <c r="M84" i="30"/>
  <c r="M123" i="30" s="1"/>
  <c r="N84" i="30"/>
  <c r="N123" i="30" s="1"/>
  <c r="O84" i="30"/>
  <c r="O123" i="30" s="1"/>
  <c r="P84" i="30"/>
  <c r="P123" i="30" s="1"/>
  <c r="Q84" i="30"/>
  <c r="Q123" i="30" s="1"/>
  <c r="R84" i="30"/>
  <c r="R123" i="30" s="1"/>
  <c r="S84" i="30"/>
  <c r="S123" i="30" s="1"/>
  <c r="T84" i="30"/>
  <c r="T123" i="30" s="1"/>
  <c r="E85" i="30"/>
  <c r="E124" i="30" s="1"/>
  <c r="F85" i="30"/>
  <c r="F124" i="30" s="1"/>
  <c r="G85" i="30"/>
  <c r="G124" i="30" s="1"/>
  <c r="H85" i="30"/>
  <c r="H124" i="30" s="1"/>
  <c r="I85" i="30"/>
  <c r="I124" i="30" s="1"/>
  <c r="L85" i="30"/>
  <c r="L124" i="30" s="1"/>
  <c r="M85" i="30"/>
  <c r="M124" i="30" s="1"/>
  <c r="N85" i="30"/>
  <c r="N124" i="30" s="1"/>
  <c r="O85" i="30"/>
  <c r="O124" i="30" s="1"/>
  <c r="P85" i="30"/>
  <c r="P124" i="30" s="1"/>
  <c r="Q85" i="30"/>
  <c r="Q124" i="30" s="1"/>
  <c r="R85" i="30"/>
  <c r="R124" i="30" s="1"/>
  <c r="S85" i="30"/>
  <c r="S124" i="30" s="1"/>
  <c r="T85" i="30"/>
  <c r="T124" i="30" s="1"/>
  <c r="E86" i="30"/>
  <c r="E125" i="30" s="1"/>
  <c r="F86" i="30"/>
  <c r="F125" i="30" s="1"/>
  <c r="G86" i="30"/>
  <c r="G125" i="30" s="1"/>
  <c r="H86" i="30"/>
  <c r="H125" i="30" s="1"/>
  <c r="I86" i="30"/>
  <c r="I125" i="30" s="1"/>
  <c r="J86" i="30"/>
  <c r="J125" i="30" s="1"/>
  <c r="L86" i="30"/>
  <c r="L125" i="30" s="1"/>
  <c r="M86" i="30"/>
  <c r="M125" i="30" s="1"/>
  <c r="N86" i="30"/>
  <c r="N125" i="30" s="1"/>
  <c r="O86" i="30"/>
  <c r="O125" i="30" s="1"/>
  <c r="P86" i="30"/>
  <c r="P125" i="30" s="1"/>
  <c r="Q86" i="30"/>
  <c r="Q125" i="30" s="1"/>
  <c r="R86" i="30"/>
  <c r="R125" i="30" s="1"/>
  <c r="S86" i="30"/>
  <c r="S125" i="30" s="1"/>
  <c r="T86" i="30"/>
  <c r="T125" i="30" s="1"/>
  <c r="E87" i="30"/>
  <c r="E126" i="30" s="1"/>
  <c r="F87" i="30"/>
  <c r="F126" i="30" s="1"/>
  <c r="G87" i="30"/>
  <c r="G126" i="30" s="1"/>
  <c r="H87" i="30"/>
  <c r="H126" i="30" s="1"/>
  <c r="I87" i="30"/>
  <c r="I126" i="30" s="1"/>
  <c r="J87" i="30"/>
  <c r="J126" i="30" s="1"/>
  <c r="L87" i="30"/>
  <c r="L126" i="30" s="1"/>
  <c r="M87" i="30"/>
  <c r="M126" i="30" s="1"/>
  <c r="N87" i="30"/>
  <c r="N126" i="30" s="1"/>
  <c r="O87" i="30"/>
  <c r="O126" i="30" s="1"/>
  <c r="P87" i="30"/>
  <c r="P126" i="30" s="1"/>
  <c r="Q87" i="30"/>
  <c r="Q126" i="30" s="1"/>
  <c r="R87" i="30"/>
  <c r="R126" i="30" s="1"/>
  <c r="S87" i="30"/>
  <c r="S126" i="30" s="1"/>
  <c r="T87" i="30"/>
  <c r="T126" i="30" s="1"/>
  <c r="E88" i="30"/>
  <c r="E127" i="30" s="1"/>
  <c r="F88" i="30"/>
  <c r="F127" i="30" s="1"/>
  <c r="G88" i="30"/>
  <c r="G127" i="30" s="1"/>
  <c r="H88" i="30"/>
  <c r="H127" i="30" s="1"/>
  <c r="I88" i="30"/>
  <c r="I127" i="30" s="1"/>
  <c r="J88" i="30"/>
  <c r="J127" i="30" s="1"/>
  <c r="L88" i="30"/>
  <c r="L127" i="30" s="1"/>
  <c r="M88" i="30"/>
  <c r="M127" i="30" s="1"/>
  <c r="N88" i="30"/>
  <c r="N127" i="30" s="1"/>
  <c r="O88" i="30"/>
  <c r="O127" i="30" s="1"/>
  <c r="P88" i="30"/>
  <c r="P127" i="30" s="1"/>
  <c r="Q88" i="30"/>
  <c r="Q127" i="30" s="1"/>
  <c r="R88" i="30"/>
  <c r="R127" i="30" s="1"/>
  <c r="S88" i="30"/>
  <c r="S127" i="30" s="1"/>
  <c r="T88" i="30"/>
  <c r="T127" i="30" s="1"/>
  <c r="E89" i="30"/>
  <c r="E128" i="30" s="1"/>
  <c r="F89" i="30"/>
  <c r="F128" i="30" s="1"/>
  <c r="G89" i="30"/>
  <c r="G128" i="30" s="1"/>
  <c r="H89" i="30"/>
  <c r="H128" i="30" s="1"/>
  <c r="I89" i="30"/>
  <c r="I128" i="30" s="1"/>
  <c r="J89" i="30"/>
  <c r="J128" i="30" s="1"/>
  <c r="L89" i="30"/>
  <c r="L128" i="30" s="1"/>
  <c r="M89" i="30"/>
  <c r="M128" i="30" s="1"/>
  <c r="N89" i="30"/>
  <c r="N128" i="30" s="1"/>
  <c r="O89" i="30"/>
  <c r="O128" i="30" s="1"/>
  <c r="P89" i="30"/>
  <c r="P128" i="30" s="1"/>
  <c r="Q89" i="30"/>
  <c r="Q128" i="30" s="1"/>
  <c r="R89" i="30"/>
  <c r="R128" i="30" s="1"/>
  <c r="S89" i="30"/>
  <c r="S128" i="30" s="1"/>
  <c r="T89" i="30"/>
  <c r="T128" i="30" s="1"/>
  <c r="E90" i="30"/>
  <c r="E129" i="30" s="1"/>
  <c r="F90" i="30"/>
  <c r="F129" i="30" s="1"/>
  <c r="G90" i="30"/>
  <c r="G129" i="30" s="1"/>
  <c r="H90" i="30"/>
  <c r="H129" i="30" s="1"/>
  <c r="I90" i="30"/>
  <c r="I129" i="30" s="1"/>
  <c r="J90" i="30"/>
  <c r="J129" i="30" s="1"/>
  <c r="L90" i="30"/>
  <c r="L129" i="30" s="1"/>
  <c r="M90" i="30"/>
  <c r="M129" i="30" s="1"/>
  <c r="N90" i="30"/>
  <c r="N129" i="30" s="1"/>
  <c r="O90" i="30"/>
  <c r="O129" i="30" s="1"/>
  <c r="P90" i="30"/>
  <c r="P129" i="30" s="1"/>
  <c r="Q90" i="30"/>
  <c r="Q129" i="30" s="1"/>
  <c r="R90" i="30"/>
  <c r="R129" i="30" s="1"/>
  <c r="S90" i="30"/>
  <c r="S129" i="30" s="1"/>
  <c r="T90" i="30"/>
  <c r="T129" i="30" s="1"/>
  <c r="E91" i="30"/>
  <c r="E130" i="30" s="1"/>
  <c r="F91" i="30"/>
  <c r="F130" i="30" s="1"/>
  <c r="G91" i="30"/>
  <c r="G130" i="30" s="1"/>
  <c r="H91" i="30"/>
  <c r="H130" i="30" s="1"/>
  <c r="I91" i="30"/>
  <c r="I130" i="30" s="1"/>
  <c r="J91" i="30"/>
  <c r="J130" i="30" s="1"/>
  <c r="L91" i="30"/>
  <c r="L130" i="30" s="1"/>
  <c r="M91" i="30"/>
  <c r="M130" i="30" s="1"/>
  <c r="N91" i="30"/>
  <c r="N130" i="30" s="1"/>
  <c r="O91" i="30"/>
  <c r="O130" i="30" s="1"/>
  <c r="P91" i="30"/>
  <c r="P130" i="30" s="1"/>
  <c r="Q91" i="30"/>
  <c r="Q130" i="30" s="1"/>
  <c r="R91" i="30"/>
  <c r="R130" i="30" s="1"/>
  <c r="S91" i="30"/>
  <c r="S130" i="30" s="1"/>
  <c r="T91" i="30"/>
  <c r="T130" i="30" s="1"/>
  <c r="E92" i="30"/>
  <c r="E131" i="30" s="1"/>
  <c r="F92" i="30"/>
  <c r="F131" i="30" s="1"/>
  <c r="G92" i="30"/>
  <c r="G131" i="30" s="1"/>
  <c r="H92" i="30"/>
  <c r="H131" i="30" s="1"/>
  <c r="I92" i="30"/>
  <c r="I131" i="30" s="1"/>
  <c r="J92" i="30"/>
  <c r="J131" i="30" s="1"/>
  <c r="L92" i="30"/>
  <c r="L131" i="30" s="1"/>
  <c r="M92" i="30"/>
  <c r="M131" i="30" s="1"/>
  <c r="N92" i="30"/>
  <c r="N131" i="30" s="1"/>
  <c r="O92" i="30"/>
  <c r="O131" i="30" s="1"/>
  <c r="P92" i="30"/>
  <c r="P131" i="30" s="1"/>
  <c r="Q92" i="30"/>
  <c r="Q131" i="30" s="1"/>
  <c r="R92" i="30"/>
  <c r="R131" i="30" s="1"/>
  <c r="S92" i="30"/>
  <c r="S131" i="30" s="1"/>
  <c r="T92" i="30"/>
  <c r="T131" i="30" s="1"/>
  <c r="E93" i="30"/>
  <c r="E132" i="30" s="1"/>
  <c r="F93" i="30"/>
  <c r="F132" i="30" s="1"/>
  <c r="G93" i="30"/>
  <c r="G132" i="30" s="1"/>
  <c r="H93" i="30"/>
  <c r="H132" i="30" s="1"/>
  <c r="I93" i="30"/>
  <c r="I132" i="30" s="1"/>
  <c r="J93" i="30"/>
  <c r="J132" i="30" s="1"/>
  <c r="L93" i="30"/>
  <c r="L132" i="30" s="1"/>
  <c r="M93" i="30"/>
  <c r="M132" i="30" s="1"/>
  <c r="N93" i="30"/>
  <c r="N132" i="30" s="1"/>
  <c r="O93" i="30"/>
  <c r="O132" i="30" s="1"/>
  <c r="P93" i="30"/>
  <c r="P132" i="30" s="1"/>
  <c r="Q93" i="30"/>
  <c r="Q132" i="30" s="1"/>
  <c r="R93" i="30"/>
  <c r="R132" i="30" s="1"/>
  <c r="S93" i="30"/>
  <c r="S132" i="30" s="1"/>
  <c r="T93" i="30"/>
  <c r="T132" i="30" s="1"/>
  <c r="E94" i="30"/>
  <c r="E133" i="30" s="1"/>
  <c r="F94" i="30"/>
  <c r="F133" i="30" s="1"/>
  <c r="G94" i="30"/>
  <c r="G133" i="30" s="1"/>
  <c r="H94" i="30"/>
  <c r="H133" i="30" s="1"/>
  <c r="I94" i="30"/>
  <c r="I133" i="30" s="1"/>
  <c r="J94" i="30"/>
  <c r="J133" i="30" s="1"/>
  <c r="L94" i="30"/>
  <c r="L133" i="30" s="1"/>
  <c r="M94" i="30"/>
  <c r="M133" i="30" s="1"/>
  <c r="N94" i="30"/>
  <c r="N133" i="30" s="1"/>
  <c r="O94" i="30"/>
  <c r="O133" i="30" s="1"/>
  <c r="P94" i="30"/>
  <c r="P133" i="30" s="1"/>
  <c r="Q94" i="30"/>
  <c r="Q133" i="30" s="1"/>
  <c r="R94" i="30"/>
  <c r="R133" i="30" s="1"/>
  <c r="S94" i="30"/>
  <c r="S133" i="30" s="1"/>
  <c r="T94" i="30"/>
  <c r="T133" i="30" s="1"/>
  <c r="E95" i="30"/>
  <c r="F95" i="30"/>
  <c r="G95" i="30"/>
  <c r="H95" i="30"/>
  <c r="I95" i="30"/>
  <c r="J95" i="30"/>
  <c r="L95" i="30"/>
  <c r="M95" i="30"/>
  <c r="N95" i="30"/>
  <c r="O95" i="30"/>
  <c r="P95" i="30"/>
  <c r="Q95" i="30"/>
  <c r="R95" i="30"/>
  <c r="S95" i="30"/>
  <c r="T95" i="30"/>
  <c r="E96" i="30"/>
  <c r="F96" i="30"/>
  <c r="G96" i="30"/>
  <c r="H96" i="30"/>
  <c r="I96" i="30"/>
  <c r="J96" i="30"/>
  <c r="L96" i="30"/>
  <c r="M96" i="30"/>
  <c r="N96" i="30"/>
  <c r="O96" i="30"/>
  <c r="P96" i="30"/>
  <c r="Q96" i="30"/>
  <c r="R96" i="30"/>
  <c r="S96" i="30"/>
  <c r="T96" i="30"/>
  <c r="E97" i="30"/>
  <c r="F97" i="30"/>
  <c r="G97" i="30"/>
  <c r="H97" i="30"/>
  <c r="I97" i="30"/>
  <c r="J97" i="30"/>
  <c r="L97" i="30"/>
  <c r="M97" i="30"/>
  <c r="N97" i="30"/>
  <c r="O97" i="30"/>
  <c r="P97" i="30"/>
  <c r="Q97" i="30"/>
  <c r="R97" i="30"/>
  <c r="S97" i="30"/>
  <c r="T97" i="30"/>
  <c r="E98" i="30"/>
  <c r="F98" i="30"/>
  <c r="G98" i="30"/>
  <c r="H98" i="30"/>
  <c r="I98" i="30"/>
  <c r="J98" i="30"/>
  <c r="L98" i="30"/>
  <c r="M98" i="30"/>
  <c r="N98" i="30"/>
  <c r="O98" i="30"/>
  <c r="P98" i="30"/>
  <c r="Q98" i="30"/>
  <c r="R98" i="30"/>
  <c r="S98" i="30"/>
  <c r="T98" i="30"/>
  <c r="E99" i="30"/>
  <c r="F99" i="30"/>
  <c r="G99" i="30"/>
  <c r="H99" i="30"/>
  <c r="I99" i="30"/>
  <c r="J99" i="30"/>
  <c r="L99" i="30"/>
  <c r="M99" i="30"/>
  <c r="N99" i="30"/>
  <c r="O99" i="30"/>
  <c r="P99" i="30"/>
  <c r="Q99" i="30"/>
  <c r="R99" i="30"/>
  <c r="S99" i="30"/>
  <c r="T99" i="30"/>
  <c r="E100" i="30"/>
  <c r="F100" i="30"/>
  <c r="G100" i="30"/>
  <c r="H100" i="30"/>
  <c r="I100" i="30"/>
  <c r="J100" i="30"/>
  <c r="L100" i="30"/>
  <c r="M100" i="30"/>
  <c r="N100" i="30"/>
  <c r="O100" i="30"/>
  <c r="P100" i="30"/>
  <c r="Q100" i="30"/>
  <c r="R100" i="30"/>
  <c r="S100" i="30"/>
  <c r="T100" i="30"/>
  <c r="E101" i="30"/>
  <c r="F101" i="30"/>
  <c r="G101" i="30"/>
  <c r="H101" i="30"/>
  <c r="I101" i="30"/>
  <c r="J101" i="30"/>
  <c r="L101" i="30"/>
  <c r="M101" i="30"/>
  <c r="N101" i="30"/>
  <c r="O101" i="30"/>
  <c r="P101" i="30"/>
  <c r="Q101" i="30"/>
  <c r="R101" i="30"/>
  <c r="S101" i="30"/>
  <c r="T101" i="30"/>
  <c r="E102" i="30"/>
  <c r="F102" i="30"/>
  <c r="G102" i="30"/>
  <c r="H102" i="30"/>
  <c r="I102" i="30"/>
  <c r="J102" i="30"/>
  <c r="L102" i="30"/>
  <c r="M102" i="30"/>
  <c r="N102" i="30"/>
  <c r="O102" i="30"/>
  <c r="P102" i="30"/>
  <c r="Q102" i="30"/>
  <c r="R102" i="30"/>
  <c r="S102" i="30"/>
  <c r="T102" i="30"/>
  <c r="E103" i="30"/>
  <c r="F103" i="30"/>
  <c r="G103" i="30"/>
  <c r="H103" i="30"/>
  <c r="I103" i="30"/>
  <c r="J103" i="30"/>
  <c r="L103" i="30"/>
  <c r="M103" i="30"/>
  <c r="N103" i="30"/>
  <c r="O103" i="30"/>
  <c r="P103" i="30"/>
  <c r="Q103" i="30"/>
  <c r="R103" i="30"/>
  <c r="S103" i="30"/>
  <c r="T103" i="30"/>
  <c r="E104" i="30"/>
  <c r="F104" i="30"/>
  <c r="G104" i="30"/>
  <c r="H104" i="30"/>
  <c r="I104" i="30"/>
  <c r="J104" i="30"/>
  <c r="L104" i="30"/>
  <c r="M104" i="30"/>
  <c r="N104" i="30"/>
  <c r="O104" i="30"/>
  <c r="P104" i="30"/>
  <c r="Q104" i="30"/>
  <c r="R104" i="30"/>
  <c r="S104" i="30"/>
  <c r="T104" i="30"/>
  <c r="E105" i="30"/>
  <c r="F105" i="30"/>
  <c r="G105" i="30"/>
  <c r="H105" i="30"/>
  <c r="I105" i="30"/>
  <c r="J105" i="30"/>
  <c r="L105" i="30"/>
  <c r="M105" i="30"/>
  <c r="N105" i="30"/>
  <c r="O105" i="30"/>
  <c r="P105" i="30"/>
  <c r="Q105" i="30"/>
  <c r="R105" i="30"/>
  <c r="S105" i="30"/>
  <c r="T105" i="30"/>
  <c r="E106" i="30"/>
  <c r="F106" i="30"/>
  <c r="G106" i="30"/>
  <c r="J106" i="30"/>
  <c r="K106" i="30"/>
  <c r="L106" i="30"/>
  <c r="M106" i="30"/>
  <c r="N106" i="30"/>
  <c r="O106" i="30"/>
  <c r="P106" i="30"/>
  <c r="Q106" i="30"/>
  <c r="R106" i="30"/>
  <c r="S106" i="30"/>
  <c r="T106" i="30"/>
  <c r="E107" i="30"/>
  <c r="F107" i="30"/>
  <c r="H107" i="30"/>
  <c r="J107" i="30"/>
  <c r="K107" i="30"/>
  <c r="L107" i="30"/>
  <c r="M107" i="30"/>
  <c r="N107" i="30"/>
  <c r="O107" i="30"/>
  <c r="P107" i="30"/>
  <c r="Q107" i="30"/>
  <c r="R107" i="30"/>
  <c r="S107" i="30"/>
  <c r="T107" i="30"/>
  <c r="E108" i="30"/>
  <c r="F108" i="30"/>
  <c r="G108" i="30"/>
  <c r="H108" i="30"/>
  <c r="J108" i="30"/>
  <c r="K108" i="30"/>
  <c r="L108" i="30"/>
  <c r="M108" i="30"/>
  <c r="N108" i="30"/>
  <c r="O108" i="30"/>
  <c r="P108" i="30"/>
  <c r="Q108" i="30"/>
  <c r="R108" i="30"/>
  <c r="S108" i="30"/>
  <c r="T108" i="30"/>
  <c r="E109" i="30"/>
  <c r="F109" i="30"/>
  <c r="G109" i="30"/>
  <c r="H109" i="30"/>
  <c r="J109" i="30"/>
  <c r="K109" i="30"/>
  <c r="L109" i="30"/>
  <c r="M109" i="30"/>
  <c r="N109" i="30"/>
  <c r="O109" i="30"/>
  <c r="P109" i="30"/>
  <c r="Q109" i="30"/>
  <c r="R109" i="30"/>
  <c r="S109" i="30"/>
  <c r="T109" i="30"/>
  <c r="E110" i="30"/>
  <c r="F110" i="30"/>
  <c r="G110" i="30"/>
  <c r="H110" i="30"/>
  <c r="J110" i="30"/>
  <c r="K110" i="30"/>
  <c r="L110" i="30"/>
  <c r="M110" i="30"/>
  <c r="N110" i="30"/>
  <c r="O110" i="30"/>
  <c r="P110" i="30"/>
  <c r="Q110" i="30"/>
  <c r="R110" i="30"/>
  <c r="S110" i="30"/>
  <c r="T110" i="30"/>
  <c r="E111" i="30"/>
  <c r="F111" i="30"/>
  <c r="G111" i="30"/>
  <c r="H111" i="30"/>
  <c r="I111" i="30"/>
  <c r="K111" i="30"/>
  <c r="L111" i="30"/>
  <c r="M111" i="30"/>
  <c r="N111" i="30"/>
  <c r="O111" i="30"/>
  <c r="P111" i="30"/>
  <c r="Q111" i="30"/>
  <c r="R111" i="30"/>
  <c r="S111" i="30"/>
  <c r="T111" i="30"/>
  <c r="E112" i="30"/>
  <c r="F112" i="30"/>
  <c r="G112" i="30"/>
  <c r="H112" i="30"/>
  <c r="I112" i="30"/>
  <c r="J112" i="30"/>
  <c r="K112" i="30"/>
  <c r="L112" i="30"/>
  <c r="M112" i="30"/>
  <c r="N112" i="30"/>
  <c r="O112" i="30"/>
  <c r="P112" i="30"/>
  <c r="Q112" i="30"/>
  <c r="R112" i="30"/>
  <c r="S112" i="30"/>
  <c r="T112" i="30"/>
  <c r="E113" i="30"/>
  <c r="F113" i="30"/>
  <c r="G113" i="30"/>
  <c r="H113" i="30"/>
  <c r="I113" i="30"/>
  <c r="J113" i="30"/>
  <c r="K113" i="30"/>
  <c r="L113" i="30"/>
  <c r="M113" i="30"/>
  <c r="N113" i="30"/>
  <c r="O113" i="30"/>
  <c r="P113" i="30"/>
  <c r="Q113" i="30"/>
  <c r="R113" i="30"/>
  <c r="S113" i="30"/>
  <c r="T113" i="30"/>
  <c r="E114" i="30"/>
  <c r="F114" i="30"/>
  <c r="G114" i="30"/>
  <c r="H114" i="30"/>
  <c r="I114" i="30"/>
  <c r="J114" i="30"/>
  <c r="K114" i="30"/>
  <c r="L114" i="30"/>
  <c r="M114" i="30"/>
  <c r="N114" i="30"/>
  <c r="O114" i="30"/>
  <c r="P114" i="30"/>
  <c r="Q114" i="30"/>
  <c r="R114" i="30"/>
  <c r="S114" i="30"/>
  <c r="T114" i="30"/>
  <c r="E115" i="30"/>
  <c r="F115" i="30"/>
  <c r="G115" i="30"/>
  <c r="H115" i="30"/>
  <c r="I115" i="30"/>
  <c r="J115" i="30"/>
  <c r="K115" i="30"/>
  <c r="L115" i="30"/>
  <c r="M115" i="30"/>
  <c r="N115" i="30"/>
  <c r="O115" i="30"/>
  <c r="P115" i="30"/>
  <c r="Q115" i="30"/>
  <c r="R115" i="30"/>
  <c r="S115" i="30"/>
  <c r="T115" i="30"/>
  <c r="E116" i="30"/>
  <c r="F116" i="30"/>
  <c r="G116" i="30"/>
  <c r="H116" i="30"/>
  <c r="I116" i="30"/>
  <c r="J116" i="30"/>
  <c r="K116" i="30"/>
  <c r="L116" i="30"/>
  <c r="M116" i="30"/>
  <c r="N116" i="30"/>
  <c r="O116" i="30"/>
  <c r="P116" i="30"/>
  <c r="Q116" i="30"/>
  <c r="R116" i="30"/>
  <c r="S116" i="30"/>
  <c r="T116" i="30"/>
  <c r="E117" i="30"/>
  <c r="F117" i="30"/>
  <c r="G117" i="30"/>
  <c r="H117" i="30"/>
  <c r="I117" i="30"/>
  <c r="J117" i="30"/>
  <c r="K117" i="30"/>
  <c r="L117" i="30"/>
  <c r="M117" i="30"/>
  <c r="N117" i="30"/>
  <c r="O117" i="30"/>
  <c r="P117" i="30"/>
  <c r="Q117" i="30"/>
  <c r="R117" i="30"/>
  <c r="S117" i="30"/>
  <c r="T117" i="30"/>
  <c r="E118" i="30"/>
  <c r="F118" i="30"/>
  <c r="G118" i="30"/>
  <c r="H118" i="30"/>
  <c r="I118" i="30"/>
  <c r="J118" i="30"/>
  <c r="K118" i="30"/>
  <c r="L118" i="30"/>
  <c r="M118" i="30"/>
  <c r="N118" i="30"/>
  <c r="O118" i="30"/>
  <c r="P118" i="30"/>
  <c r="Q118" i="30"/>
  <c r="R118" i="30"/>
  <c r="S118" i="30"/>
  <c r="T118" i="30"/>
  <c r="E119" i="30"/>
  <c r="F119" i="30"/>
  <c r="G119" i="30"/>
  <c r="H119" i="30"/>
  <c r="I119" i="30"/>
  <c r="J119" i="30"/>
  <c r="K119" i="30"/>
  <c r="L119" i="30"/>
  <c r="M119" i="30"/>
  <c r="N119" i="30"/>
  <c r="O119" i="30"/>
  <c r="P119" i="30"/>
  <c r="Q119" i="30"/>
  <c r="R119" i="30"/>
  <c r="S119" i="30"/>
  <c r="T119" i="30"/>
  <c r="E120" i="30"/>
  <c r="F120" i="30"/>
  <c r="G120" i="30"/>
  <c r="H120" i="30"/>
  <c r="I120" i="30"/>
  <c r="J120" i="30"/>
  <c r="K120" i="30"/>
  <c r="L120" i="30"/>
  <c r="M120" i="30"/>
  <c r="N120" i="30"/>
  <c r="O120" i="30"/>
  <c r="P120" i="30"/>
  <c r="Q120" i="30"/>
  <c r="R120" i="30"/>
  <c r="S120" i="30"/>
  <c r="T120" i="30"/>
  <c r="E121" i="30"/>
  <c r="F121" i="30"/>
  <c r="T46" i="30"/>
  <c r="S46" i="30"/>
  <c r="R46" i="30"/>
  <c r="Q46" i="30"/>
  <c r="P46" i="30"/>
  <c r="O46" i="30"/>
  <c r="N46" i="30"/>
  <c r="M46" i="30"/>
  <c r="L46" i="30"/>
  <c r="K46" i="30"/>
  <c r="K85" i="30" s="1"/>
  <c r="K124" i="30" s="1"/>
  <c r="J46" i="30"/>
  <c r="J85" i="30" s="1"/>
  <c r="J124" i="30" s="1"/>
  <c r="I46" i="30"/>
  <c r="H46" i="30"/>
  <c r="G46" i="30"/>
  <c r="F46" i="30"/>
  <c r="E46" i="30"/>
  <c r="E43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E45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E46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E52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E55" i="29"/>
  <c r="F55" i="29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E56" i="29"/>
  <c r="F56" i="29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E68" i="29"/>
  <c r="F68" i="29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E69" i="29"/>
  <c r="F69" i="29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E70" i="29"/>
  <c r="F70" i="29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E71" i="29"/>
  <c r="F71" i="29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E72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E73" i="29"/>
  <c r="F73" i="29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E74" i="29"/>
  <c r="F74" i="29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E75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E76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E78" i="29"/>
  <c r="F78" i="29"/>
  <c r="G78" i="29"/>
  <c r="H78" i="29"/>
  <c r="I78" i="29"/>
  <c r="J78" i="29"/>
  <c r="K78" i="29"/>
  <c r="L78" i="29"/>
  <c r="M78" i="29"/>
  <c r="N78" i="29"/>
  <c r="O78" i="29"/>
  <c r="P78" i="29"/>
  <c r="Q78" i="29"/>
  <c r="R78" i="29"/>
  <c r="S78" i="29"/>
  <c r="T78" i="29"/>
  <c r="E79" i="29"/>
  <c r="F79" i="29"/>
  <c r="G79" i="29"/>
  <c r="H79" i="29"/>
  <c r="I79" i="29"/>
  <c r="J79" i="29"/>
  <c r="K79" i="29"/>
  <c r="L79" i="29"/>
  <c r="M79" i="29"/>
  <c r="N79" i="29"/>
  <c r="O79" i="29"/>
  <c r="P79" i="29"/>
  <c r="Q79" i="29"/>
  <c r="R79" i="29"/>
  <c r="S79" i="29"/>
  <c r="T79" i="29"/>
  <c r="E80" i="29"/>
  <c r="F80" i="29"/>
  <c r="G80" i="29"/>
  <c r="H80" i="29"/>
  <c r="I80" i="29"/>
  <c r="J80" i="29"/>
  <c r="K80" i="29"/>
  <c r="L80" i="29"/>
  <c r="M80" i="29"/>
  <c r="N80" i="29"/>
  <c r="O80" i="29"/>
  <c r="P80" i="29"/>
  <c r="Q80" i="29"/>
  <c r="R80" i="29"/>
  <c r="S80" i="29"/>
  <c r="T80" i="29"/>
  <c r="E81" i="29"/>
  <c r="F81" i="29"/>
  <c r="G81" i="29"/>
  <c r="H81" i="29"/>
  <c r="I81" i="29"/>
  <c r="J81" i="29"/>
  <c r="K81" i="29"/>
  <c r="L81" i="29"/>
  <c r="M81" i="29"/>
  <c r="N81" i="29"/>
  <c r="O81" i="29"/>
  <c r="P81" i="29"/>
  <c r="Q81" i="29"/>
  <c r="R81" i="29"/>
  <c r="S81" i="29"/>
  <c r="T81" i="29"/>
  <c r="E82" i="29"/>
  <c r="F82" i="29"/>
  <c r="G82" i="29"/>
  <c r="H82" i="29"/>
  <c r="I82" i="29"/>
  <c r="J82" i="29"/>
  <c r="K82" i="29"/>
  <c r="L82" i="29"/>
  <c r="M82" i="29"/>
  <c r="N82" i="29"/>
  <c r="O82" i="29"/>
  <c r="P82" i="29"/>
  <c r="Q82" i="29"/>
  <c r="R82" i="29"/>
  <c r="S82" i="29"/>
  <c r="T82" i="29"/>
  <c r="E83" i="29"/>
  <c r="F83" i="29"/>
  <c r="G83" i="29"/>
  <c r="H83" i="29"/>
  <c r="I83" i="29"/>
  <c r="J83" i="29"/>
  <c r="K83" i="29"/>
  <c r="L83" i="29"/>
  <c r="M83" i="29"/>
  <c r="N83" i="29"/>
  <c r="O83" i="29"/>
  <c r="P83" i="29"/>
  <c r="Q83" i="29"/>
  <c r="R83" i="29"/>
  <c r="S83" i="29"/>
  <c r="T83" i="29"/>
  <c r="E84" i="29"/>
  <c r="F84" i="29"/>
  <c r="G84" i="29"/>
  <c r="H84" i="29"/>
  <c r="I84" i="29"/>
  <c r="J84" i="29"/>
  <c r="K84" i="29"/>
  <c r="L84" i="29"/>
  <c r="M84" i="29"/>
  <c r="N84" i="29"/>
  <c r="O84" i="29"/>
  <c r="P84" i="29"/>
  <c r="Q84" i="29"/>
  <c r="R84" i="29"/>
  <c r="S84" i="29"/>
  <c r="T84" i="29"/>
  <c r="E85" i="29"/>
  <c r="F85" i="29"/>
  <c r="G85" i="29"/>
  <c r="H85" i="29"/>
  <c r="I85" i="29"/>
  <c r="J85" i="29"/>
  <c r="K85" i="29"/>
  <c r="L85" i="29"/>
  <c r="M85" i="29"/>
  <c r="N85" i="29"/>
  <c r="O85" i="29"/>
  <c r="P85" i="29"/>
  <c r="Q85" i="29"/>
  <c r="R85" i="29"/>
  <c r="S85" i="29"/>
  <c r="T85" i="29"/>
  <c r="E86" i="29"/>
  <c r="F86" i="29"/>
  <c r="G86" i="29"/>
  <c r="H86" i="29"/>
  <c r="I86" i="29"/>
  <c r="J86" i="29"/>
  <c r="K86" i="29"/>
  <c r="L86" i="29"/>
  <c r="M86" i="29"/>
  <c r="N86" i="29"/>
  <c r="O86" i="29"/>
  <c r="P86" i="29"/>
  <c r="Q86" i="29"/>
  <c r="R86" i="29"/>
  <c r="S86" i="29"/>
  <c r="T86" i="29"/>
  <c r="E87" i="29"/>
  <c r="F87" i="29"/>
  <c r="G87" i="29"/>
  <c r="H87" i="29"/>
  <c r="I87" i="29"/>
  <c r="J87" i="29"/>
  <c r="K87" i="29"/>
  <c r="L87" i="29"/>
  <c r="M87" i="29"/>
  <c r="N87" i="29"/>
  <c r="O87" i="29"/>
  <c r="P87" i="29"/>
  <c r="Q87" i="29"/>
  <c r="R87" i="29"/>
  <c r="S87" i="29"/>
  <c r="T87" i="29"/>
  <c r="E88" i="29"/>
  <c r="F88" i="29"/>
  <c r="G88" i="29"/>
  <c r="H88" i="29"/>
  <c r="I88" i="29"/>
  <c r="J88" i="29"/>
  <c r="K88" i="29"/>
  <c r="L88" i="29"/>
  <c r="M88" i="29"/>
  <c r="N88" i="29"/>
  <c r="O88" i="29"/>
  <c r="P88" i="29"/>
  <c r="Q88" i="29"/>
  <c r="R88" i="29"/>
  <c r="S88" i="29"/>
  <c r="T88" i="29"/>
  <c r="E89" i="29"/>
  <c r="F89" i="29"/>
  <c r="G89" i="29"/>
  <c r="H89" i="29"/>
  <c r="I89" i="29"/>
  <c r="J89" i="29"/>
  <c r="K89" i="29"/>
  <c r="L89" i="29"/>
  <c r="M89" i="29"/>
  <c r="N89" i="29"/>
  <c r="O89" i="29"/>
  <c r="P89" i="29"/>
  <c r="Q89" i="29"/>
  <c r="R89" i="29"/>
  <c r="S89" i="29"/>
  <c r="T89" i="29"/>
  <c r="E90" i="29"/>
  <c r="F90" i="29"/>
  <c r="G90" i="29"/>
  <c r="H90" i="29"/>
  <c r="I90" i="29"/>
  <c r="J90" i="29"/>
  <c r="K90" i="29"/>
  <c r="L90" i="29"/>
  <c r="M90" i="29"/>
  <c r="N90" i="29"/>
  <c r="O90" i="29"/>
  <c r="P90" i="29"/>
  <c r="Q90" i="29"/>
  <c r="R90" i="29"/>
  <c r="S90" i="29"/>
  <c r="T90" i="29"/>
  <c r="E91" i="29"/>
  <c r="F91" i="29"/>
  <c r="G91" i="29"/>
  <c r="H91" i="29"/>
  <c r="I91" i="29"/>
  <c r="J91" i="29"/>
  <c r="K91" i="29"/>
  <c r="L91" i="29"/>
  <c r="M91" i="29"/>
  <c r="N91" i="29"/>
  <c r="O91" i="29"/>
  <c r="P91" i="29"/>
  <c r="Q91" i="29"/>
  <c r="R91" i="29"/>
  <c r="S91" i="29"/>
  <c r="T91" i="29"/>
  <c r="E92" i="29"/>
  <c r="F92" i="29"/>
  <c r="G92" i="29"/>
  <c r="H92" i="29"/>
  <c r="I92" i="29"/>
  <c r="J92" i="29"/>
  <c r="K92" i="29"/>
  <c r="L92" i="29"/>
  <c r="M92" i="29"/>
  <c r="N92" i="29"/>
  <c r="O92" i="29"/>
  <c r="P92" i="29"/>
  <c r="Q92" i="29"/>
  <c r="R92" i="29"/>
  <c r="S92" i="29"/>
  <c r="T92" i="29"/>
  <c r="E93" i="29"/>
  <c r="F93" i="29"/>
  <c r="G93" i="29"/>
  <c r="H93" i="29"/>
  <c r="I93" i="29"/>
  <c r="J93" i="29"/>
  <c r="K93" i="29"/>
  <c r="L93" i="29"/>
  <c r="M93" i="29"/>
  <c r="N93" i="29"/>
  <c r="O93" i="29"/>
  <c r="P93" i="29"/>
  <c r="Q93" i="29"/>
  <c r="R93" i="29"/>
  <c r="S93" i="29"/>
  <c r="T93" i="29"/>
  <c r="E94" i="29"/>
  <c r="F94" i="29"/>
  <c r="G94" i="29"/>
  <c r="H94" i="29"/>
  <c r="I94" i="29"/>
  <c r="J94" i="29"/>
  <c r="K94" i="29"/>
  <c r="L94" i="29"/>
  <c r="M94" i="29"/>
  <c r="N94" i="29"/>
  <c r="O94" i="29"/>
  <c r="P94" i="29"/>
  <c r="Q94" i="29"/>
  <c r="R94" i="29"/>
  <c r="S94" i="29"/>
  <c r="T94" i="29"/>
  <c r="E95" i="29"/>
  <c r="F95" i="29"/>
  <c r="G95" i="29"/>
  <c r="H95" i="29"/>
  <c r="I95" i="29"/>
  <c r="J95" i="29"/>
  <c r="K95" i="29"/>
  <c r="L95" i="29"/>
  <c r="M95" i="29"/>
  <c r="N95" i="29"/>
  <c r="O95" i="29"/>
  <c r="P95" i="29"/>
  <c r="Q95" i="29"/>
  <c r="R95" i="29"/>
  <c r="S95" i="29"/>
  <c r="T95" i="29"/>
  <c r="E96" i="29"/>
  <c r="F96" i="29"/>
  <c r="G96" i="29"/>
  <c r="H96" i="29"/>
  <c r="I96" i="29"/>
  <c r="J96" i="29"/>
  <c r="K96" i="29"/>
  <c r="L96" i="29"/>
  <c r="M96" i="29"/>
  <c r="N96" i="29"/>
  <c r="O96" i="29"/>
  <c r="P96" i="29"/>
  <c r="Q96" i="29"/>
  <c r="R96" i="29"/>
  <c r="S96" i="29"/>
  <c r="T96" i="29"/>
  <c r="E97" i="29"/>
  <c r="F97" i="29"/>
  <c r="G97" i="29"/>
  <c r="H97" i="29"/>
  <c r="I97" i="29"/>
  <c r="J97" i="29"/>
  <c r="K97" i="29"/>
  <c r="L97" i="29"/>
  <c r="M97" i="29"/>
  <c r="N97" i="29"/>
  <c r="O97" i="29"/>
  <c r="P97" i="29"/>
  <c r="Q97" i="29"/>
  <c r="R97" i="29"/>
  <c r="S97" i="29"/>
  <c r="T97" i="29"/>
  <c r="E98" i="29"/>
  <c r="F98" i="29"/>
  <c r="G98" i="29"/>
  <c r="H98" i="29"/>
  <c r="I98" i="29"/>
  <c r="J98" i="29"/>
  <c r="K98" i="29"/>
  <c r="L98" i="29"/>
  <c r="M98" i="29"/>
  <c r="N98" i="29"/>
  <c r="O98" i="29"/>
  <c r="P98" i="29"/>
  <c r="Q98" i="29"/>
  <c r="R98" i="29"/>
  <c r="S98" i="29"/>
  <c r="T98" i="29"/>
  <c r="E99" i="29"/>
  <c r="F99" i="29"/>
  <c r="G99" i="29"/>
  <c r="H99" i="29"/>
  <c r="I99" i="29"/>
  <c r="J99" i="29"/>
  <c r="K99" i="29"/>
  <c r="L99" i="29"/>
  <c r="M99" i="29"/>
  <c r="N99" i="29"/>
  <c r="O99" i="29"/>
  <c r="P99" i="29"/>
  <c r="Q99" i="29"/>
  <c r="R99" i="29"/>
  <c r="S99" i="29"/>
  <c r="T99" i="29"/>
  <c r="E100" i="29"/>
  <c r="F100" i="29"/>
  <c r="G100" i="29"/>
  <c r="H100" i="29"/>
  <c r="I100" i="29"/>
  <c r="J100" i="29"/>
  <c r="K100" i="29"/>
  <c r="L100" i="29"/>
  <c r="M100" i="29"/>
  <c r="N100" i="29"/>
  <c r="O100" i="29"/>
  <c r="P100" i="29"/>
  <c r="Q100" i="29"/>
  <c r="R100" i="29"/>
  <c r="S100" i="29"/>
  <c r="T100" i="29"/>
  <c r="E101" i="29"/>
  <c r="F101" i="29"/>
  <c r="G101" i="29"/>
  <c r="H101" i="29"/>
  <c r="I101" i="29"/>
  <c r="J101" i="29"/>
  <c r="K101" i="29"/>
  <c r="L101" i="29"/>
  <c r="M101" i="29"/>
  <c r="N101" i="29"/>
  <c r="O101" i="29"/>
  <c r="P101" i="29"/>
  <c r="Q101" i="29"/>
  <c r="R101" i="29"/>
  <c r="S101" i="29"/>
  <c r="T101" i="29"/>
  <c r="E102" i="29"/>
  <c r="F102" i="29"/>
  <c r="G102" i="29"/>
  <c r="H102" i="29"/>
  <c r="I102" i="29"/>
  <c r="J102" i="29"/>
  <c r="K102" i="29"/>
  <c r="L102" i="29"/>
  <c r="M102" i="29"/>
  <c r="N102" i="29"/>
  <c r="O102" i="29"/>
  <c r="P102" i="29"/>
  <c r="Q102" i="29"/>
  <c r="R102" i="29"/>
  <c r="S102" i="29"/>
  <c r="T102" i="29"/>
  <c r="E103" i="29"/>
  <c r="F103" i="29"/>
  <c r="G103" i="29"/>
  <c r="H103" i="29"/>
  <c r="I103" i="29"/>
  <c r="J103" i="29"/>
  <c r="K103" i="29"/>
  <c r="L103" i="29"/>
  <c r="M103" i="29"/>
  <c r="N103" i="29"/>
  <c r="O103" i="29"/>
  <c r="P103" i="29"/>
  <c r="Q103" i="29"/>
  <c r="R103" i="29"/>
  <c r="S103" i="29"/>
  <c r="T103" i="29"/>
  <c r="E104" i="29"/>
  <c r="F104" i="29"/>
  <c r="G104" i="29"/>
  <c r="H104" i="29"/>
  <c r="I104" i="29"/>
  <c r="J104" i="29"/>
  <c r="K104" i="29"/>
  <c r="L104" i="29"/>
  <c r="M104" i="29"/>
  <c r="N104" i="29"/>
  <c r="O104" i="29"/>
  <c r="P104" i="29"/>
  <c r="Q104" i="29"/>
  <c r="R104" i="29"/>
  <c r="S104" i="29"/>
  <c r="T104" i="29"/>
  <c r="E105" i="29"/>
  <c r="F105" i="29"/>
  <c r="G105" i="29"/>
  <c r="H105" i="29"/>
  <c r="I105" i="29"/>
  <c r="J105" i="29"/>
  <c r="K105" i="29"/>
  <c r="L105" i="29"/>
  <c r="M105" i="29"/>
  <c r="N105" i="29"/>
  <c r="O105" i="29"/>
  <c r="P105" i="29"/>
  <c r="Q105" i="29"/>
  <c r="R105" i="29"/>
  <c r="S105" i="29"/>
  <c r="T105" i="29"/>
  <c r="E106" i="29"/>
  <c r="F106" i="29"/>
  <c r="G106" i="29"/>
  <c r="H106" i="29"/>
  <c r="I106" i="29"/>
  <c r="J106" i="29"/>
  <c r="K106" i="29"/>
  <c r="L106" i="29"/>
  <c r="M106" i="29"/>
  <c r="N106" i="29"/>
  <c r="O106" i="29"/>
  <c r="P106" i="29"/>
  <c r="Q106" i="29"/>
  <c r="R106" i="29"/>
  <c r="S106" i="29"/>
  <c r="T106" i="29"/>
  <c r="E107" i="29"/>
  <c r="F107" i="29"/>
  <c r="G107" i="29"/>
  <c r="H107" i="29"/>
  <c r="I107" i="29"/>
  <c r="J107" i="29"/>
  <c r="K107" i="29"/>
  <c r="L107" i="29"/>
  <c r="M107" i="29"/>
  <c r="N107" i="29"/>
  <c r="O107" i="29"/>
  <c r="P107" i="29"/>
  <c r="Q107" i="29"/>
  <c r="R107" i="29"/>
  <c r="S107" i="29"/>
  <c r="T107" i="29"/>
  <c r="E108" i="29"/>
  <c r="F108" i="29"/>
  <c r="G108" i="29"/>
  <c r="H108" i="29"/>
  <c r="I108" i="29"/>
  <c r="J108" i="29"/>
  <c r="K108" i="29"/>
  <c r="L108" i="29"/>
  <c r="M108" i="29"/>
  <c r="N108" i="29"/>
  <c r="O108" i="29"/>
  <c r="P108" i="29"/>
  <c r="Q108" i="29"/>
  <c r="R108" i="29"/>
  <c r="S108" i="29"/>
  <c r="T108" i="29"/>
  <c r="E109" i="29"/>
  <c r="F109" i="29"/>
  <c r="G109" i="29"/>
  <c r="H109" i="29"/>
  <c r="I109" i="29"/>
  <c r="J109" i="29"/>
  <c r="K109" i="29"/>
  <c r="L109" i="29"/>
  <c r="M109" i="29"/>
  <c r="N109" i="29"/>
  <c r="O109" i="29"/>
  <c r="P109" i="29"/>
  <c r="Q109" i="29"/>
  <c r="R109" i="29"/>
  <c r="S109" i="29"/>
  <c r="T109" i="29"/>
  <c r="E110" i="29"/>
  <c r="F110" i="29"/>
  <c r="G110" i="29"/>
  <c r="H110" i="29"/>
  <c r="I110" i="29"/>
  <c r="J110" i="29"/>
  <c r="K110" i="29"/>
  <c r="L110" i="29"/>
  <c r="M110" i="29"/>
  <c r="N110" i="29"/>
  <c r="O110" i="29"/>
  <c r="P110" i="29"/>
  <c r="Q110" i="29"/>
  <c r="R110" i="29"/>
  <c r="S110" i="29"/>
  <c r="T110" i="29"/>
  <c r="E111" i="29"/>
  <c r="F111" i="29"/>
  <c r="G111" i="29"/>
  <c r="H111" i="29"/>
  <c r="I111" i="29"/>
  <c r="J111" i="29"/>
  <c r="K111" i="29"/>
  <c r="L111" i="29"/>
  <c r="M111" i="29"/>
  <c r="N111" i="29"/>
  <c r="O111" i="29"/>
  <c r="P111" i="29"/>
  <c r="Q111" i="29"/>
  <c r="R111" i="29"/>
  <c r="S111" i="29"/>
  <c r="T111" i="29"/>
  <c r="E113" i="29"/>
  <c r="F113" i="29"/>
  <c r="G113" i="29"/>
  <c r="H113" i="29"/>
  <c r="I113" i="29"/>
  <c r="J113" i="29"/>
  <c r="K113" i="29"/>
  <c r="L113" i="29"/>
  <c r="M113" i="29"/>
  <c r="N113" i="29"/>
  <c r="O113" i="29"/>
  <c r="P113" i="29"/>
  <c r="Q113" i="29"/>
  <c r="R113" i="29"/>
  <c r="S113" i="29"/>
  <c r="T113" i="29"/>
  <c r="E114" i="29"/>
  <c r="F114" i="29"/>
  <c r="G114" i="29"/>
  <c r="H114" i="29"/>
  <c r="I114" i="29"/>
  <c r="J114" i="29"/>
  <c r="K114" i="29"/>
  <c r="L114" i="29"/>
  <c r="M114" i="29"/>
  <c r="N114" i="29"/>
  <c r="O114" i="29"/>
  <c r="P114" i="29"/>
  <c r="Q114" i="29"/>
  <c r="R114" i="29"/>
  <c r="S114" i="29"/>
  <c r="T114" i="29"/>
  <c r="E115" i="29"/>
  <c r="F115" i="29"/>
  <c r="G115" i="29"/>
  <c r="H115" i="29"/>
  <c r="I115" i="29"/>
  <c r="J115" i="29"/>
  <c r="K115" i="29"/>
  <c r="L115" i="29"/>
  <c r="M115" i="29"/>
  <c r="N115" i="29"/>
  <c r="O115" i="29"/>
  <c r="P115" i="29"/>
  <c r="Q115" i="29"/>
  <c r="R115" i="29"/>
  <c r="S115" i="29"/>
  <c r="T115" i="29"/>
  <c r="E116" i="29"/>
  <c r="F116" i="29"/>
  <c r="G116" i="29"/>
  <c r="H116" i="29"/>
  <c r="I116" i="29"/>
  <c r="J116" i="29"/>
  <c r="K116" i="29"/>
  <c r="L116" i="29"/>
  <c r="M116" i="29"/>
  <c r="N116" i="29"/>
  <c r="O116" i="29"/>
  <c r="P116" i="29"/>
  <c r="Q116" i="29"/>
  <c r="R116" i="29"/>
  <c r="S116" i="29"/>
  <c r="T116" i="29"/>
  <c r="E117" i="29"/>
  <c r="F117" i="29"/>
  <c r="G117" i="29"/>
  <c r="H117" i="29"/>
  <c r="I117" i="29"/>
  <c r="J117" i="29"/>
  <c r="K117" i="29"/>
  <c r="L117" i="29"/>
  <c r="M117" i="29"/>
  <c r="N117" i="29"/>
  <c r="O117" i="29"/>
  <c r="P117" i="29"/>
  <c r="Q117" i="29"/>
  <c r="R117" i="29"/>
  <c r="S117" i="29"/>
  <c r="T117" i="29"/>
  <c r="E118" i="29"/>
  <c r="F118" i="29"/>
  <c r="G118" i="29"/>
  <c r="H118" i="29"/>
  <c r="I118" i="29"/>
  <c r="J118" i="29"/>
  <c r="K118" i="29"/>
  <c r="L118" i="29"/>
  <c r="M118" i="29"/>
  <c r="N118" i="29"/>
  <c r="O118" i="29"/>
  <c r="P118" i="29"/>
  <c r="Q118" i="29"/>
  <c r="R118" i="29"/>
  <c r="S118" i="29"/>
  <c r="T118" i="29"/>
  <c r="E119" i="29"/>
  <c r="F119" i="29"/>
  <c r="G119" i="29"/>
  <c r="H119" i="29"/>
  <c r="I119" i="29"/>
  <c r="J119" i="29"/>
  <c r="K119" i="29"/>
  <c r="L119" i="29"/>
  <c r="M119" i="29"/>
  <c r="N119" i="29"/>
  <c r="O119" i="29"/>
  <c r="P119" i="29"/>
  <c r="Q119" i="29"/>
  <c r="R119" i="29"/>
  <c r="S119" i="29"/>
  <c r="T119" i="29"/>
  <c r="E120" i="29"/>
  <c r="F120" i="29"/>
  <c r="G120" i="29"/>
  <c r="H120" i="29"/>
  <c r="I120" i="29"/>
  <c r="J120" i="29"/>
  <c r="K120" i="29"/>
  <c r="L120" i="29"/>
  <c r="M120" i="29"/>
  <c r="N120" i="29"/>
  <c r="O120" i="29"/>
  <c r="P120" i="29"/>
  <c r="Q120" i="29"/>
  <c r="R120" i="29"/>
  <c r="S120" i="29"/>
  <c r="T120" i="29"/>
  <c r="E121" i="29"/>
  <c r="F121" i="29"/>
  <c r="G121" i="29"/>
  <c r="H121" i="29"/>
  <c r="I121" i="29"/>
  <c r="J121" i="29"/>
  <c r="K121" i="29"/>
  <c r="L121" i="29"/>
  <c r="M121" i="29"/>
  <c r="N121" i="29"/>
  <c r="O121" i="29"/>
  <c r="P121" i="29"/>
  <c r="Q121" i="29"/>
  <c r="R121" i="29"/>
  <c r="S121" i="29"/>
  <c r="T121" i="29"/>
  <c r="E122" i="29"/>
  <c r="F122" i="29"/>
  <c r="G122" i="29"/>
  <c r="H122" i="29"/>
  <c r="I122" i="29"/>
  <c r="J122" i="29"/>
  <c r="K122" i="29"/>
  <c r="L122" i="29"/>
  <c r="M122" i="29"/>
  <c r="N122" i="29"/>
  <c r="O122" i="29"/>
  <c r="P122" i="29"/>
  <c r="Q122" i="29"/>
  <c r="R122" i="29"/>
  <c r="S122" i="29"/>
  <c r="T122" i="29"/>
  <c r="E123" i="29"/>
  <c r="F123" i="29"/>
  <c r="G123" i="29"/>
  <c r="H123" i="29"/>
  <c r="I123" i="29"/>
  <c r="J123" i="29"/>
  <c r="K123" i="29"/>
  <c r="L123" i="29"/>
  <c r="M123" i="29"/>
  <c r="N123" i="29"/>
  <c r="O123" i="29"/>
  <c r="P123" i="29"/>
  <c r="Q123" i="29"/>
  <c r="R123" i="29"/>
  <c r="S123" i="29"/>
  <c r="T123" i="29"/>
  <c r="E124" i="29"/>
  <c r="F124" i="29"/>
  <c r="G124" i="29"/>
  <c r="H124" i="29"/>
  <c r="I124" i="29"/>
  <c r="J124" i="29"/>
  <c r="K124" i="29"/>
  <c r="L124" i="29"/>
  <c r="M124" i="29"/>
  <c r="N124" i="29"/>
  <c r="O124" i="29"/>
  <c r="P124" i="29"/>
  <c r="Q124" i="29"/>
  <c r="R124" i="29"/>
  <c r="S124" i="29"/>
  <c r="T124" i="29"/>
  <c r="E125" i="29"/>
  <c r="F125" i="29"/>
  <c r="G125" i="29"/>
  <c r="H125" i="29"/>
  <c r="I125" i="29"/>
  <c r="J125" i="29"/>
  <c r="K125" i="29"/>
  <c r="L125" i="29"/>
  <c r="M125" i="29"/>
  <c r="N125" i="29"/>
  <c r="O125" i="29"/>
  <c r="P125" i="29"/>
  <c r="Q125" i="29"/>
  <c r="R125" i="29"/>
  <c r="S125" i="29"/>
  <c r="T125" i="29"/>
  <c r="E126" i="29"/>
  <c r="F126" i="29"/>
  <c r="G126" i="29"/>
  <c r="H126" i="29"/>
  <c r="I126" i="29"/>
  <c r="J126" i="29"/>
  <c r="K126" i="29"/>
  <c r="L126" i="29"/>
  <c r="M126" i="29"/>
  <c r="N126" i="29"/>
  <c r="O126" i="29"/>
  <c r="P126" i="29"/>
  <c r="Q126" i="29"/>
  <c r="R126" i="29"/>
  <c r="S126" i="29"/>
  <c r="T126" i="29"/>
  <c r="E127" i="29"/>
  <c r="F127" i="29"/>
  <c r="G127" i="29"/>
  <c r="H127" i="29"/>
  <c r="I127" i="29"/>
  <c r="J127" i="29"/>
  <c r="K127" i="29"/>
  <c r="L127" i="29"/>
  <c r="M127" i="29"/>
  <c r="N127" i="29"/>
  <c r="O127" i="29"/>
  <c r="P127" i="29"/>
  <c r="Q127" i="29"/>
  <c r="R127" i="29"/>
  <c r="S127" i="29"/>
  <c r="T127" i="29"/>
  <c r="E128" i="29"/>
  <c r="F128" i="29"/>
  <c r="G128" i="29"/>
  <c r="H128" i="29"/>
  <c r="I128" i="29"/>
  <c r="J128" i="29"/>
  <c r="K128" i="29"/>
  <c r="L128" i="29"/>
  <c r="M128" i="29"/>
  <c r="N128" i="29"/>
  <c r="O128" i="29"/>
  <c r="P128" i="29"/>
  <c r="Q128" i="29"/>
  <c r="R128" i="29"/>
  <c r="S128" i="29"/>
  <c r="T128" i="29"/>
  <c r="E129" i="29"/>
  <c r="F129" i="29"/>
  <c r="G129" i="29"/>
  <c r="H129" i="29"/>
  <c r="I129" i="29"/>
  <c r="J129" i="29"/>
  <c r="K129" i="29"/>
  <c r="L129" i="29"/>
  <c r="M129" i="29"/>
  <c r="N129" i="29"/>
  <c r="O129" i="29"/>
  <c r="P129" i="29"/>
  <c r="Q129" i="29"/>
  <c r="R129" i="29"/>
  <c r="S129" i="29"/>
  <c r="T129" i="29"/>
  <c r="T42" i="29"/>
  <c r="T77" i="29" s="1"/>
  <c r="T112" i="29" s="1"/>
  <c r="S42" i="29"/>
  <c r="S77" i="29" s="1"/>
  <c r="S112" i="29" s="1"/>
  <c r="R42" i="29"/>
  <c r="R77" i="29" s="1"/>
  <c r="R112" i="29" s="1"/>
  <c r="Q42" i="29"/>
  <c r="Q77" i="29" s="1"/>
  <c r="Q112" i="29" s="1"/>
  <c r="P42" i="29"/>
  <c r="P77" i="29" s="1"/>
  <c r="P112" i="29" s="1"/>
  <c r="O42" i="29"/>
  <c r="O77" i="29" s="1"/>
  <c r="O112" i="29" s="1"/>
  <c r="N42" i="29"/>
  <c r="N77" i="29" s="1"/>
  <c r="N112" i="29" s="1"/>
  <c r="M42" i="29"/>
  <c r="M77" i="29" s="1"/>
  <c r="M112" i="29" s="1"/>
  <c r="L42" i="29"/>
  <c r="L77" i="29" s="1"/>
  <c r="L112" i="29" s="1"/>
  <c r="K42" i="29"/>
  <c r="K77" i="29" s="1"/>
  <c r="K112" i="29" s="1"/>
  <c r="J42" i="29"/>
  <c r="J77" i="29" s="1"/>
  <c r="J112" i="29" s="1"/>
  <c r="I42" i="29"/>
  <c r="I77" i="29" s="1"/>
  <c r="I112" i="29" s="1"/>
  <c r="H42" i="29"/>
  <c r="H77" i="29" s="1"/>
  <c r="H112" i="29" s="1"/>
  <c r="G42" i="29"/>
  <c r="G77" i="29" s="1"/>
  <c r="G112" i="29" s="1"/>
  <c r="F42" i="29"/>
  <c r="F77" i="29" s="1"/>
  <c r="F112" i="29" s="1"/>
  <c r="E42" i="29"/>
  <c r="E77" i="29" s="1"/>
  <c r="E112" i="29" s="1"/>
  <c r="E40" i="28"/>
  <c r="E72" i="28" s="1"/>
  <c r="E104" i="28" s="1"/>
  <c r="F40" i="28"/>
  <c r="F72" i="28" s="1"/>
  <c r="F104" i="28" s="1"/>
  <c r="G40" i="28"/>
  <c r="G72" i="28" s="1"/>
  <c r="G104" i="28" s="1"/>
  <c r="H40" i="28"/>
  <c r="H72" i="28" s="1"/>
  <c r="H104" i="28" s="1"/>
  <c r="I40" i="28"/>
  <c r="I72" i="28" s="1"/>
  <c r="I104" i="28" s="1"/>
  <c r="J40" i="28"/>
  <c r="J72" i="28" s="1"/>
  <c r="J104" i="28" s="1"/>
  <c r="K40" i="28"/>
  <c r="K72" i="28" s="1"/>
  <c r="K104" i="28" s="1"/>
  <c r="L40" i="28"/>
  <c r="L72" i="28" s="1"/>
  <c r="L104" i="28" s="1"/>
  <c r="M40" i="28"/>
  <c r="M72" i="28" s="1"/>
  <c r="M104" i="28" s="1"/>
  <c r="N40" i="28"/>
  <c r="N72" i="28" s="1"/>
  <c r="N104" i="28" s="1"/>
  <c r="O40" i="28"/>
  <c r="O72" i="28" s="1"/>
  <c r="O104" i="28" s="1"/>
  <c r="P40" i="28"/>
  <c r="P72" i="28" s="1"/>
  <c r="P104" i="28" s="1"/>
  <c r="Q40" i="28"/>
  <c r="Q72" i="28" s="1"/>
  <c r="Q104" i="28" s="1"/>
  <c r="R40" i="28"/>
  <c r="R72" i="28" s="1"/>
  <c r="R104" i="28" s="1"/>
  <c r="S40" i="28"/>
  <c r="S72" i="28" s="1"/>
  <c r="S104" i="28" s="1"/>
  <c r="T40" i="28"/>
  <c r="T72" i="28" s="1"/>
  <c r="T104" i="28" s="1"/>
  <c r="E41" i="28"/>
  <c r="E73" i="28" s="1"/>
  <c r="E105" i="28" s="1"/>
  <c r="F41" i="28"/>
  <c r="F73" i="28" s="1"/>
  <c r="F105" i="28" s="1"/>
  <c r="G41" i="28"/>
  <c r="G73" i="28" s="1"/>
  <c r="G105" i="28" s="1"/>
  <c r="H41" i="28"/>
  <c r="H73" i="28" s="1"/>
  <c r="H105" i="28" s="1"/>
  <c r="I41" i="28"/>
  <c r="I73" i="28" s="1"/>
  <c r="I105" i="28" s="1"/>
  <c r="J41" i="28"/>
  <c r="J73" i="28" s="1"/>
  <c r="J105" i="28" s="1"/>
  <c r="K41" i="28"/>
  <c r="K73" i="28" s="1"/>
  <c r="K105" i="28" s="1"/>
  <c r="L41" i="28"/>
  <c r="L73" i="28" s="1"/>
  <c r="L105" i="28" s="1"/>
  <c r="M41" i="28"/>
  <c r="M73" i="28" s="1"/>
  <c r="M105" i="28" s="1"/>
  <c r="N41" i="28"/>
  <c r="N73" i="28" s="1"/>
  <c r="N105" i="28" s="1"/>
  <c r="O41" i="28"/>
  <c r="O73" i="28" s="1"/>
  <c r="O105" i="28" s="1"/>
  <c r="P41" i="28"/>
  <c r="P73" i="28" s="1"/>
  <c r="P105" i="28" s="1"/>
  <c r="Q41" i="28"/>
  <c r="Q73" i="28" s="1"/>
  <c r="Q105" i="28" s="1"/>
  <c r="R41" i="28"/>
  <c r="R73" i="28" s="1"/>
  <c r="R105" i="28" s="1"/>
  <c r="S41" i="28"/>
  <c r="S73" i="28" s="1"/>
  <c r="S105" i="28" s="1"/>
  <c r="T41" i="28"/>
  <c r="T73" i="28" s="1"/>
  <c r="T105" i="28" s="1"/>
  <c r="E42" i="28"/>
  <c r="E74" i="28" s="1"/>
  <c r="E106" i="28" s="1"/>
  <c r="F42" i="28"/>
  <c r="F74" i="28" s="1"/>
  <c r="F106" i="28" s="1"/>
  <c r="G42" i="28"/>
  <c r="G74" i="28" s="1"/>
  <c r="G106" i="28" s="1"/>
  <c r="H42" i="28"/>
  <c r="H74" i="28" s="1"/>
  <c r="H106" i="28" s="1"/>
  <c r="I42" i="28"/>
  <c r="I74" i="28" s="1"/>
  <c r="I106" i="28" s="1"/>
  <c r="J42" i="28"/>
  <c r="J74" i="28" s="1"/>
  <c r="J106" i="28" s="1"/>
  <c r="K42" i="28"/>
  <c r="K74" i="28" s="1"/>
  <c r="K106" i="28" s="1"/>
  <c r="L42" i="28"/>
  <c r="L74" i="28" s="1"/>
  <c r="L106" i="28" s="1"/>
  <c r="M42" i="28"/>
  <c r="M74" i="28" s="1"/>
  <c r="M106" i="28" s="1"/>
  <c r="N42" i="28"/>
  <c r="N74" i="28" s="1"/>
  <c r="N106" i="28" s="1"/>
  <c r="O42" i="28"/>
  <c r="O74" i="28" s="1"/>
  <c r="O106" i="28" s="1"/>
  <c r="P42" i="28"/>
  <c r="P74" i="28" s="1"/>
  <c r="P106" i="28" s="1"/>
  <c r="Q42" i="28"/>
  <c r="Q74" i="28" s="1"/>
  <c r="Q106" i="28" s="1"/>
  <c r="R42" i="28"/>
  <c r="R74" i="28" s="1"/>
  <c r="R106" i="28" s="1"/>
  <c r="S42" i="28"/>
  <c r="S74" i="28" s="1"/>
  <c r="S106" i="28" s="1"/>
  <c r="T42" i="28"/>
  <c r="T74" i="28" s="1"/>
  <c r="T106" i="28" s="1"/>
  <c r="E43" i="28"/>
  <c r="E75" i="28" s="1"/>
  <c r="E107" i="28" s="1"/>
  <c r="F43" i="28"/>
  <c r="F75" i="28" s="1"/>
  <c r="F107" i="28" s="1"/>
  <c r="G43" i="28"/>
  <c r="G75" i="28" s="1"/>
  <c r="G107" i="28" s="1"/>
  <c r="H43" i="28"/>
  <c r="H75" i="28" s="1"/>
  <c r="H107" i="28" s="1"/>
  <c r="I43" i="28"/>
  <c r="I75" i="28" s="1"/>
  <c r="I107" i="28" s="1"/>
  <c r="J43" i="28"/>
  <c r="J75" i="28" s="1"/>
  <c r="J107" i="28" s="1"/>
  <c r="K43" i="28"/>
  <c r="K75" i="28" s="1"/>
  <c r="K107" i="28" s="1"/>
  <c r="L43" i="28"/>
  <c r="L75" i="28" s="1"/>
  <c r="L107" i="28" s="1"/>
  <c r="M43" i="28"/>
  <c r="M75" i="28" s="1"/>
  <c r="M107" i="28" s="1"/>
  <c r="N43" i="28"/>
  <c r="N75" i="28" s="1"/>
  <c r="N107" i="28" s="1"/>
  <c r="O43" i="28"/>
  <c r="O75" i="28" s="1"/>
  <c r="O107" i="28" s="1"/>
  <c r="P43" i="28"/>
  <c r="P75" i="28" s="1"/>
  <c r="P107" i="28" s="1"/>
  <c r="Q43" i="28"/>
  <c r="Q75" i="28" s="1"/>
  <c r="Q107" i="28" s="1"/>
  <c r="R43" i="28"/>
  <c r="R75" i="28" s="1"/>
  <c r="R107" i="28" s="1"/>
  <c r="S43" i="28"/>
  <c r="S75" i="28" s="1"/>
  <c r="S107" i="28" s="1"/>
  <c r="T43" i="28"/>
  <c r="T75" i="28" s="1"/>
  <c r="T107" i="28" s="1"/>
  <c r="E44" i="28"/>
  <c r="E76" i="28" s="1"/>
  <c r="E108" i="28" s="1"/>
  <c r="F44" i="28"/>
  <c r="F76" i="28" s="1"/>
  <c r="F108" i="28" s="1"/>
  <c r="G44" i="28"/>
  <c r="G76" i="28" s="1"/>
  <c r="G108" i="28" s="1"/>
  <c r="H44" i="28"/>
  <c r="H76" i="28" s="1"/>
  <c r="H108" i="28" s="1"/>
  <c r="I44" i="28"/>
  <c r="I76" i="28" s="1"/>
  <c r="I108" i="28" s="1"/>
  <c r="J44" i="28"/>
  <c r="J76" i="28" s="1"/>
  <c r="J108" i="28" s="1"/>
  <c r="K44" i="28"/>
  <c r="K76" i="28" s="1"/>
  <c r="K108" i="28" s="1"/>
  <c r="L44" i="28"/>
  <c r="M44" i="28"/>
  <c r="N44" i="28"/>
  <c r="O44" i="28"/>
  <c r="P44" i="28"/>
  <c r="Q44" i="28"/>
  <c r="R44" i="28"/>
  <c r="S44" i="28"/>
  <c r="T44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E46" i="28"/>
  <c r="F46" i="28"/>
  <c r="G46" i="28"/>
  <c r="H46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E47" i="28"/>
  <c r="F47" i="28"/>
  <c r="G47" i="28"/>
  <c r="H47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E48" i="28"/>
  <c r="F48" i="28"/>
  <c r="G48" i="28"/>
  <c r="H48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E50" i="28"/>
  <c r="F50" i="28"/>
  <c r="G50" i="28"/>
  <c r="H50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E51" i="28"/>
  <c r="F51" i="28"/>
  <c r="G51" i="28"/>
  <c r="H51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E52" i="28"/>
  <c r="F52" i="28"/>
  <c r="G52" i="28"/>
  <c r="H52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E53" i="28"/>
  <c r="F53" i="28"/>
  <c r="G53" i="28"/>
  <c r="H53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E54" i="28"/>
  <c r="F54" i="28"/>
  <c r="G54" i="28"/>
  <c r="H54" i="28"/>
  <c r="I54" i="28"/>
  <c r="J54" i="28"/>
  <c r="K54" i="28"/>
  <c r="L54" i="28"/>
  <c r="M54" i="28"/>
  <c r="N54" i="28"/>
  <c r="O54" i="28"/>
  <c r="P54" i="28"/>
  <c r="Q54" i="28"/>
  <c r="R54" i="28"/>
  <c r="S54" i="28"/>
  <c r="T54" i="28"/>
  <c r="E55" i="28"/>
  <c r="F55" i="28"/>
  <c r="G55" i="28"/>
  <c r="H55" i="28"/>
  <c r="I55" i="28"/>
  <c r="J55" i="28"/>
  <c r="K55" i="28"/>
  <c r="L55" i="28"/>
  <c r="M55" i="28"/>
  <c r="N55" i="28"/>
  <c r="O55" i="28"/>
  <c r="P55" i="28"/>
  <c r="Q55" i="28"/>
  <c r="R55" i="28"/>
  <c r="S55" i="28"/>
  <c r="T55" i="28"/>
  <c r="E56" i="28"/>
  <c r="F56" i="28"/>
  <c r="G56" i="28"/>
  <c r="H56" i="28"/>
  <c r="I56" i="28"/>
  <c r="J56" i="28"/>
  <c r="K56" i="28"/>
  <c r="L56" i="28"/>
  <c r="M56" i="28"/>
  <c r="N56" i="28"/>
  <c r="O56" i="28"/>
  <c r="P56" i="28"/>
  <c r="Q56" i="28"/>
  <c r="R56" i="28"/>
  <c r="S56" i="28"/>
  <c r="T56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Q57" i="28"/>
  <c r="R57" i="28"/>
  <c r="S57" i="28"/>
  <c r="T57" i="28"/>
  <c r="E58" i="28"/>
  <c r="F58" i="28"/>
  <c r="G58" i="28"/>
  <c r="H58" i="28"/>
  <c r="I58" i="28"/>
  <c r="J58" i="28"/>
  <c r="K58" i="28"/>
  <c r="L58" i="28"/>
  <c r="M58" i="28"/>
  <c r="N58" i="28"/>
  <c r="O58" i="28"/>
  <c r="P58" i="28"/>
  <c r="Q58" i="28"/>
  <c r="R58" i="28"/>
  <c r="S58" i="28"/>
  <c r="T58" i="28"/>
  <c r="E59" i="28"/>
  <c r="F59" i="28"/>
  <c r="G59" i="28"/>
  <c r="H59" i="28"/>
  <c r="I59" i="28"/>
  <c r="J59" i="28"/>
  <c r="K59" i="28"/>
  <c r="L59" i="28"/>
  <c r="M59" i="28"/>
  <c r="N59" i="28"/>
  <c r="O59" i="28"/>
  <c r="P59" i="28"/>
  <c r="Q59" i="28"/>
  <c r="R59" i="28"/>
  <c r="S59" i="28"/>
  <c r="T59" i="28"/>
  <c r="E60" i="28"/>
  <c r="F60" i="28"/>
  <c r="G60" i="28"/>
  <c r="H60" i="28"/>
  <c r="I60" i="28"/>
  <c r="J60" i="28"/>
  <c r="K60" i="28"/>
  <c r="L60" i="28"/>
  <c r="M60" i="28"/>
  <c r="N60" i="28"/>
  <c r="O60" i="28"/>
  <c r="P60" i="28"/>
  <c r="Q60" i="28"/>
  <c r="R60" i="28"/>
  <c r="S60" i="28"/>
  <c r="T60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E68" i="28"/>
  <c r="F68" i="28"/>
  <c r="G68" i="28"/>
  <c r="H68" i="28"/>
  <c r="I68" i="28"/>
  <c r="J68" i="28"/>
  <c r="K68" i="28"/>
  <c r="L68" i="28"/>
  <c r="M68" i="28"/>
  <c r="N68" i="28"/>
  <c r="O68" i="28"/>
  <c r="P68" i="28"/>
  <c r="Q68" i="28"/>
  <c r="R68" i="28"/>
  <c r="S68" i="28"/>
  <c r="T68" i="28"/>
  <c r="E69" i="28"/>
  <c r="F69" i="28"/>
  <c r="G69" i="28"/>
  <c r="H69" i="28"/>
  <c r="I69" i="28"/>
  <c r="J69" i="28"/>
  <c r="K69" i="28"/>
  <c r="L69" i="28"/>
  <c r="M69" i="28"/>
  <c r="N69" i="28"/>
  <c r="O69" i="28"/>
  <c r="P69" i="28"/>
  <c r="Q69" i="28"/>
  <c r="R69" i="28"/>
  <c r="S69" i="28"/>
  <c r="T69" i="28"/>
  <c r="E70" i="28"/>
  <c r="F70" i="28"/>
  <c r="G70" i="28"/>
  <c r="H70" i="28"/>
  <c r="I70" i="28"/>
  <c r="J70" i="28"/>
  <c r="K70" i="28"/>
  <c r="L70" i="28"/>
  <c r="M70" i="28"/>
  <c r="N70" i="28"/>
  <c r="O70" i="28"/>
  <c r="P70" i="28"/>
  <c r="Q70" i="28"/>
  <c r="R70" i="28"/>
  <c r="S70" i="28"/>
  <c r="T70" i="28"/>
  <c r="L76" i="28"/>
  <c r="M76" i="28"/>
  <c r="N76" i="28"/>
  <c r="O76" i="28"/>
  <c r="P76" i="28"/>
  <c r="Q76" i="28"/>
  <c r="R76" i="28"/>
  <c r="S76" i="28"/>
  <c r="T76" i="28"/>
  <c r="E77" i="28"/>
  <c r="F77" i="28"/>
  <c r="G77" i="28"/>
  <c r="H77" i="28"/>
  <c r="I77" i="28"/>
  <c r="J77" i="28"/>
  <c r="K77" i="28"/>
  <c r="L77" i="28"/>
  <c r="M77" i="28"/>
  <c r="N77" i="28"/>
  <c r="O77" i="28"/>
  <c r="P77" i="28"/>
  <c r="Q77" i="28"/>
  <c r="R77" i="28"/>
  <c r="S77" i="28"/>
  <c r="T77" i="28"/>
  <c r="E78" i="28"/>
  <c r="F78" i="28"/>
  <c r="G78" i="28"/>
  <c r="H78" i="28"/>
  <c r="I78" i="28"/>
  <c r="J78" i="28"/>
  <c r="K78" i="28"/>
  <c r="L78" i="28"/>
  <c r="M78" i="28"/>
  <c r="N78" i="28"/>
  <c r="O78" i="28"/>
  <c r="P78" i="28"/>
  <c r="Q78" i="28"/>
  <c r="R78" i="28"/>
  <c r="S78" i="28"/>
  <c r="T78" i="28"/>
  <c r="E79" i="28"/>
  <c r="F79" i="28"/>
  <c r="G79" i="28"/>
  <c r="H79" i="28"/>
  <c r="I79" i="28"/>
  <c r="J79" i="28"/>
  <c r="K79" i="28"/>
  <c r="L79" i="28"/>
  <c r="M79" i="28"/>
  <c r="N79" i="28"/>
  <c r="O79" i="28"/>
  <c r="P79" i="28"/>
  <c r="Q79" i="28"/>
  <c r="R79" i="28"/>
  <c r="S79" i="28"/>
  <c r="T79" i="28"/>
  <c r="E80" i="28"/>
  <c r="F80" i="28"/>
  <c r="G80" i="28"/>
  <c r="H80" i="28"/>
  <c r="I80" i="28"/>
  <c r="J80" i="28"/>
  <c r="K80" i="28"/>
  <c r="L80" i="28"/>
  <c r="M80" i="28"/>
  <c r="N80" i="28"/>
  <c r="O80" i="28"/>
  <c r="P80" i="28"/>
  <c r="Q80" i="28"/>
  <c r="R80" i="28"/>
  <c r="S80" i="28"/>
  <c r="T80" i="28"/>
  <c r="E81" i="28"/>
  <c r="F81" i="28"/>
  <c r="G81" i="28"/>
  <c r="H81" i="28"/>
  <c r="I81" i="28"/>
  <c r="J81" i="28"/>
  <c r="K81" i="28"/>
  <c r="L81" i="28"/>
  <c r="M81" i="28"/>
  <c r="N81" i="28"/>
  <c r="O81" i="28"/>
  <c r="P81" i="28"/>
  <c r="Q81" i="28"/>
  <c r="R81" i="28"/>
  <c r="S81" i="28"/>
  <c r="T81" i="28"/>
  <c r="E82" i="28"/>
  <c r="F82" i="28"/>
  <c r="G82" i="28"/>
  <c r="H82" i="28"/>
  <c r="I82" i="28"/>
  <c r="J82" i="28"/>
  <c r="K82" i="28"/>
  <c r="L82" i="28"/>
  <c r="M82" i="28"/>
  <c r="N82" i="28"/>
  <c r="O82" i="28"/>
  <c r="P82" i="28"/>
  <c r="Q82" i="28"/>
  <c r="R82" i="28"/>
  <c r="S82" i="28"/>
  <c r="T82" i="28"/>
  <c r="E83" i="28"/>
  <c r="F83" i="28"/>
  <c r="G83" i="28"/>
  <c r="H83" i="28"/>
  <c r="I83" i="28"/>
  <c r="J83" i="28"/>
  <c r="K83" i="28"/>
  <c r="L83" i="28"/>
  <c r="M83" i="28"/>
  <c r="N83" i="28"/>
  <c r="O83" i="28"/>
  <c r="P83" i="28"/>
  <c r="Q83" i="28"/>
  <c r="R83" i="28"/>
  <c r="S83" i="28"/>
  <c r="T83" i="28"/>
  <c r="E84" i="28"/>
  <c r="F84" i="28"/>
  <c r="G84" i="28"/>
  <c r="H84" i="28"/>
  <c r="I84" i="28"/>
  <c r="J84" i="28"/>
  <c r="K84" i="28"/>
  <c r="L84" i="28"/>
  <c r="M84" i="28"/>
  <c r="N84" i="28"/>
  <c r="O84" i="28"/>
  <c r="P84" i="28"/>
  <c r="Q84" i="28"/>
  <c r="R84" i="28"/>
  <c r="S84" i="28"/>
  <c r="T84" i="28"/>
  <c r="E85" i="28"/>
  <c r="F85" i="28"/>
  <c r="G85" i="28"/>
  <c r="H85" i="28"/>
  <c r="I85" i="28"/>
  <c r="J85" i="28"/>
  <c r="K85" i="28"/>
  <c r="L85" i="28"/>
  <c r="M85" i="28"/>
  <c r="N85" i="28"/>
  <c r="O85" i="28"/>
  <c r="P85" i="28"/>
  <c r="Q85" i="28"/>
  <c r="R85" i="28"/>
  <c r="S85" i="28"/>
  <c r="T85" i="28"/>
  <c r="E86" i="28"/>
  <c r="F86" i="28"/>
  <c r="G86" i="28"/>
  <c r="H86" i="28"/>
  <c r="I86" i="28"/>
  <c r="J86" i="28"/>
  <c r="K86" i="28"/>
  <c r="L86" i="28"/>
  <c r="M86" i="28"/>
  <c r="N86" i="28"/>
  <c r="O86" i="28"/>
  <c r="P86" i="28"/>
  <c r="Q86" i="28"/>
  <c r="R86" i="28"/>
  <c r="S86" i="28"/>
  <c r="T86" i="28"/>
  <c r="E87" i="28"/>
  <c r="F87" i="28"/>
  <c r="G87" i="28"/>
  <c r="H87" i="28"/>
  <c r="I87" i="28"/>
  <c r="J87" i="28"/>
  <c r="K87" i="28"/>
  <c r="L87" i="28"/>
  <c r="M87" i="28"/>
  <c r="N87" i="28"/>
  <c r="O87" i="28"/>
  <c r="P87" i="28"/>
  <c r="Q87" i="28"/>
  <c r="R87" i="28"/>
  <c r="S87" i="28"/>
  <c r="T87" i="28"/>
  <c r="E88" i="28"/>
  <c r="F88" i="28"/>
  <c r="G88" i="28"/>
  <c r="H88" i="28"/>
  <c r="I88" i="28"/>
  <c r="J88" i="28"/>
  <c r="K88" i="28"/>
  <c r="L88" i="28"/>
  <c r="M88" i="28"/>
  <c r="N88" i="28"/>
  <c r="O88" i="28"/>
  <c r="P88" i="28"/>
  <c r="Q88" i="28"/>
  <c r="R88" i="28"/>
  <c r="S88" i="28"/>
  <c r="T88" i="28"/>
  <c r="E89" i="28"/>
  <c r="F89" i="28"/>
  <c r="G89" i="28"/>
  <c r="H89" i="28"/>
  <c r="I89" i="28"/>
  <c r="J89" i="28"/>
  <c r="K89" i="28"/>
  <c r="L89" i="28"/>
  <c r="M89" i="28"/>
  <c r="N89" i="28"/>
  <c r="O89" i="28"/>
  <c r="P89" i="28"/>
  <c r="Q89" i="28"/>
  <c r="R89" i="28"/>
  <c r="S89" i="28"/>
  <c r="T89" i="28"/>
  <c r="E90" i="28"/>
  <c r="F90" i="28"/>
  <c r="G90" i="28"/>
  <c r="H90" i="28"/>
  <c r="I90" i="28"/>
  <c r="J90" i="28"/>
  <c r="K90" i="28"/>
  <c r="L90" i="28"/>
  <c r="M90" i="28"/>
  <c r="N90" i="28"/>
  <c r="O90" i="28"/>
  <c r="P90" i="28"/>
  <c r="Q90" i="28"/>
  <c r="R90" i="28"/>
  <c r="S90" i="28"/>
  <c r="T90" i="28"/>
  <c r="E91" i="28"/>
  <c r="F91" i="28"/>
  <c r="G91" i="28"/>
  <c r="H91" i="28"/>
  <c r="I91" i="28"/>
  <c r="J91" i="28"/>
  <c r="K91" i="28"/>
  <c r="L91" i="28"/>
  <c r="M91" i="28"/>
  <c r="N91" i="28"/>
  <c r="O91" i="28"/>
  <c r="P91" i="28"/>
  <c r="Q91" i="28"/>
  <c r="R91" i="28"/>
  <c r="S91" i="28"/>
  <c r="T91" i="28"/>
  <c r="E92" i="28"/>
  <c r="F92" i="28"/>
  <c r="G92" i="28"/>
  <c r="H92" i="28"/>
  <c r="I92" i="28"/>
  <c r="J92" i="28"/>
  <c r="K92" i="28"/>
  <c r="L92" i="28"/>
  <c r="M92" i="28"/>
  <c r="N92" i="28"/>
  <c r="O92" i="28"/>
  <c r="P92" i="28"/>
  <c r="Q92" i="28"/>
  <c r="R92" i="28"/>
  <c r="S92" i="28"/>
  <c r="T92" i="28"/>
  <c r="E93" i="28"/>
  <c r="F93" i="28"/>
  <c r="G93" i="28"/>
  <c r="H93" i="28"/>
  <c r="I93" i="28"/>
  <c r="J93" i="28"/>
  <c r="K93" i="28"/>
  <c r="L93" i="28"/>
  <c r="M93" i="28"/>
  <c r="N93" i="28"/>
  <c r="O93" i="28"/>
  <c r="P93" i="28"/>
  <c r="Q93" i="28"/>
  <c r="R93" i="28"/>
  <c r="S93" i="28"/>
  <c r="T93" i="28"/>
  <c r="E94" i="28"/>
  <c r="F94" i="28"/>
  <c r="G94" i="28"/>
  <c r="H94" i="28"/>
  <c r="I94" i="28"/>
  <c r="J94" i="28"/>
  <c r="K94" i="28"/>
  <c r="L94" i="28"/>
  <c r="M94" i="28"/>
  <c r="N94" i="28"/>
  <c r="O94" i="28"/>
  <c r="P94" i="28"/>
  <c r="Q94" i="28"/>
  <c r="R94" i="28"/>
  <c r="S94" i="28"/>
  <c r="T94" i="28"/>
  <c r="E95" i="28"/>
  <c r="F95" i="28"/>
  <c r="G95" i="28"/>
  <c r="H95" i="28"/>
  <c r="I95" i="28"/>
  <c r="J95" i="28"/>
  <c r="K95" i="28"/>
  <c r="L95" i="28"/>
  <c r="M95" i="28"/>
  <c r="N95" i="28"/>
  <c r="O95" i="28"/>
  <c r="P95" i="28"/>
  <c r="Q95" i="28"/>
  <c r="R95" i="28"/>
  <c r="S95" i="28"/>
  <c r="T95" i="28"/>
  <c r="E96" i="28"/>
  <c r="F96" i="28"/>
  <c r="G96" i="28"/>
  <c r="H96" i="28"/>
  <c r="I96" i="28"/>
  <c r="J96" i="28"/>
  <c r="K96" i="28"/>
  <c r="L96" i="28"/>
  <c r="M96" i="28"/>
  <c r="N96" i="28"/>
  <c r="O96" i="28"/>
  <c r="P96" i="28"/>
  <c r="Q96" i="28"/>
  <c r="R96" i="28"/>
  <c r="S96" i="28"/>
  <c r="T96" i="28"/>
  <c r="E97" i="28"/>
  <c r="F97" i="28"/>
  <c r="G97" i="28"/>
  <c r="H97" i="28"/>
  <c r="I97" i="28"/>
  <c r="J97" i="28"/>
  <c r="K97" i="28"/>
  <c r="L97" i="28"/>
  <c r="M97" i="28"/>
  <c r="N97" i="28"/>
  <c r="O97" i="28"/>
  <c r="P97" i="28"/>
  <c r="Q97" i="28"/>
  <c r="R97" i="28"/>
  <c r="S97" i="28"/>
  <c r="T97" i="28"/>
  <c r="E98" i="28"/>
  <c r="F98" i="28"/>
  <c r="G98" i="28"/>
  <c r="H98" i="28"/>
  <c r="I98" i="28"/>
  <c r="J98" i="28"/>
  <c r="K98" i="28"/>
  <c r="L98" i="28"/>
  <c r="M98" i="28"/>
  <c r="N98" i="28"/>
  <c r="O98" i="28"/>
  <c r="P98" i="28"/>
  <c r="Q98" i="28"/>
  <c r="R98" i="28"/>
  <c r="S98" i="28"/>
  <c r="T98" i="28"/>
  <c r="E99" i="28"/>
  <c r="F99" i="28"/>
  <c r="G99" i="28"/>
  <c r="H99" i="28"/>
  <c r="I99" i="28"/>
  <c r="J99" i="28"/>
  <c r="K99" i="28"/>
  <c r="L99" i="28"/>
  <c r="M99" i="28"/>
  <c r="N99" i="28"/>
  <c r="O99" i="28"/>
  <c r="P99" i="28"/>
  <c r="Q99" i="28"/>
  <c r="R99" i="28"/>
  <c r="S99" i="28"/>
  <c r="T99" i="28"/>
  <c r="E100" i="28"/>
  <c r="F100" i="28"/>
  <c r="G100" i="28"/>
  <c r="H100" i="28"/>
  <c r="I100" i="28"/>
  <c r="J100" i="28"/>
  <c r="K100" i="28"/>
  <c r="L100" i="28"/>
  <c r="M100" i="28"/>
  <c r="N100" i="28"/>
  <c r="O100" i="28"/>
  <c r="P100" i="28"/>
  <c r="Q100" i="28"/>
  <c r="R100" i="28"/>
  <c r="S100" i="28"/>
  <c r="T100" i="28"/>
  <c r="E101" i="28"/>
  <c r="F101" i="28"/>
  <c r="G101" i="28"/>
  <c r="H101" i="28"/>
  <c r="I101" i="28"/>
  <c r="J101" i="28"/>
  <c r="K101" i="28"/>
  <c r="L101" i="28"/>
  <c r="M101" i="28"/>
  <c r="N101" i="28"/>
  <c r="O101" i="28"/>
  <c r="P101" i="28"/>
  <c r="Q101" i="28"/>
  <c r="R101" i="28"/>
  <c r="S101" i="28"/>
  <c r="T101" i="28"/>
  <c r="E102" i="28"/>
  <c r="F102" i="28"/>
  <c r="G102" i="28"/>
  <c r="H102" i="28"/>
  <c r="I102" i="28"/>
  <c r="J102" i="28"/>
  <c r="K102" i="28"/>
  <c r="L102" i="28"/>
  <c r="M102" i="28"/>
  <c r="N102" i="28"/>
  <c r="O102" i="28"/>
  <c r="P102" i="28"/>
  <c r="Q102" i="28"/>
  <c r="R102" i="28"/>
  <c r="S102" i="28"/>
  <c r="T102" i="28"/>
  <c r="L108" i="28"/>
  <c r="M108" i="28"/>
  <c r="N108" i="28"/>
  <c r="O108" i="28"/>
  <c r="P108" i="28"/>
  <c r="Q108" i="28"/>
  <c r="R108" i="28"/>
  <c r="S108" i="28"/>
  <c r="T108" i="28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Q109" i="28"/>
  <c r="R109" i="28"/>
  <c r="S109" i="28"/>
  <c r="T109" i="28"/>
  <c r="E110" i="28"/>
  <c r="F110" i="28"/>
  <c r="G110" i="28"/>
  <c r="H110" i="28"/>
  <c r="I110" i="28"/>
  <c r="J110" i="28"/>
  <c r="K110" i="28"/>
  <c r="L110" i="28"/>
  <c r="M110" i="28"/>
  <c r="N110" i="28"/>
  <c r="O110" i="28"/>
  <c r="P110" i="28"/>
  <c r="Q110" i="28"/>
  <c r="R110" i="28"/>
  <c r="S110" i="28"/>
  <c r="T110" i="28"/>
  <c r="E111" i="28"/>
  <c r="F111" i="28"/>
  <c r="G111" i="28"/>
  <c r="H111" i="28"/>
  <c r="I111" i="28"/>
  <c r="J111" i="28"/>
  <c r="K111" i="28"/>
  <c r="L111" i="28"/>
  <c r="M111" i="28"/>
  <c r="N111" i="28"/>
  <c r="O111" i="28"/>
  <c r="P111" i="28"/>
  <c r="Q111" i="28"/>
  <c r="R111" i="28"/>
  <c r="S111" i="28"/>
  <c r="T111" i="28"/>
  <c r="E112" i="28"/>
  <c r="F112" i="28"/>
  <c r="G112" i="28"/>
  <c r="H112" i="28"/>
  <c r="I112" i="28"/>
  <c r="J112" i="28"/>
  <c r="K112" i="28"/>
  <c r="L112" i="28"/>
  <c r="M112" i="28"/>
  <c r="N112" i="28"/>
  <c r="O112" i="28"/>
  <c r="P112" i="28"/>
  <c r="Q112" i="28"/>
  <c r="R112" i="28"/>
  <c r="S112" i="28"/>
  <c r="T112" i="28"/>
  <c r="E113" i="28"/>
  <c r="F113" i="28"/>
  <c r="G113" i="28"/>
  <c r="H113" i="28"/>
  <c r="I113" i="28"/>
  <c r="J113" i="28"/>
  <c r="K113" i="28"/>
  <c r="L113" i="28"/>
  <c r="M113" i="28"/>
  <c r="N113" i="28"/>
  <c r="O113" i="28"/>
  <c r="P113" i="28"/>
  <c r="Q113" i="28"/>
  <c r="R113" i="28"/>
  <c r="S113" i="28"/>
  <c r="T113" i="28"/>
  <c r="E114" i="28"/>
  <c r="F114" i="28"/>
  <c r="G114" i="28"/>
  <c r="H114" i="28"/>
  <c r="I114" i="28"/>
  <c r="J114" i="28"/>
  <c r="K114" i="28"/>
  <c r="L114" i="28"/>
  <c r="M114" i="28"/>
  <c r="N114" i="28"/>
  <c r="O114" i="28"/>
  <c r="P114" i="28"/>
  <c r="Q114" i="28"/>
  <c r="R114" i="28"/>
  <c r="S114" i="28"/>
  <c r="T114" i="28"/>
  <c r="E115" i="28"/>
  <c r="F115" i="28"/>
  <c r="G115" i="28"/>
  <c r="H115" i="28"/>
  <c r="I115" i="28"/>
  <c r="J115" i="28"/>
  <c r="K115" i="28"/>
  <c r="L115" i="28"/>
  <c r="M115" i="28"/>
  <c r="N115" i="28"/>
  <c r="O115" i="28"/>
  <c r="P115" i="28"/>
  <c r="Q115" i="28"/>
  <c r="R115" i="28"/>
  <c r="S115" i="28"/>
  <c r="T115" i="28"/>
  <c r="E116" i="28"/>
  <c r="F116" i="28"/>
  <c r="G116" i="28"/>
  <c r="H116" i="28"/>
  <c r="I116" i="28"/>
  <c r="J116" i="28"/>
  <c r="K116" i="28"/>
  <c r="L116" i="28"/>
  <c r="M116" i="28"/>
  <c r="N116" i="28"/>
  <c r="O116" i="28"/>
  <c r="P116" i="28"/>
  <c r="Q116" i="28"/>
  <c r="R116" i="28"/>
  <c r="S116" i="28"/>
  <c r="T116" i="28"/>
  <c r="E117" i="28"/>
  <c r="F117" i="28"/>
  <c r="G117" i="28"/>
  <c r="H117" i="28"/>
  <c r="I117" i="28"/>
  <c r="J117" i="28"/>
  <c r="K117" i="28"/>
  <c r="L117" i="28"/>
  <c r="M117" i="28"/>
  <c r="N117" i="28"/>
  <c r="O117" i="28"/>
  <c r="P117" i="28"/>
  <c r="Q117" i="28"/>
  <c r="R117" i="28"/>
  <c r="S117" i="28"/>
  <c r="T117" i="28"/>
  <c r="E118" i="28"/>
  <c r="F118" i="28"/>
  <c r="G118" i="28"/>
  <c r="H118" i="28"/>
  <c r="I118" i="28"/>
  <c r="J118" i="28"/>
  <c r="K118" i="28"/>
  <c r="L118" i="28"/>
  <c r="M118" i="28"/>
  <c r="N118" i="28"/>
  <c r="O118" i="28"/>
  <c r="P118" i="28"/>
  <c r="Q118" i="28"/>
  <c r="R118" i="28"/>
  <c r="S118" i="28"/>
  <c r="T118" i="28"/>
  <c r="E119" i="28"/>
  <c r="F119" i="28"/>
  <c r="G119" i="28"/>
  <c r="H119" i="28"/>
  <c r="I119" i="28"/>
  <c r="J119" i="28"/>
  <c r="K119" i="28"/>
  <c r="L119" i="28"/>
  <c r="M119" i="28"/>
  <c r="N119" i="28"/>
  <c r="O119" i="28"/>
  <c r="P119" i="28"/>
  <c r="Q119" i="28"/>
  <c r="R119" i="28"/>
  <c r="S119" i="28"/>
  <c r="T119" i="28"/>
  <c r="E120" i="28"/>
  <c r="F120" i="28"/>
  <c r="G120" i="28"/>
  <c r="H120" i="28"/>
  <c r="I120" i="28"/>
  <c r="J120" i="28"/>
  <c r="K120" i="28"/>
  <c r="L120" i="28"/>
  <c r="M120" i="28"/>
  <c r="N120" i="28"/>
  <c r="O120" i="28"/>
  <c r="P120" i="28"/>
  <c r="Q120" i="28"/>
  <c r="R120" i="28"/>
  <c r="S120" i="28"/>
  <c r="T120" i="28"/>
  <c r="E121" i="28"/>
  <c r="F121" i="28"/>
  <c r="G121" i="28"/>
  <c r="H121" i="28"/>
  <c r="I121" i="28"/>
  <c r="J121" i="28"/>
  <c r="K121" i="28"/>
  <c r="L121" i="28"/>
  <c r="M121" i="28"/>
  <c r="N121" i="28"/>
  <c r="O121" i="28"/>
  <c r="P121" i="28"/>
  <c r="Q121" i="28"/>
  <c r="R121" i="28"/>
  <c r="S121" i="28"/>
  <c r="T121" i="28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Q122" i="28"/>
  <c r="R122" i="28"/>
  <c r="S122" i="28"/>
  <c r="T122" i="28"/>
  <c r="E123" i="28"/>
  <c r="F123" i="28"/>
  <c r="G123" i="28"/>
  <c r="H123" i="28"/>
  <c r="I123" i="28"/>
  <c r="J123" i="28"/>
  <c r="K123" i="28"/>
  <c r="L123" i="28"/>
  <c r="M123" i="28"/>
  <c r="N123" i="28"/>
  <c r="O123" i="28"/>
  <c r="P123" i="28"/>
  <c r="Q123" i="28"/>
  <c r="R123" i="28"/>
  <c r="S123" i="28"/>
  <c r="T123" i="28"/>
  <c r="E124" i="28"/>
  <c r="F124" i="28"/>
  <c r="G124" i="28"/>
  <c r="H124" i="28"/>
  <c r="I124" i="28"/>
  <c r="J124" i="28"/>
  <c r="K124" i="28"/>
  <c r="L124" i="28"/>
  <c r="M124" i="28"/>
  <c r="N124" i="28"/>
  <c r="O124" i="28"/>
  <c r="P124" i="28"/>
  <c r="Q124" i="28"/>
  <c r="R124" i="28"/>
  <c r="S124" i="28"/>
  <c r="T124" i="28"/>
  <c r="E125" i="28"/>
  <c r="F125" i="28"/>
  <c r="G125" i="28"/>
  <c r="H125" i="28"/>
  <c r="I125" i="28"/>
  <c r="J125" i="28"/>
  <c r="K125" i="28"/>
  <c r="L125" i="28"/>
  <c r="M125" i="28"/>
  <c r="N125" i="28"/>
  <c r="O125" i="28"/>
  <c r="P125" i="28"/>
  <c r="Q125" i="28"/>
  <c r="R125" i="28"/>
  <c r="S125" i="28"/>
  <c r="T125" i="28"/>
  <c r="E126" i="28"/>
  <c r="F126" i="28"/>
  <c r="G126" i="28"/>
  <c r="H126" i="28"/>
  <c r="I126" i="28"/>
  <c r="J126" i="28"/>
  <c r="K126" i="28"/>
  <c r="L126" i="28"/>
  <c r="M126" i="28"/>
  <c r="N126" i="28"/>
  <c r="O126" i="28"/>
  <c r="P126" i="28"/>
  <c r="Q126" i="28"/>
  <c r="R126" i="28"/>
  <c r="S126" i="28"/>
  <c r="T126" i="28"/>
  <c r="T39" i="28"/>
  <c r="T71" i="28" s="1"/>
  <c r="T103" i="28" s="1"/>
  <c r="S39" i="28"/>
  <c r="S71" i="28" s="1"/>
  <c r="S103" i="28" s="1"/>
  <c r="R39" i="28"/>
  <c r="R71" i="28" s="1"/>
  <c r="R103" i="28" s="1"/>
  <c r="Q39" i="28"/>
  <c r="Q71" i="28" s="1"/>
  <c r="Q103" i="28" s="1"/>
  <c r="P39" i="28"/>
  <c r="P71" i="28" s="1"/>
  <c r="P103" i="28" s="1"/>
  <c r="O39" i="28"/>
  <c r="O71" i="28" s="1"/>
  <c r="O103" i="28" s="1"/>
  <c r="N39" i="28"/>
  <c r="N71" i="28" s="1"/>
  <c r="N103" i="28" s="1"/>
  <c r="M39" i="28"/>
  <c r="M71" i="28" s="1"/>
  <c r="M103" i="28" s="1"/>
  <c r="L39" i="28"/>
  <c r="L71" i="28" s="1"/>
  <c r="L103" i="28" s="1"/>
  <c r="K39" i="28"/>
  <c r="K71" i="28" s="1"/>
  <c r="K103" i="28" s="1"/>
  <c r="J39" i="28"/>
  <c r="J71" i="28" s="1"/>
  <c r="J103" i="28" s="1"/>
  <c r="I39" i="28"/>
  <c r="I71" i="28" s="1"/>
  <c r="I103" i="28" s="1"/>
  <c r="H39" i="28"/>
  <c r="H71" i="28" s="1"/>
  <c r="H103" i="28" s="1"/>
  <c r="G39" i="28"/>
  <c r="G71" i="28" s="1"/>
  <c r="G103" i="28" s="1"/>
  <c r="F39" i="28"/>
  <c r="F71" i="28" s="1"/>
  <c r="F103" i="28" s="1"/>
  <c r="E39" i="28"/>
  <c r="E71" i="28" s="1"/>
  <c r="E103" i="28" s="1"/>
  <c r="E40" i="27"/>
  <c r="E72" i="27" s="1"/>
  <c r="E104" i="27" s="1"/>
  <c r="F40" i="27"/>
  <c r="F72" i="27" s="1"/>
  <c r="F104" i="27" s="1"/>
  <c r="G40" i="27"/>
  <c r="G72" i="27" s="1"/>
  <c r="G104" i="27" s="1"/>
  <c r="H40" i="27"/>
  <c r="H72" i="27" s="1"/>
  <c r="H104" i="27" s="1"/>
  <c r="I40" i="27"/>
  <c r="I72" i="27" s="1"/>
  <c r="I104" i="27" s="1"/>
  <c r="J40" i="27"/>
  <c r="J72" i="27" s="1"/>
  <c r="J104" i="27" s="1"/>
  <c r="K40" i="27"/>
  <c r="K72" i="27" s="1"/>
  <c r="K104" i="27" s="1"/>
  <c r="L40" i="27"/>
  <c r="L72" i="27" s="1"/>
  <c r="L104" i="27" s="1"/>
  <c r="M40" i="27"/>
  <c r="M72" i="27" s="1"/>
  <c r="M104" i="27" s="1"/>
  <c r="N40" i="27"/>
  <c r="N72" i="27" s="1"/>
  <c r="N104" i="27" s="1"/>
  <c r="O40" i="27"/>
  <c r="O72" i="27" s="1"/>
  <c r="O104" i="27" s="1"/>
  <c r="P40" i="27"/>
  <c r="P72" i="27" s="1"/>
  <c r="P104" i="27" s="1"/>
  <c r="Q40" i="27"/>
  <c r="Q72" i="27" s="1"/>
  <c r="Q104" i="27" s="1"/>
  <c r="R40" i="27"/>
  <c r="R72" i="27" s="1"/>
  <c r="R104" i="27" s="1"/>
  <c r="S40" i="27"/>
  <c r="S72" i="27" s="1"/>
  <c r="S104" i="27" s="1"/>
  <c r="T40" i="27"/>
  <c r="T72" i="27" s="1"/>
  <c r="T104" i="27" s="1"/>
  <c r="E41" i="27"/>
  <c r="E73" i="27" s="1"/>
  <c r="E105" i="27" s="1"/>
  <c r="F41" i="27"/>
  <c r="F73" i="27" s="1"/>
  <c r="F105" i="27" s="1"/>
  <c r="G41" i="27"/>
  <c r="G73" i="27" s="1"/>
  <c r="G105" i="27" s="1"/>
  <c r="H41" i="27"/>
  <c r="H73" i="27" s="1"/>
  <c r="H105" i="27" s="1"/>
  <c r="I41" i="27"/>
  <c r="I73" i="27" s="1"/>
  <c r="I105" i="27" s="1"/>
  <c r="J41" i="27"/>
  <c r="J73" i="27" s="1"/>
  <c r="J105" i="27" s="1"/>
  <c r="K41" i="27"/>
  <c r="K73" i="27" s="1"/>
  <c r="K105" i="27" s="1"/>
  <c r="L41" i="27"/>
  <c r="L73" i="27" s="1"/>
  <c r="L105" i="27" s="1"/>
  <c r="M41" i="27"/>
  <c r="M73" i="27" s="1"/>
  <c r="M105" i="27" s="1"/>
  <c r="N41" i="27"/>
  <c r="N73" i="27" s="1"/>
  <c r="N105" i="27" s="1"/>
  <c r="O41" i="27"/>
  <c r="O73" i="27" s="1"/>
  <c r="O105" i="27" s="1"/>
  <c r="P41" i="27"/>
  <c r="P73" i="27" s="1"/>
  <c r="P105" i="27" s="1"/>
  <c r="Q41" i="27"/>
  <c r="Q73" i="27" s="1"/>
  <c r="Q105" i="27" s="1"/>
  <c r="R41" i="27"/>
  <c r="R73" i="27" s="1"/>
  <c r="R105" i="27" s="1"/>
  <c r="S41" i="27"/>
  <c r="S73" i="27" s="1"/>
  <c r="S105" i="27" s="1"/>
  <c r="T41" i="27"/>
  <c r="T73" i="27" s="1"/>
  <c r="T105" i="27" s="1"/>
  <c r="E42" i="27"/>
  <c r="E74" i="27" s="1"/>
  <c r="E106" i="27" s="1"/>
  <c r="F42" i="27"/>
  <c r="F74" i="27" s="1"/>
  <c r="F106" i="27" s="1"/>
  <c r="G42" i="27"/>
  <c r="G74" i="27" s="1"/>
  <c r="G106" i="27" s="1"/>
  <c r="H42" i="27"/>
  <c r="H74" i="27" s="1"/>
  <c r="H106" i="27" s="1"/>
  <c r="I42" i="27"/>
  <c r="I74" i="27" s="1"/>
  <c r="I106" i="27" s="1"/>
  <c r="J42" i="27"/>
  <c r="J74" i="27" s="1"/>
  <c r="J106" i="27" s="1"/>
  <c r="K42" i="27"/>
  <c r="K74" i="27" s="1"/>
  <c r="K106" i="27" s="1"/>
  <c r="L42" i="27"/>
  <c r="L74" i="27" s="1"/>
  <c r="L106" i="27" s="1"/>
  <c r="M42" i="27"/>
  <c r="M74" i="27" s="1"/>
  <c r="M106" i="27" s="1"/>
  <c r="N42" i="27"/>
  <c r="N74" i="27" s="1"/>
  <c r="N106" i="27" s="1"/>
  <c r="O42" i="27"/>
  <c r="O74" i="27" s="1"/>
  <c r="O106" i="27" s="1"/>
  <c r="P42" i="27"/>
  <c r="P74" i="27" s="1"/>
  <c r="P106" i="27" s="1"/>
  <c r="Q42" i="27"/>
  <c r="Q74" i="27" s="1"/>
  <c r="Q106" i="27" s="1"/>
  <c r="R42" i="27"/>
  <c r="R74" i="27" s="1"/>
  <c r="R106" i="27" s="1"/>
  <c r="S42" i="27"/>
  <c r="S74" i="27" s="1"/>
  <c r="S106" i="27" s="1"/>
  <c r="T42" i="27"/>
  <c r="T74" i="27" s="1"/>
  <c r="T106" i="27" s="1"/>
  <c r="E43" i="27"/>
  <c r="E75" i="27" s="1"/>
  <c r="E107" i="27" s="1"/>
  <c r="F43" i="27"/>
  <c r="F75" i="27" s="1"/>
  <c r="F107" i="27" s="1"/>
  <c r="G43" i="27"/>
  <c r="G75" i="27" s="1"/>
  <c r="G107" i="27" s="1"/>
  <c r="H43" i="27"/>
  <c r="H75" i="27" s="1"/>
  <c r="H107" i="27" s="1"/>
  <c r="I43" i="27"/>
  <c r="I75" i="27" s="1"/>
  <c r="I107" i="27" s="1"/>
  <c r="J43" i="27"/>
  <c r="J75" i="27" s="1"/>
  <c r="J107" i="27" s="1"/>
  <c r="K43" i="27"/>
  <c r="K75" i="27" s="1"/>
  <c r="K107" i="27" s="1"/>
  <c r="L43" i="27"/>
  <c r="L75" i="27" s="1"/>
  <c r="L107" i="27" s="1"/>
  <c r="M43" i="27"/>
  <c r="M75" i="27" s="1"/>
  <c r="M107" i="27" s="1"/>
  <c r="N43" i="27"/>
  <c r="N75" i="27" s="1"/>
  <c r="N107" i="27" s="1"/>
  <c r="O43" i="27"/>
  <c r="O75" i="27" s="1"/>
  <c r="O107" i="27" s="1"/>
  <c r="P43" i="27"/>
  <c r="P75" i="27" s="1"/>
  <c r="P107" i="27" s="1"/>
  <c r="Q43" i="27"/>
  <c r="Q75" i="27" s="1"/>
  <c r="Q107" i="27" s="1"/>
  <c r="R43" i="27"/>
  <c r="R75" i="27" s="1"/>
  <c r="R107" i="27" s="1"/>
  <c r="S43" i="27"/>
  <c r="S75" i="27" s="1"/>
  <c r="S107" i="27" s="1"/>
  <c r="T43" i="27"/>
  <c r="T75" i="27" s="1"/>
  <c r="T107" i="27" s="1"/>
  <c r="E44" i="27"/>
  <c r="E76" i="27" s="1"/>
  <c r="E108" i="27" s="1"/>
  <c r="F44" i="27"/>
  <c r="F76" i="27" s="1"/>
  <c r="F108" i="27" s="1"/>
  <c r="G44" i="27"/>
  <c r="G76" i="27" s="1"/>
  <c r="G108" i="27" s="1"/>
  <c r="H44" i="27"/>
  <c r="H76" i="27" s="1"/>
  <c r="H108" i="27" s="1"/>
  <c r="I44" i="27"/>
  <c r="I76" i="27" s="1"/>
  <c r="I108" i="27" s="1"/>
  <c r="J44" i="27"/>
  <c r="J76" i="27" s="1"/>
  <c r="J108" i="27" s="1"/>
  <c r="K44" i="27"/>
  <c r="K76" i="27" s="1"/>
  <c r="K108" i="27" s="1"/>
  <c r="L44" i="27"/>
  <c r="L76" i="27" s="1"/>
  <c r="L108" i="27" s="1"/>
  <c r="M44" i="27"/>
  <c r="M76" i="27" s="1"/>
  <c r="M108" i="27" s="1"/>
  <c r="N44" i="27"/>
  <c r="N76" i="27" s="1"/>
  <c r="N108" i="27" s="1"/>
  <c r="O44" i="27"/>
  <c r="O76" i="27" s="1"/>
  <c r="O108" i="27" s="1"/>
  <c r="P44" i="27"/>
  <c r="P76" i="27" s="1"/>
  <c r="P108" i="27" s="1"/>
  <c r="Q44" i="27"/>
  <c r="Q76" i="27" s="1"/>
  <c r="Q108" i="27" s="1"/>
  <c r="R44" i="27"/>
  <c r="R76" i="27" s="1"/>
  <c r="R108" i="27" s="1"/>
  <c r="S44" i="27"/>
  <c r="S76" i="27" s="1"/>
  <c r="S108" i="27" s="1"/>
  <c r="T44" i="27"/>
  <c r="T76" i="27" s="1"/>
  <c r="T108" i="27" s="1"/>
  <c r="E45" i="27"/>
  <c r="E77" i="27" s="1"/>
  <c r="E109" i="27" s="1"/>
  <c r="F45" i="27"/>
  <c r="F77" i="27" s="1"/>
  <c r="F109" i="27" s="1"/>
  <c r="G45" i="27"/>
  <c r="G77" i="27" s="1"/>
  <c r="G109" i="27" s="1"/>
  <c r="H45" i="27"/>
  <c r="H77" i="27" s="1"/>
  <c r="H109" i="27" s="1"/>
  <c r="I45" i="27"/>
  <c r="I77" i="27" s="1"/>
  <c r="I109" i="27" s="1"/>
  <c r="J45" i="27"/>
  <c r="J77" i="27" s="1"/>
  <c r="J109" i="27" s="1"/>
  <c r="K45" i="27"/>
  <c r="K77" i="27" s="1"/>
  <c r="K109" i="27" s="1"/>
  <c r="L45" i="27"/>
  <c r="L77" i="27" s="1"/>
  <c r="L109" i="27" s="1"/>
  <c r="M45" i="27"/>
  <c r="M77" i="27" s="1"/>
  <c r="M109" i="27" s="1"/>
  <c r="N45" i="27"/>
  <c r="N77" i="27" s="1"/>
  <c r="N109" i="27" s="1"/>
  <c r="O45" i="27"/>
  <c r="O77" i="27" s="1"/>
  <c r="O109" i="27" s="1"/>
  <c r="P45" i="27"/>
  <c r="P77" i="27" s="1"/>
  <c r="P109" i="27" s="1"/>
  <c r="Q45" i="27"/>
  <c r="Q77" i="27" s="1"/>
  <c r="Q109" i="27" s="1"/>
  <c r="R45" i="27"/>
  <c r="R77" i="27" s="1"/>
  <c r="R109" i="27" s="1"/>
  <c r="S45" i="27"/>
  <c r="S77" i="27" s="1"/>
  <c r="S109" i="27" s="1"/>
  <c r="T45" i="27"/>
  <c r="T77" i="27" s="1"/>
  <c r="T109" i="27" s="1"/>
  <c r="E46" i="27"/>
  <c r="E78" i="27" s="1"/>
  <c r="E110" i="27" s="1"/>
  <c r="F46" i="27"/>
  <c r="F78" i="27" s="1"/>
  <c r="F110" i="27" s="1"/>
  <c r="G46" i="27"/>
  <c r="G78" i="27" s="1"/>
  <c r="G110" i="27" s="1"/>
  <c r="H46" i="27"/>
  <c r="H78" i="27" s="1"/>
  <c r="H110" i="27" s="1"/>
  <c r="I46" i="27"/>
  <c r="I78" i="27" s="1"/>
  <c r="I110" i="27" s="1"/>
  <c r="J46" i="27"/>
  <c r="J78" i="27" s="1"/>
  <c r="J110" i="27" s="1"/>
  <c r="K46" i="27"/>
  <c r="K78" i="27" s="1"/>
  <c r="K110" i="27" s="1"/>
  <c r="L46" i="27"/>
  <c r="L78" i="27" s="1"/>
  <c r="L110" i="27" s="1"/>
  <c r="M46" i="27"/>
  <c r="M78" i="27" s="1"/>
  <c r="M110" i="27" s="1"/>
  <c r="N46" i="27"/>
  <c r="N78" i="27" s="1"/>
  <c r="N110" i="27" s="1"/>
  <c r="O46" i="27"/>
  <c r="O78" i="27" s="1"/>
  <c r="O110" i="27" s="1"/>
  <c r="P46" i="27"/>
  <c r="P78" i="27" s="1"/>
  <c r="P110" i="27" s="1"/>
  <c r="Q46" i="27"/>
  <c r="Q78" i="27" s="1"/>
  <c r="Q110" i="27" s="1"/>
  <c r="R46" i="27"/>
  <c r="R78" i="27" s="1"/>
  <c r="R110" i="27" s="1"/>
  <c r="S46" i="27"/>
  <c r="S78" i="27" s="1"/>
  <c r="S110" i="27" s="1"/>
  <c r="T46" i="27"/>
  <c r="T78" i="27" s="1"/>
  <c r="T110" i="27" s="1"/>
  <c r="E47" i="27"/>
  <c r="E79" i="27" s="1"/>
  <c r="E111" i="27" s="1"/>
  <c r="F47" i="27"/>
  <c r="F79" i="27" s="1"/>
  <c r="F111" i="27" s="1"/>
  <c r="G47" i="27"/>
  <c r="G79" i="27" s="1"/>
  <c r="G111" i="27" s="1"/>
  <c r="H47" i="27"/>
  <c r="H79" i="27" s="1"/>
  <c r="H111" i="27" s="1"/>
  <c r="I47" i="27"/>
  <c r="I79" i="27" s="1"/>
  <c r="I111" i="27" s="1"/>
  <c r="J47" i="27"/>
  <c r="J79" i="27" s="1"/>
  <c r="J111" i="27" s="1"/>
  <c r="K47" i="27"/>
  <c r="K79" i="27" s="1"/>
  <c r="K111" i="27" s="1"/>
  <c r="L47" i="27"/>
  <c r="L79" i="27" s="1"/>
  <c r="L111" i="27" s="1"/>
  <c r="M47" i="27"/>
  <c r="M79" i="27" s="1"/>
  <c r="M111" i="27" s="1"/>
  <c r="N47" i="27"/>
  <c r="N79" i="27" s="1"/>
  <c r="N111" i="27" s="1"/>
  <c r="O47" i="27"/>
  <c r="O79" i="27" s="1"/>
  <c r="O111" i="27" s="1"/>
  <c r="P47" i="27"/>
  <c r="P79" i="27" s="1"/>
  <c r="P111" i="27" s="1"/>
  <c r="Q47" i="27"/>
  <c r="Q79" i="27" s="1"/>
  <c r="Q111" i="27" s="1"/>
  <c r="R47" i="27"/>
  <c r="R79" i="27" s="1"/>
  <c r="R111" i="27" s="1"/>
  <c r="S47" i="27"/>
  <c r="S79" i="27" s="1"/>
  <c r="S111" i="27" s="1"/>
  <c r="T47" i="27"/>
  <c r="T79" i="27" s="1"/>
  <c r="T111" i="27" s="1"/>
  <c r="E48" i="27"/>
  <c r="E80" i="27" s="1"/>
  <c r="E112" i="27" s="1"/>
  <c r="F48" i="27"/>
  <c r="F80" i="27" s="1"/>
  <c r="F112" i="27" s="1"/>
  <c r="G48" i="27"/>
  <c r="G80" i="27" s="1"/>
  <c r="G112" i="27" s="1"/>
  <c r="H48" i="27"/>
  <c r="H80" i="27" s="1"/>
  <c r="H112" i="27" s="1"/>
  <c r="I48" i="27"/>
  <c r="I80" i="27" s="1"/>
  <c r="I112" i="27" s="1"/>
  <c r="J48" i="27"/>
  <c r="J80" i="27" s="1"/>
  <c r="J112" i="27" s="1"/>
  <c r="K48" i="27"/>
  <c r="K80" i="27" s="1"/>
  <c r="K112" i="27" s="1"/>
  <c r="L48" i="27"/>
  <c r="L80" i="27" s="1"/>
  <c r="L112" i="27" s="1"/>
  <c r="M48" i="27"/>
  <c r="M80" i="27" s="1"/>
  <c r="M112" i="27" s="1"/>
  <c r="N48" i="27"/>
  <c r="N80" i="27" s="1"/>
  <c r="N112" i="27" s="1"/>
  <c r="O48" i="27"/>
  <c r="O80" i="27" s="1"/>
  <c r="O112" i="27" s="1"/>
  <c r="P48" i="27"/>
  <c r="P80" i="27" s="1"/>
  <c r="P112" i="27" s="1"/>
  <c r="Q48" i="27"/>
  <c r="Q80" i="27" s="1"/>
  <c r="Q112" i="27" s="1"/>
  <c r="R48" i="27"/>
  <c r="R80" i="27" s="1"/>
  <c r="R112" i="27" s="1"/>
  <c r="S48" i="27"/>
  <c r="S80" i="27" s="1"/>
  <c r="S112" i="27" s="1"/>
  <c r="T48" i="27"/>
  <c r="T80" i="27" s="1"/>
  <c r="T112" i="27" s="1"/>
  <c r="E49" i="27"/>
  <c r="E81" i="27" s="1"/>
  <c r="E113" i="27" s="1"/>
  <c r="F49" i="27"/>
  <c r="F81" i="27" s="1"/>
  <c r="F113" i="27" s="1"/>
  <c r="G49" i="27"/>
  <c r="G81" i="27" s="1"/>
  <c r="G113" i="27" s="1"/>
  <c r="H49" i="27"/>
  <c r="H81" i="27" s="1"/>
  <c r="H113" i="27" s="1"/>
  <c r="I49" i="27"/>
  <c r="I81" i="27" s="1"/>
  <c r="I113" i="27" s="1"/>
  <c r="J49" i="27"/>
  <c r="J81" i="27" s="1"/>
  <c r="J113" i="27" s="1"/>
  <c r="K49" i="27"/>
  <c r="K81" i="27" s="1"/>
  <c r="K113" i="27" s="1"/>
  <c r="L49" i="27"/>
  <c r="L81" i="27" s="1"/>
  <c r="L113" i="27" s="1"/>
  <c r="M49" i="27"/>
  <c r="M81" i="27" s="1"/>
  <c r="M113" i="27" s="1"/>
  <c r="N49" i="27"/>
  <c r="N81" i="27" s="1"/>
  <c r="N113" i="27" s="1"/>
  <c r="O49" i="27"/>
  <c r="O81" i="27" s="1"/>
  <c r="O113" i="27" s="1"/>
  <c r="P49" i="27"/>
  <c r="P81" i="27" s="1"/>
  <c r="P113" i="27" s="1"/>
  <c r="Q49" i="27"/>
  <c r="Q81" i="27" s="1"/>
  <c r="Q113" i="27" s="1"/>
  <c r="R49" i="27"/>
  <c r="R81" i="27" s="1"/>
  <c r="R113" i="27" s="1"/>
  <c r="S49" i="27"/>
  <c r="S81" i="27" s="1"/>
  <c r="S113" i="27" s="1"/>
  <c r="T49" i="27"/>
  <c r="T81" i="27" s="1"/>
  <c r="T113" i="27" s="1"/>
  <c r="E50" i="27"/>
  <c r="E82" i="27" s="1"/>
  <c r="E114" i="27" s="1"/>
  <c r="F50" i="27"/>
  <c r="F82" i="27" s="1"/>
  <c r="F114" i="27" s="1"/>
  <c r="G50" i="27"/>
  <c r="G82" i="27" s="1"/>
  <c r="G114" i="27" s="1"/>
  <c r="H50" i="27"/>
  <c r="H82" i="27" s="1"/>
  <c r="H114" i="27" s="1"/>
  <c r="I50" i="27"/>
  <c r="I82" i="27" s="1"/>
  <c r="I114" i="27" s="1"/>
  <c r="J50" i="27"/>
  <c r="J82" i="27" s="1"/>
  <c r="J114" i="27" s="1"/>
  <c r="K50" i="27"/>
  <c r="K82" i="27" s="1"/>
  <c r="K114" i="27" s="1"/>
  <c r="L50" i="27"/>
  <c r="L82" i="27" s="1"/>
  <c r="L114" i="27" s="1"/>
  <c r="M50" i="27"/>
  <c r="M82" i="27" s="1"/>
  <c r="M114" i="27" s="1"/>
  <c r="N50" i="27"/>
  <c r="N82" i="27" s="1"/>
  <c r="N114" i="27" s="1"/>
  <c r="O50" i="27"/>
  <c r="O82" i="27" s="1"/>
  <c r="O114" i="27" s="1"/>
  <c r="P50" i="27"/>
  <c r="P82" i="27" s="1"/>
  <c r="P114" i="27" s="1"/>
  <c r="Q50" i="27"/>
  <c r="Q82" i="27" s="1"/>
  <c r="Q114" i="27" s="1"/>
  <c r="R50" i="27"/>
  <c r="R82" i="27" s="1"/>
  <c r="R114" i="27" s="1"/>
  <c r="S50" i="27"/>
  <c r="S82" i="27" s="1"/>
  <c r="S114" i="27" s="1"/>
  <c r="T50" i="27"/>
  <c r="T82" i="27" s="1"/>
  <c r="T114" i="27" s="1"/>
  <c r="E51" i="27"/>
  <c r="E83" i="27" s="1"/>
  <c r="E115" i="27" s="1"/>
  <c r="F51" i="27"/>
  <c r="F83" i="27" s="1"/>
  <c r="F115" i="27" s="1"/>
  <c r="G51" i="27"/>
  <c r="G83" i="27" s="1"/>
  <c r="G115" i="27" s="1"/>
  <c r="H51" i="27"/>
  <c r="H83" i="27" s="1"/>
  <c r="H115" i="27" s="1"/>
  <c r="I51" i="27"/>
  <c r="I83" i="27" s="1"/>
  <c r="I115" i="27" s="1"/>
  <c r="J51" i="27"/>
  <c r="J83" i="27" s="1"/>
  <c r="J115" i="27" s="1"/>
  <c r="K51" i="27"/>
  <c r="K83" i="27" s="1"/>
  <c r="K115" i="27" s="1"/>
  <c r="L51" i="27"/>
  <c r="L83" i="27" s="1"/>
  <c r="L115" i="27" s="1"/>
  <c r="M51" i="27"/>
  <c r="M83" i="27" s="1"/>
  <c r="M115" i="27" s="1"/>
  <c r="N51" i="27"/>
  <c r="N83" i="27" s="1"/>
  <c r="N115" i="27" s="1"/>
  <c r="O51" i="27"/>
  <c r="O83" i="27" s="1"/>
  <c r="O115" i="27" s="1"/>
  <c r="P51" i="27"/>
  <c r="P83" i="27" s="1"/>
  <c r="P115" i="27" s="1"/>
  <c r="Q51" i="27"/>
  <c r="Q83" i="27" s="1"/>
  <c r="Q115" i="27" s="1"/>
  <c r="R51" i="27"/>
  <c r="R83" i="27" s="1"/>
  <c r="R115" i="27" s="1"/>
  <c r="S51" i="27"/>
  <c r="S83" i="27" s="1"/>
  <c r="S115" i="27" s="1"/>
  <c r="T51" i="27"/>
  <c r="T83" i="27" s="1"/>
  <c r="T115" i="27" s="1"/>
  <c r="E52" i="27"/>
  <c r="E84" i="27" s="1"/>
  <c r="E116" i="27" s="1"/>
  <c r="F52" i="27"/>
  <c r="F84" i="27" s="1"/>
  <c r="F116" i="27" s="1"/>
  <c r="G52" i="27"/>
  <c r="G84" i="27" s="1"/>
  <c r="G116" i="27" s="1"/>
  <c r="H52" i="27"/>
  <c r="H84" i="27" s="1"/>
  <c r="H116" i="27" s="1"/>
  <c r="I52" i="27"/>
  <c r="I84" i="27" s="1"/>
  <c r="I116" i="27" s="1"/>
  <c r="J52" i="27"/>
  <c r="J84" i="27" s="1"/>
  <c r="J116" i="27" s="1"/>
  <c r="K52" i="27"/>
  <c r="K84" i="27" s="1"/>
  <c r="K116" i="27" s="1"/>
  <c r="L52" i="27"/>
  <c r="L84" i="27" s="1"/>
  <c r="L116" i="27" s="1"/>
  <c r="M52" i="27"/>
  <c r="M84" i="27" s="1"/>
  <c r="M116" i="27" s="1"/>
  <c r="N52" i="27"/>
  <c r="N84" i="27" s="1"/>
  <c r="N116" i="27" s="1"/>
  <c r="O52" i="27"/>
  <c r="O84" i="27" s="1"/>
  <c r="O116" i="27" s="1"/>
  <c r="P52" i="27"/>
  <c r="P84" i="27" s="1"/>
  <c r="P116" i="27" s="1"/>
  <c r="Q52" i="27"/>
  <c r="Q84" i="27" s="1"/>
  <c r="Q116" i="27" s="1"/>
  <c r="R52" i="27"/>
  <c r="R84" i="27" s="1"/>
  <c r="R116" i="27" s="1"/>
  <c r="S52" i="27"/>
  <c r="S84" i="27" s="1"/>
  <c r="S116" i="27" s="1"/>
  <c r="T52" i="27"/>
  <c r="T84" i="27" s="1"/>
  <c r="T116" i="27" s="1"/>
  <c r="E53" i="27"/>
  <c r="E85" i="27" s="1"/>
  <c r="E117" i="27" s="1"/>
  <c r="F53" i="27"/>
  <c r="F85" i="27" s="1"/>
  <c r="F117" i="27" s="1"/>
  <c r="G53" i="27"/>
  <c r="G85" i="27" s="1"/>
  <c r="G117" i="27" s="1"/>
  <c r="H53" i="27"/>
  <c r="H85" i="27" s="1"/>
  <c r="H117" i="27" s="1"/>
  <c r="I53" i="27"/>
  <c r="I85" i="27" s="1"/>
  <c r="I117" i="27" s="1"/>
  <c r="J53" i="27"/>
  <c r="J85" i="27" s="1"/>
  <c r="J117" i="27" s="1"/>
  <c r="K53" i="27"/>
  <c r="K85" i="27" s="1"/>
  <c r="K117" i="27" s="1"/>
  <c r="L53" i="27"/>
  <c r="L85" i="27" s="1"/>
  <c r="L117" i="27" s="1"/>
  <c r="M53" i="27"/>
  <c r="M85" i="27" s="1"/>
  <c r="M117" i="27" s="1"/>
  <c r="N53" i="27"/>
  <c r="N85" i="27" s="1"/>
  <c r="N117" i="27" s="1"/>
  <c r="O53" i="27"/>
  <c r="O85" i="27" s="1"/>
  <c r="O117" i="27" s="1"/>
  <c r="P53" i="27"/>
  <c r="P85" i="27" s="1"/>
  <c r="P117" i="27" s="1"/>
  <c r="Q53" i="27"/>
  <c r="Q85" i="27" s="1"/>
  <c r="Q117" i="27" s="1"/>
  <c r="R53" i="27"/>
  <c r="R85" i="27" s="1"/>
  <c r="R117" i="27" s="1"/>
  <c r="S53" i="27"/>
  <c r="S85" i="27" s="1"/>
  <c r="S117" i="27" s="1"/>
  <c r="T53" i="27"/>
  <c r="T85" i="27" s="1"/>
  <c r="T117" i="27" s="1"/>
  <c r="E54" i="27"/>
  <c r="E86" i="27" s="1"/>
  <c r="E118" i="27" s="1"/>
  <c r="F54" i="27"/>
  <c r="F86" i="27" s="1"/>
  <c r="F118" i="27" s="1"/>
  <c r="G54" i="27"/>
  <c r="G86" i="27" s="1"/>
  <c r="G118" i="27" s="1"/>
  <c r="H54" i="27"/>
  <c r="H86" i="27" s="1"/>
  <c r="H118" i="27" s="1"/>
  <c r="I54" i="27"/>
  <c r="I86" i="27" s="1"/>
  <c r="I118" i="27" s="1"/>
  <c r="J54" i="27"/>
  <c r="J86" i="27" s="1"/>
  <c r="J118" i="27" s="1"/>
  <c r="K54" i="27"/>
  <c r="K86" i="27" s="1"/>
  <c r="K118" i="27" s="1"/>
  <c r="L54" i="27"/>
  <c r="L86" i="27" s="1"/>
  <c r="L118" i="27" s="1"/>
  <c r="M54" i="27"/>
  <c r="M86" i="27" s="1"/>
  <c r="M118" i="27" s="1"/>
  <c r="N54" i="27"/>
  <c r="N86" i="27" s="1"/>
  <c r="N118" i="27" s="1"/>
  <c r="O54" i="27"/>
  <c r="O86" i="27" s="1"/>
  <c r="O118" i="27" s="1"/>
  <c r="P54" i="27"/>
  <c r="P86" i="27" s="1"/>
  <c r="P118" i="27" s="1"/>
  <c r="Q54" i="27"/>
  <c r="Q86" i="27" s="1"/>
  <c r="Q118" i="27" s="1"/>
  <c r="R54" i="27"/>
  <c r="R86" i="27" s="1"/>
  <c r="R118" i="27" s="1"/>
  <c r="S54" i="27"/>
  <c r="S86" i="27" s="1"/>
  <c r="S118" i="27" s="1"/>
  <c r="T54" i="27"/>
  <c r="T86" i="27" s="1"/>
  <c r="T118" i="27" s="1"/>
  <c r="E55" i="27"/>
  <c r="E87" i="27" s="1"/>
  <c r="E119" i="27" s="1"/>
  <c r="F55" i="27"/>
  <c r="F87" i="27" s="1"/>
  <c r="F119" i="27" s="1"/>
  <c r="G55" i="27"/>
  <c r="G87" i="27" s="1"/>
  <c r="G119" i="27" s="1"/>
  <c r="H55" i="27"/>
  <c r="H87" i="27" s="1"/>
  <c r="H119" i="27" s="1"/>
  <c r="I55" i="27"/>
  <c r="I87" i="27" s="1"/>
  <c r="I119" i="27" s="1"/>
  <c r="J55" i="27"/>
  <c r="J87" i="27" s="1"/>
  <c r="J119" i="27" s="1"/>
  <c r="K55" i="27"/>
  <c r="K87" i="27" s="1"/>
  <c r="K119" i="27" s="1"/>
  <c r="L55" i="27"/>
  <c r="L87" i="27" s="1"/>
  <c r="L119" i="27" s="1"/>
  <c r="M55" i="27"/>
  <c r="M87" i="27" s="1"/>
  <c r="M119" i="27" s="1"/>
  <c r="N55" i="27"/>
  <c r="N87" i="27" s="1"/>
  <c r="N119" i="27" s="1"/>
  <c r="O55" i="27"/>
  <c r="O87" i="27" s="1"/>
  <c r="O119" i="27" s="1"/>
  <c r="P55" i="27"/>
  <c r="P87" i="27" s="1"/>
  <c r="P119" i="27" s="1"/>
  <c r="Q55" i="27"/>
  <c r="Q87" i="27" s="1"/>
  <c r="Q119" i="27" s="1"/>
  <c r="R55" i="27"/>
  <c r="R87" i="27" s="1"/>
  <c r="R119" i="27" s="1"/>
  <c r="S55" i="27"/>
  <c r="S87" i="27" s="1"/>
  <c r="S119" i="27" s="1"/>
  <c r="T55" i="27"/>
  <c r="T87" i="27" s="1"/>
  <c r="T119" i="27" s="1"/>
  <c r="E56" i="27"/>
  <c r="E88" i="27" s="1"/>
  <c r="E120" i="27" s="1"/>
  <c r="F56" i="27"/>
  <c r="F88" i="27" s="1"/>
  <c r="F120" i="27" s="1"/>
  <c r="G56" i="27"/>
  <c r="G88" i="27" s="1"/>
  <c r="G120" i="27" s="1"/>
  <c r="H56" i="27"/>
  <c r="H88" i="27" s="1"/>
  <c r="H120" i="27" s="1"/>
  <c r="I56" i="27"/>
  <c r="I88" i="27" s="1"/>
  <c r="I120" i="27" s="1"/>
  <c r="J56" i="27"/>
  <c r="J88" i="27" s="1"/>
  <c r="J120" i="27" s="1"/>
  <c r="K56" i="27"/>
  <c r="K88" i="27" s="1"/>
  <c r="K120" i="27" s="1"/>
  <c r="L56" i="27"/>
  <c r="L88" i="27" s="1"/>
  <c r="L120" i="27" s="1"/>
  <c r="M56" i="27"/>
  <c r="M88" i="27" s="1"/>
  <c r="M120" i="27" s="1"/>
  <c r="N56" i="27"/>
  <c r="N88" i="27" s="1"/>
  <c r="N120" i="27" s="1"/>
  <c r="O56" i="27"/>
  <c r="O88" i="27" s="1"/>
  <c r="O120" i="27" s="1"/>
  <c r="P56" i="27"/>
  <c r="P88" i="27" s="1"/>
  <c r="P120" i="27" s="1"/>
  <c r="Q56" i="27"/>
  <c r="Q88" i="27" s="1"/>
  <c r="Q120" i="27" s="1"/>
  <c r="R56" i="27"/>
  <c r="R88" i="27" s="1"/>
  <c r="R120" i="27" s="1"/>
  <c r="S56" i="27"/>
  <c r="S88" i="27" s="1"/>
  <c r="S120" i="27" s="1"/>
  <c r="T56" i="27"/>
  <c r="T88" i="27" s="1"/>
  <c r="T120" i="27" s="1"/>
  <c r="E57" i="27"/>
  <c r="E89" i="27" s="1"/>
  <c r="E121" i="27" s="1"/>
  <c r="F57" i="27"/>
  <c r="F89" i="27" s="1"/>
  <c r="F121" i="27" s="1"/>
  <c r="G57" i="27"/>
  <c r="G89" i="27" s="1"/>
  <c r="G121" i="27" s="1"/>
  <c r="H57" i="27"/>
  <c r="H89" i="27" s="1"/>
  <c r="H121" i="27" s="1"/>
  <c r="I57" i="27"/>
  <c r="I89" i="27" s="1"/>
  <c r="I121" i="27" s="1"/>
  <c r="J57" i="27"/>
  <c r="J89" i="27" s="1"/>
  <c r="J121" i="27" s="1"/>
  <c r="K57" i="27"/>
  <c r="K89" i="27" s="1"/>
  <c r="K121" i="27" s="1"/>
  <c r="L57" i="27"/>
  <c r="L89" i="27" s="1"/>
  <c r="L121" i="27" s="1"/>
  <c r="M57" i="27"/>
  <c r="M89" i="27" s="1"/>
  <c r="M121" i="27" s="1"/>
  <c r="N57" i="27"/>
  <c r="N89" i="27" s="1"/>
  <c r="N121" i="27" s="1"/>
  <c r="O57" i="27"/>
  <c r="O89" i="27" s="1"/>
  <c r="O121" i="27" s="1"/>
  <c r="P57" i="27"/>
  <c r="P89" i="27" s="1"/>
  <c r="P121" i="27" s="1"/>
  <c r="Q57" i="27"/>
  <c r="Q89" i="27" s="1"/>
  <c r="Q121" i="27" s="1"/>
  <c r="R57" i="27"/>
  <c r="R89" i="27" s="1"/>
  <c r="R121" i="27" s="1"/>
  <c r="S57" i="27"/>
  <c r="S89" i="27" s="1"/>
  <c r="S121" i="27" s="1"/>
  <c r="T57" i="27"/>
  <c r="T89" i="27" s="1"/>
  <c r="T121" i="27" s="1"/>
  <c r="E58" i="27"/>
  <c r="E90" i="27" s="1"/>
  <c r="E122" i="27" s="1"/>
  <c r="F58" i="27"/>
  <c r="F90" i="27" s="1"/>
  <c r="F122" i="27" s="1"/>
  <c r="G58" i="27"/>
  <c r="G90" i="27" s="1"/>
  <c r="G122" i="27" s="1"/>
  <c r="H58" i="27"/>
  <c r="H90" i="27" s="1"/>
  <c r="H122" i="27" s="1"/>
  <c r="I58" i="27"/>
  <c r="I90" i="27" s="1"/>
  <c r="I122" i="27" s="1"/>
  <c r="J58" i="27"/>
  <c r="J90" i="27" s="1"/>
  <c r="J122" i="27" s="1"/>
  <c r="K58" i="27"/>
  <c r="K90" i="27" s="1"/>
  <c r="K122" i="27" s="1"/>
  <c r="L58" i="27"/>
  <c r="L90" i="27" s="1"/>
  <c r="L122" i="27" s="1"/>
  <c r="M58" i="27"/>
  <c r="M90" i="27" s="1"/>
  <c r="M122" i="27" s="1"/>
  <c r="N58" i="27"/>
  <c r="N90" i="27" s="1"/>
  <c r="N122" i="27" s="1"/>
  <c r="O58" i="27"/>
  <c r="O90" i="27" s="1"/>
  <c r="O122" i="27" s="1"/>
  <c r="P58" i="27"/>
  <c r="P90" i="27" s="1"/>
  <c r="P122" i="27" s="1"/>
  <c r="Q58" i="27"/>
  <c r="Q90" i="27" s="1"/>
  <c r="Q122" i="27" s="1"/>
  <c r="R58" i="27"/>
  <c r="R90" i="27" s="1"/>
  <c r="R122" i="27" s="1"/>
  <c r="S58" i="27"/>
  <c r="S90" i="27" s="1"/>
  <c r="S122" i="27" s="1"/>
  <c r="T58" i="27"/>
  <c r="T90" i="27" s="1"/>
  <c r="T122" i="27" s="1"/>
  <c r="E59" i="27"/>
  <c r="E91" i="27" s="1"/>
  <c r="E123" i="27" s="1"/>
  <c r="F59" i="27"/>
  <c r="F91" i="27" s="1"/>
  <c r="F123" i="27" s="1"/>
  <c r="G59" i="27"/>
  <c r="G91" i="27" s="1"/>
  <c r="G123" i="27" s="1"/>
  <c r="H59" i="27"/>
  <c r="H91" i="27" s="1"/>
  <c r="H123" i="27" s="1"/>
  <c r="I59" i="27"/>
  <c r="I91" i="27" s="1"/>
  <c r="I123" i="27" s="1"/>
  <c r="J59" i="27"/>
  <c r="J91" i="27" s="1"/>
  <c r="J123" i="27" s="1"/>
  <c r="K59" i="27"/>
  <c r="K91" i="27" s="1"/>
  <c r="K123" i="27" s="1"/>
  <c r="L59" i="27"/>
  <c r="L91" i="27" s="1"/>
  <c r="L123" i="27" s="1"/>
  <c r="M59" i="27"/>
  <c r="M91" i="27" s="1"/>
  <c r="M123" i="27" s="1"/>
  <c r="N59" i="27"/>
  <c r="N91" i="27" s="1"/>
  <c r="N123" i="27" s="1"/>
  <c r="O59" i="27"/>
  <c r="O91" i="27" s="1"/>
  <c r="O123" i="27" s="1"/>
  <c r="P59" i="27"/>
  <c r="P91" i="27" s="1"/>
  <c r="P123" i="27" s="1"/>
  <c r="Q59" i="27"/>
  <c r="Q91" i="27" s="1"/>
  <c r="Q123" i="27" s="1"/>
  <c r="R59" i="27"/>
  <c r="R91" i="27" s="1"/>
  <c r="R123" i="27" s="1"/>
  <c r="S59" i="27"/>
  <c r="S91" i="27" s="1"/>
  <c r="S123" i="27" s="1"/>
  <c r="T59" i="27"/>
  <c r="T91" i="27" s="1"/>
  <c r="T123" i="27" s="1"/>
  <c r="E60" i="27"/>
  <c r="E92" i="27" s="1"/>
  <c r="E124" i="27" s="1"/>
  <c r="F60" i="27"/>
  <c r="F92" i="27" s="1"/>
  <c r="F124" i="27" s="1"/>
  <c r="G60" i="27"/>
  <c r="G92" i="27" s="1"/>
  <c r="G124" i="27" s="1"/>
  <c r="H60" i="27"/>
  <c r="H92" i="27" s="1"/>
  <c r="H124" i="27" s="1"/>
  <c r="I60" i="27"/>
  <c r="I92" i="27" s="1"/>
  <c r="I124" i="27" s="1"/>
  <c r="J60" i="27"/>
  <c r="J92" i="27" s="1"/>
  <c r="J124" i="27" s="1"/>
  <c r="K60" i="27"/>
  <c r="K92" i="27" s="1"/>
  <c r="K124" i="27" s="1"/>
  <c r="L60" i="27"/>
  <c r="L92" i="27" s="1"/>
  <c r="L124" i="27" s="1"/>
  <c r="M60" i="27"/>
  <c r="M92" i="27" s="1"/>
  <c r="M124" i="27" s="1"/>
  <c r="N60" i="27"/>
  <c r="N92" i="27" s="1"/>
  <c r="N124" i="27" s="1"/>
  <c r="O60" i="27"/>
  <c r="O92" i="27" s="1"/>
  <c r="O124" i="27" s="1"/>
  <c r="P60" i="27"/>
  <c r="P92" i="27" s="1"/>
  <c r="P124" i="27" s="1"/>
  <c r="Q60" i="27"/>
  <c r="Q92" i="27" s="1"/>
  <c r="Q124" i="27" s="1"/>
  <c r="R60" i="27"/>
  <c r="R92" i="27" s="1"/>
  <c r="R124" i="27" s="1"/>
  <c r="S60" i="27"/>
  <c r="S92" i="27" s="1"/>
  <c r="S124" i="27" s="1"/>
  <c r="T60" i="27"/>
  <c r="T92" i="27" s="1"/>
  <c r="T124" i="27" s="1"/>
  <c r="E61" i="27"/>
  <c r="E93" i="27" s="1"/>
  <c r="E125" i="27" s="1"/>
  <c r="F61" i="27"/>
  <c r="F93" i="27" s="1"/>
  <c r="F125" i="27" s="1"/>
  <c r="G61" i="27"/>
  <c r="G93" i="27" s="1"/>
  <c r="G125" i="27" s="1"/>
  <c r="H61" i="27"/>
  <c r="H93" i="27" s="1"/>
  <c r="H125" i="27" s="1"/>
  <c r="I61" i="27"/>
  <c r="I93" i="27" s="1"/>
  <c r="I125" i="27" s="1"/>
  <c r="J61" i="27"/>
  <c r="J93" i="27" s="1"/>
  <c r="J125" i="27" s="1"/>
  <c r="K61" i="27"/>
  <c r="K93" i="27" s="1"/>
  <c r="K125" i="27" s="1"/>
  <c r="L61" i="27"/>
  <c r="L93" i="27" s="1"/>
  <c r="L125" i="27" s="1"/>
  <c r="M61" i="27"/>
  <c r="M93" i="27" s="1"/>
  <c r="M125" i="27" s="1"/>
  <c r="N61" i="27"/>
  <c r="N93" i="27" s="1"/>
  <c r="N125" i="27" s="1"/>
  <c r="O61" i="27"/>
  <c r="O93" i="27" s="1"/>
  <c r="O125" i="27" s="1"/>
  <c r="P61" i="27"/>
  <c r="P93" i="27" s="1"/>
  <c r="P125" i="27" s="1"/>
  <c r="Q61" i="27"/>
  <c r="Q93" i="27" s="1"/>
  <c r="Q125" i="27" s="1"/>
  <c r="R61" i="27"/>
  <c r="R93" i="27" s="1"/>
  <c r="R125" i="27" s="1"/>
  <c r="S61" i="27"/>
  <c r="S93" i="27" s="1"/>
  <c r="S125" i="27" s="1"/>
  <c r="T61" i="27"/>
  <c r="T93" i="27" s="1"/>
  <c r="T125" i="27" s="1"/>
  <c r="E62" i="27"/>
  <c r="E94" i="27" s="1"/>
  <c r="E126" i="27" s="1"/>
  <c r="F62" i="27"/>
  <c r="F94" i="27" s="1"/>
  <c r="F126" i="27" s="1"/>
  <c r="G62" i="27"/>
  <c r="G94" i="27" s="1"/>
  <c r="G126" i="27" s="1"/>
  <c r="H62" i="27"/>
  <c r="H94" i="27" s="1"/>
  <c r="H126" i="27" s="1"/>
  <c r="I62" i="27"/>
  <c r="I94" i="27" s="1"/>
  <c r="I126" i="27" s="1"/>
  <c r="J62" i="27"/>
  <c r="J94" i="27" s="1"/>
  <c r="J126" i="27" s="1"/>
  <c r="K62" i="27"/>
  <c r="K94" i="27" s="1"/>
  <c r="K126" i="27" s="1"/>
  <c r="L62" i="27"/>
  <c r="L94" i="27" s="1"/>
  <c r="L126" i="27" s="1"/>
  <c r="M62" i="27"/>
  <c r="M94" i="27" s="1"/>
  <c r="M126" i="27" s="1"/>
  <c r="N62" i="27"/>
  <c r="N94" i="27" s="1"/>
  <c r="N126" i="27" s="1"/>
  <c r="O62" i="27"/>
  <c r="O94" i="27" s="1"/>
  <c r="O126" i="27" s="1"/>
  <c r="P62" i="27"/>
  <c r="P94" i="27" s="1"/>
  <c r="P126" i="27" s="1"/>
  <c r="Q62" i="27"/>
  <c r="Q94" i="27" s="1"/>
  <c r="Q126" i="27" s="1"/>
  <c r="R62" i="27"/>
  <c r="S62" i="27"/>
  <c r="T62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E68" i="27"/>
  <c r="F68" i="27"/>
  <c r="G68" i="27"/>
  <c r="H68" i="27"/>
  <c r="I68" i="27"/>
  <c r="J68" i="27"/>
  <c r="K68" i="27"/>
  <c r="L68" i="27"/>
  <c r="M68" i="27"/>
  <c r="N68" i="27"/>
  <c r="O68" i="27"/>
  <c r="P68" i="27"/>
  <c r="Q68" i="27"/>
  <c r="R68" i="27"/>
  <c r="S68" i="27"/>
  <c r="T68" i="27"/>
  <c r="E69" i="27"/>
  <c r="F69" i="27"/>
  <c r="G69" i="27"/>
  <c r="H69" i="27"/>
  <c r="I69" i="27"/>
  <c r="J69" i="27"/>
  <c r="K69" i="27"/>
  <c r="L69" i="27"/>
  <c r="M69" i="27"/>
  <c r="N69" i="27"/>
  <c r="O69" i="27"/>
  <c r="P69" i="27"/>
  <c r="Q69" i="27"/>
  <c r="R69" i="27"/>
  <c r="S69" i="27"/>
  <c r="T69" i="27"/>
  <c r="E70" i="27"/>
  <c r="F70" i="27"/>
  <c r="G70" i="27"/>
  <c r="H70" i="27"/>
  <c r="I70" i="27"/>
  <c r="J70" i="27"/>
  <c r="K70" i="27"/>
  <c r="L70" i="27"/>
  <c r="M70" i="27"/>
  <c r="N70" i="27"/>
  <c r="O70" i="27"/>
  <c r="P70" i="27"/>
  <c r="Q70" i="27"/>
  <c r="R70" i="27"/>
  <c r="S70" i="27"/>
  <c r="T70" i="27"/>
  <c r="R94" i="27"/>
  <c r="S94" i="27"/>
  <c r="T94" i="27"/>
  <c r="E95" i="27"/>
  <c r="F95" i="27"/>
  <c r="G95" i="27"/>
  <c r="H95" i="27"/>
  <c r="I95" i="27"/>
  <c r="J95" i="27"/>
  <c r="K95" i="27"/>
  <c r="L95" i="27"/>
  <c r="M95" i="27"/>
  <c r="N95" i="27"/>
  <c r="O95" i="27"/>
  <c r="P95" i="27"/>
  <c r="Q95" i="27"/>
  <c r="R95" i="27"/>
  <c r="S95" i="27"/>
  <c r="T95" i="27"/>
  <c r="E96" i="27"/>
  <c r="F96" i="27"/>
  <c r="G96" i="27"/>
  <c r="H96" i="27"/>
  <c r="I96" i="27"/>
  <c r="J96" i="27"/>
  <c r="K96" i="27"/>
  <c r="L96" i="27"/>
  <c r="M96" i="27"/>
  <c r="N96" i="27"/>
  <c r="O96" i="27"/>
  <c r="P96" i="27"/>
  <c r="Q96" i="27"/>
  <c r="R96" i="27"/>
  <c r="S96" i="27"/>
  <c r="T96" i="27"/>
  <c r="E97" i="27"/>
  <c r="F97" i="27"/>
  <c r="G97" i="27"/>
  <c r="H97" i="27"/>
  <c r="I97" i="27"/>
  <c r="J97" i="27"/>
  <c r="K97" i="27"/>
  <c r="L97" i="27"/>
  <c r="M97" i="27"/>
  <c r="N97" i="27"/>
  <c r="O97" i="27"/>
  <c r="P97" i="27"/>
  <c r="Q97" i="27"/>
  <c r="R97" i="27"/>
  <c r="S97" i="27"/>
  <c r="T97" i="27"/>
  <c r="E98" i="27"/>
  <c r="F98" i="27"/>
  <c r="G98" i="27"/>
  <c r="H98" i="27"/>
  <c r="I98" i="27"/>
  <c r="J98" i="27"/>
  <c r="K98" i="27"/>
  <c r="L98" i="27"/>
  <c r="M98" i="27"/>
  <c r="N98" i="27"/>
  <c r="O98" i="27"/>
  <c r="P98" i="27"/>
  <c r="Q98" i="27"/>
  <c r="R98" i="27"/>
  <c r="S98" i="27"/>
  <c r="T98" i="27"/>
  <c r="E99" i="27"/>
  <c r="F99" i="27"/>
  <c r="G99" i="27"/>
  <c r="H99" i="27"/>
  <c r="I99" i="27"/>
  <c r="J99" i="27"/>
  <c r="K99" i="27"/>
  <c r="L99" i="27"/>
  <c r="M99" i="27"/>
  <c r="N99" i="27"/>
  <c r="O99" i="27"/>
  <c r="P99" i="27"/>
  <c r="Q99" i="27"/>
  <c r="R99" i="27"/>
  <c r="S99" i="27"/>
  <c r="T99" i="27"/>
  <c r="E100" i="27"/>
  <c r="F100" i="27"/>
  <c r="G100" i="27"/>
  <c r="H100" i="27"/>
  <c r="I100" i="27"/>
  <c r="J100" i="27"/>
  <c r="K100" i="27"/>
  <c r="L100" i="27"/>
  <c r="M100" i="27"/>
  <c r="N100" i="27"/>
  <c r="O100" i="27"/>
  <c r="P100" i="27"/>
  <c r="Q100" i="27"/>
  <c r="R100" i="27"/>
  <c r="S100" i="27"/>
  <c r="T100" i="27"/>
  <c r="E101" i="27"/>
  <c r="F101" i="27"/>
  <c r="G101" i="27"/>
  <c r="H101" i="27"/>
  <c r="I101" i="27"/>
  <c r="J101" i="27"/>
  <c r="K101" i="27"/>
  <c r="L101" i="27"/>
  <c r="M101" i="27"/>
  <c r="N101" i="27"/>
  <c r="O101" i="27"/>
  <c r="P101" i="27"/>
  <c r="Q101" i="27"/>
  <c r="R101" i="27"/>
  <c r="S101" i="27"/>
  <c r="T101" i="27"/>
  <c r="E102" i="27"/>
  <c r="F102" i="27"/>
  <c r="G102" i="27"/>
  <c r="H102" i="27"/>
  <c r="I102" i="27"/>
  <c r="J102" i="27"/>
  <c r="K102" i="27"/>
  <c r="L102" i="27"/>
  <c r="M102" i="27"/>
  <c r="N102" i="27"/>
  <c r="O102" i="27"/>
  <c r="P102" i="27"/>
  <c r="Q102" i="27"/>
  <c r="R102" i="27"/>
  <c r="S102" i="27"/>
  <c r="T102" i="27"/>
  <c r="R126" i="27"/>
  <c r="S126" i="27"/>
  <c r="T126" i="27"/>
  <c r="T39" i="27"/>
  <c r="T71" i="27" s="1"/>
  <c r="T103" i="27" s="1"/>
  <c r="S39" i="27"/>
  <c r="S71" i="27" s="1"/>
  <c r="S103" i="27" s="1"/>
  <c r="R39" i="27"/>
  <c r="R71" i="27" s="1"/>
  <c r="R103" i="27" s="1"/>
  <c r="Q39" i="27"/>
  <c r="Q71" i="27" s="1"/>
  <c r="Q103" i="27" s="1"/>
  <c r="P39" i="27"/>
  <c r="P71" i="27" s="1"/>
  <c r="P103" i="27" s="1"/>
  <c r="O39" i="27"/>
  <c r="O71" i="27" s="1"/>
  <c r="O103" i="27" s="1"/>
  <c r="N39" i="27"/>
  <c r="N71" i="27" s="1"/>
  <c r="N103" i="27" s="1"/>
  <c r="M39" i="27"/>
  <c r="M71" i="27" s="1"/>
  <c r="M103" i="27" s="1"/>
  <c r="L39" i="27"/>
  <c r="L71" i="27" s="1"/>
  <c r="L103" i="27" s="1"/>
  <c r="K39" i="27"/>
  <c r="K71" i="27" s="1"/>
  <c r="K103" i="27" s="1"/>
  <c r="J39" i="27"/>
  <c r="J71" i="27" s="1"/>
  <c r="J103" i="27" s="1"/>
  <c r="I39" i="27"/>
  <c r="I71" i="27" s="1"/>
  <c r="I103" i="27" s="1"/>
  <c r="H39" i="27"/>
  <c r="H71" i="27" s="1"/>
  <c r="H103" i="27" s="1"/>
  <c r="G39" i="27"/>
  <c r="G71" i="27" s="1"/>
  <c r="G103" i="27" s="1"/>
  <c r="F39" i="27"/>
  <c r="F71" i="27" s="1"/>
  <c r="F103" i="27" s="1"/>
  <c r="E39" i="27"/>
  <c r="E71" i="27" s="1"/>
  <c r="E103" i="27" s="1"/>
  <c r="T39" i="26"/>
  <c r="T71" i="26" s="1"/>
  <c r="T103" i="26" s="1"/>
  <c r="S39" i="26"/>
  <c r="S71" i="26" s="1"/>
  <c r="S103" i="26" s="1"/>
  <c r="R39" i="26"/>
  <c r="R71" i="26" s="1"/>
  <c r="R103" i="26" s="1"/>
  <c r="Q39" i="26"/>
  <c r="Q71" i="26" s="1"/>
  <c r="Q103" i="26" s="1"/>
  <c r="P39" i="26"/>
  <c r="P71" i="26" s="1"/>
  <c r="P103" i="26" s="1"/>
  <c r="O39" i="26"/>
  <c r="O71" i="26" s="1"/>
  <c r="O103" i="26" s="1"/>
  <c r="N39" i="26"/>
  <c r="N71" i="26" s="1"/>
  <c r="N103" i="26" s="1"/>
  <c r="M39" i="26"/>
  <c r="M71" i="26" s="1"/>
  <c r="M103" i="26" s="1"/>
  <c r="L39" i="26"/>
  <c r="L71" i="26" s="1"/>
  <c r="L103" i="26" s="1"/>
  <c r="K39" i="26"/>
  <c r="K71" i="26" s="1"/>
  <c r="K103" i="26" s="1"/>
  <c r="J39" i="26"/>
  <c r="J71" i="26" s="1"/>
  <c r="J103" i="26" s="1"/>
  <c r="I39" i="26"/>
  <c r="I71" i="26" s="1"/>
  <c r="I103" i="26" s="1"/>
  <c r="H39" i="26"/>
  <c r="H71" i="26" s="1"/>
  <c r="H103" i="26" s="1"/>
  <c r="G39" i="26"/>
  <c r="G71" i="26" s="1"/>
  <c r="G103" i="26" s="1"/>
  <c r="F39" i="26"/>
  <c r="F71" i="26" s="1"/>
  <c r="F103" i="26" s="1"/>
  <c r="E39" i="26"/>
  <c r="E71" i="26" s="1"/>
  <c r="E103" i="26" s="1"/>
  <c r="E40" i="25"/>
  <c r="F40" i="25"/>
  <c r="G40" i="25"/>
  <c r="H40" i="25"/>
  <c r="I40" i="25"/>
  <c r="J40" i="25"/>
  <c r="K40" i="25"/>
  <c r="L40" i="25"/>
  <c r="M40" i="25"/>
  <c r="N40" i="25"/>
  <c r="O40" i="25"/>
  <c r="P40" i="25"/>
  <c r="P72" i="25" s="1"/>
  <c r="P104" i="25" s="1"/>
  <c r="Q40" i="25"/>
  <c r="R40" i="25"/>
  <c r="S40" i="25"/>
  <c r="T40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T41" i="25"/>
  <c r="E42" i="25"/>
  <c r="F42" i="25"/>
  <c r="G42" i="25"/>
  <c r="H42" i="25"/>
  <c r="I42" i="25"/>
  <c r="J42" i="25"/>
  <c r="J74" i="25" s="1"/>
  <c r="J106" i="25" s="1"/>
  <c r="K42" i="25"/>
  <c r="K74" i="25" s="1"/>
  <c r="K106" i="25" s="1"/>
  <c r="L42" i="25"/>
  <c r="M42" i="25"/>
  <c r="N42" i="25"/>
  <c r="O42" i="25"/>
  <c r="P42" i="25"/>
  <c r="Q42" i="25"/>
  <c r="R42" i="25"/>
  <c r="S42" i="25"/>
  <c r="T42" i="25"/>
  <c r="E43" i="25"/>
  <c r="F43" i="25"/>
  <c r="G43" i="25"/>
  <c r="H43" i="25"/>
  <c r="I43" i="25"/>
  <c r="J43" i="25"/>
  <c r="J75" i="25" s="1"/>
  <c r="J107" i="25" s="1"/>
  <c r="K43" i="25"/>
  <c r="K75" i="25" s="1"/>
  <c r="K107" i="25" s="1"/>
  <c r="L43" i="25"/>
  <c r="M43" i="25"/>
  <c r="N43" i="25"/>
  <c r="O43" i="25"/>
  <c r="P43" i="25"/>
  <c r="Q43" i="25"/>
  <c r="R43" i="25"/>
  <c r="S43" i="25"/>
  <c r="T43" i="25"/>
  <c r="E44" i="25"/>
  <c r="F44" i="25"/>
  <c r="G44" i="25"/>
  <c r="H44" i="25"/>
  <c r="I44" i="25"/>
  <c r="J44" i="25"/>
  <c r="J76" i="25" s="1"/>
  <c r="J108" i="25" s="1"/>
  <c r="K44" i="25"/>
  <c r="K76" i="25" s="1"/>
  <c r="K108" i="25" s="1"/>
  <c r="L44" i="25"/>
  <c r="M44" i="25"/>
  <c r="N44" i="25"/>
  <c r="O44" i="25"/>
  <c r="P44" i="25"/>
  <c r="Q44" i="25"/>
  <c r="R44" i="25"/>
  <c r="S44" i="25"/>
  <c r="T44" i="25"/>
  <c r="E45" i="25"/>
  <c r="F45" i="25"/>
  <c r="G45" i="25"/>
  <c r="H45" i="25"/>
  <c r="I45" i="25"/>
  <c r="J45" i="25"/>
  <c r="J77" i="25" s="1"/>
  <c r="J109" i="25" s="1"/>
  <c r="K45" i="25"/>
  <c r="K77" i="25" s="1"/>
  <c r="K109" i="25" s="1"/>
  <c r="L45" i="25"/>
  <c r="M45" i="25"/>
  <c r="N45" i="25"/>
  <c r="O45" i="25"/>
  <c r="P45" i="25"/>
  <c r="Q45" i="25"/>
  <c r="R45" i="25"/>
  <c r="S45" i="25"/>
  <c r="T45" i="25"/>
  <c r="E46" i="25"/>
  <c r="F46" i="25"/>
  <c r="G46" i="25"/>
  <c r="G78" i="25" s="1"/>
  <c r="G110" i="25" s="1"/>
  <c r="H46" i="25"/>
  <c r="I46" i="25"/>
  <c r="I78" i="25" s="1"/>
  <c r="I110" i="25" s="1"/>
  <c r="J46" i="25"/>
  <c r="J78" i="25" s="1"/>
  <c r="J110" i="25" s="1"/>
  <c r="K46" i="25"/>
  <c r="K78" i="25" s="1"/>
  <c r="K110" i="25" s="1"/>
  <c r="L46" i="25"/>
  <c r="M46" i="25"/>
  <c r="N46" i="25"/>
  <c r="O46" i="25"/>
  <c r="P46" i="25"/>
  <c r="Q46" i="25"/>
  <c r="R46" i="25"/>
  <c r="S46" i="25"/>
  <c r="T46" i="25"/>
  <c r="E47" i="25"/>
  <c r="F47" i="25"/>
  <c r="F79" i="25" s="1"/>
  <c r="F111" i="25" s="1"/>
  <c r="G47" i="25"/>
  <c r="H47" i="25"/>
  <c r="H79" i="25" s="1"/>
  <c r="H111" i="25" s="1"/>
  <c r="I47" i="25"/>
  <c r="J47" i="25"/>
  <c r="K47" i="25"/>
  <c r="L47" i="25"/>
  <c r="M47" i="25"/>
  <c r="N47" i="25"/>
  <c r="O47" i="25"/>
  <c r="P47" i="25"/>
  <c r="Q47" i="25"/>
  <c r="R47" i="25"/>
  <c r="S47" i="25"/>
  <c r="T47" i="25"/>
  <c r="E48" i="25"/>
  <c r="F48" i="25"/>
  <c r="F80" i="25" s="1"/>
  <c r="F112" i="25" s="1"/>
  <c r="G48" i="25"/>
  <c r="G80" i="25" s="1"/>
  <c r="G112" i="25" s="1"/>
  <c r="H48" i="25"/>
  <c r="H80" i="25" s="1"/>
  <c r="H112" i="25" s="1"/>
  <c r="I48" i="25"/>
  <c r="I80" i="25" s="1"/>
  <c r="I112" i="25" s="1"/>
  <c r="J48" i="25"/>
  <c r="J80" i="25" s="1"/>
  <c r="J112" i="25" s="1"/>
  <c r="K48" i="25"/>
  <c r="K80" i="25" s="1"/>
  <c r="K112" i="25" s="1"/>
  <c r="L48" i="25"/>
  <c r="L80" i="25" s="1"/>
  <c r="L112" i="25" s="1"/>
  <c r="M48" i="25"/>
  <c r="M80" i="25" s="1"/>
  <c r="M112" i="25" s="1"/>
  <c r="N48" i="25"/>
  <c r="N80" i="25" s="1"/>
  <c r="N112" i="25" s="1"/>
  <c r="O48" i="25"/>
  <c r="O80" i="25" s="1"/>
  <c r="O112" i="25" s="1"/>
  <c r="P48" i="25"/>
  <c r="P80" i="25" s="1"/>
  <c r="P112" i="25" s="1"/>
  <c r="Q48" i="25"/>
  <c r="Q80" i="25" s="1"/>
  <c r="Q112" i="25" s="1"/>
  <c r="R48" i="25"/>
  <c r="R80" i="25" s="1"/>
  <c r="R112" i="25" s="1"/>
  <c r="S48" i="25"/>
  <c r="S80" i="25" s="1"/>
  <c r="S112" i="25" s="1"/>
  <c r="T48" i="25"/>
  <c r="T80" i="25" s="1"/>
  <c r="T112" i="25" s="1"/>
  <c r="E49" i="25"/>
  <c r="E81" i="25" s="1"/>
  <c r="E113" i="25" s="1"/>
  <c r="F49" i="25"/>
  <c r="F81" i="25" s="1"/>
  <c r="F113" i="25" s="1"/>
  <c r="G49" i="25"/>
  <c r="G81" i="25" s="1"/>
  <c r="G113" i="25" s="1"/>
  <c r="H49" i="25"/>
  <c r="H81" i="25" s="1"/>
  <c r="H113" i="25" s="1"/>
  <c r="I49" i="25"/>
  <c r="I81" i="25" s="1"/>
  <c r="I113" i="25" s="1"/>
  <c r="J49" i="25"/>
  <c r="J81" i="25" s="1"/>
  <c r="J113" i="25" s="1"/>
  <c r="K49" i="25"/>
  <c r="K81" i="25" s="1"/>
  <c r="K113" i="25" s="1"/>
  <c r="L49" i="25"/>
  <c r="L81" i="25" s="1"/>
  <c r="L113" i="25" s="1"/>
  <c r="M49" i="25"/>
  <c r="M81" i="25" s="1"/>
  <c r="M113" i="25" s="1"/>
  <c r="N49" i="25"/>
  <c r="N81" i="25" s="1"/>
  <c r="N113" i="25" s="1"/>
  <c r="O49" i="25"/>
  <c r="O81" i="25" s="1"/>
  <c r="O113" i="25" s="1"/>
  <c r="P49" i="25"/>
  <c r="P81" i="25" s="1"/>
  <c r="P113" i="25" s="1"/>
  <c r="Q49" i="25"/>
  <c r="Q81" i="25" s="1"/>
  <c r="Q113" i="25" s="1"/>
  <c r="R49" i="25"/>
  <c r="R81" i="25" s="1"/>
  <c r="R113" i="25" s="1"/>
  <c r="S49" i="25"/>
  <c r="S81" i="25" s="1"/>
  <c r="S113" i="25" s="1"/>
  <c r="T49" i="25"/>
  <c r="T81" i="25" s="1"/>
  <c r="T113" i="25" s="1"/>
  <c r="E50" i="25"/>
  <c r="E82" i="25" s="1"/>
  <c r="E114" i="25" s="1"/>
  <c r="F50" i="25"/>
  <c r="F82" i="25" s="1"/>
  <c r="F114" i="25" s="1"/>
  <c r="G50" i="25"/>
  <c r="G82" i="25" s="1"/>
  <c r="G114" i="25" s="1"/>
  <c r="H50" i="25"/>
  <c r="H82" i="25" s="1"/>
  <c r="H114" i="25" s="1"/>
  <c r="I50" i="25"/>
  <c r="I82" i="25" s="1"/>
  <c r="I114" i="25" s="1"/>
  <c r="J50" i="25"/>
  <c r="J82" i="25" s="1"/>
  <c r="J114" i="25" s="1"/>
  <c r="K50" i="25"/>
  <c r="K82" i="25" s="1"/>
  <c r="K114" i="25" s="1"/>
  <c r="L50" i="25"/>
  <c r="L82" i="25" s="1"/>
  <c r="L114" i="25" s="1"/>
  <c r="M50" i="25"/>
  <c r="M82" i="25" s="1"/>
  <c r="M114" i="25" s="1"/>
  <c r="N50" i="25"/>
  <c r="N82" i="25" s="1"/>
  <c r="N114" i="25" s="1"/>
  <c r="O50" i="25"/>
  <c r="O82" i="25" s="1"/>
  <c r="O114" i="25" s="1"/>
  <c r="P50" i="25"/>
  <c r="P82" i="25" s="1"/>
  <c r="P114" i="25" s="1"/>
  <c r="Q50" i="25"/>
  <c r="Q82" i="25" s="1"/>
  <c r="Q114" i="25" s="1"/>
  <c r="R50" i="25"/>
  <c r="R82" i="25" s="1"/>
  <c r="R114" i="25" s="1"/>
  <c r="S50" i="25"/>
  <c r="S82" i="25" s="1"/>
  <c r="S114" i="25" s="1"/>
  <c r="T50" i="25"/>
  <c r="T82" i="25" s="1"/>
  <c r="T114" i="25" s="1"/>
  <c r="E51" i="25"/>
  <c r="E83" i="25" s="1"/>
  <c r="E115" i="25" s="1"/>
  <c r="F51" i="25"/>
  <c r="F83" i="25" s="1"/>
  <c r="F115" i="25" s="1"/>
  <c r="G51" i="25"/>
  <c r="G83" i="25" s="1"/>
  <c r="G115" i="25" s="1"/>
  <c r="H51" i="25"/>
  <c r="H83" i="25" s="1"/>
  <c r="H115" i="25" s="1"/>
  <c r="I51" i="25"/>
  <c r="I83" i="25" s="1"/>
  <c r="I115" i="25" s="1"/>
  <c r="J51" i="25"/>
  <c r="J83" i="25" s="1"/>
  <c r="J115" i="25" s="1"/>
  <c r="K51" i="25"/>
  <c r="K83" i="25" s="1"/>
  <c r="K115" i="25" s="1"/>
  <c r="L51" i="25"/>
  <c r="L83" i="25" s="1"/>
  <c r="L115" i="25" s="1"/>
  <c r="M51" i="25"/>
  <c r="M83" i="25" s="1"/>
  <c r="M115" i="25" s="1"/>
  <c r="N51" i="25"/>
  <c r="N83" i="25" s="1"/>
  <c r="N115" i="25" s="1"/>
  <c r="O51" i="25"/>
  <c r="O83" i="25" s="1"/>
  <c r="O115" i="25" s="1"/>
  <c r="P51" i="25"/>
  <c r="P83" i="25" s="1"/>
  <c r="P115" i="25" s="1"/>
  <c r="Q51" i="25"/>
  <c r="Q83" i="25" s="1"/>
  <c r="Q115" i="25" s="1"/>
  <c r="R51" i="25"/>
  <c r="R83" i="25" s="1"/>
  <c r="R115" i="25" s="1"/>
  <c r="S51" i="25"/>
  <c r="S83" i="25" s="1"/>
  <c r="S115" i="25" s="1"/>
  <c r="T51" i="25"/>
  <c r="T83" i="25" s="1"/>
  <c r="T115" i="25" s="1"/>
  <c r="E52" i="25"/>
  <c r="E84" i="25" s="1"/>
  <c r="E116" i="25" s="1"/>
  <c r="F52" i="25"/>
  <c r="F84" i="25" s="1"/>
  <c r="F116" i="25" s="1"/>
  <c r="G52" i="25"/>
  <c r="G84" i="25" s="1"/>
  <c r="G116" i="25" s="1"/>
  <c r="H52" i="25"/>
  <c r="H84" i="25" s="1"/>
  <c r="H116" i="25" s="1"/>
  <c r="I52" i="25"/>
  <c r="I84" i="25" s="1"/>
  <c r="I116" i="25" s="1"/>
  <c r="J52" i="25"/>
  <c r="J84" i="25" s="1"/>
  <c r="J116" i="25" s="1"/>
  <c r="K52" i="25"/>
  <c r="K84" i="25" s="1"/>
  <c r="K116" i="25" s="1"/>
  <c r="L52" i="25"/>
  <c r="L84" i="25" s="1"/>
  <c r="L116" i="25" s="1"/>
  <c r="M52" i="25"/>
  <c r="M84" i="25" s="1"/>
  <c r="M116" i="25" s="1"/>
  <c r="N52" i="25"/>
  <c r="N84" i="25" s="1"/>
  <c r="N116" i="25" s="1"/>
  <c r="O52" i="25"/>
  <c r="O84" i="25" s="1"/>
  <c r="O116" i="25" s="1"/>
  <c r="P52" i="25"/>
  <c r="P84" i="25" s="1"/>
  <c r="P116" i="25" s="1"/>
  <c r="Q52" i="25"/>
  <c r="Q84" i="25" s="1"/>
  <c r="Q116" i="25" s="1"/>
  <c r="R52" i="25"/>
  <c r="R84" i="25" s="1"/>
  <c r="R116" i="25" s="1"/>
  <c r="S52" i="25"/>
  <c r="S84" i="25" s="1"/>
  <c r="S116" i="25" s="1"/>
  <c r="T52" i="25"/>
  <c r="T84" i="25" s="1"/>
  <c r="T116" i="25" s="1"/>
  <c r="E53" i="25"/>
  <c r="E85" i="25" s="1"/>
  <c r="E117" i="25" s="1"/>
  <c r="F53" i="25"/>
  <c r="F85" i="25" s="1"/>
  <c r="F117" i="25" s="1"/>
  <c r="G53" i="25"/>
  <c r="G85" i="25" s="1"/>
  <c r="G117" i="25" s="1"/>
  <c r="H53" i="25"/>
  <c r="H85" i="25" s="1"/>
  <c r="H117" i="25" s="1"/>
  <c r="I53" i="25"/>
  <c r="I85" i="25" s="1"/>
  <c r="I117" i="25" s="1"/>
  <c r="J53" i="25"/>
  <c r="J85" i="25" s="1"/>
  <c r="J117" i="25" s="1"/>
  <c r="K53" i="25"/>
  <c r="K85" i="25" s="1"/>
  <c r="K117" i="25" s="1"/>
  <c r="L53" i="25"/>
  <c r="L85" i="25" s="1"/>
  <c r="L117" i="25" s="1"/>
  <c r="M53" i="25"/>
  <c r="M85" i="25" s="1"/>
  <c r="M117" i="25" s="1"/>
  <c r="N53" i="25"/>
  <c r="N85" i="25" s="1"/>
  <c r="N117" i="25" s="1"/>
  <c r="O53" i="25"/>
  <c r="O85" i="25" s="1"/>
  <c r="O117" i="25" s="1"/>
  <c r="P53" i="25"/>
  <c r="P85" i="25" s="1"/>
  <c r="P117" i="25" s="1"/>
  <c r="Q53" i="25"/>
  <c r="Q85" i="25" s="1"/>
  <c r="Q117" i="25" s="1"/>
  <c r="R53" i="25"/>
  <c r="R85" i="25" s="1"/>
  <c r="R117" i="25" s="1"/>
  <c r="S53" i="25"/>
  <c r="S85" i="25" s="1"/>
  <c r="S117" i="25" s="1"/>
  <c r="T53" i="25"/>
  <c r="T85" i="25" s="1"/>
  <c r="T117" i="25" s="1"/>
  <c r="E54" i="25"/>
  <c r="E86" i="25" s="1"/>
  <c r="E118" i="25" s="1"/>
  <c r="F54" i="25"/>
  <c r="F86" i="25" s="1"/>
  <c r="F118" i="25" s="1"/>
  <c r="G54" i="25"/>
  <c r="G86" i="25" s="1"/>
  <c r="G118" i="25" s="1"/>
  <c r="H54" i="25"/>
  <c r="H86" i="25" s="1"/>
  <c r="H118" i="25" s="1"/>
  <c r="I54" i="25"/>
  <c r="I86" i="25" s="1"/>
  <c r="I118" i="25" s="1"/>
  <c r="J54" i="25"/>
  <c r="J86" i="25" s="1"/>
  <c r="J118" i="25" s="1"/>
  <c r="K54" i="25"/>
  <c r="K86" i="25" s="1"/>
  <c r="K118" i="25" s="1"/>
  <c r="L54" i="25"/>
  <c r="L86" i="25" s="1"/>
  <c r="L118" i="25" s="1"/>
  <c r="M54" i="25"/>
  <c r="M86" i="25" s="1"/>
  <c r="M118" i="25" s="1"/>
  <c r="N54" i="25"/>
  <c r="N86" i="25" s="1"/>
  <c r="N118" i="25" s="1"/>
  <c r="O54" i="25"/>
  <c r="O86" i="25" s="1"/>
  <c r="O118" i="25" s="1"/>
  <c r="P54" i="25"/>
  <c r="P86" i="25" s="1"/>
  <c r="P118" i="25" s="1"/>
  <c r="Q54" i="25"/>
  <c r="Q86" i="25" s="1"/>
  <c r="Q118" i="25" s="1"/>
  <c r="R54" i="25"/>
  <c r="R86" i="25" s="1"/>
  <c r="R118" i="25" s="1"/>
  <c r="S54" i="25"/>
  <c r="S86" i="25" s="1"/>
  <c r="S118" i="25" s="1"/>
  <c r="T54" i="25"/>
  <c r="T86" i="25" s="1"/>
  <c r="T118" i="25" s="1"/>
  <c r="E55" i="25"/>
  <c r="E87" i="25" s="1"/>
  <c r="E119" i="25" s="1"/>
  <c r="F55" i="25"/>
  <c r="F87" i="25" s="1"/>
  <c r="F119" i="25" s="1"/>
  <c r="G55" i="25"/>
  <c r="G87" i="25" s="1"/>
  <c r="G119" i="25" s="1"/>
  <c r="H55" i="25"/>
  <c r="H87" i="25" s="1"/>
  <c r="H119" i="25" s="1"/>
  <c r="I55" i="25"/>
  <c r="I87" i="25" s="1"/>
  <c r="I119" i="25" s="1"/>
  <c r="J55" i="25"/>
  <c r="J87" i="25" s="1"/>
  <c r="J119" i="25" s="1"/>
  <c r="K55" i="25"/>
  <c r="K87" i="25" s="1"/>
  <c r="K119" i="25" s="1"/>
  <c r="L55" i="25"/>
  <c r="L87" i="25" s="1"/>
  <c r="L119" i="25" s="1"/>
  <c r="M55" i="25"/>
  <c r="M87" i="25" s="1"/>
  <c r="M119" i="25" s="1"/>
  <c r="N55" i="25"/>
  <c r="N87" i="25" s="1"/>
  <c r="N119" i="25" s="1"/>
  <c r="O55" i="25"/>
  <c r="O87" i="25" s="1"/>
  <c r="O119" i="25" s="1"/>
  <c r="P55" i="25"/>
  <c r="P87" i="25" s="1"/>
  <c r="P119" i="25" s="1"/>
  <c r="Q55" i="25"/>
  <c r="Q87" i="25" s="1"/>
  <c r="Q119" i="25" s="1"/>
  <c r="R55" i="25"/>
  <c r="R87" i="25" s="1"/>
  <c r="R119" i="25" s="1"/>
  <c r="S55" i="25"/>
  <c r="S87" i="25" s="1"/>
  <c r="S119" i="25" s="1"/>
  <c r="T55" i="25"/>
  <c r="T87" i="25" s="1"/>
  <c r="T119" i="25" s="1"/>
  <c r="E56" i="25"/>
  <c r="E88" i="25" s="1"/>
  <c r="E120" i="25" s="1"/>
  <c r="F56" i="25"/>
  <c r="F88" i="25" s="1"/>
  <c r="F120" i="25" s="1"/>
  <c r="G56" i="25"/>
  <c r="G88" i="25" s="1"/>
  <c r="G120" i="25" s="1"/>
  <c r="H56" i="25"/>
  <c r="H88" i="25" s="1"/>
  <c r="H120" i="25" s="1"/>
  <c r="I56" i="25"/>
  <c r="I88" i="25" s="1"/>
  <c r="I120" i="25" s="1"/>
  <c r="J56" i="25"/>
  <c r="J88" i="25" s="1"/>
  <c r="J120" i="25" s="1"/>
  <c r="K56" i="25"/>
  <c r="K88" i="25" s="1"/>
  <c r="K120" i="25" s="1"/>
  <c r="L56" i="25"/>
  <c r="L88" i="25" s="1"/>
  <c r="L120" i="25" s="1"/>
  <c r="M56" i="25"/>
  <c r="M88" i="25" s="1"/>
  <c r="M120" i="25" s="1"/>
  <c r="N56" i="25"/>
  <c r="N88" i="25" s="1"/>
  <c r="N120" i="25" s="1"/>
  <c r="O56" i="25"/>
  <c r="O88" i="25" s="1"/>
  <c r="O120" i="25" s="1"/>
  <c r="P56" i="25"/>
  <c r="P88" i="25" s="1"/>
  <c r="P120" i="25" s="1"/>
  <c r="Q56" i="25"/>
  <c r="Q88" i="25" s="1"/>
  <c r="Q120" i="25" s="1"/>
  <c r="R56" i="25"/>
  <c r="R88" i="25" s="1"/>
  <c r="R120" i="25" s="1"/>
  <c r="S56" i="25"/>
  <c r="S88" i="25" s="1"/>
  <c r="S120" i="25" s="1"/>
  <c r="T56" i="25"/>
  <c r="T88" i="25" s="1"/>
  <c r="T120" i="25" s="1"/>
  <c r="E57" i="25"/>
  <c r="E89" i="25" s="1"/>
  <c r="E121" i="25" s="1"/>
  <c r="F57" i="25"/>
  <c r="F89" i="25" s="1"/>
  <c r="F121" i="25" s="1"/>
  <c r="G57" i="25"/>
  <c r="G89" i="25" s="1"/>
  <c r="G121" i="25" s="1"/>
  <c r="H57" i="25"/>
  <c r="H89" i="25" s="1"/>
  <c r="H121" i="25" s="1"/>
  <c r="I57" i="25"/>
  <c r="I89" i="25" s="1"/>
  <c r="I121" i="25" s="1"/>
  <c r="J57" i="25"/>
  <c r="J89" i="25" s="1"/>
  <c r="J121" i="25" s="1"/>
  <c r="K57" i="25"/>
  <c r="K89" i="25" s="1"/>
  <c r="K121" i="25" s="1"/>
  <c r="L57" i="25"/>
  <c r="L89" i="25" s="1"/>
  <c r="L121" i="25" s="1"/>
  <c r="M57" i="25"/>
  <c r="M89" i="25" s="1"/>
  <c r="M121" i="25" s="1"/>
  <c r="N57" i="25"/>
  <c r="N89" i="25" s="1"/>
  <c r="N121" i="25" s="1"/>
  <c r="O57" i="25"/>
  <c r="O89" i="25" s="1"/>
  <c r="O121" i="25" s="1"/>
  <c r="P57" i="25"/>
  <c r="P89" i="25" s="1"/>
  <c r="P121" i="25" s="1"/>
  <c r="Q57" i="25"/>
  <c r="Q89" i="25" s="1"/>
  <c r="Q121" i="25" s="1"/>
  <c r="R57" i="25"/>
  <c r="R89" i="25" s="1"/>
  <c r="R121" i="25" s="1"/>
  <c r="S57" i="25"/>
  <c r="S89" i="25" s="1"/>
  <c r="S121" i="25" s="1"/>
  <c r="T57" i="25"/>
  <c r="T89" i="25" s="1"/>
  <c r="T121" i="25" s="1"/>
  <c r="E58" i="25"/>
  <c r="E90" i="25" s="1"/>
  <c r="E122" i="25" s="1"/>
  <c r="F58" i="25"/>
  <c r="F90" i="25" s="1"/>
  <c r="F122" i="25" s="1"/>
  <c r="G58" i="25"/>
  <c r="G90" i="25" s="1"/>
  <c r="G122" i="25" s="1"/>
  <c r="H58" i="25"/>
  <c r="H90" i="25" s="1"/>
  <c r="H122" i="25" s="1"/>
  <c r="I58" i="25"/>
  <c r="I90" i="25" s="1"/>
  <c r="I122" i="25" s="1"/>
  <c r="J58" i="25"/>
  <c r="J90" i="25" s="1"/>
  <c r="J122" i="25" s="1"/>
  <c r="K58" i="25"/>
  <c r="K90" i="25" s="1"/>
  <c r="K122" i="25" s="1"/>
  <c r="L58" i="25"/>
  <c r="L90" i="25" s="1"/>
  <c r="L122" i="25" s="1"/>
  <c r="M58" i="25"/>
  <c r="M90" i="25" s="1"/>
  <c r="M122" i="25" s="1"/>
  <c r="N58" i="25"/>
  <c r="N90" i="25" s="1"/>
  <c r="N122" i="25" s="1"/>
  <c r="O58" i="25"/>
  <c r="O90" i="25" s="1"/>
  <c r="O122" i="25" s="1"/>
  <c r="P58" i="25"/>
  <c r="P90" i="25" s="1"/>
  <c r="P122" i="25" s="1"/>
  <c r="Q58" i="25"/>
  <c r="Q90" i="25" s="1"/>
  <c r="Q122" i="25" s="1"/>
  <c r="R58" i="25"/>
  <c r="R90" i="25" s="1"/>
  <c r="R122" i="25" s="1"/>
  <c r="S58" i="25"/>
  <c r="S90" i="25" s="1"/>
  <c r="S122" i="25" s="1"/>
  <c r="T58" i="25"/>
  <c r="T90" i="25" s="1"/>
  <c r="T122" i="25" s="1"/>
  <c r="E59" i="25"/>
  <c r="E91" i="25" s="1"/>
  <c r="E123" i="25" s="1"/>
  <c r="F59" i="25"/>
  <c r="F91" i="25" s="1"/>
  <c r="F123" i="25" s="1"/>
  <c r="G59" i="25"/>
  <c r="G91" i="25" s="1"/>
  <c r="G123" i="25" s="1"/>
  <c r="H59" i="25"/>
  <c r="H91" i="25" s="1"/>
  <c r="H123" i="25" s="1"/>
  <c r="I59" i="25"/>
  <c r="I91" i="25" s="1"/>
  <c r="I123" i="25" s="1"/>
  <c r="J59" i="25"/>
  <c r="J91" i="25" s="1"/>
  <c r="J123" i="25" s="1"/>
  <c r="K59" i="25"/>
  <c r="K91" i="25" s="1"/>
  <c r="K123" i="25" s="1"/>
  <c r="L59" i="25"/>
  <c r="L91" i="25" s="1"/>
  <c r="L123" i="25" s="1"/>
  <c r="M59" i="25"/>
  <c r="M91" i="25" s="1"/>
  <c r="M123" i="25" s="1"/>
  <c r="N59" i="25"/>
  <c r="N91" i="25" s="1"/>
  <c r="N123" i="25" s="1"/>
  <c r="O59" i="25"/>
  <c r="O91" i="25" s="1"/>
  <c r="O123" i="25" s="1"/>
  <c r="P59" i="25"/>
  <c r="P91" i="25" s="1"/>
  <c r="P123" i="25" s="1"/>
  <c r="Q59" i="25"/>
  <c r="Q91" i="25" s="1"/>
  <c r="Q123" i="25" s="1"/>
  <c r="R59" i="25"/>
  <c r="R91" i="25" s="1"/>
  <c r="R123" i="25" s="1"/>
  <c r="S59" i="25"/>
  <c r="S91" i="25" s="1"/>
  <c r="S123" i="25" s="1"/>
  <c r="T59" i="25"/>
  <c r="T91" i="25" s="1"/>
  <c r="T123" i="25" s="1"/>
  <c r="E60" i="25"/>
  <c r="E92" i="25" s="1"/>
  <c r="E124" i="25" s="1"/>
  <c r="F60" i="25"/>
  <c r="F92" i="25" s="1"/>
  <c r="F124" i="25" s="1"/>
  <c r="G60" i="25"/>
  <c r="G92" i="25" s="1"/>
  <c r="G124" i="25" s="1"/>
  <c r="H60" i="25"/>
  <c r="H92" i="25" s="1"/>
  <c r="H124" i="25" s="1"/>
  <c r="I60" i="25"/>
  <c r="I92" i="25" s="1"/>
  <c r="I124" i="25" s="1"/>
  <c r="J60" i="25"/>
  <c r="J92" i="25" s="1"/>
  <c r="J124" i="25" s="1"/>
  <c r="K60" i="25"/>
  <c r="K92" i="25" s="1"/>
  <c r="K124" i="25" s="1"/>
  <c r="L60" i="25"/>
  <c r="L92" i="25" s="1"/>
  <c r="L124" i="25" s="1"/>
  <c r="M60" i="25"/>
  <c r="M92" i="25" s="1"/>
  <c r="M124" i="25" s="1"/>
  <c r="N60" i="25"/>
  <c r="N92" i="25" s="1"/>
  <c r="N124" i="25" s="1"/>
  <c r="O60" i="25"/>
  <c r="O92" i="25" s="1"/>
  <c r="O124" i="25" s="1"/>
  <c r="P60" i="25"/>
  <c r="P92" i="25" s="1"/>
  <c r="P124" i="25" s="1"/>
  <c r="Q60" i="25"/>
  <c r="Q92" i="25" s="1"/>
  <c r="Q124" i="25" s="1"/>
  <c r="R60" i="25"/>
  <c r="R92" i="25" s="1"/>
  <c r="R124" i="25" s="1"/>
  <c r="S60" i="25"/>
  <c r="S92" i="25" s="1"/>
  <c r="S124" i="25" s="1"/>
  <c r="T60" i="25"/>
  <c r="T92" i="25" s="1"/>
  <c r="T124" i="25" s="1"/>
  <c r="E61" i="25"/>
  <c r="E93" i="25" s="1"/>
  <c r="E125" i="25" s="1"/>
  <c r="F61" i="25"/>
  <c r="F93" i="25" s="1"/>
  <c r="F125" i="25" s="1"/>
  <c r="G61" i="25"/>
  <c r="G93" i="25" s="1"/>
  <c r="G125" i="25" s="1"/>
  <c r="H61" i="25"/>
  <c r="H93" i="25" s="1"/>
  <c r="H125" i="25" s="1"/>
  <c r="I61" i="25"/>
  <c r="I93" i="25" s="1"/>
  <c r="I125" i="25" s="1"/>
  <c r="J61" i="25"/>
  <c r="J93" i="25" s="1"/>
  <c r="J125" i="25" s="1"/>
  <c r="K61" i="25"/>
  <c r="K93" i="25" s="1"/>
  <c r="K125" i="25" s="1"/>
  <c r="L61" i="25"/>
  <c r="L93" i="25" s="1"/>
  <c r="L125" i="25" s="1"/>
  <c r="M61" i="25"/>
  <c r="M93" i="25" s="1"/>
  <c r="M125" i="25" s="1"/>
  <c r="N61" i="25"/>
  <c r="N93" i="25" s="1"/>
  <c r="N125" i="25" s="1"/>
  <c r="O61" i="25"/>
  <c r="O93" i="25" s="1"/>
  <c r="O125" i="25" s="1"/>
  <c r="P61" i="25"/>
  <c r="P93" i="25" s="1"/>
  <c r="P125" i="25" s="1"/>
  <c r="Q61" i="25"/>
  <c r="Q93" i="25" s="1"/>
  <c r="Q125" i="25" s="1"/>
  <c r="R61" i="25"/>
  <c r="R93" i="25" s="1"/>
  <c r="R125" i="25" s="1"/>
  <c r="S61" i="25"/>
  <c r="S93" i="25" s="1"/>
  <c r="S125" i="25" s="1"/>
  <c r="T61" i="25"/>
  <c r="T93" i="25" s="1"/>
  <c r="T125" i="25" s="1"/>
  <c r="E62" i="25"/>
  <c r="E94" i="25" s="1"/>
  <c r="E126" i="25" s="1"/>
  <c r="F62" i="25"/>
  <c r="F94" i="25" s="1"/>
  <c r="F126" i="25" s="1"/>
  <c r="G62" i="25"/>
  <c r="G94" i="25" s="1"/>
  <c r="G126" i="25" s="1"/>
  <c r="H62" i="25"/>
  <c r="H94" i="25" s="1"/>
  <c r="H126" i="25" s="1"/>
  <c r="I62" i="25"/>
  <c r="I94" i="25" s="1"/>
  <c r="I126" i="25" s="1"/>
  <c r="J62" i="25"/>
  <c r="J94" i="25" s="1"/>
  <c r="J126" i="25" s="1"/>
  <c r="K62" i="25"/>
  <c r="K94" i="25" s="1"/>
  <c r="K126" i="25" s="1"/>
  <c r="L62" i="25"/>
  <c r="L94" i="25" s="1"/>
  <c r="L126" i="25" s="1"/>
  <c r="M62" i="25"/>
  <c r="M94" i="25" s="1"/>
  <c r="M126" i="25" s="1"/>
  <c r="N62" i="25"/>
  <c r="N94" i="25" s="1"/>
  <c r="N126" i="25" s="1"/>
  <c r="O62" i="25"/>
  <c r="O94" i="25" s="1"/>
  <c r="O126" i="25" s="1"/>
  <c r="P62" i="25"/>
  <c r="P94" i="25" s="1"/>
  <c r="P126" i="25" s="1"/>
  <c r="Q62" i="25"/>
  <c r="Q94" i="25" s="1"/>
  <c r="Q126" i="25" s="1"/>
  <c r="R62" i="25"/>
  <c r="R94" i="25" s="1"/>
  <c r="R126" i="25" s="1"/>
  <c r="S62" i="25"/>
  <c r="S94" i="25" s="1"/>
  <c r="S126" i="25" s="1"/>
  <c r="T62" i="25"/>
  <c r="T94" i="25" s="1"/>
  <c r="T126" i="25" s="1"/>
  <c r="E63" i="25"/>
  <c r="E95" i="25" s="1"/>
  <c r="F63" i="25"/>
  <c r="F95" i="25" s="1"/>
  <c r="G63" i="25"/>
  <c r="G95" i="25" s="1"/>
  <c r="H63" i="25"/>
  <c r="H95" i="25" s="1"/>
  <c r="I63" i="25"/>
  <c r="I95" i="25" s="1"/>
  <c r="J63" i="25"/>
  <c r="J95" i="25" s="1"/>
  <c r="K63" i="25"/>
  <c r="K95" i="25" s="1"/>
  <c r="L63" i="25"/>
  <c r="L95" i="25" s="1"/>
  <c r="M63" i="25"/>
  <c r="M95" i="25" s="1"/>
  <c r="N63" i="25"/>
  <c r="N95" i="25" s="1"/>
  <c r="O63" i="25"/>
  <c r="O95" i="25" s="1"/>
  <c r="P63" i="25"/>
  <c r="P95" i="25" s="1"/>
  <c r="Q63" i="25"/>
  <c r="Q95" i="25" s="1"/>
  <c r="R63" i="25"/>
  <c r="R95" i="25" s="1"/>
  <c r="S63" i="25"/>
  <c r="S95" i="25" s="1"/>
  <c r="T63" i="25"/>
  <c r="T95" i="25" s="1"/>
  <c r="E64" i="25"/>
  <c r="E96" i="25" s="1"/>
  <c r="F64" i="25"/>
  <c r="F96" i="25" s="1"/>
  <c r="G64" i="25"/>
  <c r="G96" i="25" s="1"/>
  <c r="H64" i="25"/>
  <c r="H96" i="25" s="1"/>
  <c r="I64" i="25"/>
  <c r="I96" i="25" s="1"/>
  <c r="J64" i="25"/>
  <c r="J96" i="25" s="1"/>
  <c r="K64" i="25"/>
  <c r="K96" i="25" s="1"/>
  <c r="L64" i="25"/>
  <c r="L96" i="25" s="1"/>
  <c r="M64" i="25"/>
  <c r="M96" i="25" s="1"/>
  <c r="N64" i="25"/>
  <c r="N96" i="25" s="1"/>
  <c r="O64" i="25"/>
  <c r="O96" i="25" s="1"/>
  <c r="P64" i="25"/>
  <c r="P96" i="25" s="1"/>
  <c r="Q64" i="25"/>
  <c r="Q96" i="25" s="1"/>
  <c r="R64" i="25"/>
  <c r="R96" i="25" s="1"/>
  <c r="S64" i="25"/>
  <c r="S96" i="25" s="1"/>
  <c r="T64" i="25"/>
  <c r="T96" i="25" s="1"/>
  <c r="E65" i="25"/>
  <c r="E97" i="25" s="1"/>
  <c r="F65" i="25"/>
  <c r="F97" i="25" s="1"/>
  <c r="G65" i="25"/>
  <c r="G97" i="25" s="1"/>
  <c r="H65" i="25"/>
  <c r="H97" i="25" s="1"/>
  <c r="I65" i="25"/>
  <c r="I97" i="25" s="1"/>
  <c r="J65" i="25"/>
  <c r="J97" i="25" s="1"/>
  <c r="K65" i="25"/>
  <c r="K97" i="25" s="1"/>
  <c r="L65" i="25"/>
  <c r="L97" i="25" s="1"/>
  <c r="M65" i="25"/>
  <c r="M97" i="25" s="1"/>
  <c r="N65" i="25"/>
  <c r="N97" i="25" s="1"/>
  <c r="O65" i="25"/>
  <c r="O97" i="25" s="1"/>
  <c r="P65" i="25"/>
  <c r="P97" i="25" s="1"/>
  <c r="Q65" i="25"/>
  <c r="Q97" i="25" s="1"/>
  <c r="R65" i="25"/>
  <c r="R97" i="25" s="1"/>
  <c r="S65" i="25"/>
  <c r="S97" i="25" s="1"/>
  <c r="T65" i="25"/>
  <c r="T97" i="25" s="1"/>
  <c r="E66" i="25"/>
  <c r="E98" i="25" s="1"/>
  <c r="F66" i="25"/>
  <c r="F98" i="25" s="1"/>
  <c r="G66" i="25"/>
  <c r="G98" i="25" s="1"/>
  <c r="H66" i="25"/>
  <c r="H98" i="25" s="1"/>
  <c r="I66" i="25"/>
  <c r="I98" i="25" s="1"/>
  <c r="J66" i="25"/>
  <c r="J98" i="25" s="1"/>
  <c r="K66" i="25"/>
  <c r="K98" i="25" s="1"/>
  <c r="L66" i="25"/>
  <c r="L98" i="25" s="1"/>
  <c r="M66" i="25"/>
  <c r="M98" i="25" s="1"/>
  <c r="N66" i="25"/>
  <c r="N98" i="25" s="1"/>
  <c r="O66" i="25"/>
  <c r="O98" i="25" s="1"/>
  <c r="P66" i="25"/>
  <c r="P98" i="25" s="1"/>
  <c r="Q66" i="25"/>
  <c r="Q98" i="25" s="1"/>
  <c r="R66" i="25"/>
  <c r="R98" i="25" s="1"/>
  <c r="S66" i="25"/>
  <c r="S98" i="25" s="1"/>
  <c r="T66" i="25"/>
  <c r="T98" i="25" s="1"/>
  <c r="E67" i="25"/>
  <c r="E99" i="25" s="1"/>
  <c r="F67" i="25"/>
  <c r="F99" i="25" s="1"/>
  <c r="G67" i="25"/>
  <c r="G99" i="25" s="1"/>
  <c r="H67" i="25"/>
  <c r="H99" i="25" s="1"/>
  <c r="I67" i="25"/>
  <c r="I99" i="25" s="1"/>
  <c r="J67" i="25"/>
  <c r="J99" i="25" s="1"/>
  <c r="K67" i="25"/>
  <c r="K99" i="25" s="1"/>
  <c r="L67" i="25"/>
  <c r="L99" i="25" s="1"/>
  <c r="M67" i="25"/>
  <c r="M99" i="25" s="1"/>
  <c r="N67" i="25"/>
  <c r="N99" i="25" s="1"/>
  <c r="O67" i="25"/>
  <c r="O99" i="25" s="1"/>
  <c r="P67" i="25"/>
  <c r="P99" i="25" s="1"/>
  <c r="Q67" i="25"/>
  <c r="Q99" i="25" s="1"/>
  <c r="R67" i="25"/>
  <c r="R99" i="25" s="1"/>
  <c r="S67" i="25"/>
  <c r="S99" i="25" s="1"/>
  <c r="T67" i="25"/>
  <c r="T99" i="25" s="1"/>
  <c r="E68" i="25"/>
  <c r="E100" i="25" s="1"/>
  <c r="F68" i="25"/>
  <c r="F100" i="25" s="1"/>
  <c r="G68" i="25"/>
  <c r="G100" i="25" s="1"/>
  <c r="H68" i="25"/>
  <c r="H100" i="25" s="1"/>
  <c r="I68" i="25"/>
  <c r="I100" i="25" s="1"/>
  <c r="J68" i="25"/>
  <c r="J100" i="25" s="1"/>
  <c r="K68" i="25"/>
  <c r="K100" i="25" s="1"/>
  <c r="L68" i="25"/>
  <c r="L100" i="25" s="1"/>
  <c r="M68" i="25"/>
  <c r="M100" i="25" s="1"/>
  <c r="N68" i="25"/>
  <c r="N100" i="25" s="1"/>
  <c r="O68" i="25"/>
  <c r="O100" i="25" s="1"/>
  <c r="P68" i="25"/>
  <c r="P100" i="25" s="1"/>
  <c r="Q68" i="25"/>
  <c r="Q100" i="25" s="1"/>
  <c r="R68" i="25"/>
  <c r="R100" i="25" s="1"/>
  <c r="S68" i="25"/>
  <c r="S100" i="25" s="1"/>
  <c r="T68" i="25"/>
  <c r="T100" i="25" s="1"/>
  <c r="E69" i="25"/>
  <c r="E101" i="25" s="1"/>
  <c r="F69" i="25"/>
  <c r="F101" i="25" s="1"/>
  <c r="G69" i="25"/>
  <c r="G101" i="25" s="1"/>
  <c r="H69" i="25"/>
  <c r="H101" i="25" s="1"/>
  <c r="I69" i="25"/>
  <c r="I101" i="25" s="1"/>
  <c r="J69" i="25"/>
  <c r="J101" i="25" s="1"/>
  <c r="K69" i="25"/>
  <c r="K101" i="25" s="1"/>
  <c r="L69" i="25"/>
  <c r="L101" i="25" s="1"/>
  <c r="M69" i="25"/>
  <c r="M101" i="25" s="1"/>
  <c r="N69" i="25"/>
  <c r="N101" i="25" s="1"/>
  <c r="O69" i="25"/>
  <c r="O101" i="25" s="1"/>
  <c r="P69" i="25"/>
  <c r="P101" i="25" s="1"/>
  <c r="Q69" i="25"/>
  <c r="Q101" i="25" s="1"/>
  <c r="R69" i="25"/>
  <c r="R101" i="25" s="1"/>
  <c r="S69" i="25"/>
  <c r="S101" i="25" s="1"/>
  <c r="T69" i="25"/>
  <c r="T101" i="25" s="1"/>
  <c r="E70" i="25"/>
  <c r="E102" i="25" s="1"/>
  <c r="F70" i="25"/>
  <c r="F102" i="25" s="1"/>
  <c r="G70" i="25"/>
  <c r="G102" i="25" s="1"/>
  <c r="H70" i="25"/>
  <c r="H102" i="25" s="1"/>
  <c r="I70" i="25"/>
  <c r="I102" i="25" s="1"/>
  <c r="J70" i="25"/>
  <c r="J102" i="25" s="1"/>
  <c r="K70" i="25"/>
  <c r="K102" i="25" s="1"/>
  <c r="L70" i="25"/>
  <c r="L102" i="25" s="1"/>
  <c r="M70" i="25"/>
  <c r="M102" i="25" s="1"/>
  <c r="N70" i="25"/>
  <c r="N102" i="25" s="1"/>
  <c r="O70" i="25"/>
  <c r="O102" i="25" s="1"/>
  <c r="P70" i="25"/>
  <c r="P102" i="25" s="1"/>
  <c r="Q70" i="25"/>
  <c r="Q102" i="25" s="1"/>
  <c r="R70" i="25"/>
  <c r="R102" i="25" s="1"/>
  <c r="S70" i="25"/>
  <c r="S102" i="25" s="1"/>
  <c r="T70" i="25"/>
  <c r="T102" i="25" s="1"/>
  <c r="E71" i="25"/>
  <c r="E103" i="25" s="1"/>
  <c r="F71" i="25"/>
  <c r="F103" i="25" s="1"/>
  <c r="G71" i="25"/>
  <c r="G103" i="25" s="1"/>
  <c r="H71" i="25"/>
  <c r="H103" i="25" s="1"/>
  <c r="I71" i="25"/>
  <c r="I103" i="25" s="1"/>
  <c r="J71" i="25"/>
  <c r="J103" i="25" s="1"/>
  <c r="K71" i="25"/>
  <c r="K103" i="25" s="1"/>
  <c r="L71" i="25"/>
  <c r="L103" i="25" s="1"/>
  <c r="M71" i="25"/>
  <c r="M103" i="25" s="1"/>
  <c r="N71" i="25"/>
  <c r="N103" i="25" s="1"/>
  <c r="O71" i="25"/>
  <c r="O103" i="25" s="1"/>
  <c r="P71" i="25"/>
  <c r="P103" i="25" s="1"/>
  <c r="Q71" i="25"/>
  <c r="Q103" i="25" s="1"/>
  <c r="R71" i="25"/>
  <c r="R103" i="25" s="1"/>
  <c r="S71" i="25"/>
  <c r="S103" i="25" s="1"/>
  <c r="T71" i="25"/>
  <c r="T103" i="25" s="1"/>
  <c r="E72" i="25"/>
  <c r="E104" i="25" s="1"/>
  <c r="F72" i="25"/>
  <c r="F104" i="25" s="1"/>
  <c r="G72" i="25"/>
  <c r="G104" i="25" s="1"/>
  <c r="H72" i="25"/>
  <c r="H104" i="25" s="1"/>
  <c r="I72" i="25"/>
  <c r="I104" i="25" s="1"/>
  <c r="J72" i="25"/>
  <c r="J104" i="25" s="1"/>
  <c r="K72" i="25"/>
  <c r="K104" i="25" s="1"/>
  <c r="L72" i="25"/>
  <c r="L104" i="25" s="1"/>
  <c r="M72" i="25"/>
  <c r="M104" i="25" s="1"/>
  <c r="N72" i="25"/>
  <c r="N104" i="25" s="1"/>
  <c r="O72" i="25"/>
  <c r="O104" i="25" s="1"/>
  <c r="Q72" i="25"/>
  <c r="Q104" i="25" s="1"/>
  <c r="R72" i="25"/>
  <c r="R104" i="25" s="1"/>
  <c r="S72" i="25"/>
  <c r="S104" i="25" s="1"/>
  <c r="T72" i="25"/>
  <c r="T104" i="25" s="1"/>
  <c r="E73" i="25"/>
  <c r="E105" i="25" s="1"/>
  <c r="F73" i="25"/>
  <c r="F105" i="25" s="1"/>
  <c r="G73" i="25"/>
  <c r="G105" i="25" s="1"/>
  <c r="H73" i="25"/>
  <c r="H105" i="25" s="1"/>
  <c r="I73" i="25"/>
  <c r="I105" i="25" s="1"/>
  <c r="J73" i="25"/>
  <c r="J105" i="25" s="1"/>
  <c r="K73" i="25"/>
  <c r="K105" i="25" s="1"/>
  <c r="L73" i="25"/>
  <c r="L105" i="25" s="1"/>
  <c r="M73" i="25"/>
  <c r="M105" i="25" s="1"/>
  <c r="N73" i="25"/>
  <c r="N105" i="25" s="1"/>
  <c r="O73" i="25"/>
  <c r="O105" i="25" s="1"/>
  <c r="P73" i="25"/>
  <c r="P105" i="25" s="1"/>
  <c r="Q73" i="25"/>
  <c r="Q105" i="25" s="1"/>
  <c r="R73" i="25"/>
  <c r="R105" i="25" s="1"/>
  <c r="S73" i="25"/>
  <c r="S105" i="25" s="1"/>
  <c r="T73" i="25"/>
  <c r="T105" i="25" s="1"/>
  <c r="E74" i="25"/>
  <c r="E106" i="25" s="1"/>
  <c r="F74" i="25"/>
  <c r="F106" i="25" s="1"/>
  <c r="G74" i="25"/>
  <c r="G106" i="25" s="1"/>
  <c r="H74" i="25"/>
  <c r="H106" i="25" s="1"/>
  <c r="I74" i="25"/>
  <c r="I106" i="25" s="1"/>
  <c r="L74" i="25"/>
  <c r="L106" i="25" s="1"/>
  <c r="M74" i="25"/>
  <c r="M106" i="25" s="1"/>
  <c r="N74" i="25"/>
  <c r="N106" i="25" s="1"/>
  <c r="O74" i="25"/>
  <c r="O106" i="25" s="1"/>
  <c r="P74" i="25"/>
  <c r="P106" i="25" s="1"/>
  <c r="Q74" i="25"/>
  <c r="Q106" i="25" s="1"/>
  <c r="R74" i="25"/>
  <c r="R106" i="25" s="1"/>
  <c r="S74" i="25"/>
  <c r="S106" i="25" s="1"/>
  <c r="T74" i="25"/>
  <c r="T106" i="25" s="1"/>
  <c r="E75" i="25"/>
  <c r="E107" i="25" s="1"/>
  <c r="F75" i="25"/>
  <c r="F107" i="25" s="1"/>
  <c r="G75" i="25"/>
  <c r="G107" i="25" s="1"/>
  <c r="H75" i="25"/>
  <c r="H107" i="25" s="1"/>
  <c r="I75" i="25"/>
  <c r="I107" i="25" s="1"/>
  <c r="L75" i="25"/>
  <c r="L107" i="25" s="1"/>
  <c r="M75" i="25"/>
  <c r="M107" i="25" s="1"/>
  <c r="N75" i="25"/>
  <c r="N107" i="25" s="1"/>
  <c r="O75" i="25"/>
  <c r="O107" i="25" s="1"/>
  <c r="P75" i="25"/>
  <c r="P107" i="25" s="1"/>
  <c r="Q75" i="25"/>
  <c r="Q107" i="25" s="1"/>
  <c r="R75" i="25"/>
  <c r="R107" i="25" s="1"/>
  <c r="S75" i="25"/>
  <c r="S107" i="25" s="1"/>
  <c r="T75" i="25"/>
  <c r="T107" i="25" s="1"/>
  <c r="E76" i="25"/>
  <c r="E108" i="25" s="1"/>
  <c r="F76" i="25"/>
  <c r="F108" i="25" s="1"/>
  <c r="G76" i="25"/>
  <c r="G108" i="25" s="1"/>
  <c r="H76" i="25"/>
  <c r="H108" i="25" s="1"/>
  <c r="I76" i="25"/>
  <c r="I108" i="25" s="1"/>
  <c r="L76" i="25"/>
  <c r="L108" i="25" s="1"/>
  <c r="M76" i="25"/>
  <c r="M108" i="25" s="1"/>
  <c r="N76" i="25"/>
  <c r="N108" i="25" s="1"/>
  <c r="O76" i="25"/>
  <c r="O108" i="25" s="1"/>
  <c r="P76" i="25"/>
  <c r="P108" i="25" s="1"/>
  <c r="Q76" i="25"/>
  <c r="Q108" i="25" s="1"/>
  <c r="R76" i="25"/>
  <c r="R108" i="25" s="1"/>
  <c r="S76" i="25"/>
  <c r="S108" i="25" s="1"/>
  <c r="T76" i="25"/>
  <c r="T108" i="25" s="1"/>
  <c r="E77" i="25"/>
  <c r="E109" i="25" s="1"/>
  <c r="F77" i="25"/>
  <c r="F109" i="25" s="1"/>
  <c r="G77" i="25"/>
  <c r="G109" i="25" s="1"/>
  <c r="H77" i="25"/>
  <c r="H109" i="25" s="1"/>
  <c r="I77" i="25"/>
  <c r="I109" i="25" s="1"/>
  <c r="L77" i="25"/>
  <c r="L109" i="25" s="1"/>
  <c r="M77" i="25"/>
  <c r="M109" i="25" s="1"/>
  <c r="N77" i="25"/>
  <c r="N109" i="25" s="1"/>
  <c r="O77" i="25"/>
  <c r="O109" i="25" s="1"/>
  <c r="P77" i="25"/>
  <c r="P109" i="25" s="1"/>
  <c r="Q77" i="25"/>
  <c r="Q109" i="25" s="1"/>
  <c r="R77" i="25"/>
  <c r="R109" i="25" s="1"/>
  <c r="S77" i="25"/>
  <c r="S109" i="25" s="1"/>
  <c r="T77" i="25"/>
  <c r="T109" i="25" s="1"/>
  <c r="E78" i="25"/>
  <c r="E110" i="25" s="1"/>
  <c r="F78" i="25"/>
  <c r="F110" i="25" s="1"/>
  <c r="H78" i="25"/>
  <c r="H110" i="25" s="1"/>
  <c r="L78" i="25"/>
  <c r="L110" i="25" s="1"/>
  <c r="M78" i="25"/>
  <c r="M110" i="25" s="1"/>
  <c r="N78" i="25"/>
  <c r="N110" i="25" s="1"/>
  <c r="O78" i="25"/>
  <c r="O110" i="25" s="1"/>
  <c r="P78" i="25"/>
  <c r="P110" i="25" s="1"/>
  <c r="Q78" i="25"/>
  <c r="Q110" i="25" s="1"/>
  <c r="R78" i="25"/>
  <c r="R110" i="25" s="1"/>
  <c r="S78" i="25"/>
  <c r="S110" i="25" s="1"/>
  <c r="T78" i="25"/>
  <c r="T110" i="25" s="1"/>
  <c r="E79" i="25"/>
  <c r="E111" i="25" s="1"/>
  <c r="G79" i="25"/>
  <c r="G111" i="25" s="1"/>
  <c r="I79" i="25"/>
  <c r="I111" i="25" s="1"/>
  <c r="J79" i="25"/>
  <c r="J111" i="25" s="1"/>
  <c r="K79" i="25"/>
  <c r="K111" i="25" s="1"/>
  <c r="L79" i="25"/>
  <c r="L111" i="25" s="1"/>
  <c r="M79" i="25"/>
  <c r="M111" i="25" s="1"/>
  <c r="N79" i="25"/>
  <c r="N111" i="25" s="1"/>
  <c r="O79" i="25"/>
  <c r="O111" i="25" s="1"/>
  <c r="P79" i="25"/>
  <c r="P111" i="25" s="1"/>
  <c r="Q79" i="25"/>
  <c r="Q111" i="25" s="1"/>
  <c r="R79" i="25"/>
  <c r="R111" i="25" s="1"/>
  <c r="S79" i="25"/>
  <c r="S111" i="25" s="1"/>
  <c r="T79" i="25"/>
  <c r="T111" i="25" s="1"/>
  <c r="E80" i="25"/>
  <c r="E112" i="25" s="1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E40" i="24"/>
  <c r="F40" i="24"/>
  <c r="G40" i="24"/>
  <c r="G72" i="24" s="1"/>
  <c r="G104" i="24" s="1"/>
  <c r="H40" i="24"/>
  <c r="I40" i="24"/>
  <c r="I72" i="24" s="1"/>
  <c r="I104" i="24" s="1"/>
  <c r="J40" i="24"/>
  <c r="J72" i="24" s="1"/>
  <c r="J104" i="24" s="1"/>
  <c r="K40" i="24"/>
  <c r="K72" i="24" s="1"/>
  <c r="K104" i="24" s="1"/>
  <c r="L40" i="24"/>
  <c r="M40" i="24"/>
  <c r="N40" i="24"/>
  <c r="O40" i="24"/>
  <c r="P40" i="24"/>
  <c r="Q40" i="24"/>
  <c r="R40" i="24"/>
  <c r="S40" i="24"/>
  <c r="T40" i="24"/>
  <c r="E41" i="24"/>
  <c r="F41" i="24"/>
  <c r="G41" i="24"/>
  <c r="H41" i="24"/>
  <c r="I41" i="24"/>
  <c r="J41" i="24"/>
  <c r="J73" i="24" s="1"/>
  <c r="J105" i="24" s="1"/>
  <c r="K41" i="24"/>
  <c r="K73" i="24" s="1"/>
  <c r="K105" i="24" s="1"/>
  <c r="L41" i="24"/>
  <c r="M41" i="24"/>
  <c r="N41" i="24"/>
  <c r="O41" i="24"/>
  <c r="P41" i="24"/>
  <c r="Q41" i="24"/>
  <c r="R41" i="24"/>
  <c r="S41" i="24"/>
  <c r="T41" i="24"/>
  <c r="E42" i="24"/>
  <c r="F42" i="24"/>
  <c r="G42" i="24"/>
  <c r="H42" i="24"/>
  <c r="I42" i="24"/>
  <c r="J42" i="24"/>
  <c r="J74" i="24" s="1"/>
  <c r="J106" i="24" s="1"/>
  <c r="K42" i="24"/>
  <c r="K74" i="24" s="1"/>
  <c r="K106" i="24" s="1"/>
  <c r="L42" i="24"/>
  <c r="M42" i="24"/>
  <c r="N42" i="24"/>
  <c r="O42" i="24"/>
  <c r="P42" i="24"/>
  <c r="Q42" i="24"/>
  <c r="R42" i="24"/>
  <c r="S42" i="24"/>
  <c r="T42" i="24"/>
  <c r="E43" i="24"/>
  <c r="F43" i="24"/>
  <c r="G43" i="24"/>
  <c r="H43" i="24"/>
  <c r="I43" i="24"/>
  <c r="J43" i="24"/>
  <c r="J75" i="24" s="1"/>
  <c r="J107" i="24" s="1"/>
  <c r="K43" i="24"/>
  <c r="K75" i="24" s="1"/>
  <c r="K107" i="24" s="1"/>
  <c r="L43" i="24"/>
  <c r="M43" i="24"/>
  <c r="N43" i="24"/>
  <c r="O43" i="24"/>
  <c r="P43" i="24"/>
  <c r="Q43" i="24"/>
  <c r="R43" i="24"/>
  <c r="S43" i="24"/>
  <c r="T43" i="24"/>
  <c r="E44" i="24"/>
  <c r="F44" i="24"/>
  <c r="G44" i="24"/>
  <c r="H44" i="24"/>
  <c r="I44" i="24"/>
  <c r="J44" i="24"/>
  <c r="J76" i="24" s="1"/>
  <c r="J108" i="24" s="1"/>
  <c r="K44" i="24"/>
  <c r="K76" i="24" s="1"/>
  <c r="K108" i="24" s="1"/>
  <c r="L44" i="24"/>
  <c r="M44" i="24"/>
  <c r="N44" i="24"/>
  <c r="O44" i="24"/>
  <c r="P44" i="24"/>
  <c r="Q44" i="24"/>
  <c r="R44" i="24"/>
  <c r="S44" i="24"/>
  <c r="T44" i="24"/>
  <c r="E45" i="24"/>
  <c r="F45" i="24"/>
  <c r="G45" i="24"/>
  <c r="H45" i="24"/>
  <c r="I45" i="24"/>
  <c r="J45" i="24"/>
  <c r="K45" i="24"/>
  <c r="L45" i="24"/>
  <c r="M45" i="24"/>
  <c r="N45" i="24"/>
  <c r="O45" i="24"/>
  <c r="P45" i="24"/>
  <c r="Q45" i="24"/>
  <c r="R45" i="24"/>
  <c r="S45" i="24"/>
  <c r="T45" i="24"/>
  <c r="E46" i="24"/>
  <c r="F46" i="24"/>
  <c r="G46" i="24"/>
  <c r="H46" i="24"/>
  <c r="I46" i="24"/>
  <c r="J46" i="24"/>
  <c r="K46" i="24"/>
  <c r="L46" i="24"/>
  <c r="M46" i="24"/>
  <c r="N46" i="24"/>
  <c r="O46" i="24"/>
  <c r="P46" i="24"/>
  <c r="Q46" i="24"/>
  <c r="R46" i="24"/>
  <c r="S46" i="24"/>
  <c r="T46" i="24"/>
  <c r="E47" i="24"/>
  <c r="F47" i="24"/>
  <c r="G47" i="24"/>
  <c r="H47" i="24"/>
  <c r="I47" i="24"/>
  <c r="J47" i="24"/>
  <c r="K47" i="24"/>
  <c r="L47" i="24"/>
  <c r="M47" i="24"/>
  <c r="N47" i="24"/>
  <c r="O47" i="24"/>
  <c r="P47" i="24"/>
  <c r="Q47" i="24"/>
  <c r="R47" i="24"/>
  <c r="S47" i="24"/>
  <c r="T47" i="24"/>
  <c r="E48" i="24"/>
  <c r="F48" i="24"/>
  <c r="G48" i="24"/>
  <c r="H48" i="24"/>
  <c r="I48" i="24"/>
  <c r="J48" i="24"/>
  <c r="K48" i="24"/>
  <c r="L48" i="24"/>
  <c r="M48" i="24"/>
  <c r="N48" i="24"/>
  <c r="O48" i="24"/>
  <c r="P48" i="24"/>
  <c r="Q48" i="24"/>
  <c r="R48" i="24"/>
  <c r="S48" i="24"/>
  <c r="T48" i="24"/>
  <c r="E49" i="24"/>
  <c r="F49" i="24"/>
  <c r="G49" i="24"/>
  <c r="H49" i="24"/>
  <c r="I49" i="24"/>
  <c r="J49" i="24"/>
  <c r="K49" i="24"/>
  <c r="L49" i="24"/>
  <c r="M49" i="24"/>
  <c r="N49" i="24"/>
  <c r="O49" i="24"/>
  <c r="P49" i="24"/>
  <c r="Q49" i="24"/>
  <c r="R49" i="24"/>
  <c r="S49" i="24"/>
  <c r="T49" i="24"/>
  <c r="E50" i="24"/>
  <c r="F50" i="24"/>
  <c r="G50" i="24"/>
  <c r="H50" i="24"/>
  <c r="I50" i="24"/>
  <c r="J50" i="24"/>
  <c r="K50" i="24"/>
  <c r="L50" i="24"/>
  <c r="M50" i="24"/>
  <c r="N50" i="24"/>
  <c r="O50" i="24"/>
  <c r="P50" i="24"/>
  <c r="Q50" i="24"/>
  <c r="R50" i="24"/>
  <c r="S50" i="24"/>
  <c r="T50" i="24"/>
  <c r="E51" i="24"/>
  <c r="F51" i="24"/>
  <c r="G51" i="24"/>
  <c r="H51" i="24"/>
  <c r="I51" i="24"/>
  <c r="J51" i="24"/>
  <c r="K51" i="24"/>
  <c r="L51" i="24"/>
  <c r="M51" i="24"/>
  <c r="N51" i="24"/>
  <c r="O51" i="24"/>
  <c r="P51" i="24"/>
  <c r="Q51" i="24"/>
  <c r="R51" i="24"/>
  <c r="S51" i="24"/>
  <c r="T51" i="24"/>
  <c r="E52" i="24"/>
  <c r="F52" i="24"/>
  <c r="G52" i="24"/>
  <c r="H52" i="24"/>
  <c r="I52" i="24"/>
  <c r="J52" i="24"/>
  <c r="K52" i="24"/>
  <c r="L52" i="24"/>
  <c r="M52" i="24"/>
  <c r="N52" i="24"/>
  <c r="O52" i="24"/>
  <c r="P52" i="24"/>
  <c r="Q52" i="24"/>
  <c r="R52" i="24"/>
  <c r="S52" i="24"/>
  <c r="T52" i="24"/>
  <c r="E53" i="24"/>
  <c r="F53" i="24"/>
  <c r="G53" i="24"/>
  <c r="H53" i="24"/>
  <c r="I53" i="24"/>
  <c r="J53" i="24"/>
  <c r="K53" i="24"/>
  <c r="L53" i="24"/>
  <c r="M53" i="24"/>
  <c r="N53" i="24"/>
  <c r="O53" i="24"/>
  <c r="P53" i="24"/>
  <c r="Q53" i="24"/>
  <c r="R53" i="24"/>
  <c r="S53" i="24"/>
  <c r="T53" i="24"/>
  <c r="E54" i="24"/>
  <c r="F54" i="24"/>
  <c r="G54" i="24"/>
  <c r="H54" i="24"/>
  <c r="I54" i="24"/>
  <c r="J54" i="24"/>
  <c r="K54" i="24"/>
  <c r="L54" i="24"/>
  <c r="M54" i="24"/>
  <c r="N54" i="24"/>
  <c r="O54" i="24"/>
  <c r="P54" i="24"/>
  <c r="Q54" i="24"/>
  <c r="R54" i="24"/>
  <c r="S54" i="24"/>
  <c r="T54" i="24"/>
  <c r="E55" i="24"/>
  <c r="F55" i="24"/>
  <c r="G55" i="24"/>
  <c r="H55" i="24"/>
  <c r="I55" i="24"/>
  <c r="J55" i="24"/>
  <c r="K55" i="24"/>
  <c r="L55" i="24"/>
  <c r="M55" i="24"/>
  <c r="N55" i="24"/>
  <c r="O55" i="24"/>
  <c r="P55" i="24"/>
  <c r="Q55" i="24"/>
  <c r="R55" i="24"/>
  <c r="S55" i="24"/>
  <c r="T55" i="24"/>
  <c r="E56" i="24"/>
  <c r="F56" i="24"/>
  <c r="G56" i="24"/>
  <c r="H56" i="24"/>
  <c r="I56" i="24"/>
  <c r="J56" i="24"/>
  <c r="K56" i="24"/>
  <c r="L56" i="24"/>
  <c r="M56" i="24"/>
  <c r="N56" i="24"/>
  <c r="O56" i="24"/>
  <c r="P56" i="24"/>
  <c r="Q56" i="24"/>
  <c r="R56" i="24"/>
  <c r="S56" i="24"/>
  <c r="T56" i="24"/>
  <c r="E57" i="24"/>
  <c r="F57" i="24"/>
  <c r="G57" i="24"/>
  <c r="H57" i="24"/>
  <c r="I57" i="24"/>
  <c r="J57" i="24"/>
  <c r="K57" i="24"/>
  <c r="L57" i="24"/>
  <c r="M57" i="24"/>
  <c r="N57" i="24"/>
  <c r="O57" i="24"/>
  <c r="P57" i="24"/>
  <c r="Q57" i="24"/>
  <c r="R57" i="24"/>
  <c r="S57" i="24"/>
  <c r="T57" i="24"/>
  <c r="E58" i="24"/>
  <c r="F58" i="24"/>
  <c r="G58" i="24"/>
  <c r="H58" i="24"/>
  <c r="I58" i="24"/>
  <c r="J58" i="24"/>
  <c r="K58" i="24"/>
  <c r="L58" i="24"/>
  <c r="M58" i="24"/>
  <c r="N58" i="24"/>
  <c r="O58" i="24"/>
  <c r="P58" i="24"/>
  <c r="Q58" i="24"/>
  <c r="R58" i="24"/>
  <c r="S58" i="24"/>
  <c r="T58" i="24"/>
  <c r="E59" i="24"/>
  <c r="F59" i="24"/>
  <c r="G59" i="24"/>
  <c r="H59" i="24"/>
  <c r="I59" i="24"/>
  <c r="J59" i="24"/>
  <c r="K59" i="24"/>
  <c r="L59" i="24"/>
  <c r="M59" i="24"/>
  <c r="N59" i="24"/>
  <c r="O59" i="24"/>
  <c r="P59" i="24"/>
  <c r="Q59" i="24"/>
  <c r="R59" i="24"/>
  <c r="S59" i="24"/>
  <c r="T59" i="24"/>
  <c r="E60" i="24"/>
  <c r="F60" i="24"/>
  <c r="G60" i="24"/>
  <c r="H60" i="24"/>
  <c r="I60" i="24"/>
  <c r="J60" i="24"/>
  <c r="K60" i="24"/>
  <c r="L60" i="24"/>
  <c r="M60" i="24"/>
  <c r="N60" i="24"/>
  <c r="O60" i="24"/>
  <c r="P60" i="24"/>
  <c r="Q60" i="24"/>
  <c r="R60" i="24"/>
  <c r="S60" i="24"/>
  <c r="T60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E66" i="24"/>
  <c r="F66" i="24"/>
  <c r="G66" i="24"/>
  <c r="H66" i="24"/>
  <c r="I66" i="24"/>
  <c r="J66" i="24"/>
  <c r="K66" i="24"/>
  <c r="L66" i="24"/>
  <c r="L98" i="24" s="1"/>
  <c r="M66" i="24"/>
  <c r="M98" i="24" s="1"/>
  <c r="N66" i="24"/>
  <c r="N98" i="24" s="1"/>
  <c r="O66" i="24"/>
  <c r="O98" i="24" s="1"/>
  <c r="P66" i="24"/>
  <c r="P98" i="24" s="1"/>
  <c r="Q66" i="24"/>
  <c r="Q98" i="24" s="1"/>
  <c r="R66" i="24"/>
  <c r="R98" i="24" s="1"/>
  <c r="S66" i="24"/>
  <c r="S98" i="24" s="1"/>
  <c r="T66" i="24"/>
  <c r="T98" i="24" s="1"/>
  <c r="E67" i="24"/>
  <c r="E99" i="24" s="1"/>
  <c r="F67" i="24"/>
  <c r="F99" i="24" s="1"/>
  <c r="G67" i="24"/>
  <c r="G99" i="24" s="1"/>
  <c r="H67" i="24"/>
  <c r="H99" i="24" s="1"/>
  <c r="I67" i="24"/>
  <c r="I99" i="24" s="1"/>
  <c r="J67" i="24"/>
  <c r="J99" i="24" s="1"/>
  <c r="K67" i="24"/>
  <c r="K99" i="24" s="1"/>
  <c r="L67" i="24"/>
  <c r="L99" i="24" s="1"/>
  <c r="M67" i="24"/>
  <c r="M99" i="24" s="1"/>
  <c r="N67" i="24"/>
  <c r="N99" i="24" s="1"/>
  <c r="O67" i="24"/>
  <c r="O99" i="24" s="1"/>
  <c r="P67" i="24"/>
  <c r="P99" i="24" s="1"/>
  <c r="Q67" i="24"/>
  <c r="Q99" i="24" s="1"/>
  <c r="R67" i="24"/>
  <c r="R99" i="24" s="1"/>
  <c r="S67" i="24"/>
  <c r="S99" i="24" s="1"/>
  <c r="T67" i="24"/>
  <c r="T99" i="24" s="1"/>
  <c r="E68" i="24"/>
  <c r="E100" i="24" s="1"/>
  <c r="F68" i="24"/>
  <c r="F100" i="24" s="1"/>
  <c r="G68" i="24"/>
  <c r="G100" i="24" s="1"/>
  <c r="H68" i="24"/>
  <c r="H100" i="24" s="1"/>
  <c r="I68" i="24"/>
  <c r="I100" i="24" s="1"/>
  <c r="J68" i="24"/>
  <c r="J100" i="24" s="1"/>
  <c r="K68" i="24"/>
  <c r="K100" i="24" s="1"/>
  <c r="L68" i="24"/>
  <c r="L100" i="24" s="1"/>
  <c r="M68" i="24"/>
  <c r="M100" i="24" s="1"/>
  <c r="N68" i="24"/>
  <c r="N100" i="24" s="1"/>
  <c r="O68" i="24"/>
  <c r="O100" i="24" s="1"/>
  <c r="P68" i="24"/>
  <c r="P100" i="24" s="1"/>
  <c r="Q68" i="24"/>
  <c r="Q100" i="24" s="1"/>
  <c r="R68" i="24"/>
  <c r="R100" i="24" s="1"/>
  <c r="S68" i="24"/>
  <c r="S100" i="24" s="1"/>
  <c r="T68" i="24"/>
  <c r="T100" i="24" s="1"/>
  <c r="E69" i="24"/>
  <c r="E101" i="24" s="1"/>
  <c r="F69" i="24"/>
  <c r="F101" i="24" s="1"/>
  <c r="G69" i="24"/>
  <c r="G101" i="24" s="1"/>
  <c r="H69" i="24"/>
  <c r="H101" i="24" s="1"/>
  <c r="I69" i="24"/>
  <c r="I101" i="24" s="1"/>
  <c r="J69" i="24"/>
  <c r="J101" i="24" s="1"/>
  <c r="K69" i="24"/>
  <c r="K101" i="24" s="1"/>
  <c r="L69" i="24"/>
  <c r="L101" i="24" s="1"/>
  <c r="M69" i="24"/>
  <c r="M101" i="24" s="1"/>
  <c r="N69" i="24"/>
  <c r="N101" i="24" s="1"/>
  <c r="O69" i="24"/>
  <c r="O101" i="24" s="1"/>
  <c r="P69" i="24"/>
  <c r="P101" i="24" s="1"/>
  <c r="Q69" i="24"/>
  <c r="Q101" i="24" s="1"/>
  <c r="R69" i="24"/>
  <c r="R101" i="24" s="1"/>
  <c r="S69" i="24"/>
  <c r="S101" i="24" s="1"/>
  <c r="T69" i="24"/>
  <c r="T101" i="24" s="1"/>
  <c r="E70" i="24"/>
  <c r="E102" i="24" s="1"/>
  <c r="F70" i="24"/>
  <c r="F102" i="24" s="1"/>
  <c r="G70" i="24"/>
  <c r="G102" i="24" s="1"/>
  <c r="H70" i="24"/>
  <c r="H102" i="24" s="1"/>
  <c r="I70" i="24"/>
  <c r="I102" i="24" s="1"/>
  <c r="J70" i="24"/>
  <c r="J102" i="24" s="1"/>
  <c r="K70" i="24"/>
  <c r="K102" i="24" s="1"/>
  <c r="L70" i="24"/>
  <c r="L102" i="24" s="1"/>
  <c r="M70" i="24"/>
  <c r="M102" i="24" s="1"/>
  <c r="N70" i="24"/>
  <c r="N102" i="24" s="1"/>
  <c r="O70" i="24"/>
  <c r="O102" i="24" s="1"/>
  <c r="P70" i="24"/>
  <c r="P102" i="24" s="1"/>
  <c r="Q70" i="24"/>
  <c r="Q102" i="24" s="1"/>
  <c r="R70" i="24"/>
  <c r="R102" i="24" s="1"/>
  <c r="S70" i="24"/>
  <c r="S102" i="24" s="1"/>
  <c r="T70" i="24"/>
  <c r="T102" i="24" s="1"/>
  <c r="E71" i="24"/>
  <c r="E103" i="24" s="1"/>
  <c r="F71" i="24"/>
  <c r="F103" i="24" s="1"/>
  <c r="H71" i="24"/>
  <c r="H103" i="24" s="1"/>
  <c r="L71" i="24"/>
  <c r="L103" i="24" s="1"/>
  <c r="M71" i="24"/>
  <c r="M103" i="24" s="1"/>
  <c r="N71" i="24"/>
  <c r="N103" i="24" s="1"/>
  <c r="O71" i="24"/>
  <c r="O103" i="24" s="1"/>
  <c r="P71" i="24"/>
  <c r="P103" i="24" s="1"/>
  <c r="Q71" i="24"/>
  <c r="Q103" i="24" s="1"/>
  <c r="R71" i="24"/>
  <c r="R103" i="24" s="1"/>
  <c r="S71" i="24"/>
  <c r="S103" i="24" s="1"/>
  <c r="T71" i="24"/>
  <c r="T103" i="24" s="1"/>
  <c r="E72" i="24"/>
  <c r="E104" i="24" s="1"/>
  <c r="F72" i="24"/>
  <c r="F104" i="24" s="1"/>
  <c r="H72" i="24"/>
  <c r="H104" i="24" s="1"/>
  <c r="L72" i="24"/>
  <c r="L104" i="24" s="1"/>
  <c r="M72" i="24"/>
  <c r="M104" i="24" s="1"/>
  <c r="N72" i="24"/>
  <c r="N104" i="24" s="1"/>
  <c r="O72" i="24"/>
  <c r="O104" i="24" s="1"/>
  <c r="P72" i="24"/>
  <c r="P104" i="24" s="1"/>
  <c r="Q72" i="24"/>
  <c r="Q104" i="24" s="1"/>
  <c r="R72" i="24"/>
  <c r="R104" i="24" s="1"/>
  <c r="S72" i="24"/>
  <c r="S104" i="24" s="1"/>
  <c r="T72" i="24"/>
  <c r="T104" i="24" s="1"/>
  <c r="E73" i="24"/>
  <c r="E105" i="24" s="1"/>
  <c r="F73" i="24"/>
  <c r="F105" i="24" s="1"/>
  <c r="G73" i="24"/>
  <c r="G105" i="24" s="1"/>
  <c r="H73" i="24"/>
  <c r="H105" i="24" s="1"/>
  <c r="I73" i="24"/>
  <c r="I105" i="24" s="1"/>
  <c r="L73" i="24"/>
  <c r="L105" i="24" s="1"/>
  <c r="M73" i="24"/>
  <c r="M105" i="24" s="1"/>
  <c r="N73" i="24"/>
  <c r="N105" i="24" s="1"/>
  <c r="O73" i="24"/>
  <c r="O105" i="24" s="1"/>
  <c r="P73" i="24"/>
  <c r="P105" i="24" s="1"/>
  <c r="Q73" i="24"/>
  <c r="Q105" i="24" s="1"/>
  <c r="R73" i="24"/>
  <c r="R105" i="24" s="1"/>
  <c r="S73" i="24"/>
  <c r="S105" i="24" s="1"/>
  <c r="T73" i="24"/>
  <c r="T105" i="24" s="1"/>
  <c r="E74" i="24"/>
  <c r="E106" i="24" s="1"/>
  <c r="F74" i="24"/>
  <c r="F106" i="24" s="1"/>
  <c r="G74" i="24"/>
  <c r="G106" i="24" s="1"/>
  <c r="H74" i="24"/>
  <c r="H106" i="24" s="1"/>
  <c r="I74" i="24"/>
  <c r="I106" i="24" s="1"/>
  <c r="L74" i="24"/>
  <c r="L106" i="24" s="1"/>
  <c r="M74" i="24"/>
  <c r="M106" i="24" s="1"/>
  <c r="N74" i="24"/>
  <c r="N106" i="24" s="1"/>
  <c r="O74" i="24"/>
  <c r="O106" i="24" s="1"/>
  <c r="P74" i="24"/>
  <c r="P106" i="24" s="1"/>
  <c r="Q74" i="24"/>
  <c r="Q106" i="24" s="1"/>
  <c r="R74" i="24"/>
  <c r="R106" i="24" s="1"/>
  <c r="S74" i="24"/>
  <c r="S106" i="24" s="1"/>
  <c r="T74" i="24"/>
  <c r="T106" i="24" s="1"/>
  <c r="E75" i="24"/>
  <c r="E107" i="24" s="1"/>
  <c r="F75" i="24"/>
  <c r="F107" i="24" s="1"/>
  <c r="G75" i="24"/>
  <c r="G107" i="24" s="1"/>
  <c r="H75" i="24"/>
  <c r="H107" i="24" s="1"/>
  <c r="I75" i="24"/>
  <c r="I107" i="24" s="1"/>
  <c r="L75" i="24"/>
  <c r="L107" i="24" s="1"/>
  <c r="M75" i="24"/>
  <c r="M107" i="24" s="1"/>
  <c r="N75" i="24"/>
  <c r="N107" i="24" s="1"/>
  <c r="O75" i="24"/>
  <c r="O107" i="24" s="1"/>
  <c r="P75" i="24"/>
  <c r="P107" i="24" s="1"/>
  <c r="Q75" i="24"/>
  <c r="Q107" i="24" s="1"/>
  <c r="R75" i="24"/>
  <c r="R107" i="24" s="1"/>
  <c r="S75" i="24"/>
  <c r="S107" i="24" s="1"/>
  <c r="T75" i="24"/>
  <c r="T107" i="24" s="1"/>
  <c r="E76" i="24"/>
  <c r="E108" i="24" s="1"/>
  <c r="F76" i="24"/>
  <c r="F108" i="24" s="1"/>
  <c r="G76" i="24"/>
  <c r="G108" i="24" s="1"/>
  <c r="H76" i="24"/>
  <c r="H108" i="24" s="1"/>
  <c r="I76" i="24"/>
  <c r="I108" i="24" s="1"/>
  <c r="L76" i="24"/>
  <c r="L108" i="24" s="1"/>
  <c r="M76" i="24"/>
  <c r="M108" i="24" s="1"/>
  <c r="N76" i="24"/>
  <c r="N108" i="24" s="1"/>
  <c r="O76" i="24"/>
  <c r="O108" i="24" s="1"/>
  <c r="P76" i="24"/>
  <c r="P108" i="24" s="1"/>
  <c r="Q76" i="24"/>
  <c r="Q108" i="24" s="1"/>
  <c r="R76" i="24"/>
  <c r="R108" i="24" s="1"/>
  <c r="S76" i="24"/>
  <c r="S108" i="24" s="1"/>
  <c r="T76" i="24"/>
  <c r="T108" i="24" s="1"/>
  <c r="E77" i="24"/>
  <c r="E109" i="24" s="1"/>
  <c r="F77" i="24"/>
  <c r="F109" i="24" s="1"/>
  <c r="G77" i="24"/>
  <c r="G109" i="24" s="1"/>
  <c r="H77" i="24"/>
  <c r="H109" i="24" s="1"/>
  <c r="I77" i="24"/>
  <c r="I109" i="24" s="1"/>
  <c r="J77" i="24"/>
  <c r="J109" i="24" s="1"/>
  <c r="K77" i="24"/>
  <c r="K109" i="24" s="1"/>
  <c r="L77" i="24"/>
  <c r="L109" i="24" s="1"/>
  <c r="M77" i="24"/>
  <c r="M109" i="24" s="1"/>
  <c r="N77" i="24"/>
  <c r="N109" i="24" s="1"/>
  <c r="O77" i="24"/>
  <c r="O109" i="24" s="1"/>
  <c r="P77" i="24"/>
  <c r="P109" i="24" s="1"/>
  <c r="Q77" i="24"/>
  <c r="Q109" i="24" s="1"/>
  <c r="R77" i="24"/>
  <c r="R109" i="24" s="1"/>
  <c r="S77" i="24"/>
  <c r="S109" i="24" s="1"/>
  <c r="T77" i="24"/>
  <c r="T109" i="24" s="1"/>
  <c r="E78" i="24"/>
  <c r="E110" i="24" s="1"/>
  <c r="F78" i="24"/>
  <c r="F110" i="24" s="1"/>
  <c r="G78" i="24"/>
  <c r="G110" i="24" s="1"/>
  <c r="H78" i="24"/>
  <c r="H110" i="24" s="1"/>
  <c r="I78" i="24"/>
  <c r="I110" i="24" s="1"/>
  <c r="J78" i="24"/>
  <c r="J110" i="24" s="1"/>
  <c r="K78" i="24"/>
  <c r="K110" i="24" s="1"/>
  <c r="L78" i="24"/>
  <c r="L110" i="24" s="1"/>
  <c r="M78" i="24"/>
  <c r="M110" i="24" s="1"/>
  <c r="N78" i="24"/>
  <c r="N110" i="24" s="1"/>
  <c r="O78" i="24"/>
  <c r="O110" i="24" s="1"/>
  <c r="P78" i="24"/>
  <c r="P110" i="24" s="1"/>
  <c r="Q78" i="24"/>
  <c r="Q110" i="24" s="1"/>
  <c r="R78" i="24"/>
  <c r="R110" i="24" s="1"/>
  <c r="S78" i="24"/>
  <c r="S110" i="24" s="1"/>
  <c r="T78" i="24"/>
  <c r="T110" i="24" s="1"/>
  <c r="E79" i="24"/>
  <c r="E111" i="24" s="1"/>
  <c r="F79" i="24"/>
  <c r="F111" i="24" s="1"/>
  <c r="G79" i="24"/>
  <c r="G111" i="24" s="1"/>
  <c r="H79" i="24"/>
  <c r="H111" i="24" s="1"/>
  <c r="I79" i="24"/>
  <c r="I111" i="24" s="1"/>
  <c r="J79" i="24"/>
  <c r="J111" i="24" s="1"/>
  <c r="K79" i="24"/>
  <c r="K111" i="24" s="1"/>
  <c r="L79" i="24"/>
  <c r="L111" i="24" s="1"/>
  <c r="M79" i="24"/>
  <c r="M111" i="24" s="1"/>
  <c r="N79" i="24"/>
  <c r="N111" i="24" s="1"/>
  <c r="O79" i="24"/>
  <c r="O111" i="24" s="1"/>
  <c r="P79" i="24"/>
  <c r="P111" i="24" s="1"/>
  <c r="Q79" i="24"/>
  <c r="Q111" i="24" s="1"/>
  <c r="R79" i="24"/>
  <c r="R111" i="24" s="1"/>
  <c r="S79" i="24"/>
  <c r="S111" i="24" s="1"/>
  <c r="T79" i="24"/>
  <c r="T111" i="24" s="1"/>
  <c r="E80" i="24"/>
  <c r="E112" i="24" s="1"/>
  <c r="F80" i="24"/>
  <c r="F112" i="24" s="1"/>
  <c r="G80" i="24"/>
  <c r="G112" i="24" s="1"/>
  <c r="H80" i="24"/>
  <c r="H112" i="24" s="1"/>
  <c r="I80" i="24"/>
  <c r="I112" i="24" s="1"/>
  <c r="J80" i="24"/>
  <c r="J112" i="24" s="1"/>
  <c r="K80" i="24"/>
  <c r="K112" i="24" s="1"/>
  <c r="L80" i="24"/>
  <c r="L112" i="24" s="1"/>
  <c r="M80" i="24"/>
  <c r="M112" i="24" s="1"/>
  <c r="N80" i="24"/>
  <c r="N112" i="24" s="1"/>
  <c r="O80" i="24"/>
  <c r="O112" i="24" s="1"/>
  <c r="P80" i="24"/>
  <c r="P112" i="24" s="1"/>
  <c r="Q80" i="24"/>
  <c r="Q112" i="24" s="1"/>
  <c r="R80" i="24"/>
  <c r="R112" i="24" s="1"/>
  <c r="S80" i="24"/>
  <c r="S112" i="24" s="1"/>
  <c r="T80" i="24"/>
  <c r="T112" i="24" s="1"/>
  <c r="E81" i="24"/>
  <c r="E113" i="24" s="1"/>
  <c r="F81" i="24"/>
  <c r="F113" i="24" s="1"/>
  <c r="G81" i="24"/>
  <c r="G113" i="24" s="1"/>
  <c r="H81" i="24"/>
  <c r="H113" i="24" s="1"/>
  <c r="I81" i="24"/>
  <c r="I113" i="24" s="1"/>
  <c r="J81" i="24"/>
  <c r="J113" i="24" s="1"/>
  <c r="K81" i="24"/>
  <c r="K113" i="24" s="1"/>
  <c r="L81" i="24"/>
  <c r="L113" i="24" s="1"/>
  <c r="M81" i="24"/>
  <c r="M113" i="24" s="1"/>
  <c r="N81" i="24"/>
  <c r="N113" i="24" s="1"/>
  <c r="O81" i="24"/>
  <c r="O113" i="24" s="1"/>
  <c r="P81" i="24"/>
  <c r="P113" i="24" s="1"/>
  <c r="Q81" i="24"/>
  <c r="Q113" i="24" s="1"/>
  <c r="R81" i="24"/>
  <c r="R113" i="24" s="1"/>
  <c r="S81" i="24"/>
  <c r="S113" i="24" s="1"/>
  <c r="T81" i="24"/>
  <c r="T113" i="24" s="1"/>
  <c r="E82" i="24"/>
  <c r="E114" i="24" s="1"/>
  <c r="F82" i="24"/>
  <c r="F114" i="24" s="1"/>
  <c r="G82" i="24"/>
  <c r="G114" i="24" s="1"/>
  <c r="H82" i="24"/>
  <c r="H114" i="24" s="1"/>
  <c r="I82" i="24"/>
  <c r="I114" i="24" s="1"/>
  <c r="J82" i="24"/>
  <c r="J114" i="24" s="1"/>
  <c r="K82" i="24"/>
  <c r="K114" i="24" s="1"/>
  <c r="L82" i="24"/>
  <c r="L114" i="24" s="1"/>
  <c r="M82" i="24"/>
  <c r="M114" i="24" s="1"/>
  <c r="N82" i="24"/>
  <c r="N114" i="24" s="1"/>
  <c r="O82" i="24"/>
  <c r="O114" i="24" s="1"/>
  <c r="P82" i="24"/>
  <c r="P114" i="24" s="1"/>
  <c r="Q82" i="24"/>
  <c r="Q114" i="24" s="1"/>
  <c r="R82" i="24"/>
  <c r="R114" i="24" s="1"/>
  <c r="S82" i="24"/>
  <c r="S114" i="24" s="1"/>
  <c r="T82" i="24"/>
  <c r="T114" i="24" s="1"/>
  <c r="E83" i="24"/>
  <c r="E115" i="24" s="1"/>
  <c r="F83" i="24"/>
  <c r="F115" i="24" s="1"/>
  <c r="G83" i="24"/>
  <c r="G115" i="24" s="1"/>
  <c r="H83" i="24"/>
  <c r="H115" i="24" s="1"/>
  <c r="I83" i="24"/>
  <c r="I115" i="24" s="1"/>
  <c r="J83" i="24"/>
  <c r="J115" i="24" s="1"/>
  <c r="K83" i="24"/>
  <c r="K115" i="24" s="1"/>
  <c r="L83" i="24"/>
  <c r="L115" i="24" s="1"/>
  <c r="M83" i="24"/>
  <c r="M115" i="24" s="1"/>
  <c r="N83" i="24"/>
  <c r="N115" i="24" s="1"/>
  <c r="O83" i="24"/>
  <c r="O115" i="24" s="1"/>
  <c r="P83" i="24"/>
  <c r="P115" i="24" s="1"/>
  <c r="Q83" i="24"/>
  <c r="Q115" i="24" s="1"/>
  <c r="R83" i="24"/>
  <c r="R115" i="24" s="1"/>
  <c r="S83" i="24"/>
  <c r="S115" i="24" s="1"/>
  <c r="T83" i="24"/>
  <c r="T115" i="24" s="1"/>
  <c r="E84" i="24"/>
  <c r="E116" i="24" s="1"/>
  <c r="F84" i="24"/>
  <c r="F116" i="24" s="1"/>
  <c r="G84" i="24"/>
  <c r="G116" i="24" s="1"/>
  <c r="H84" i="24"/>
  <c r="H116" i="24" s="1"/>
  <c r="I84" i="24"/>
  <c r="I116" i="24" s="1"/>
  <c r="J84" i="24"/>
  <c r="J116" i="24" s="1"/>
  <c r="K84" i="24"/>
  <c r="K116" i="24" s="1"/>
  <c r="L84" i="24"/>
  <c r="L116" i="24" s="1"/>
  <c r="M84" i="24"/>
  <c r="M116" i="24" s="1"/>
  <c r="N84" i="24"/>
  <c r="N116" i="24" s="1"/>
  <c r="O84" i="24"/>
  <c r="O116" i="24" s="1"/>
  <c r="P84" i="24"/>
  <c r="P116" i="24" s="1"/>
  <c r="Q84" i="24"/>
  <c r="Q116" i="24" s="1"/>
  <c r="R84" i="24"/>
  <c r="R116" i="24" s="1"/>
  <c r="S84" i="24"/>
  <c r="S116" i="24" s="1"/>
  <c r="T84" i="24"/>
  <c r="T116" i="24" s="1"/>
  <c r="E85" i="24"/>
  <c r="E117" i="24" s="1"/>
  <c r="F85" i="24"/>
  <c r="F117" i="24" s="1"/>
  <c r="G85" i="24"/>
  <c r="G117" i="24" s="1"/>
  <c r="H85" i="24"/>
  <c r="H117" i="24" s="1"/>
  <c r="I85" i="24"/>
  <c r="I117" i="24" s="1"/>
  <c r="J85" i="24"/>
  <c r="J117" i="24" s="1"/>
  <c r="K85" i="24"/>
  <c r="K117" i="24" s="1"/>
  <c r="L85" i="24"/>
  <c r="L117" i="24" s="1"/>
  <c r="M85" i="24"/>
  <c r="M117" i="24" s="1"/>
  <c r="N85" i="24"/>
  <c r="N117" i="24" s="1"/>
  <c r="O85" i="24"/>
  <c r="O117" i="24" s="1"/>
  <c r="P85" i="24"/>
  <c r="P117" i="24" s="1"/>
  <c r="Q85" i="24"/>
  <c r="Q117" i="24" s="1"/>
  <c r="R85" i="24"/>
  <c r="R117" i="24" s="1"/>
  <c r="S85" i="24"/>
  <c r="S117" i="24" s="1"/>
  <c r="T85" i="24"/>
  <c r="T117" i="24" s="1"/>
  <c r="E86" i="24"/>
  <c r="E118" i="24" s="1"/>
  <c r="F86" i="24"/>
  <c r="F118" i="24" s="1"/>
  <c r="G86" i="24"/>
  <c r="G118" i="24" s="1"/>
  <c r="H86" i="24"/>
  <c r="H118" i="24" s="1"/>
  <c r="I86" i="24"/>
  <c r="I118" i="24" s="1"/>
  <c r="J86" i="24"/>
  <c r="J118" i="24" s="1"/>
  <c r="K86" i="24"/>
  <c r="K118" i="24" s="1"/>
  <c r="L86" i="24"/>
  <c r="L118" i="24" s="1"/>
  <c r="M86" i="24"/>
  <c r="M118" i="24" s="1"/>
  <c r="N86" i="24"/>
  <c r="N118" i="24" s="1"/>
  <c r="O86" i="24"/>
  <c r="O118" i="24" s="1"/>
  <c r="P86" i="24"/>
  <c r="P118" i="24" s="1"/>
  <c r="Q86" i="24"/>
  <c r="Q118" i="24" s="1"/>
  <c r="R86" i="24"/>
  <c r="R118" i="24" s="1"/>
  <c r="S86" i="24"/>
  <c r="S118" i="24" s="1"/>
  <c r="T86" i="24"/>
  <c r="T118" i="24" s="1"/>
  <c r="E87" i="24"/>
  <c r="E119" i="24" s="1"/>
  <c r="F87" i="24"/>
  <c r="F119" i="24" s="1"/>
  <c r="G87" i="24"/>
  <c r="G119" i="24" s="1"/>
  <c r="H87" i="24"/>
  <c r="H119" i="24" s="1"/>
  <c r="I87" i="24"/>
  <c r="I119" i="24" s="1"/>
  <c r="J87" i="24"/>
  <c r="J119" i="24" s="1"/>
  <c r="K87" i="24"/>
  <c r="K119" i="24" s="1"/>
  <c r="L87" i="24"/>
  <c r="L119" i="24" s="1"/>
  <c r="M87" i="24"/>
  <c r="M119" i="24" s="1"/>
  <c r="N87" i="24"/>
  <c r="N119" i="24" s="1"/>
  <c r="O87" i="24"/>
  <c r="O119" i="24" s="1"/>
  <c r="P87" i="24"/>
  <c r="P119" i="24" s="1"/>
  <c r="Q87" i="24"/>
  <c r="Q119" i="24" s="1"/>
  <c r="R87" i="24"/>
  <c r="R119" i="24" s="1"/>
  <c r="S87" i="24"/>
  <c r="S119" i="24" s="1"/>
  <c r="T87" i="24"/>
  <c r="T119" i="24" s="1"/>
  <c r="E88" i="24"/>
  <c r="E120" i="24" s="1"/>
  <c r="F88" i="24"/>
  <c r="F120" i="24" s="1"/>
  <c r="G88" i="24"/>
  <c r="G120" i="24" s="1"/>
  <c r="H88" i="24"/>
  <c r="H120" i="24" s="1"/>
  <c r="I88" i="24"/>
  <c r="I120" i="24" s="1"/>
  <c r="J88" i="24"/>
  <c r="J120" i="24" s="1"/>
  <c r="K88" i="24"/>
  <c r="K120" i="24" s="1"/>
  <c r="L88" i="24"/>
  <c r="L120" i="24" s="1"/>
  <c r="M88" i="24"/>
  <c r="M120" i="24" s="1"/>
  <c r="N88" i="24"/>
  <c r="N120" i="24" s="1"/>
  <c r="O88" i="24"/>
  <c r="O120" i="24" s="1"/>
  <c r="P88" i="24"/>
  <c r="P120" i="24" s="1"/>
  <c r="Q88" i="24"/>
  <c r="Q120" i="24" s="1"/>
  <c r="R88" i="24"/>
  <c r="R120" i="24" s="1"/>
  <c r="S88" i="24"/>
  <c r="S120" i="24" s="1"/>
  <c r="T88" i="24"/>
  <c r="T120" i="24" s="1"/>
  <c r="E89" i="24"/>
  <c r="E121" i="24" s="1"/>
  <c r="F89" i="24"/>
  <c r="F121" i="24" s="1"/>
  <c r="G89" i="24"/>
  <c r="G121" i="24" s="1"/>
  <c r="H89" i="24"/>
  <c r="H121" i="24" s="1"/>
  <c r="I89" i="24"/>
  <c r="I121" i="24" s="1"/>
  <c r="J89" i="24"/>
  <c r="J121" i="24" s="1"/>
  <c r="K89" i="24"/>
  <c r="K121" i="24" s="1"/>
  <c r="L89" i="24"/>
  <c r="L121" i="24" s="1"/>
  <c r="M89" i="24"/>
  <c r="M121" i="24" s="1"/>
  <c r="N89" i="24"/>
  <c r="N121" i="24" s="1"/>
  <c r="O89" i="24"/>
  <c r="O121" i="24" s="1"/>
  <c r="P89" i="24"/>
  <c r="P121" i="24" s="1"/>
  <c r="Q89" i="24"/>
  <c r="Q121" i="24" s="1"/>
  <c r="R89" i="24"/>
  <c r="R121" i="24" s="1"/>
  <c r="S89" i="24"/>
  <c r="S121" i="24" s="1"/>
  <c r="T89" i="24"/>
  <c r="T121" i="24" s="1"/>
  <c r="E90" i="24"/>
  <c r="E122" i="24" s="1"/>
  <c r="F90" i="24"/>
  <c r="F122" i="24" s="1"/>
  <c r="G90" i="24"/>
  <c r="G122" i="24" s="1"/>
  <c r="H90" i="24"/>
  <c r="H122" i="24" s="1"/>
  <c r="I90" i="24"/>
  <c r="I122" i="24" s="1"/>
  <c r="J90" i="24"/>
  <c r="J122" i="24" s="1"/>
  <c r="K90" i="24"/>
  <c r="K122" i="24" s="1"/>
  <c r="L90" i="24"/>
  <c r="L122" i="24" s="1"/>
  <c r="M90" i="24"/>
  <c r="M122" i="24" s="1"/>
  <c r="N90" i="24"/>
  <c r="N122" i="24" s="1"/>
  <c r="O90" i="24"/>
  <c r="O122" i="24" s="1"/>
  <c r="P90" i="24"/>
  <c r="P122" i="24" s="1"/>
  <c r="Q90" i="24"/>
  <c r="Q122" i="24" s="1"/>
  <c r="R90" i="24"/>
  <c r="R122" i="24" s="1"/>
  <c r="S90" i="24"/>
  <c r="S122" i="24" s="1"/>
  <c r="T90" i="24"/>
  <c r="T122" i="24" s="1"/>
  <c r="E91" i="24"/>
  <c r="E123" i="24" s="1"/>
  <c r="F91" i="24"/>
  <c r="F123" i="24" s="1"/>
  <c r="G91" i="24"/>
  <c r="G123" i="24" s="1"/>
  <c r="H91" i="24"/>
  <c r="H123" i="24" s="1"/>
  <c r="I91" i="24"/>
  <c r="I123" i="24" s="1"/>
  <c r="J91" i="24"/>
  <c r="J123" i="24" s="1"/>
  <c r="K91" i="24"/>
  <c r="K123" i="24" s="1"/>
  <c r="L91" i="24"/>
  <c r="L123" i="24" s="1"/>
  <c r="M91" i="24"/>
  <c r="M123" i="24" s="1"/>
  <c r="N91" i="24"/>
  <c r="N123" i="24" s="1"/>
  <c r="O91" i="24"/>
  <c r="O123" i="24" s="1"/>
  <c r="P91" i="24"/>
  <c r="P123" i="24" s="1"/>
  <c r="Q91" i="24"/>
  <c r="Q123" i="24" s="1"/>
  <c r="R91" i="24"/>
  <c r="R123" i="24" s="1"/>
  <c r="S91" i="24"/>
  <c r="S123" i="24" s="1"/>
  <c r="T91" i="24"/>
  <c r="T123" i="24" s="1"/>
  <c r="E92" i="24"/>
  <c r="E124" i="24" s="1"/>
  <c r="F92" i="24"/>
  <c r="F124" i="24" s="1"/>
  <c r="G92" i="24"/>
  <c r="G124" i="24" s="1"/>
  <c r="H92" i="24"/>
  <c r="H124" i="24" s="1"/>
  <c r="I92" i="24"/>
  <c r="I124" i="24" s="1"/>
  <c r="J92" i="24"/>
  <c r="J124" i="24" s="1"/>
  <c r="K92" i="24"/>
  <c r="K124" i="24" s="1"/>
  <c r="L92" i="24"/>
  <c r="L124" i="24" s="1"/>
  <c r="M92" i="24"/>
  <c r="M124" i="24" s="1"/>
  <c r="N92" i="24"/>
  <c r="N124" i="24" s="1"/>
  <c r="O92" i="24"/>
  <c r="O124" i="24" s="1"/>
  <c r="P92" i="24"/>
  <c r="P124" i="24" s="1"/>
  <c r="Q92" i="24"/>
  <c r="Q124" i="24" s="1"/>
  <c r="R92" i="24"/>
  <c r="R124" i="24" s="1"/>
  <c r="S92" i="24"/>
  <c r="S124" i="24" s="1"/>
  <c r="T92" i="24"/>
  <c r="T124" i="24" s="1"/>
  <c r="E93" i="24"/>
  <c r="E125" i="24" s="1"/>
  <c r="F93" i="24"/>
  <c r="F125" i="24" s="1"/>
  <c r="G93" i="24"/>
  <c r="G125" i="24" s="1"/>
  <c r="H93" i="24"/>
  <c r="H125" i="24" s="1"/>
  <c r="I93" i="24"/>
  <c r="I125" i="24" s="1"/>
  <c r="J93" i="24"/>
  <c r="J125" i="24" s="1"/>
  <c r="K93" i="24"/>
  <c r="K125" i="24" s="1"/>
  <c r="L93" i="24"/>
  <c r="L125" i="24" s="1"/>
  <c r="M93" i="24"/>
  <c r="M125" i="24" s="1"/>
  <c r="N93" i="24"/>
  <c r="N125" i="24" s="1"/>
  <c r="O93" i="24"/>
  <c r="O125" i="24" s="1"/>
  <c r="P93" i="24"/>
  <c r="P125" i="24" s="1"/>
  <c r="Q93" i="24"/>
  <c r="Q125" i="24" s="1"/>
  <c r="R93" i="24"/>
  <c r="R125" i="24" s="1"/>
  <c r="S93" i="24"/>
  <c r="S125" i="24" s="1"/>
  <c r="T93" i="24"/>
  <c r="T125" i="24" s="1"/>
  <c r="E94" i="24"/>
  <c r="E126" i="24" s="1"/>
  <c r="F94" i="24"/>
  <c r="F126" i="24" s="1"/>
  <c r="G94" i="24"/>
  <c r="G126" i="24" s="1"/>
  <c r="H94" i="24"/>
  <c r="H126" i="24" s="1"/>
  <c r="I94" i="24"/>
  <c r="I126" i="24" s="1"/>
  <c r="J94" i="24"/>
  <c r="J126" i="24" s="1"/>
  <c r="K94" i="24"/>
  <c r="K126" i="24" s="1"/>
  <c r="L94" i="24"/>
  <c r="L126" i="24" s="1"/>
  <c r="M94" i="24"/>
  <c r="M126" i="24" s="1"/>
  <c r="N94" i="24"/>
  <c r="N126" i="24" s="1"/>
  <c r="O94" i="24"/>
  <c r="O126" i="24" s="1"/>
  <c r="P94" i="24"/>
  <c r="P126" i="24" s="1"/>
  <c r="Q94" i="24"/>
  <c r="Q126" i="24" s="1"/>
  <c r="R94" i="24"/>
  <c r="R126" i="24" s="1"/>
  <c r="S94" i="24"/>
  <c r="S126" i="24" s="1"/>
  <c r="T94" i="24"/>
  <c r="T126" i="24" s="1"/>
  <c r="E95" i="24"/>
  <c r="F95" i="24"/>
  <c r="G95" i="24"/>
  <c r="H95" i="24"/>
  <c r="I95" i="24"/>
  <c r="J95" i="24"/>
  <c r="K95" i="24"/>
  <c r="L95" i="24"/>
  <c r="M95" i="24"/>
  <c r="N95" i="24"/>
  <c r="O95" i="24"/>
  <c r="P95" i="24"/>
  <c r="Q95" i="24"/>
  <c r="R95" i="24"/>
  <c r="S95" i="24"/>
  <c r="T95" i="24"/>
  <c r="E96" i="24"/>
  <c r="F96" i="24"/>
  <c r="G96" i="24"/>
  <c r="H96" i="24"/>
  <c r="I96" i="24"/>
  <c r="J96" i="24"/>
  <c r="K96" i="24"/>
  <c r="L96" i="24"/>
  <c r="M96" i="24"/>
  <c r="N96" i="24"/>
  <c r="O96" i="24"/>
  <c r="P96" i="24"/>
  <c r="Q96" i="24"/>
  <c r="R96" i="24"/>
  <c r="S96" i="24"/>
  <c r="T96" i="24"/>
  <c r="E97" i="24"/>
  <c r="F97" i="24"/>
  <c r="G97" i="24"/>
  <c r="H97" i="24"/>
  <c r="I97" i="24"/>
  <c r="J97" i="24"/>
  <c r="K97" i="24"/>
  <c r="L97" i="24"/>
  <c r="M97" i="24"/>
  <c r="N97" i="24"/>
  <c r="O97" i="24"/>
  <c r="P97" i="24"/>
  <c r="Q97" i="24"/>
  <c r="R97" i="24"/>
  <c r="S97" i="24"/>
  <c r="T97" i="24"/>
  <c r="E98" i="24"/>
  <c r="F98" i="24"/>
  <c r="G98" i="24"/>
  <c r="H98" i="24"/>
  <c r="I98" i="24"/>
  <c r="J98" i="24"/>
  <c r="K98" i="24"/>
  <c r="T39" i="24"/>
  <c r="S39" i="24"/>
  <c r="R39" i="24"/>
  <c r="Q39" i="24"/>
  <c r="P39" i="24"/>
  <c r="O39" i="24"/>
  <c r="N39" i="24"/>
  <c r="M39" i="24"/>
  <c r="L39" i="24"/>
  <c r="K39" i="24"/>
  <c r="K71" i="24" s="1"/>
  <c r="K103" i="24" s="1"/>
  <c r="J39" i="24"/>
  <c r="J71" i="24" s="1"/>
  <c r="J103" i="24" s="1"/>
  <c r="I39" i="24"/>
  <c r="I71" i="24" s="1"/>
  <c r="I103" i="24" s="1"/>
  <c r="H39" i="24"/>
  <c r="G39" i="24"/>
  <c r="G71" i="24" s="1"/>
  <c r="G103" i="24" s="1"/>
  <c r="F39" i="24"/>
  <c r="E39" i="24"/>
  <c r="Q39" i="23"/>
  <c r="P39" i="23"/>
  <c r="O39" i="23"/>
  <c r="N39" i="23"/>
  <c r="M39" i="23"/>
  <c r="L39" i="23"/>
  <c r="K39" i="23"/>
  <c r="K71" i="23" s="1"/>
  <c r="K103" i="23" s="1"/>
  <c r="J39" i="23"/>
  <c r="J71" i="23" s="1"/>
  <c r="J103" i="23" s="1"/>
  <c r="I39" i="23"/>
  <c r="I71" i="23" s="1"/>
  <c r="I103" i="23" s="1"/>
  <c r="H39" i="23"/>
  <c r="H71" i="23" s="1"/>
  <c r="H103" i="23" s="1"/>
  <c r="G39" i="23"/>
  <c r="F39" i="23"/>
  <c r="E39" i="23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S45" i="22"/>
  <c r="T45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S47" i="22"/>
  <c r="T47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S48" i="22"/>
  <c r="T48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S55" i="22"/>
  <c r="T55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Q56" i="22"/>
  <c r="R56" i="22"/>
  <c r="S56" i="22"/>
  <c r="T56" i="22"/>
  <c r="E57" i="22"/>
  <c r="F57" i="22"/>
  <c r="G57" i="22"/>
  <c r="H57" i="22"/>
  <c r="I57" i="22"/>
  <c r="J57" i="22"/>
  <c r="K57" i="22"/>
  <c r="L57" i="22"/>
  <c r="M57" i="22"/>
  <c r="N57" i="22"/>
  <c r="O57" i="22"/>
  <c r="P57" i="22"/>
  <c r="Q57" i="22"/>
  <c r="R57" i="22"/>
  <c r="S57" i="22"/>
  <c r="T57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S58" i="22"/>
  <c r="T58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E68" i="22"/>
  <c r="F68" i="22"/>
  <c r="G68" i="22"/>
  <c r="H68" i="22"/>
  <c r="I68" i="22"/>
  <c r="J68" i="22"/>
  <c r="K68" i="22"/>
  <c r="L68" i="22"/>
  <c r="M68" i="22"/>
  <c r="N68" i="22"/>
  <c r="O68" i="22"/>
  <c r="P68" i="22"/>
  <c r="Q68" i="22"/>
  <c r="R68" i="22"/>
  <c r="S68" i="22"/>
  <c r="T68" i="22"/>
  <c r="E69" i="22"/>
  <c r="F69" i="22"/>
  <c r="G69" i="22"/>
  <c r="H69" i="22"/>
  <c r="I69" i="22"/>
  <c r="J69" i="22"/>
  <c r="K69" i="22"/>
  <c r="L69" i="22"/>
  <c r="M69" i="22"/>
  <c r="N69" i="22"/>
  <c r="O69" i="22"/>
  <c r="P69" i="22"/>
  <c r="Q69" i="22"/>
  <c r="R69" i="22"/>
  <c r="S69" i="22"/>
  <c r="T69" i="22"/>
  <c r="E70" i="22"/>
  <c r="F70" i="22"/>
  <c r="G70" i="22"/>
  <c r="H70" i="22"/>
  <c r="I70" i="22"/>
  <c r="J70" i="22"/>
  <c r="K70" i="22"/>
  <c r="L70" i="22"/>
  <c r="M70" i="22"/>
  <c r="N70" i="22"/>
  <c r="O70" i="22"/>
  <c r="P70" i="22"/>
  <c r="Q70" i="22"/>
  <c r="R70" i="22"/>
  <c r="S70" i="22"/>
  <c r="T70" i="22"/>
  <c r="E71" i="22"/>
  <c r="F71" i="22"/>
  <c r="G71" i="22"/>
  <c r="H71" i="22"/>
  <c r="I71" i="22"/>
  <c r="J71" i="22"/>
  <c r="K71" i="22"/>
  <c r="L71" i="22"/>
  <c r="M71" i="22"/>
  <c r="N71" i="22"/>
  <c r="O71" i="22"/>
  <c r="P71" i="22"/>
  <c r="Q71" i="22"/>
  <c r="R71" i="22"/>
  <c r="S71" i="22"/>
  <c r="T71" i="22"/>
  <c r="E72" i="22"/>
  <c r="F72" i="22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E73" i="22"/>
  <c r="F73" i="22"/>
  <c r="G73" i="22"/>
  <c r="H73" i="22"/>
  <c r="I73" i="22"/>
  <c r="J73" i="22"/>
  <c r="K73" i="22"/>
  <c r="L73" i="22"/>
  <c r="M73" i="22"/>
  <c r="N73" i="22"/>
  <c r="O73" i="22"/>
  <c r="P73" i="22"/>
  <c r="Q73" i="22"/>
  <c r="R73" i="22"/>
  <c r="S73" i="22"/>
  <c r="T73" i="22"/>
  <c r="E74" i="22"/>
  <c r="F74" i="22"/>
  <c r="G74" i="22"/>
  <c r="H74" i="22"/>
  <c r="I74" i="22"/>
  <c r="J74" i="22"/>
  <c r="K74" i="22"/>
  <c r="L74" i="22"/>
  <c r="M74" i="22"/>
  <c r="N74" i="22"/>
  <c r="O74" i="22"/>
  <c r="P74" i="22"/>
  <c r="Q74" i="22"/>
  <c r="R74" i="22"/>
  <c r="S74" i="22"/>
  <c r="T74" i="22"/>
  <c r="E75" i="22"/>
  <c r="F75" i="22"/>
  <c r="G75" i="22"/>
  <c r="H75" i="22"/>
  <c r="I75" i="22"/>
  <c r="J75" i="22"/>
  <c r="K75" i="22"/>
  <c r="L75" i="22"/>
  <c r="M75" i="22"/>
  <c r="N75" i="22"/>
  <c r="O75" i="22"/>
  <c r="P75" i="22"/>
  <c r="Q75" i="22"/>
  <c r="R75" i="22"/>
  <c r="S75" i="22"/>
  <c r="T75" i="22"/>
  <c r="E76" i="22"/>
  <c r="F76" i="22"/>
  <c r="G76" i="22"/>
  <c r="H76" i="22"/>
  <c r="I76" i="22"/>
  <c r="J76" i="22"/>
  <c r="K76" i="22"/>
  <c r="L76" i="22"/>
  <c r="M76" i="22"/>
  <c r="N76" i="22"/>
  <c r="O76" i="22"/>
  <c r="P76" i="22"/>
  <c r="Q76" i="22"/>
  <c r="R76" i="22"/>
  <c r="S76" i="22"/>
  <c r="T76" i="22"/>
  <c r="E77" i="22"/>
  <c r="F77" i="22"/>
  <c r="G77" i="22"/>
  <c r="H77" i="22"/>
  <c r="I77" i="22"/>
  <c r="J77" i="22"/>
  <c r="K77" i="22"/>
  <c r="L77" i="22"/>
  <c r="M77" i="22"/>
  <c r="N77" i="22"/>
  <c r="O77" i="22"/>
  <c r="P77" i="22"/>
  <c r="Q77" i="22"/>
  <c r="R77" i="22"/>
  <c r="S77" i="22"/>
  <c r="T77" i="22"/>
  <c r="E78" i="22"/>
  <c r="F78" i="22"/>
  <c r="G78" i="22"/>
  <c r="H78" i="22"/>
  <c r="I78" i="22"/>
  <c r="J78" i="22"/>
  <c r="K78" i="22"/>
  <c r="L78" i="22"/>
  <c r="M78" i="22"/>
  <c r="N78" i="22"/>
  <c r="O78" i="22"/>
  <c r="P78" i="22"/>
  <c r="Q78" i="22"/>
  <c r="R78" i="22"/>
  <c r="S78" i="22"/>
  <c r="T78" i="22"/>
  <c r="E79" i="22"/>
  <c r="F79" i="22"/>
  <c r="G79" i="22"/>
  <c r="H79" i="22"/>
  <c r="I79" i="22"/>
  <c r="J79" i="22"/>
  <c r="K79" i="22"/>
  <c r="L79" i="22"/>
  <c r="M79" i="22"/>
  <c r="N79" i="22"/>
  <c r="O79" i="22"/>
  <c r="P79" i="22"/>
  <c r="Q79" i="22"/>
  <c r="R79" i="22"/>
  <c r="S79" i="22"/>
  <c r="T79" i="22"/>
  <c r="E80" i="22"/>
  <c r="F80" i="22"/>
  <c r="G80" i="22"/>
  <c r="H80" i="22"/>
  <c r="I80" i="22"/>
  <c r="J80" i="22"/>
  <c r="K80" i="22"/>
  <c r="L80" i="22"/>
  <c r="M80" i="22"/>
  <c r="N80" i="22"/>
  <c r="O80" i="22"/>
  <c r="P80" i="22"/>
  <c r="Q80" i="22"/>
  <c r="R80" i="22"/>
  <c r="S80" i="22"/>
  <c r="T80" i="22"/>
  <c r="E81" i="22"/>
  <c r="F81" i="22"/>
  <c r="G81" i="22"/>
  <c r="H81" i="22"/>
  <c r="I81" i="22"/>
  <c r="J81" i="22"/>
  <c r="K81" i="22"/>
  <c r="L81" i="22"/>
  <c r="M81" i="22"/>
  <c r="N81" i="22"/>
  <c r="O81" i="22"/>
  <c r="P81" i="22"/>
  <c r="Q81" i="22"/>
  <c r="R81" i="22"/>
  <c r="S81" i="22"/>
  <c r="T81" i="22"/>
  <c r="E82" i="22"/>
  <c r="F82" i="22"/>
  <c r="G82" i="22"/>
  <c r="H82" i="22"/>
  <c r="I82" i="22"/>
  <c r="J82" i="22"/>
  <c r="K82" i="22"/>
  <c r="L82" i="22"/>
  <c r="M82" i="22"/>
  <c r="N82" i="22"/>
  <c r="O82" i="22"/>
  <c r="P82" i="22"/>
  <c r="Q82" i="22"/>
  <c r="R82" i="22"/>
  <c r="S82" i="22"/>
  <c r="T82" i="22"/>
  <c r="E83" i="22"/>
  <c r="F83" i="22"/>
  <c r="G83" i="22"/>
  <c r="H83" i="22"/>
  <c r="I83" i="22"/>
  <c r="J83" i="22"/>
  <c r="K83" i="22"/>
  <c r="L83" i="22"/>
  <c r="M83" i="22"/>
  <c r="N83" i="22"/>
  <c r="O83" i="22"/>
  <c r="P83" i="22"/>
  <c r="Q83" i="22"/>
  <c r="R83" i="22"/>
  <c r="S83" i="22"/>
  <c r="T83" i="22"/>
  <c r="T115" i="22" s="1"/>
  <c r="E84" i="22"/>
  <c r="E116" i="22" s="1"/>
  <c r="F84" i="22"/>
  <c r="F116" i="22" s="1"/>
  <c r="G84" i="22"/>
  <c r="G116" i="22" s="1"/>
  <c r="H84" i="22"/>
  <c r="H116" i="22" s="1"/>
  <c r="I84" i="22"/>
  <c r="I116" i="22" s="1"/>
  <c r="J84" i="22"/>
  <c r="J116" i="22" s="1"/>
  <c r="K84" i="22"/>
  <c r="K116" i="22" s="1"/>
  <c r="L84" i="22"/>
  <c r="L116" i="22" s="1"/>
  <c r="M84" i="22"/>
  <c r="M116" i="22" s="1"/>
  <c r="N84" i="22"/>
  <c r="N116" i="22" s="1"/>
  <c r="O84" i="22"/>
  <c r="O116" i="22" s="1"/>
  <c r="P84" i="22"/>
  <c r="P116" i="22" s="1"/>
  <c r="Q84" i="22"/>
  <c r="Q116" i="22" s="1"/>
  <c r="R84" i="22"/>
  <c r="R116" i="22" s="1"/>
  <c r="S84" i="22"/>
  <c r="S116" i="22" s="1"/>
  <c r="T84" i="22"/>
  <c r="T116" i="22" s="1"/>
  <c r="E85" i="22"/>
  <c r="E117" i="22" s="1"/>
  <c r="F85" i="22"/>
  <c r="F117" i="22" s="1"/>
  <c r="G85" i="22"/>
  <c r="G117" i="22" s="1"/>
  <c r="H85" i="22"/>
  <c r="H117" i="22" s="1"/>
  <c r="I85" i="22"/>
  <c r="I117" i="22" s="1"/>
  <c r="J85" i="22"/>
  <c r="J117" i="22" s="1"/>
  <c r="K85" i="22"/>
  <c r="K117" i="22" s="1"/>
  <c r="L85" i="22"/>
  <c r="L117" i="22" s="1"/>
  <c r="M85" i="22"/>
  <c r="M117" i="22" s="1"/>
  <c r="N85" i="22"/>
  <c r="N117" i="22" s="1"/>
  <c r="O85" i="22"/>
  <c r="O117" i="22" s="1"/>
  <c r="P85" i="22"/>
  <c r="P117" i="22" s="1"/>
  <c r="Q85" i="22"/>
  <c r="Q117" i="22" s="1"/>
  <c r="R85" i="22"/>
  <c r="R117" i="22" s="1"/>
  <c r="S85" i="22"/>
  <c r="S117" i="22" s="1"/>
  <c r="T85" i="22"/>
  <c r="T117" i="22" s="1"/>
  <c r="E86" i="22"/>
  <c r="E118" i="22" s="1"/>
  <c r="F86" i="22"/>
  <c r="F118" i="22" s="1"/>
  <c r="G86" i="22"/>
  <c r="G118" i="22" s="1"/>
  <c r="H86" i="22"/>
  <c r="H118" i="22" s="1"/>
  <c r="I86" i="22"/>
  <c r="I118" i="22" s="1"/>
  <c r="J86" i="22"/>
  <c r="J118" i="22" s="1"/>
  <c r="K86" i="22"/>
  <c r="K118" i="22" s="1"/>
  <c r="L86" i="22"/>
  <c r="L118" i="22" s="1"/>
  <c r="M86" i="22"/>
  <c r="M118" i="22" s="1"/>
  <c r="N86" i="22"/>
  <c r="N118" i="22" s="1"/>
  <c r="O86" i="22"/>
  <c r="O118" i="22" s="1"/>
  <c r="P86" i="22"/>
  <c r="P118" i="22" s="1"/>
  <c r="Q86" i="22"/>
  <c r="Q118" i="22" s="1"/>
  <c r="R86" i="22"/>
  <c r="R118" i="22" s="1"/>
  <c r="S86" i="22"/>
  <c r="S118" i="22" s="1"/>
  <c r="T86" i="22"/>
  <c r="T118" i="22" s="1"/>
  <c r="E87" i="22"/>
  <c r="E119" i="22" s="1"/>
  <c r="F87" i="22"/>
  <c r="F119" i="22" s="1"/>
  <c r="G87" i="22"/>
  <c r="G119" i="22" s="1"/>
  <c r="H87" i="22"/>
  <c r="H119" i="22" s="1"/>
  <c r="I87" i="22"/>
  <c r="I119" i="22" s="1"/>
  <c r="J87" i="22"/>
  <c r="J119" i="22" s="1"/>
  <c r="K87" i="22"/>
  <c r="K119" i="22" s="1"/>
  <c r="L87" i="22"/>
  <c r="L119" i="22" s="1"/>
  <c r="M87" i="22"/>
  <c r="M119" i="22" s="1"/>
  <c r="N87" i="22"/>
  <c r="N119" i="22" s="1"/>
  <c r="O87" i="22"/>
  <c r="O119" i="22" s="1"/>
  <c r="P87" i="22"/>
  <c r="P119" i="22" s="1"/>
  <c r="Q87" i="22"/>
  <c r="Q119" i="22" s="1"/>
  <c r="R87" i="22"/>
  <c r="R119" i="22" s="1"/>
  <c r="S87" i="22"/>
  <c r="S119" i="22" s="1"/>
  <c r="T87" i="22"/>
  <c r="T119" i="22" s="1"/>
  <c r="E88" i="22"/>
  <c r="E120" i="22" s="1"/>
  <c r="F88" i="22"/>
  <c r="F120" i="22" s="1"/>
  <c r="G88" i="22"/>
  <c r="G120" i="22" s="1"/>
  <c r="H88" i="22"/>
  <c r="H120" i="22" s="1"/>
  <c r="I88" i="22"/>
  <c r="I120" i="22" s="1"/>
  <c r="J88" i="22"/>
  <c r="J120" i="22" s="1"/>
  <c r="K88" i="22"/>
  <c r="K120" i="22" s="1"/>
  <c r="L88" i="22"/>
  <c r="L120" i="22" s="1"/>
  <c r="M88" i="22"/>
  <c r="M120" i="22" s="1"/>
  <c r="N88" i="22"/>
  <c r="N120" i="22" s="1"/>
  <c r="O88" i="22"/>
  <c r="O120" i="22" s="1"/>
  <c r="P88" i="22"/>
  <c r="P120" i="22" s="1"/>
  <c r="Q88" i="22"/>
  <c r="Q120" i="22" s="1"/>
  <c r="R88" i="22"/>
  <c r="R120" i="22" s="1"/>
  <c r="S88" i="22"/>
  <c r="S120" i="22" s="1"/>
  <c r="T88" i="22"/>
  <c r="T120" i="22" s="1"/>
  <c r="E89" i="22"/>
  <c r="E121" i="22" s="1"/>
  <c r="F89" i="22"/>
  <c r="F121" i="22" s="1"/>
  <c r="G89" i="22"/>
  <c r="G121" i="22" s="1"/>
  <c r="H89" i="22"/>
  <c r="H121" i="22" s="1"/>
  <c r="I89" i="22"/>
  <c r="I121" i="22" s="1"/>
  <c r="J89" i="22"/>
  <c r="J121" i="22" s="1"/>
  <c r="K89" i="22"/>
  <c r="K121" i="22" s="1"/>
  <c r="L89" i="22"/>
  <c r="L121" i="22" s="1"/>
  <c r="M89" i="22"/>
  <c r="M121" i="22" s="1"/>
  <c r="N89" i="22"/>
  <c r="N121" i="22" s="1"/>
  <c r="O89" i="22"/>
  <c r="O121" i="22" s="1"/>
  <c r="P89" i="22"/>
  <c r="P121" i="22" s="1"/>
  <c r="Q89" i="22"/>
  <c r="Q121" i="22" s="1"/>
  <c r="R89" i="22"/>
  <c r="R121" i="22" s="1"/>
  <c r="S89" i="22"/>
  <c r="S121" i="22" s="1"/>
  <c r="T89" i="22"/>
  <c r="T121" i="22" s="1"/>
  <c r="E90" i="22"/>
  <c r="E122" i="22" s="1"/>
  <c r="F90" i="22"/>
  <c r="F122" i="22" s="1"/>
  <c r="G90" i="22"/>
  <c r="G122" i="22" s="1"/>
  <c r="H90" i="22"/>
  <c r="H122" i="22" s="1"/>
  <c r="I90" i="22"/>
  <c r="I122" i="22" s="1"/>
  <c r="J90" i="22"/>
  <c r="J122" i="22" s="1"/>
  <c r="K90" i="22"/>
  <c r="K122" i="22" s="1"/>
  <c r="L90" i="22"/>
  <c r="L122" i="22" s="1"/>
  <c r="M90" i="22"/>
  <c r="M122" i="22" s="1"/>
  <c r="N90" i="22"/>
  <c r="N122" i="22" s="1"/>
  <c r="O90" i="22"/>
  <c r="O122" i="22" s="1"/>
  <c r="P90" i="22"/>
  <c r="P122" i="22" s="1"/>
  <c r="Q90" i="22"/>
  <c r="Q122" i="22" s="1"/>
  <c r="R90" i="22"/>
  <c r="R122" i="22" s="1"/>
  <c r="S90" i="22"/>
  <c r="S122" i="22" s="1"/>
  <c r="T90" i="22"/>
  <c r="T122" i="22" s="1"/>
  <c r="E91" i="22"/>
  <c r="E123" i="22" s="1"/>
  <c r="F91" i="22"/>
  <c r="F123" i="22" s="1"/>
  <c r="G91" i="22"/>
  <c r="G123" i="22" s="1"/>
  <c r="H91" i="22"/>
  <c r="H123" i="22" s="1"/>
  <c r="I91" i="22"/>
  <c r="I123" i="22" s="1"/>
  <c r="J91" i="22"/>
  <c r="J123" i="22" s="1"/>
  <c r="K91" i="22"/>
  <c r="K123" i="22" s="1"/>
  <c r="L91" i="22"/>
  <c r="L123" i="22" s="1"/>
  <c r="M91" i="22"/>
  <c r="M123" i="22" s="1"/>
  <c r="N91" i="22"/>
  <c r="N123" i="22" s="1"/>
  <c r="O91" i="22"/>
  <c r="O123" i="22" s="1"/>
  <c r="P91" i="22"/>
  <c r="P123" i="22" s="1"/>
  <c r="Q91" i="22"/>
  <c r="Q123" i="22" s="1"/>
  <c r="R91" i="22"/>
  <c r="R123" i="22" s="1"/>
  <c r="S91" i="22"/>
  <c r="S123" i="22" s="1"/>
  <c r="T91" i="22"/>
  <c r="T123" i="22" s="1"/>
  <c r="E92" i="22"/>
  <c r="E124" i="22" s="1"/>
  <c r="F92" i="22"/>
  <c r="F124" i="22" s="1"/>
  <c r="G92" i="22"/>
  <c r="G124" i="22" s="1"/>
  <c r="H92" i="22"/>
  <c r="H124" i="22" s="1"/>
  <c r="I92" i="22"/>
  <c r="I124" i="22" s="1"/>
  <c r="J92" i="22"/>
  <c r="J124" i="22" s="1"/>
  <c r="K92" i="22"/>
  <c r="K124" i="22" s="1"/>
  <c r="L92" i="22"/>
  <c r="L124" i="22" s="1"/>
  <c r="M92" i="22"/>
  <c r="M124" i="22" s="1"/>
  <c r="N92" i="22"/>
  <c r="N124" i="22" s="1"/>
  <c r="O92" i="22"/>
  <c r="O124" i="22" s="1"/>
  <c r="P92" i="22"/>
  <c r="P124" i="22" s="1"/>
  <c r="Q92" i="22"/>
  <c r="Q124" i="22" s="1"/>
  <c r="R92" i="22"/>
  <c r="R124" i="22" s="1"/>
  <c r="S92" i="22"/>
  <c r="S124" i="22" s="1"/>
  <c r="T92" i="22"/>
  <c r="T124" i="22" s="1"/>
  <c r="E93" i="22"/>
  <c r="E125" i="22" s="1"/>
  <c r="F93" i="22"/>
  <c r="F125" i="22" s="1"/>
  <c r="G93" i="22"/>
  <c r="G125" i="22" s="1"/>
  <c r="H93" i="22"/>
  <c r="H125" i="22" s="1"/>
  <c r="I93" i="22"/>
  <c r="I125" i="22" s="1"/>
  <c r="J93" i="22"/>
  <c r="J125" i="22" s="1"/>
  <c r="K93" i="22"/>
  <c r="K125" i="22" s="1"/>
  <c r="L93" i="22"/>
  <c r="L125" i="22" s="1"/>
  <c r="M93" i="22"/>
  <c r="M125" i="22" s="1"/>
  <c r="N93" i="22"/>
  <c r="N125" i="22" s="1"/>
  <c r="O93" i="22"/>
  <c r="O125" i="22" s="1"/>
  <c r="P93" i="22"/>
  <c r="P125" i="22" s="1"/>
  <c r="Q93" i="22"/>
  <c r="Q125" i="22" s="1"/>
  <c r="R93" i="22"/>
  <c r="R125" i="22" s="1"/>
  <c r="S93" i="22"/>
  <c r="S125" i="22" s="1"/>
  <c r="T93" i="22"/>
  <c r="T125" i="22" s="1"/>
  <c r="E94" i="22"/>
  <c r="E126" i="22" s="1"/>
  <c r="F94" i="22"/>
  <c r="F126" i="22" s="1"/>
  <c r="G94" i="22"/>
  <c r="G126" i="22" s="1"/>
  <c r="H94" i="22"/>
  <c r="H126" i="22" s="1"/>
  <c r="I94" i="22"/>
  <c r="I126" i="22" s="1"/>
  <c r="J94" i="22"/>
  <c r="J126" i="22" s="1"/>
  <c r="K94" i="22"/>
  <c r="K126" i="22" s="1"/>
  <c r="L94" i="22"/>
  <c r="L126" i="22" s="1"/>
  <c r="M94" i="22"/>
  <c r="M126" i="22" s="1"/>
  <c r="N94" i="22"/>
  <c r="N126" i="22" s="1"/>
  <c r="O94" i="22"/>
  <c r="O126" i="22" s="1"/>
  <c r="P94" i="22"/>
  <c r="P126" i="22" s="1"/>
  <c r="Q94" i="22"/>
  <c r="Q126" i="22" s="1"/>
  <c r="R94" i="22"/>
  <c r="R126" i="22" s="1"/>
  <c r="S94" i="22"/>
  <c r="S126" i="22" s="1"/>
  <c r="T94" i="22"/>
  <c r="T126" i="22" s="1"/>
  <c r="E95" i="22"/>
  <c r="F95" i="22"/>
  <c r="G95" i="22"/>
  <c r="H95" i="22"/>
  <c r="I95" i="22"/>
  <c r="J95" i="22"/>
  <c r="K95" i="22"/>
  <c r="L95" i="22"/>
  <c r="M95" i="22"/>
  <c r="N95" i="22"/>
  <c r="O95" i="22"/>
  <c r="P95" i="22"/>
  <c r="Q95" i="22"/>
  <c r="R95" i="22"/>
  <c r="S95" i="22"/>
  <c r="T95" i="22"/>
  <c r="E96" i="22"/>
  <c r="F96" i="22"/>
  <c r="G96" i="22"/>
  <c r="H96" i="22"/>
  <c r="I96" i="22"/>
  <c r="J96" i="22"/>
  <c r="K96" i="22"/>
  <c r="L96" i="22"/>
  <c r="M96" i="22"/>
  <c r="N96" i="22"/>
  <c r="O96" i="22"/>
  <c r="P96" i="22"/>
  <c r="Q96" i="22"/>
  <c r="R96" i="22"/>
  <c r="S96" i="22"/>
  <c r="T96" i="22"/>
  <c r="E97" i="22"/>
  <c r="F97" i="22"/>
  <c r="G97" i="22"/>
  <c r="H97" i="22"/>
  <c r="I97" i="22"/>
  <c r="J97" i="22"/>
  <c r="K97" i="22"/>
  <c r="L97" i="22"/>
  <c r="M97" i="22"/>
  <c r="N97" i="22"/>
  <c r="O97" i="22"/>
  <c r="P97" i="22"/>
  <c r="Q97" i="22"/>
  <c r="R97" i="22"/>
  <c r="S97" i="22"/>
  <c r="T97" i="22"/>
  <c r="E98" i="22"/>
  <c r="F98" i="22"/>
  <c r="G98" i="22"/>
  <c r="H98" i="22"/>
  <c r="I98" i="22"/>
  <c r="J98" i="22"/>
  <c r="K98" i="22"/>
  <c r="L98" i="22"/>
  <c r="M98" i="22"/>
  <c r="N98" i="22"/>
  <c r="O98" i="22"/>
  <c r="P98" i="22"/>
  <c r="Q98" i="22"/>
  <c r="R98" i="22"/>
  <c r="S98" i="22"/>
  <c r="T98" i="22"/>
  <c r="E99" i="22"/>
  <c r="F99" i="22"/>
  <c r="G99" i="22"/>
  <c r="H99" i="22"/>
  <c r="I99" i="22"/>
  <c r="J99" i="22"/>
  <c r="K99" i="22"/>
  <c r="L99" i="22"/>
  <c r="M99" i="22"/>
  <c r="N99" i="22"/>
  <c r="O99" i="22"/>
  <c r="P99" i="22"/>
  <c r="Q99" i="22"/>
  <c r="R99" i="22"/>
  <c r="S99" i="22"/>
  <c r="T99" i="22"/>
  <c r="E100" i="22"/>
  <c r="F100" i="22"/>
  <c r="G100" i="22"/>
  <c r="H100" i="22"/>
  <c r="I100" i="22"/>
  <c r="J100" i="22"/>
  <c r="K100" i="22"/>
  <c r="L100" i="22"/>
  <c r="M100" i="22"/>
  <c r="N100" i="22"/>
  <c r="O100" i="22"/>
  <c r="P100" i="22"/>
  <c r="Q100" i="22"/>
  <c r="R100" i="22"/>
  <c r="S100" i="22"/>
  <c r="T100" i="22"/>
  <c r="E101" i="22"/>
  <c r="F101" i="22"/>
  <c r="G101" i="22"/>
  <c r="H101" i="22"/>
  <c r="I101" i="22"/>
  <c r="J101" i="22"/>
  <c r="K101" i="22"/>
  <c r="L101" i="22"/>
  <c r="M101" i="22"/>
  <c r="N101" i="22"/>
  <c r="O101" i="22"/>
  <c r="P101" i="22"/>
  <c r="Q101" i="22"/>
  <c r="R101" i="22"/>
  <c r="S101" i="22"/>
  <c r="T101" i="22"/>
  <c r="E102" i="22"/>
  <c r="F102" i="22"/>
  <c r="G102" i="22"/>
  <c r="H102" i="22"/>
  <c r="I102" i="22"/>
  <c r="J102" i="22"/>
  <c r="K102" i="22"/>
  <c r="L102" i="22"/>
  <c r="M102" i="22"/>
  <c r="N102" i="22"/>
  <c r="O102" i="22"/>
  <c r="P102" i="22"/>
  <c r="Q102" i="22"/>
  <c r="R102" i="22"/>
  <c r="S102" i="22"/>
  <c r="T102" i="22"/>
  <c r="E103" i="22"/>
  <c r="F103" i="22"/>
  <c r="G103" i="22"/>
  <c r="H103" i="22"/>
  <c r="I103" i="22"/>
  <c r="J103" i="22"/>
  <c r="K103" i="22"/>
  <c r="L103" i="22"/>
  <c r="M103" i="22"/>
  <c r="N103" i="22"/>
  <c r="O103" i="22"/>
  <c r="P103" i="22"/>
  <c r="Q103" i="22"/>
  <c r="R103" i="22"/>
  <c r="S103" i="22"/>
  <c r="T103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E112" i="22"/>
  <c r="F112" i="22"/>
  <c r="G112" i="22"/>
  <c r="H112" i="22"/>
  <c r="I112" i="22"/>
  <c r="J112" i="22"/>
  <c r="K112" i="22"/>
  <c r="L112" i="22"/>
  <c r="M112" i="22"/>
  <c r="N112" i="22"/>
  <c r="O112" i="22"/>
  <c r="P112" i="22"/>
  <c r="Q112" i="22"/>
  <c r="R112" i="22"/>
  <c r="S112" i="22"/>
  <c r="T112" i="22"/>
  <c r="E113" i="22"/>
  <c r="F113" i="22"/>
  <c r="G113" i="22"/>
  <c r="H113" i="22"/>
  <c r="I113" i="22"/>
  <c r="J113" i="22"/>
  <c r="K113" i="22"/>
  <c r="L113" i="22"/>
  <c r="M113" i="22"/>
  <c r="N113" i="22"/>
  <c r="O113" i="22"/>
  <c r="P113" i="22"/>
  <c r="Q113" i="22"/>
  <c r="R113" i="22"/>
  <c r="S113" i="22"/>
  <c r="T113" i="22"/>
  <c r="E114" i="22"/>
  <c r="F114" i="22"/>
  <c r="G114" i="22"/>
  <c r="H114" i="22"/>
  <c r="I114" i="22"/>
  <c r="J114" i="22"/>
  <c r="K114" i="22"/>
  <c r="L114" i="22"/>
  <c r="M114" i="22"/>
  <c r="N114" i="22"/>
  <c r="O114" i="22"/>
  <c r="P114" i="22"/>
  <c r="Q114" i="22"/>
  <c r="R114" i="22"/>
  <c r="S114" i="22"/>
  <c r="T114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E41" i="21"/>
  <c r="F41" i="21"/>
  <c r="F73" i="21" s="1"/>
  <c r="F105" i="21" s="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E73" i="21"/>
  <c r="E105" i="21" s="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T39" i="21"/>
  <c r="T71" i="21" s="1"/>
  <c r="T103" i="21" s="1"/>
  <c r="S39" i="21"/>
  <c r="S71" i="21" s="1"/>
  <c r="S103" i="21" s="1"/>
  <c r="R39" i="21"/>
  <c r="R71" i="21" s="1"/>
  <c r="R103" i="21" s="1"/>
  <c r="Q39" i="21"/>
  <c r="Q71" i="21" s="1"/>
  <c r="Q103" i="21" s="1"/>
  <c r="P39" i="21"/>
  <c r="P71" i="21" s="1"/>
  <c r="P103" i="21" s="1"/>
  <c r="O39" i="21"/>
  <c r="O71" i="21" s="1"/>
  <c r="O103" i="21" s="1"/>
  <c r="N39" i="21"/>
  <c r="N71" i="21" s="1"/>
  <c r="N103" i="21" s="1"/>
  <c r="M39" i="21"/>
  <c r="M71" i="21" s="1"/>
  <c r="M103" i="21" s="1"/>
  <c r="L39" i="21"/>
  <c r="L71" i="21" s="1"/>
  <c r="L103" i="21" s="1"/>
  <c r="K39" i="21"/>
  <c r="K71" i="21" s="1"/>
  <c r="K103" i="21" s="1"/>
  <c r="J39" i="21"/>
  <c r="J71" i="21" s="1"/>
  <c r="J103" i="21" s="1"/>
  <c r="I39" i="21"/>
  <c r="I71" i="21" s="1"/>
  <c r="I103" i="21" s="1"/>
  <c r="H39" i="21"/>
  <c r="H71" i="21" s="1"/>
  <c r="H103" i="21" s="1"/>
  <c r="G39" i="21"/>
  <c r="G71" i="21" s="1"/>
  <c r="G103" i="21" s="1"/>
  <c r="F39" i="21"/>
  <c r="F71" i="21" s="1"/>
  <c r="F103" i="21" s="1"/>
  <c r="E39" i="21"/>
  <c r="E71" i="21" s="1"/>
  <c r="E103" i="21" s="1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E46" i="19"/>
  <c r="F46" i="19"/>
  <c r="G46" i="19"/>
  <c r="H46" i="19"/>
  <c r="I46" i="19"/>
  <c r="J46" i="19"/>
  <c r="K46" i="19"/>
  <c r="L46" i="19"/>
  <c r="M46" i="19"/>
  <c r="M78" i="19" s="1"/>
  <c r="M110" i="19" s="1"/>
  <c r="N46" i="19"/>
  <c r="O46" i="19"/>
  <c r="P46" i="19"/>
  <c r="P78" i="19" s="1"/>
  <c r="P110" i="19" s="1"/>
  <c r="Q46" i="19"/>
  <c r="R46" i="19"/>
  <c r="S46" i="19"/>
  <c r="T46" i="19"/>
  <c r="E47" i="19"/>
  <c r="F47" i="19"/>
  <c r="G47" i="19"/>
  <c r="H47" i="19"/>
  <c r="I47" i="19"/>
  <c r="J47" i="19"/>
  <c r="K47" i="19"/>
  <c r="L47" i="19"/>
  <c r="M47" i="19"/>
  <c r="M79" i="19" s="1"/>
  <c r="M111" i="19" s="1"/>
  <c r="N47" i="19"/>
  <c r="O47" i="19"/>
  <c r="P47" i="19"/>
  <c r="P79" i="19" s="1"/>
  <c r="P111" i="19" s="1"/>
  <c r="Q47" i="19"/>
  <c r="R47" i="19"/>
  <c r="S47" i="19"/>
  <c r="S79" i="19" s="1"/>
  <c r="S111" i="19" s="1"/>
  <c r="T47" i="19"/>
  <c r="E48" i="19"/>
  <c r="F48" i="19"/>
  <c r="G48" i="19"/>
  <c r="H48" i="19"/>
  <c r="I48" i="19"/>
  <c r="J48" i="19"/>
  <c r="K48" i="19"/>
  <c r="L48" i="19"/>
  <c r="M48" i="19"/>
  <c r="M80" i="19" s="1"/>
  <c r="M112" i="19" s="1"/>
  <c r="N48" i="19"/>
  <c r="O48" i="19"/>
  <c r="P48" i="19"/>
  <c r="Q48" i="19"/>
  <c r="R48" i="19"/>
  <c r="S48" i="19"/>
  <c r="T48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R60" i="19"/>
  <c r="S60" i="19"/>
  <c r="T60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E78" i="19"/>
  <c r="F78" i="19"/>
  <c r="G78" i="19"/>
  <c r="H78" i="19"/>
  <c r="I78" i="19"/>
  <c r="J78" i="19"/>
  <c r="K78" i="19"/>
  <c r="L78" i="19"/>
  <c r="N78" i="19"/>
  <c r="O78" i="19"/>
  <c r="Q78" i="19"/>
  <c r="R78" i="19"/>
  <c r="S78" i="19"/>
  <c r="S110" i="19" s="1"/>
  <c r="T78" i="19"/>
  <c r="E79" i="19"/>
  <c r="E111" i="19" s="1"/>
  <c r="F79" i="19"/>
  <c r="G79" i="19"/>
  <c r="H79" i="19"/>
  <c r="I79" i="19"/>
  <c r="J79" i="19"/>
  <c r="K79" i="19"/>
  <c r="L79" i="19"/>
  <c r="N79" i="19"/>
  <c r="O79" i="19"/>
  <c r="Q79" i="19"/>
  <c r="R79" i="19"/>
  <c r="T79" i="19"/>
  <c r="E80" i="19"/>
  <c r="F80" i="19"/>
  <c r="G80" i="19"/>
  <c r="H80" i="19"/>
  <c r="I80" i="19"/>
  <c r="J80" i="19"/>
  <c r="K80" i="19"/>
  <c r="L80" i="19"/>
  <c r="N80" i="19"/>
  <c r="O80" i="19"/>
  <c r="P80" i="19"/>
  <c r="Q80" i="19"/>
  <c r="R80" i="19"/>
  <c r="S80" i="19"/>
  <c r="T80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E83" i="19"/>
  <c r="F83" i="19"/>
  <c r="G83" i="19"/>
  <c r="H83" i="19"/>
  <c r="I83" i="19"/>
  <c r="J83" i="19"/>
  <c r="K83" i="19"/>
  <c r="L83" i="19"/>
  <c r="M83" i="19"/>
  <c r="N83" i="19"/>
  <c r="O83" i="19"/>
  <c r="P83" i="19"/>
  <c r="Q83" i="19"/>
  <c r="R83" i="19"/>
  <c r="S83" i="19"/>
  <c r="T83" i="19"/>
  <c r="E84" i="19"/>
  <c r="F84" i="19"/>
  <c r="G84" i="19"/>
  <c r="H84" i="19"/>
  <c r="I84" i="19"/>
  <c r="J84" i="19"/>
  <c r="K84" i="19"/>
  <c r="L84" i="19"/>
  <c r="M84" i="19"/>
  <c r="N84" i="19"/>
  <c r="O84" i="19"/>
  <c r="P84" i="19"/>
  <c r="Q84" i="19"/>
  <c r="R84" i="19"/>
  <c r="S84" i="19"/>
  <c r="T84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E88" i="19"/>
  <c r="F88" i="19"/>
  <c r="G88" i="19"/>
  <c r="H88" i="19"/>
  <c r="I88" i="19"/>
  <c r="J88" i="19"/>
  <c r="K88" i="19"/>
  <c r="L88" i="19"/>
  <c r="M88" i="19"/>
  <c r="N88" i="19"/>
  <c r="O88" i="19"/>
  <c r="P88" i="19"/>
  <c r="Q88" i="19"/>
  <c r="R88" i="19"/>
  <c r="S88" i="19"/>
  <c r="T88" i="19"/>
  <c r="E89" i="19"/>
  <c r="F89" i="19"/>
  <c r="G89" i="19"/>
  <c r="H89" i="19"/>
  <c r="I89" i="19"/>
  <c r="J89" i="19"/>
  <c r="K89" i="19"/>
  <c r="L89" i="19"/>
  <c r="M89" i="19"/>
  <c r="N89" i="19"/>
  <c r="O89" i="19"/>
  <c r="P89" i="19"/>
  <c r="Q89" i="19"/>
  <c r="R89" i="19"/>
  <c r="S89" i="19"/>
  <c r="T89" i="19"/>
  <c r="E90" i="19"/>
  <c r="F90" i="19"/>
  <c r="G90" i="19"/>
  <c r="H90" i="19"/>
  <c r="I90" i="19"/>
  <c r="J90" i="19"/>
  <c r="K90" i="19"/>
  <c r="L90" i="19"/>
  <c r="M90" i="19"/>
  <c r="N90" i="19"/>
  <c r="O90" i="19"/>
  <c r="P90" i="19"/>
  <c r="Q90" i="19"/>
  <c r="R90" i="19"/>
  <c r="S90" i="19"/>
  <c r="T90" i="19"/>
  <c r="E91" i="19"/>
  <c r="F91" i="19"/>
  <c r="G91" i="19"/>
  <c r="H91" i="19"/>
  <c r="I91" i="19"/>
  <c r="J91" i="19"/>
  <c r="K91" i="19"/>
  <c r="L91" i="19"/>
  <c r="M91" i="19"/>
  <c r="N91" i="19"/>
  <c r="O91" i="19"/>
  <c r="P91" i="19"/>
  <c r="Q91" i="19"/>
  <c r="R91" i="19"/>
  <c r="S91" i="19"/>
  <c r="T91" i="19"/>
  <c r="E92" i="19"/>
  <c r="F92" i="19"/>
  <c r="G92" i="19"/>
  <c r="H92" i="19"/>
  <c r="I92" i="19"/>
  <c r="J92" i="19"/>
  <c r="K92" i="19"/>
  <c r="L92" i="19"/>
  <c r="M92" i="19"/>
  <c r="N92" i="19"/>
  <c r="O92" i="19"/>
  <c r="P92" i="19"/>
  <c r="Q92" i="19"/>
  <c r="R92" i="19"/>
  <c r="S92" i="19"/>
  <c r="T92" i="19"/>
  <c r="E93" i="19"/>
  <c r="F93" i="19"/>
  <c r="G93" i="19"/>
  <c r="H93" i="19"/>
  <c r="I93" i="19"/>
  <c r="J93" i="19"/>
  <c r="K93" i="19"/>
  <c r="L93" i="19"/>
  <c r="M93" i="19"/>
  <c r="N93" i="19"/>
  <c r="O93" i="19"/>
  <c r="P93" i="19"/>
  <c r="Q93" i="19"/>
  <c r="R93" i="19"/>
  <c r="S93" i="19"/>
  <c r="T93" i="19"/>
  <c r="E94" i="19"/>
  <c r="F94" i="19"/>
  <c r="G94" i="19"/>
  <c r="H94" i="19"/>
  <c r="I94" i="19"/>
  <c r="J94" i="19"/>
  <c r="K94" i="19"/>
  <c r="L94" i="19"/>
  <c r="M94" i="19"/>
  <c r="N94" i="19"/>
  <c r="O94" i="19"/>
  <c r="P94" i="19"/>
  <c r="Q94" i="19"/>
  <c r="R94" i="19"/>
  <c r="S94" i="19"/>
  <c r="T94" i="19"/>
  <c r="E95" i="19"/>
  <c r="F95" i="19"/>
  <c r="G95" i="19"/>
  <c r="H95" i="19"/>
  <c r="I95" i="19"/>
  <c r="J95" i="19"/>
  <c r="K95" i="19"/>
  <c r="L95" i="19"/>
  <c r="M95" i="19"/>
  <c r="N95" i="19"/>
  <c r="O95" i="19"/>
  <c r="P95" i="19"/>
  <c r="Q95" i="19"/>
  <c r="R95" i="19"/>
  <c r="S95" i="19"/>
  <c r="T95" i="19"/>
  <c r="E96" i="19"/>
  <c r="F96" i="19"/>
  <c r="G96" i="19"/>
  <c r="H96" i="19"/>
  <c r="I96" i="19"/>
  <c r="J96" i="19"/>
  <c r="K96" i="19"/>
  <c r="L96" i="19"/>
  <c r="M96" i="19"/>
  <c r="N96" i="19"/>
  <c r="O96" i="19"/>
  <c r="P96" i="19"/>
  <c r="Q96" i="19"/>
  <c r="R96" i="19"/>
  <c r="S96" i="19"/>
  <c r="T96" i="19"/>
  <c r="E97" i="19"/>
  <c r="F97" i="19"/>
  <c r="G97" i="19"/>
  <c r="H97" i="19"/>
  <c r="I97" i="19"/>
  <c r="J97" i="19"/>
  <c r="K97" i="19"/>
  <c r="L97" i="19"/>
  <c r="M97" i="19"/>
  <c r="N97" i="19"/>
  <c r="O97" i="19"/>
  <c r="P97" i="19"/>
  <c r="Q97" i="19"/>
  <c r="R97" i="19"/>
  <c r="S97" i="19"/>
  <c r="T97" i="19"/>
  <c r="E98" i="19"/>
  <c r="F98" i="19"/>
  <c r="G98" i="19"/>
  <c r="H98" i="19"/>
  <c r="I98" i="19"/>
  <c r="J98" i="19"/>
  <c r="K98" i="19"/>
  <c r="L98" i="19"/>
  <c r="M98" i="19"/>
  <c r="N98" i="19"/>
  <c r="O98" i="19"/>
  <c r="P98" i="19"/>
  <c r="Q98" i="19"/>
  <c r="R98" i="19"/>
  <c r="S98" i="19"/>
  <c r="T98" i="19"/>
  <c r="E99" i="19"/>
  <c r="F99" i="19"/>
  <c r="G99" i="19"/>
  <c r="H99" i="19"/>
  <c r="I99" i="19"/>
  <c r="J99" i="19"/>
  <c r="K99" i="19"/>
  <c r="L99" i="19"/>
  <c r="M99" i="19"/>
  <c r="N99" i="19"/>
  <c r="O99" i="19"/>
  <c r="P99" i="19"/>
  <c r="Q99" i="19"/>
  <c r="R99" i="19"/>
  <c r="S99" i="19"/>
  <c r="T99" i="19"/>
  <c r="E100" i="19"/>
  <c r="F100" i="19"/>
  <c r="G100" i="19"/>
  <c r="H100" i="19"/>
  <c r="I100" i="19"/>
  <c r="J100" i="19"/>
  <c r="K100" i="19"/>
  <c r="L100" i="19"/>
  <c r="M100" i="19"/>
  <c r="N100" i="19"/>
  <c r="O100" i="19"/>
  <c r="P100" i="19"/>
  <c r="Q100" i="19"/>
  <c r="R100" i="19"/>
  <c r="S100" i="19"/>
  <c r="T100" i="19"/>
  <c r="E101" i="19"/>
  <c r="F101" i="19"/>
  <c r="G101" i="19"/>
  <c r="H101" i="19"/>
  <c r="I101" i="19"/>
  <c r="J101" i="19"/>
  <c r="K101" i="19"/>
  <c r="L101" i="19"/>
  <c r="M101" i="19"/>
  <c r="N101" i="19"/>
  <c r="O101" i="19"/>
  <c r="P101" i="19"/>
  <c r="Q101" i="19"/>
  <c r="R101" i="19"/>
  <c r="S101" i="19"/>
  <c r="T101" i="19"/>
  <c r="E102" i="19"/>
  <c r="F102" i="19"/>
  <c r="G102" i="19"/>
  <c r="H102" i="19"/>
  <c r="I102" i="19"/>
  <c r="J102" i="19"/>
  <c r="K102" i="19"/>
  <c r="L102" i="19"/>
  <c r="M102" i="19"/>
  <c r="N102" i="19"/>
  <c r="O102" i="19"/>
  <c r="P102" i="19"/>
  <c r="Q102" i="19"/>
  <c r="R102" i="19"/>
  <c r="S102" i="19"/>
  <c r="T102" i="19"/>
  <c r="E104" i="19"/>
  <c r="F104" i="19"/>
  <c r="G104" i="19"/>
  <c r="H104" i="19"/>
  <c r="I104" i="19"/>
  <c r="J104" i="19"/>
  <c r="K104" i="19"/>
  <c r="L104" i="19"/>
  <c r="M104" i="19"/>
  <c r="N104" i="19"/>
  <c r="O104" i="19"/>
  <c r="P104" i="19"/>
  <c r="Q104" i="19"/>
  <c r="R104" i="19"/>
  <c r="S104" i="19"/>
  <c r="T104" i="19"/>
  <c r="E105" i="19"/>
  <c r="F105" i="19"/>
  <c r="G105" i="19"/>
  <c r="H105" i="19"/>
  <c r="I105" i="19"/>
  <c r="J105" i="19"/>
  <c r="K105" i="19"/>
  <c r="L105" i="19"/>
  <c r="M105" i="19"/>
  <c r="N105" i="19"/>
  <c r="O105" i="19"/>
  <c r="P105" i="19"/>
  <c r="Q105" i="19"/>
  <c r="R105" i="19"/>
  <c r="S105" i="19"/>
  <c r="T105" i="19"/>
  <c r="E106" i="19"/>
  <c r="F106" i="19"/>
  <c r="G106" i="19"/>
  <c r="H106" i="19"/>
  <c r="I106" i="19"/>
  <c r="J106" i="19"/>
  <c r="K106" i="19"/>
  <c r="L106" i="19"/>
  <c r="M106" i="19"/>
  <c r="N106" i="19"/>
  <c r="O106" i="19"/>
  <c r="P106" i="19"/>
  <c r="Q106" i="19"/>
  <c r="R106" i="19"/>
  <c r="S106" i="19"/>
  <c r="T106" i="19"/>
  <c r="E107" i="19"/>
  <c r="F107" i="19"/>
  <c r="G107" i="19"/>
  <c r="H107" i="19"/>
  <c r="I107" i="19"/>
  <c r="J107" i="19"/>
  <c r="K107" i="19"/>
  <c r="L107" i="19"/>
  <c r="M107" i="19"/>
  <c r="N107" i="19"/>
  <c r="O107" i="19"/>
  <c r="P107" i="19"/>
  <c r="Q107" i="19"/>
  <c r="R107" i="19"/>
  <c r="S107" i="19"/>
  <c r="T107" i="19"/>
  <c r="E108" i="19"/>
  <c r="F108" i="19"/>
  <c r="G108" i="19"/>
  <c r="H108" i="19"/>
  <c r="I108" i="19"/>
  <c r="J108" i="19"/>
  <c r="K108" i="19"/>
  <c r="L108" i="19"/>
  <c r="M108" i="19"/>
  <c r="N108" i="19"/>
  <c r="O108" i="19"/>
  <c r="P108" i="19"/>
  <c r="Q108" i="19"/>
  <c r="R108" i="19"/>
  <c r="S108" i="19"/>
  <c r="T108" i="19"/>
  <c r="E109" i="19"/>
  <c r="F109" i="19"/>
  <c r="G109" i="19"/>
  <c r="H109" i="19"/>
  <c r="I109" i="19"/>
  <c r="J109" i="19"/>
  <c r="K109" i="19"/>
  <c r="L109" i="19"/>
  <c r="M109" i="19"/>
  <c r="N109" i="19"/>
  <c r="O109" i="19"/>
  <c r="P109" i="19"/>
  <c r="Q109" i="19"/>
  <c r="R109" i="19"/>
  <c r="S109" i="19"/>
  <c r="T109" i="19"/>
  <c r="E110" i="19"/>
  <c r="F110" i="19"/>
  <c r="G110" i="19"/>
  <c r="H110" i="19"/>
  <c r="I110" i="19"/>
  <c r="J110" i="19"/>
  <c r="K110" i="19"/>
  <c r="L110" i="19"/>
  <c r="N110" i="19"/>
  <c r="O110" i="19"/>
  <c r="Q110" i="19"/>
  <c r="R110" i="19"/>
  <c r="T110" i="19"/>
  <c r="F111" i="19"/>
  <c r="G111" i="19"/>
  <c r="H111" i="19"/>
  <c r="I111" i="19"/>
  <c r="J111" i="19"/>
  <c r="K111" i="19"/>
  <c r="L111" i="19"/>
  <c r="N111" i="19"/>
  <c r="O111" i="19"/>
  <c r="Q111" i="19"/>
  <c r="R111" i="19"/>
  <c r="T111" i="19"/>
  <c r="E112" i="19"/>
  <c r="F112" i="19"/>
  <c r="G112" i="19"/>
  <c r="H112" i="19"/>
  <c r="I112" i="19"/>
  <c r="J112" i="19"/>
  <c r="K112" i="19"/>
  <c r="L112" i="19"/>
  <c r="N112" i="19"/>
  <c r="O112" i="19"/>
  <c r="P112" i="19"/>
  <c r="Q112" i="19"/>
  <c r="R112" i="19"/>
  <c r="S112" i="19"/>
  <c r="T112" i="19"/>
  <c r="E113" i="19"/>
  <c r="F113" i="19"/>
  <c r="G113" i="19"/>
  <c r="H113" i="19"/>
  <c r="I113" i="19"/>
  <c r="J113" i="19"/>
  <c r="K113" i="19"/>
  <c r="L113" i="19"/>
  <c r="M113" i="19"/>
  <c r="N113" i="19"/>
  <c r="O113" i="19"/>
  <c r="P113" i="19"/>
  <c r="Q113" i="19"/>
  <c r="R113" i="19"/>
  <c r="S113" i="19"/>
  <c r="T113" i="19"/>
  <c r="E114" i="19"/>
  <c r="F114" i="19"/>
  <c r="G114" i="19"/>
  <c r="H114" i="19"/>
  <c r="I114" i="19"/>
  <c r="J114" i="19"/>
  <c r="K114" i="19"/>
  <c r="L114" i="19"/>
  <c r="M114" i="19"/>
  <c r="N114" i="19"/>
  <c r="O114" i="19"/>
  <c r="P114" i="19"/>
  <c r="Q114" i="19"/>
  <c r="R114" i="19"/>
  <c r="S114" i="19"/>
  <c r="T114" i="19"/>
  <c r="E115" i="19"/>
  <c r="F115" i="19"/>
  <c r="G115" i="19"/>
  <c r="H115" i="19"/>
  <c r="I115" i="19"/>
  <c r="J115" i="19"/>
  <c r="K115" i="19"/>
  <c r="L115" i="19"/>
  <c r="M115" i="19"/>
  <c r="N115" i="19"/>
  <c r="O115" i="19"/>
  <c r="P115" i="19"/>
  <c r="Q115" i="19"/>
  <c r="R115" i="19"/>
  <c r="S115" i="19"/>
  <c r="T115" i="19"/>
  <c r="E116" i="19"/>
  <c r="F116" i="19"/>
  <c r="G116" i="19"/>
  <c r="H116" i="19"/>
  <c r="I116" i="19"/>
  <c r="J116" i="19"/>
  <c r="K116" i="19"/>
  <c r="L116" i="19"/>
  <c r="M116" i="19"/>
  <c r="N116" i="19"/>
  <c r="O116" i="19"/>
  <c r="P116" i="19"/>
  <c r="Q116" i="19"/>
  <c r="R116" i="19"/>
  <c r="S116" i="19"/>
  <c r="T116" i="19"/>
  <c r="E117" i="19"/>
  <c r="F117" i="19"/>
  <c r="G117" i="19"/>
  <c r="H117" i="19"/>
  <c r="I117" i="19"/>
  <c r="J117" i="19"/>
  <c r="K117" i="19"/>
  <c r="L117" i="19"/>
  <c r="M117" i="19"/>
  <c r="N117" i="19"/>
  <c r="O117" i="19"/>
  <c r="P117" i="19"/>
  <c r="Q117" i="19"/>
  <c r="R117" i="19"/>
  <c r="S117" i="19"/>
  <c r="T117" i="19"/>
  <c r="E118" i="19"/>
  <c r="F118" i="19"/>
  <c r="G118" i="19"/>
  <c r="H118" i="19"/>
  <c r="I118" i="19"/>
  <c r="J118" i="19"/>
  <c r="K118" i="19"/>
  <c r="L118" i="19"/>
  <c r="M118" i="19"/>
  <c r="N118" i="19"/>
  <c r="O118" i="19"/>
  <c r="P118" i="19"/>
  <c r="Q118" i="19"/>
  <c r="R118" i="19"/>
  <c r="S118" i="19"/>
  <c r="T118" i="19"/>
  <c r="E119" i="19"/>
  <c r="F119" i="19"/>
  <c r="G119" i="19"/>
  <c r="H119" i="19"/>
  <c r="I119" i="19"/>
  <c r="J119" i="19"/>
  <c r="K119" i="19"/>
  <c r="L119" i="19"/>
  <c r="M119" i="19"/>
  <c r="N119" i="19"/>
  <c r="O119" i="19"/>
  <c r="P119" i="19"/>
  <c r="Q119" i="19"/>
  <c r="R119" i="19"/>
  <c r="S119" i="19"/>
  <c r="T119" i="19"/>
  <c r="E120" i="19"/>
  <c r="F120" i="19"/>
  <c r="G120" i="19"/>
  <c r="H120" i="19"/>
  <c r="I120" i="19"/>
  <c r="J120" i="19"/>
  <c r="K120" i="19"/>
  <c r="L120" i="19"/>
  <c r="M120" i="19"/>
  <c r="N120" i="19"/>
  <c r="O120" i="19"/>
  <c r="P120" i="19"/>
  <c r="Q120" i="19"/>
  <c r="R120" i="19"/>
  <c r="S120" i="19"/>
  <c r="T120" i="19"/>
  <c r="E121" i="19"/>
  <c r="F121" i="19"/>
  <c r="G121" i="19"/>
  <c r="H121" i="19"/>
  <c r="I121" i="19"/>
  <c r="J121" i="19"/>
  <c r="K121" i="19"/>
  <c r="L121" i="19"/>
  <c r="M121" i="19"/>
  <c r="N121" i="19"/>
  <c r="O121" i="19"/>
  <c r="P121" i="19"/>
  <c r="Q121" i="19"/>
  <c r="R121" i="19"/>
  <c r="S121" i="19"/>
  <c r="T121" i="19"/>
  <c r="E122" i="19"/>
  <c r="F122" i="19"/>
  <c r="G122" i="19"/>
  <c r="H122" i="19"/>
  <c r="I122" i="19"/>
  <c r="J122" i="19"/>
  <c r="K122" i="19"/>
  <c r="L122" i="19"/>
  <c r="M122" i="19"/>
  <c r="N122" i="19"/>
  <c r="O122" i="19"/>
  <c r="P122" i="19"/>
  <c r="Q122" i="19"/>
  <c r="R122" i="19"/>
  <c r="S122" i="19"/>
  <c r="T122" i="19"/>
  <c r="E123" i="19"/>
  <c r="F123" i="19"/>
  <c r="G123" i="19"/>
  <c r="H123" i="19"/>
  <c r="I123" i="19"/>
  <c r="J123" i="19"/>
  <c r="K123" i="19"/>
  <c r="L123" i="19"/>
  <c r="M123" i="19"/>
  <c r="N123" i="19"/>
  <c r="O123" i="19"/>
  <c r="P123" i="19"/>
  <c r="Q123" i="19"/>
  <c r="R123" i="19"/>
  <c r="S123" i="19"/>
  <c r="T123" i="19"/>
  <c r="E124" i="19"/>
  <c r="F124" i="19"/>
  <c r="G124" i="19"/>
  <c r="H124" i="19"/>
  <c r="I124" i="19"/>
  <c r="J124" i="19"/>
  <c r="K124" i="19"/>
  <c r="L124" i="19"/>
  <c r="M124" i="19"/>
  <c r="N124" i="19"/>
  <c r="O124" i="19"/>
  <c r="P124" i="19"/>
  <c r="Q124" i="19"/>
  <c r="R124" i="19"/>
  <c r="S124" i="19"/>
  <c r="T124" i="19"/>
  <c r="E125" i="19"/>
  <c r="F125" i="19"/>
  <c r="G125" i="19"/>
  <c r="H125" i="19"/>
  <c r="I125" i="19"/>
  <c r="J125" i="19"/>
  <c r="K125" i="19"/>
  <c r="L125" i="19"/>
  <c r="M125" i="19"/>
  <c r="N125" i="19"/>
  <c r="O125" i="19"/>
  <c r="P125" i="19"/>
  <c r="Q125" i="19"/>
  <c r="R125" i="19"/>
  <c r="S125" i="19"/>
  <c r="T125" i="19"/>
  <c r="E126" i="19"/>
  <c r="F126" i="19"/>
  <c r="G126" i="19"/>
  <c r="H126" i="19"/>
  <c r="I126" i="19"/>
  <c r="J126" i="19"/>
  <c r="K126" i="19"/>
  <c r="L126" i="19"/>
  <c r="M126" i="19"/>
  <c r="N126" i="19"/>
  <c r="O126" i="19"/>
  <c r="P126" i="19"/>
  <c r="Q126" i="19"/>
  <c r="R126" i="19"/>
  <c r="S126" i="19"/>
  <c r="T126" i="19"/>
  <c r="T39" i="19"/>
  <c r="T71" i="19" s="1"/>
  <c r="T103" i="19" s="1"/>
  <c r="S39" i="19"/>
  <c r="S71" i="19" s="1"/>
  <c r="S103" i="19" s="1"/>
  <c r="R39" i="19"/>
  <c r="R71" i="19" s="1"/>
  <c r="R103" i="19" s="1"/>
  <c r="Q39" i="19"/>
  <c r="Q71" i="19" s="1"/>
  <c r="Q103" i="19" s="1"/>
  <c r="P39" i="19"/>
  <c r="P71" i="19" s="1"/>
  <c r="P103" i="19" s="1"/>
  <c r="O39" i="19"/>
  <c r="O71" i="19" s="1"/>
  <c r="O103" i="19" s="1"/>
  <c r="N39" i="19"/>
  <c r="N71" i="19" s="1"/>
  <c r="N103" i="19" s="1"/>
  <c r="M39" i="19"/>
  <c r="M71" i="19" s="1"/>
  <c r="M103" i="19" s="1"/>
  <c r="L39" i="19"/>
  <c r="L71" i="19" s="1"/>
  <c r="L103" i="19" s="1"/>
  <c r="K39" i="19"/>
  <c r="K71" i="19" s="1"/>
  <c r="K103" i="19" s="1"/>
  <c r="J39" i="19"/>
  <c r="J71" i="19" s="1"/>
  <c r="J103" i="19" s="1"/>
  <c r="I39" i="19"/>
  <c r="I71" i="19" s="1"/>
  <c r="I103" i="19" s="1"/>
  <c r="H39" i="19"/>
  <c r="H71" i="19" s="1"/>
  <c r="H103" i="19" s="1"/>
  <c r="G39" i="19"/>
  <c r="G71" i="19" s="1"/>
  <c r="G103" i="19" s="1"/>
  <c r="F39" i="19"/>
  <c r="F71" i="19" s="1"/>
  <c r="F103" i="19" s="1"/>
  <c r="E39" i="19"/>
  <c r="E71" i="19" s="1"/>
  <c r="E103" i="19" s="1"/>
  <c r="E40" i="1"/>
  <c r="E72" i="1" s="1"/>
  <c r="E104" i="1" s="1"/>
  <c r="F40" i="1"/>
  <c r="F72" i="1" s="1"/>
  <c r="F104" i="1" s="1"/>
  <c r="G40" i="1"/>
  <c r="G72" i="1" s="1"/>
  <c r="G104" i="1" s="1"/>
  <c r="H40" i="1"/>
  <c r="H72" i="1" s="1"/>
  <c r="H104" i="1" s="1"/>
  <c r="I40" i="1"/>
  <c r="I72" i="1" s="1"/>
  <c r="I104" i="1" s="1"/>
  <c r="J40" i="1"/>
  <c r="J72" i="1" s="1"/>
  <c r="J104" i="1" s="1"/>
  <c r="K40" i="1"/>
  <c r="K72" i="1" s="1"/>
  <c r="K104" i="1" s="1"/>
  <c r="L40" i="1"/>
  <c r="L72" i="1" s="1"/>
  <c r="L104" i="1" s="1"/>
  <c r="M40" i="1"/>
  <c r="M72" i="1" s="1"/>
  <c r="M104" i="1" s="1"/>
  <c r="N40" i="1"/>
  <c r="N72" i="1" s="1"/>
  <c r="N104" i="1" s="1"/>
  <c r="O40" i="1"/>
  <c r="O72" i="1" s="1"/>
  <c r="O104" i="1" s="1"/>
  <c r="P40" i="1"/>
  <c r="P72" i="1" s="1"/>
  <c r="P104" i="1" s="1"/>
  <c r="Q40" i="1"/>
  <c r="Q72" i="1" s="1"/>
  <c r="Q104" i="1" s="1"/>
  <c r="R40" i="1"/>
  <c r="R72" i="1" s="1"/>
  <c r="R104" i="1" s="1"/>
  <c r="S40" i="1"/>
  <c r="S72" i="1" s="1"/>
  <c r="S104" i="1" s="1"/>
  <c r="T40" i="1"/>
  <c r="T72" i="1" s="1"/>
  <c r="T104" i="1" s="1"/>
  <c r="E41" i="1"/>
  <c r="E73" i="1" s="1"/>
  <c r="E105" i="1" s="1"/>
  <c r="F41" i="1"/>
  <c r="F73" i="1" s="1"/>
  <c r="F105" i="1" s="1"/>
  <c r="G41" i="1"/>
  <c r="G73" i="1" s="1"/>
  <c r="G105" i="1" s="1"/>
  <c r="H41" i="1"/>
  <c r="H73" i="1" s="1"/>
  <c r="H105" i="1" s="1"/>
  <c r="I41" i="1"/>
  <c r="I73" i="1" s="1"/>
  <c r="I105" i="1" s="1"/>
  <c r="J41" i="1"/>
  <c r="J73" i="1" s="1"/>
  <c r="J105" i="1" s="1"/>
  <c r="K41" i="1"/>
  <c r="K73" i="1" s="1"/>
  <c r="K105" i="1" s="1"/>
  <c r="L41" i="1"/>
  <c r="L73" i="1" s="1"/>
  <c r="L105" i="1" s="1"/>
  <c r="M41" i="1"/>
  <c r="M73" i="1" s="1"/>
  <c r="M105" i="1" s="1"/>
  <c r="N41" i="1"/>
  <c r="N73" i="1" s="1"/>
  <c r="N105" i="1" s="1"/>
  <c r="O41" i="1"/>
  <c r="O73" i="1" s="1"/>
  <c r="O105" i="1" s="1"/>
  <c r="P41" i="1"/>
  <c r="P73" i="1" s="1"/>
  <c r="P105" i="1" s="1"/>
  <c r="Q41" i="1"/>
  <c r="Q73" i="1" s="1"/>
  <c r="Q105" i="1" s="1"/>
  <c r="R41" i="1"/>
  <c r="R73" i="1" s="1"/>
  <c r="R105" i="1" s="1"/>
  <c r="S41" i="1"/>
  <c r="S73" i="1" s="1"/>
  <c r="S105" i="1" s="1"/>
  <c r="T41" i="1"/>
  <c r="T73" i="1" s="1"/>
  <c r="T105" i="1" s="1"/>
  <c r="E42" i="1"/>
  <c r="E74" i="1" s="1"/>
  <c r="E106" i="1" s="1"/>
  <c r="F42" i="1"/>
  <c r="F74" i="1" s="1"/>
  <c r="F106" i="1" s="1"/>
  <c r="G42" i="1"/>
  <c r="G74" i="1" s="1"/>
  <c r="G106" i="1" s="1"/>
  <c r="H42" i="1"/>
  <c r="H74" i="1" s="1"/>
  <c r="H106" i="1" s="1"/>
  <c r="I42" i="1"/>
  <c r="I74" i="1" s="1"/>
  <c r="I106" i="1" s="1"/>
  <c r="J42" i="1"/>
  <c r="J74" i="1" s="1"/>
  <c r="J106" i="1" s="1"/>
  <c r="K42" i="1"/>
  <c r="K74" i="1" s="1"/>
  <c r="K106" i="1" s="1"/>
  <c r="L42" i="1"/>
  <c r="L74" i="1" s="1"/>
  <c r="L106" i="1" s="1"/>
  <c r="M42" i="1"/>
  <c r="M74" i="1" s="1"/>
  <c r="M106" i="1" s="1"/>
  <c r="N42" i="1"/>
  <c r="N74" i="1" s="1"/>
  <c r="N106" i="1" s="1"/>
  <c r="O42" i="1"/>
  <c r="O74" i="1" s="1"/>
  <c r="O106" i="1" s="1"/>
  <c r="P42" i="1"/>
  <c r="P74" i="1" s="1"/>
  <c r="P106" i="1" s="1"/>
  <c r="Q42" i="1"/>
  <c r="Q74" i="1" s="1"/>
  <c r="Q106" i="1" s="1"/>
  <c r="R42" i="1"/>
  <c r="R74" i="1" s="1"/>
  <c r="R106" i="1" s="1"/>
  <c r="S42" i="1"/>
  <c r="S74" i="1" s="1"/>
  <c r="S106" i="1" s="1"/>
  <c r="T42" i="1"/>
  <c r="T74" i="1" s="1"/>
  <c r="T106" i="1" s="1"/>
  <c r="E43" i="1"/>
  <c r="E75" i="1" s="1"/>
  <c r="E107" i="1" s="1"/>
  <c r="F43" i="1"/>
  <c r="F75" i="1" s="1"/>
  <c r="F107" i="1" s="1"/>
  <c r="G43" i="1"/>
  <c r="G75" i="1" s="1"/>
  <c r="G107" i="1" s="1"/>
  <c r="H43" i="1"/>
  <c r="H75" i="1" s="1"/>
  <c r="H107" i="1" s="1"/>
  <c r="I43" i="1"/>
  <c r="I75" i="1" s="1"/>
  <c r="I107" i="1" s="1"/>
  <c r="J43" i="1"/>
  <c r="J75" i="1" s="1"/>
  <c r="J107" i="1" s="1"/>
  <c r="K43" i="1"/>
  <c r="K75" i="1" s="1"/>
  <c r="K107" i="1" s="1"/>
  <c r="L43" i="1"/>
  <c r="L75" i="1" s="1"/>
  <c r="L107" i="1" s="1"/>
  <c r="M43" i="1"/>
  <c r="M75" i="1" s="1"/>
  <c r="M107" i="1" s="1"/>
  <c r="N43" i="1"/>
  <c r="N75" i="1" s="1"/>
  <c r="N107" i="1" s="1"/>
  <c r="O43" i="1"/>
  <c r="O75" i="1" s="1"/>
  <c r="O107" i="1" s="1"/>
  <c r="P43" i="1"/>
  <c r="P75" i="1" s="1"/>
  <c r="P107" i="1" s="1"/>
  <c r="Q43" i="1"/>
  <c r="Q75" i="1" s="1"/>
  <c r="Q107" i="1" s="1"/>
  <c r="R43" i="1"/>
  <c r="R75" i="1" s="1"/>
  <c r="R107" i="1" s="1"/>
  <c r="S43" i="1"/>
  <c r="S75" i="1" s="1"/>
  <c r="S107" i="1" s="1"/>
  <c r="T43" i="1"/>
  <c r="T75" i="1" s="1"/>
  <c r="T107" i="1" s="1"/>
  <c r="E44" i="1"/>
  <c r="E76" i="1" s="1"/>
  <c r="E108" i="1" s="1"/>
  <c r="F44" i="1"/>
  <c r="F76" i="1" s="1"/>
  <c r="F108" i="1" s="1"/>
  <c r="G44" i="1"/>
  <c r="G76" i="1" s="1"/>
  <c r="G108" i="1" s="1"/>
  <c r="H44" i="1"/>
  <c r="H76" i="1" s="1"/>
  <c r="H108" i="1" s="1"/>
  <c r="I44" i="1"/>
  <c r="I76" i="1" s="1"/>
  <c r="I108" i="1" s="1"/>
  <c r="J44" i="1"/>
  <c r="J76" i="1" s="1"/>
  <c r="J108" i="1" s="1"/>
  <c r="K44" i="1"/>
  <c r="K76" i="1" s="1"/>
  <c r="K108" i="1" s="1"/>
  <c r="L44" i="1"/>
  <c r="L76" i="1" s="1"/>
  <c r="L108" i="1" s="1"/>
  <c r="M44" i="1"/>
  <c r="M76" i="1" s="1"/>
  <c r="M108" i="1" s="1"/>
  <c r="N44" i="1"/>
  <c r="N76" i="1" s="1"/>
  <c r="N108" i="1" s="1"/>
  <c r="O44" i="1"/>
  <c r="O76" i="1" s="1"/>
  <c r="O108" i="1" s="1"/>
  <c r="P44" i="1"/>
  <c r="P76" i="1" s="1"/>
  <c r="P108" i="1" s="1"/>
  <c r="Q44" i="1"/>
  <c r="Q76" i="1" s="1"/>
  <c r="Q108" i="1" s="1"/>
  <c r="R44" i="1"/>
  <c r="R76" i="1" s="1"/>
  <c r="R108" i="1" s="1"/>
  <c r="S44" i="1"/>
  <c r="S76" i="1" s="1"/>
  <c r="S108" i="1" s="1"/>
  <c r="T44" i="1"/>
  <c r="T76" i="1" s="1"/>
  <c r="T108" i="1" s="1"/>
  <c r="E45" i="1"/>
  <c r="E77" i="1" s="1"/>
  <c r="E109" i="1" s="1"/>
  <c r="F45" i="1"/>
  <c r="F77" i="1" s="1"/>
  <c r="F109" i="1" s="1"/>
  <c r="G45" i="1"/>
  <c r="G77" i="1" s="1"/>
  <c r="G109" i="1" s="1"/>
  <c r="H45" i="1"/>
  <c r="H77" i="1" s="1"/>
  <c r="H109" i="1" s="1"/>
  <c r="I45" i="1"/>
  <c r="I77" i="1" s="1"/>
  <c r="I109" i="1" s="1"/>
  <c r="J45" i="1"/>
  <c r="J77" i="1" s="1"/>
  <c r="J109" i="1" s="1"/>
  <c r="K45" i="1"/>
  <c r="K77" i="1" s="1"/>
  <c r="K109" i="1" s="1"/>
  <c r="L45" i="1"/>
  <c r="L77" i="1" s="1"/>
  <c r="L109" i="1" s="1"/>
  <c r="M45" i="1"/>
  <c r="M77" i="1" s="1"/>
  <c r="M109" i="1" s="1"/>
  <c r="N45" i="1"/>
  <c r="N77" i="1" s="1"/>
  <c r="N109" i="1" s="1"/>
  <c r="O45" i="1"/>
  <c r="O77" i="1" s="1"/>
  <c r="O109" i="1" s="1"/>
  <c r="P45" i="1"/>
  <c r="P77" i="1" s="1"/>
  <c r="P109" i="1" s="1"/>
  <c r="Q45" i="1"/>
  <c r="Q77" i="1" s="1"/>
  <c r="Q109" i="1" s="1"/>
  <c r="R45" i="1"/>
  <c r="R77" i="1" s="1"/>
  <c r="R109" i="1" s="1"/>
  <c r="S45" i="1"/>
  <c r="S77" i="1" s="1"/>
  <c r="S109" i="1" s="1"/>
  <c r="T45" i="1"/>
  <c r="T77" i="1" s="1"/>
  <c r="T109" i="1" s="1"/>
  <c r="E46" i="1"/>
  <c r="E78" i="1" s="1"/>
  <c r="E110" i="1" s="1"/>
  <c r="F46" i="1"/>
  <c r="F78" i="1" s="1"/>
  <c r="F110" i="1" s="1"/>
  <c r="G46" i="1"/>
  <c r="G78" i="1" s="1"/>
  <c r="G110" i="1" s="1"/>
  <c r="H46" i="1"/>
  <c r="H78" i="1" s="1"/>
  <c r="H110" i="1" s="1"/>
  <c r="I46" i="1"/>
  <c r="I78" i="1" s="1"/>
  <c r="I110" i="1" s="1"/>
  <c r="J46" i="1"/>
  <c r="J78" i="1" s="1"/>
  <c r="J110" i="1" s="1"/>
  <c r="K46" i="1"/>
  <c r="K78" i="1" s="1"/>
  <c r="K110" i="1" s="1"/>
  <c r="L46" i="1"/>
  <c r="L78" i="1" s="1"/>
  <c r="L110" i="1" s="1"/>
  <c r="M46" i="1"/>
  <c r="M78" i="1" s="1"/>
  <c r="M110" i="1" s="1"/>
  <c r="N46" i="1"/>
  <c r="N78" i="1" s="1"/>
  <c r="N110" i="1" s="1"/>
  <c r="O46" i="1"/>
  <c r="O78" i="1" s="1"/>
  <c r="O110" i="1" s="1"/>
  <c r="P46" i="1"/>
  <c r="P78" i="1" s="1"/>
  <c r="P110" i="1" s="1"/>
  <c r="Q46" i="1"/>
  <c r="Q78" i="1" s="1"/>
  <c r="Q110" i="1" s="1"/>
  <c r="R46" i="1"/>
  <c r="R78" i="1" s="1"/>
  <c r="R110" i="1" s="1"/>
  <c r="S46" i="1"/>
  <c r="S78" i="1" s="1"/>
  <c r="S110" i="1" s="1"/>
  <c r="T46" i="1"/>
  <c r="T78" i="1" s="1"/>
  <c r="T110" i="1" s="1"/>
  <c r="E47" i="1"/>
  <c r="E79" i="1" s="1"/>
  <c r="E111" i="1" s="1"/>
  <c r="F47" i="1"/>
  <c r="F79" i="1" s="1"/>
  <c r="F111" i="1" s="1"/>
  <c r="G47" i="1"/>
  <c r="G79" i="1" s="1"/>
  <c r="G111" i="1" s="1"/>
  <c r="H47" i="1"/>
  <c r="H79" i="1" s="1"/>
  <c r="H111" i="1" s="1"/>
  <c r="I47" i="1"/>
  <c r="I79" i="1" s="1"/>
  <c r="I111" i="1" s="1"/>
  <c r="J47" i="1"/>
  <c r="J79" i="1" s="1"/>
  <c r="J111" i="1" s="1"/>
  <c r="K47" i="1"/>
  <c r="K79" i="1" s="1"/>
  <c r="K111" i="1" s="1"/>
  <c r="L47" i="1"/>
  <c r="L79" i="1" s="1"/>
  <c r="L111" i="1" s="1"/>
  <c r="M47" i="1"/>
  <c r="M79" i="1" s="1"/>
  <c r="M111" i="1" s="1"/>
  <c r="N47" i="1"/>
  <c r="N79" i="1" s="1"/>
  <c r="N111" i="1" s="1"/>
  <c r="O47" i="1"/>
  <c r="O79" i="1" s="1"/>
  <c r="O111" i="1" s="1"/>
  <c r="P47" i="1"/>
  <c r="P79" i="1" s="1"/>
  <c r="P111" i="1" s="1"/>
  <c r="Q47" i="1"/>
  <c r="Q79" i="1" s="1"/>
  <c r="Q111" i="1" s="1"/>
  <c r="R47" i="1"/>
  <c r="R79" i="1" s="1"/>
  <c r="R111" i="1" s="1"/>
  <c r="S47" i="1"/>
  <c r="S79" i="1" s="1"/>
  <c r="S111" i="1" s="1"/>
  <c r="T47" i="1"/>
  <c r="T79" i="1" s="1"/>
  <c r="T111" i="1" s="1"/>
  <c r="E48" i="1"/>
  <c r="E80" i="1" s="1"/>
  <c r="E112" i="1" s="1"/>
  <c r="F48" i="1"/>
  <c r="F80" i="1" s="1"/>
  <c r="F112" i="1" s="1"/>
  <c r="G48" i="1"/>
  <c r="G80" i="1" s="1"/>
  <c r="G112" i="1" s="1"/>
  <c r="H48" i="1"/>
  <c r="H80" i="1" s="1"/>
  <c r="H112" i="1" s="1"/>
  <c r="I48" i="1"/>
  <c r="I80" i="1" s="1"/>
  <c r="I112" i="1" s="1"/>
  <c r="J48" i="1"/>
  <c r="J80" i="1" s="1"/>
  <c r="J112" i="1" s="1"/>
  <c r="K48" i="1"/>
  <c r="K80" i="1" s="1"/>
  <c r="K112" i="1" s="1"/>
  <c r="L48" i="1"/>
  <c r="L80" i="1" s="1"/>
  <c r="L112" i="1" s="1"/>
  <c r="M48" i="1"/>
  <c r="M80" i="1" s="1"/>
  <c r="M112" i="1" s="1"/>
  <c r="N48" i="1"/>
  <c r="N80" i="1" s="1"/>
  <c r="N112" i="1" s="1"/>
  <c r="O48" i="1"/>
  <c r="O80" i="1" s="1"/>
  <c r="O112" i="1" s="1"/>
  <c r="P48" i="1"/>
  <c r="P80" i="1" s="1"/>
  <c r="P112" i="1" s="1"/>
  <c r="Q48" i="1"/>
  <c r="Q80" i="1" s="1"/>
  <c r="Q112" i="1" s="1"/>
  <c r="R48" i="1"/>
  <c r="R80" i="1" s="1"/>
  <c r="R112" i="1" s="1"/>
  <c r="S48" i="1"/>
  <c r="S80" i="1" s="1"/>
  <c r="S112" i="1" s="1"/>
  <c r="T48" i="1"/>
  <c r="T80" i="1" s="1"/>
  <c r="T112" i="1" s="1"/>
  <c r="E49" i="1"/>
  <c r="E81" i="1" s="1"/>
  <c r="E113" i="1" s="1"/>
  <c r="F49" i="1"/>
  <c r="F81" i="1" s="1"/>
  <c r="F113" i="1" s="1"/>
  <c r="G49" i="1"/>
  <c r="G81" i="1" s="1"/>
  <c r="G113" i="1" s="1"/>
  <c r="H49" i="1"/>
  <c r="H81" i="1" s="1"/>
  <c r="H113" i="1" s="1"/>
  <c r="I49" i="1"/>
  <c r="I81" i="1" s="1"/>
  <c r="I113" i="1" s="1"/>
  <c r="J49" i="1"/>
  <c r="J81" i="1" s="1"/>
  <c r="J113" i="1" s="1"/>
  <c r="K49" i="1"/>
  <c r="K81" i="1" s="1"/>
  <c r="K113" i="1" s="1"/>
  <c r="L49" i="1"/>
  <c r="L81" i="1" s="1"/>
  <c r="L113" i="1" s="1"/>
  <c r="M49" i="1"/>
  <c r="M81" i="1" s="1"/>
  <c r="M113" i="1" s="1"/>
  <c r="N49" i="1"/>
  <c r="N81" i="1" s="1"/>
  <c r="N113" i="1" s="1"/>
  <c r="O49" i="1"/>
  <c r="O81" i="1" s="1"/>
  <c r="O113" i="1" s="1"/>
  <c r="P49" i="1"/>
  <c r="P81" i="1" s="1"/>
  <c r="P113" i="1" s="1"/>
  <c r="Q49" i="1"/>
  <c r="Q81" i="1" s="1"/>
  <c r="Q113" i="1" s="1"/>
  <c r="R49" i="1"/>
  <c r="R81" i="1" s="1"/>
  <c r="R113" i="1" s="1"/>
  <c r="S49" i="1"/>
  <c r="S81" i="1" s="1"/>
  <c r="S113" i="1" s="1"/>
  <c r="T49" i="1"/>
  <c r="T81" i="1" s="1"/>
  <c r="T113" i="1" s="1"/>
  <c r="E50" i="1"/>
  <c r="E82" i="1" s="1"/>
  <c r="E114" i="1" s="1"/>
  <c r="F50" i="1"/>
  <c r="F82" i="1" s="1"/>
  <c r="F114" i="1" s="1"/>
  <c r="G50" i="1"/>
  <c r="G82" i="1" s="1"/>
  <c r="G114" i="1" s="1"/>
  <c r="H50" i="1"/>
  <c r="H82" i="1" s="1"/>
  <c r="H114" i="1" s="1"/>
  <c r="I50" i="1"/>
  <c r="I82" i="1" s="1"/>
  <c r="I114" i="1" s="1"/>
  <c r="J50" i="1"/>
  <c r="J82" i="1" s="1"/>
  <c r="J114" i="1" s="1"/>
  <c r="K50" i="1"/>
  <c r="K82" i="1" s="1"/>
  <c r="K114" i="1" s="1"/>
  <c r="L50" i="1"/>
  <c r="L82" i="1" s="1"/>
  <c r="L114" i="1" s="1"/>
  <c r="M50" i="1"/>
  <c r="M82" i="1" s="1"/>
  <c r="M114" i="1" s="1"/>
  <c r="N50" i="1"/>
  <c r="N82" i="1" s="1"/>
  <c r="N114" i="1" s="1"/>
  <c r="O50" i="1"/>
  <c r="O82" i="1" s="1"/>
  <c r="O114" i="1" s="1"/>
  <c r="P50" i="1"/>
  <c r="P82" i="1" s="1"/>
  <c r="P114" i="1" s="1"/>
  <c r="Q50" i="1"/>
  <c r="Q82" i="1" s="1"/>
  <c r="Q114" i="1" s="1"/>
  <c r="R50" i="1"/>
  <c r="R82" i="1" s="1"/>
  <c r="R114" i="1" s="1"/>
  <c r="S50" i="1"/>
  <c r="S82" i="1" s="1"/>
  <c r="S114" i="1" s="1"/>
  <c r="T50" i="1"/>
  <c r="T82" i="1" s="1"/>
  <c r="T114" i="1" s="1"/>
  <c r="E51" i="1"/>
  <c r="E83" i="1" s="1"/>
  <c r="E115" i="1" s="1"/>
  <c r="F51" i="1"/>
  <c r="F83" i="1" s="1"/>
  <c r="F115" i="1" s="1"/>
  <c r="G51" i="1"/>
  <c r="G83" i="1" s="1"/>
  <c r="G115" i="1" s="1"/>
  <c r="H51" i="1"/>
  <c r="H83" i="1" s="1"/>
  <c r="H115" i="1" s="1"/>
  <c r="I51" i="1"/>
  <c r="I83" i="1" s="1"/>
  <c r="I115" i="1" s="1"/>
  <c r="J51" i="1"/>
  <c r="J83" i="1" s="1"/>
  <c r="J115" i="1" s="1"/>
  <c r="K51" i="1"/>
  <c r="K83" i="1" s="1"/>
  <c r="K115" i="1" s="1"/>
  <c r="L51" i="1"/>
  <c r="L83" i="1" s="1"/>
  <c r="L115" i="1" s="1"/>
  <c r="M51" i="1"/>
  <c r="M83" i="1" s="1"/>
  <c r="M115" i="1" s="1"/>
  <c r="N51" i="1"/>
  <c r="N83" i="1" s="1"/>
  <c r="N115" i="1" s="1"/>
  <c r="O51" i="1"/>
  <c r="O83" i="1" s="1"/>
  <c r="O115" i="1" s="1"/>
  <c r="P51" i="1"/>
  <c r="P83" i="1" s="1"/>
  <c r="P115" i="1" s="1"/>
  <c r="Q51" i="1"/>
  <c r="Q83" i="1" s="1"/>
  <c r="Q115" i="1" s="1"/>
  <c r="R51" i="1"/>
  <c r="R83" i="1" s="1"/>
  <c r="R115" i="1" s="1"/>
  <c r="S51" i="1"/>
  <c r="S83" i="1" s="1"/>
  <c r="S115" i="1" s="1"/>
  <c r="T51" i="1"/>
  <c r="T83" i="1" s="1"/>
  <c r="T115" i="1" s="1"/>
  <c r="E52" i="1"/>
  <c r="E84" i="1" s="1"/>
  <c r="E116" i="1" s="1"/>
  <c r="F52" i="1"/>
  <c r="F84" i="1" s="1"/>
  <c r="F116" i="1" s="1"/>
  <c r="G52" i="1"/>
  <c r="G84" i="1" s="1"/>
  <c r="G116" i="1" s="1"/>
  <c r="H52" i="1"/>
  <c r="H84" i="1" s="1"/>
  <c r="H116" i="1" s="1"/>
  <c r="I52" i="1"/>
  <c r="I84" i="1" s="1"/>
  <c r="I116" i="1" s="1"/>
  <c r="J52" i="1"/>
  <c r="J84" i="1" s="1"/>
  <c r="J116" i="1" s="1"/>
  <c r="K52" i="1"/>
  <c r="K84" i="1" s="1"/>
  <c r="K116" i="1" s="1"/>
  <c r="L52" i="1"/>
  <c r="L84" i="1" s="1"/>
  <c r="L116" i="1" s="1"/>
  <c r="M52" i="1"/>
  <c r="M84" i="1" s="1"/>
  <c r="M116" i="1" s="1"/>
  <c r="N52" i="1"/>
  <c r="N84" i="1" s="1"/>
  <c r="N116" i="1" s="1"/>
  <c r="O52" i="1"/>
  <c r="O84" i="1" s="1"/>
  <c r="O116" i="1" s="1"/>
  <c r="P52" i="1"/>
  <c r="P84" i="1" s="1"/>
  <c r="P116" i="1" s="1"/>
  <c r="Q52" i="1"/>
  <c r="Q84" i="1" s="1"/>
  <c r="Q116" i="1" s="1"/>
  <c r="R52" i="1"/>
  <c r="R84" i="1" s="1"/>
  <c r="R116" i="1" s="1"/>
  <c r="S52" i="1"/>
  <c r="S84" i="1" s="1"/>
  <c r="S116" i="1" s="1"/>
  <c r="T52" i="1"/>
  <c r="T84" i="1" s="1"/>
  <c r="T116" i="1" s="1"/>
  <c r="E53" i="1"/>
  <c r="E85" i="1" s="1"/>
  <c r="E117" i="1" s="1"/>
  <c r="F53" i="1"/>
  <c r="F85" i="1" s="1"/>
  <c r="F117" i="1" s="1"/>
  <c r="G53" i="1"/>
  <c r="G85" i="1" s="1"/>
  <c r="G117" i="1" s="1"/>
  <c r="H53" i="1"/>
  <c r="H85" i="1" s="1"/>
  <c r="H117" i="1" s="1"/>
  <c r="I53" i="1"/>
  <c r="I85" i="1" s="1"/>
  <c r="I117" i="1" s="1"/>
  <c r="J53" i="1"/>
  <c r="J85" i="1" s="1"/>
  <c r="J117" i="1" s="1"/>
  <c r="K53" i="1"/>
  <c r="K85" i="1" s="1"/>
  <c r="K117" i="1" s="1"/>
  <c r="L53" i="1"/>
  <c r="L85" i="1" s="1"/>
  <c r="L117" i="1" s="1"/>
  <c r="M53" i="1"/>
  <c r="M85" i="1" s="1"/>
  <c r="M117" i="1" s="1"/>
  <c r="N53" i="1"/>
  <c r="N85" i="1" s="1"/>
  <c r="N117" i="1" s="1"/>
  <c r="O53" i="1"/>
  <c r="O85" i="1" s="1"/>
  <c r="O117" i="1" s="1"/>
  <c r="P53" i="1"/>
  <c r="P85" i="1" s="1"/>
  <c r="P117" i="1" s="1"/>
  <c r="Q53" i="1"/>
  <c r="Q85" i="1" s="1"/>
  <c r="Q117" i="1" s="1"/>
  <c r="R53" i="1"/>
  <c r="R85" i="1" s="1"/>
  <c r="R117" i="1" s="1"/>
  <c r="S53" i="1"/>
  <c r="S85" i="1" s="1"/>
  <c r="S117" i="1" s="1"/>
  <c r="T53" i="1"/>
  <c r="T85" i="1" s="1"/>
  <c r="T117" i="1" s="1"/>
  <c r="E54" i="1"/>
  <c r="E86" i="1" s="1"/>
  <c r="E118" i="1" s="1"/>
  <c r="F54" i="1"/>
  <c r="F86" i="1" s="1"/>
  <c r="F118" i="1" s="1"/>
  <c r="G54" i="1"/>
  <c r="G86" i="1" s="1"/>
  <c r="G118" i="1" s="1"/>
  <c r="H54" i="1"/>
  <c r="H86" i="1" s="1"/>
  <c r="H118" i="1" s="1"/>
  <c r="I54" i="1"/>
  <c r="I86" i="1" s="1"/>
  <c r="I118" i="1" s="1"/>
  <c r="J54" i="1"/>
  <c r="J86" i="1" s="1"/>
  <c r="J118" i="1" s="1"/>
  <c r="K54" i="1"/>
  <c r="K86" i="1" s="1"/>
  <c r="K118" i="1" s="1"/>
  <c r="L54" i="1"/>
  <c r="L86" i="1" s="1"/>
  <c r="L118" i="1" s="1"/>
  <c r="M54" i="1"/>
  <c r="M86" i="1" s="1"/>
  <c r="M118" i="1" s="1"/>
  <c r="N54" i="1"/>
  <c r="N86" i="1" s="1"/>
  <c r="N118" i="1" s="1"/>
  <c r="O54" i="1"/>
  <c r="O86" i="1" s="1"/>
  <c r="O118" i="1" s="1"/>
  <c r="P54" i="1"/>
  <c r="P86" i="1" s="1"/>
  <c r="P118" i="1" s="1"/>
  <c r="Q54" i="1"/>
  <c r="Q86" i="1" s="1"/>
  <c r="Q118" i="1" s="1"/>
  <c r="R54" i="1"/>
  <c r="R86" i="1" s="1"/>
  <c r="R118" i="1" s="1"/>
  <c r="S54" i="1"/>
  <c r="S86" i="1" s="1"/>
  <c r="S118" i="1" s="1"/>
  <c r="T54" i="1"/>
  <c r="T86" i="1" s="1"/>
  <c r="T118" i="1" s="1"/>
  <c r="E55" i="1"/>
  <c r="E87" i="1" s="1"/>
  <c r="E119" i="1" s="1"/>
  <c r="F55" i="1"/>
  <c r="F87" i="1" s="1"/>
  <c r="F119" i="1" s="1"/>
  <c r="G55" i="1"/>
  <c r="G87" i="1" s="1"/>
  <c r="G119" i="1" s="1"/>
  <c r="H55" i="1"/>
  <c r="H87" i="1" s="1"/>
  <c r="H119" i="1" s="1"/>
  <c r="I55" i="1"/>
  <c r="I87" i="1" s="1"/>
  <c r="I119" i="1" s="1"/>
  <c r="J55" i="1"/>
  <c r="J87" i="1" s="1"/>
  <c r="J119" i="1" s="1"/>
  <c r="K55" i="1"/>
  <c r="K87" i="1" s="1"/>
  <c r="K119" i="1" s="1"/>
  <c r="L55" i="1"/>
  <c r="L87" i="1" s="1"/>
  <c r="L119" i="1" s="1"/>
  <c r="M55" i="1"/>
  <c r="M87" i="1" s="1"/>
  <c r="M119" i="1" s="1"/>
  <c r="N55" i="1"/>
  <c r="N87" i="1" s="1"/>
  <c r="N119" i="1" s="1"/>
  <c r="O55" i="1"/>
  <c r="O87" i="1" s="1"/>
  <c r="O119" i="1" s="1"/>
  <c r="P55" i="1"/>
  <c r="P87" i="1" s="1"/>
  <c r="P119" i="1" s="1"/>
  <c r="Q55" i="1"/>
  <c r="Q87" i="1" s="1"/>
  <c r="Q119" i="1" s="1"/>
  <c r="R55" i="1"/>
  <c r="R87" i="1" s="1"/>
  <c r="R119" i="1" s="1"/>
  <c r="S55" i="1"/>
  <c r="S87" i="1" s="1"/>
  <c r="S119" i="1" s="1"/>
  <c r="T55" i="1"/>
  <c r="T87" i="1" s="1"/>
  <c r="T119" i="1" s="1"/>
  <c r="E56" i="1"/>
  <c r="E88" i="1" s="1"/>
  <c r="E120" i="1" s="1"/>
  <c r="F56" i="1"/>
  <c r="F88" i="1" s="1"/>
  <c r="F120" i="1" s="1"/>
  <c r="G56" i="1"/>
  <c r="G88" i="1" s="1"/>
  <c r="G120" i="1" s="1"/>
  <c r="H56" i="1"/>
  <c r="H88" i="1" s="1"/>
  <c r="H120" i="1" s="1"/>
  <c r="I56" i="1"/>
  <c r="I88" i="1" s="1"/>
  <c r="I120" i="1" s="1"/>
  <c r="J56" i="1"/>
  <c r="J88" i="1" s="1"/>
  <c r="J120" i="1" s="1"/>
  <c r="K56" i="1"/>
  <c r="K88" i="1" s="1"/>
  <c r="K120" i="1" s="1"/>
  <c r="L56" i="1"/>
  <c r="L88" i="1" s="1"/>
  <c r="L120" i="1" s="1"/>
  <c r="M56" i="1"/>
  <c r="M88" i="1" s="1"/>
  <c r="M120" i="1" s="1"/>
  <c r="N56" i="1"/>
  <c r="N88" i="1" s="1"/>
  <c r="N120" i="1" s="1"/>
  <c r="O56" i="1"/>
  <c r="O88" i="1" s="1"/>
  <c r="O120" i="1" s="1"/>
  <c r="P56" i="1"/>
  <c r="P88" i="1" s="1"/>
  <c r="P120" i="1" s="1"/>
  <c r="Q56" i="1"/>
  <c r="Q88" i="1" s="1"/>
  <c r="Q120" i="1" s="1"/>
  <c r="R56" i="1"/>
  <c r="R88" i="1" s="1"/>
  <c r="R120" i="1" s="1"/>
  <c r="S56" i="1"/>
  <c r="S88" i="1" s="1"/>
  <c r="S120" i="1" s="1"/>
  <c r="T56" i="1"/>
  <c r="T88" i="1" s="1"/>
  <c r="T120" i="1" s="1"/>
  <c r="E57" i="1"/>
  <c r="E89" i="1" s="1"/>
  <c r="E121" i="1" s="1"/>
  <c r="F57" i="1"/>
  <c r="F89" i="1" s="1"/>
  <c r="F121" i="1" s="1"/>
  <c r="G57" i="1"/>
  <c r="G89" i="1" s="1"/>
  <c r="G121" i="1" s="1"/>
  <c r="H57" i="1"/>
  <c r="H89" i="1" s="1"/>
  <c r="H121" i="1" s="1"/>
  <c r="I57" i="1"/>
  <c r="I89" i="1" s="1"/>
  <c r="I121" i="1" s="1"/>
  <c r="J57" i="1"/>
  <c r="J89" i="1" s="1"/>
  <c r="J121" i="1" s="1"/>
  <c r="K57" i="1"/>
  <c r="K89" i="1" s="1"/>
  <c r="K121" i="1" s="1"/>
  <c r="L57" i="1"/>
  <c r="L89" i="1" s="1"/>
  <c r="L121" i="1" s="1"/>
  <c r="M57" i="1"/>
  <c r="M89" i="1" s="1"/>
  <c r="M121" i="1" s="1"/>
  <c r="N57" i="1"/>
  <c r="N89" i="1" s="1"/>
  <c r="N121" i="1" s="1"/>
  <c r="O57" i="1"/>
  <c r="O89" i="1" s="1"/>
  <c r="O121" i="1" s="1"/>
  <c r="P57" i="1"/>
  <c r="P89" i="1" s="1"/>
  <c r="P121" i="1" s="1"/>
  <c r="Q57" i="1"/>
  <c r="Q89" i="1" s="1"/>
  <c r="Q121" i="1" s="1"/>
  <c r="R57" i="1"/>
  <c r="R89" i="1" s="1"/>
  <c r="R121" i="1" s="1"/>
  <c r="S57" i="1"/>
  <c r="S89" i="1" s="1"/>
  <c r="S121" i="1" s="1"/>
  <c r="T57" i="1"/>
  <c r="T89" i="1" s="1"/>
  <c r="T121" i="1" s="1"/>
  <c r="E58" i="1"/>
  <c r="E90" i="1" s="1"/>
  <c r="E122" i="1" s="1"/>
  <c r="F58" i="1"/>
  <c r="F90" i="1" s="1"/>
  <c r="F122" i="1" s="1"/>
  <c r="G58" i="1"/>
  <c r="G90" i="1" s="1"/>
  <c r="G122" i="1" s="1"/>
  <c r="H58" i="1"/>
  <c r="H90" i="1" s="1"/>
  <c r="H122" i="1" s="1"/>
  <c r="I58" i="1"/>
  <c r="I90" i="1" s="1"/>
  <c r="I122" i="1" s="1"/>
  <c r="J58" i="1"/>
  <c r="J90" i="1" s="1"/>
  <c r="J122" i="1" s="1"/>
  <c r="K58" i="1"/>
  <c r="K90" i="1" s="1"/>
  <c r="K122" i="1" s="1"/>
  <c r="L58" i="1"/>
  <c r="L90" i="1" s="1"/>
  <c r="L122" i="1" s="1"/>
  <c r="M58" i="1"/>
  <c r="M90" i="1" s="1"/>
  <c r="M122" i="1" s="1"/>
  <c r="N58" i="1"/>
  <c r="N90" i="1" s="1"/>
  <c r="N122" i="1" s="1"/>
  <c r="O58" i="1"/>
  <c r="O90" i="1" s="1"/>
  <c r="O122" i="1" s="1"/>
  <c r="P58" i="1"/>
  <c r="P90" i="1" s="1"/>
  <c r="P122" i="1" s="1"/>
  <c r="Q58" i="1"/>
  <c r="Q90" i="1" s="1"/>
  <c r="Q122" i="1" s="1"/>
  <c r="R58" i="1"/>
  <c r="R90" i="1" s="1"/>
  <c r="R122" i="1" s="1"/>
  <c r="S58" i="1"/>
  <c r="S90" i="1" s="1"/>
  <c r="S122" i="1" s="1"/>
  <c r="T58" i="1"/>
  <c r="T90" i="1" s="1"/>
  <c r="T122" i="1" s="1"/>
  <c r="E59" i="1"/>
  <c r="E91" i="1" s="1"/>
  <c r="E123" i="1" s="1"/>
  <c r="F59" i="1"/>
  <c r="F91" i="1" s="1"/>
  <c r="F123" i="1" s="1"/>
  <c r="G59" i="1"/>
  <c r="G91" i="1" s="1"/>
  <c r="G123" i="1" s="1"/>
  <c r="H59" i="1"/>
  <c r="H91" i="1" s="1"/>
  <c r="H123" i="1" s="1"/>
  <c r="I59" i="1"/>
  <c r="I91" i="1" s="1"/>
  <c r="I123" i="1" s="1"/>
  <c r="J59" i="1"/>
  <c r="J91" i="1" s="1"/>
  <c r="J123" i="1" s="1"/>
  <c r="K59" i="1"/>
  <c r="K91" i="1" s="1"/>
  <c r="K123" i="1" s="1"/>
  <c r="L59" i="1"/>
  <c r="L91" i="1" s="1"/>
  <c r="L123" i="1" s="1"/>
  <c r="M59" i="1"/>
  <c r="M91" i="1" s="1"/>
  <c r="M123" i="1" s="1"/>
  <c r="N59" i="1"/>
  <c r="N91" i="1" s="1"/>
  <c r="N123" i="1" s="1"/>
  <c r="O59" i="1"/>
  <c r="O91" i="1" s="1"/>
  <c r="O123" i="1" s="1"/>
  <c r="P59" i="1"/>
  <c r="P91" i="1" s="1"/>
  <c r="P123" i="1" s="1"/>
  <c r="Q59" i="1"/>
  <c r="Q91" i="1" s="1"/>
  <c r="Q123" i="1" s="1"/>
  <c r="R59" i="1"/>
  <c r="R91" i="1" s="1"/>
  <c r="R123" i="1" s="1"/>
  <c r="S59" i="1"/>
  <c r="S91" i="1" s="1"/>
  <c r="S123" i="1" s="1"/>
  <c r="T59" i="1"/>
  <c r="T91" i="1" s="1"/>
  <c r="T123" i="1" s="1"/>
  <c r="E60" i="1"/>
  <c r="E92" i="1" s="1"/>
  <c r="E124" i="1" s="1"/>
  <c r="F60" i="1"/>
  <c r="F92" i="1" s="1"/>
  <c r="F124" i="1" s="1"/>
  <c r="G60" i="1"/>
  <c r="G92" i="1" s="1"/>
  <c r="G124" i="1" s="1"/>
  <c r="H60" i="1"/>
  <c r="H92" i="1" s="1"/>
  <c r="H124" i="1" s="1"/>
  <c r="I60" i="1"/>
  <c r="I92" i="1" s="1"/>
  <c r="I124" i="1" s="1"/>
  <c r="J60" i="1"/>
  <c r="J92" i="1" s="1"/>
  <c r="J124" i="1" s="1"/>
  <c r="K60" i="1"/>
  <c r="K92" i="1" s="1"/>
  <c r="K124" i="1" s="1"/>
  <c r="L60" i="1"/>
  <c r="L92" i="1" s="1"/>
  <c r="L124" i="1" s="1"/>
  <c r="M60" i="1"/>
  <c r="M92" i="1" s="1"/>
  <c r="M124" i="1" s="1"/>
  <c r="N60" i="1"/>
  <c r="N92" i="1" s="1"/>
  <c r="N124" i="1" s="1"/>
  <c r="O60" i="1"/>
  <c r="O92" i="1" s="1"/>
  <c r="O124" i="1" s="1"/>
  <c r="P60" i="1"/>
  <c r="P92" i="1" s="1"/>
  <c r="P124" i="1" s="1"/>
  <c r="Q60" i="1"/>
  <c r="Q92" i="1" s="1"/>
  <c r="Q124" i="1" s="1"/>
  <c r="R60" i="1"/>
  <c r="R92" i="1" s="1"/>
  <c r="R124" i="1" s="1"/>
  <c r="S60" i="1"/>
  <c r="S92" i="1" s="1"/>
  <c r="S124" i="1" s="1"/>
  <c r="T60" i="1"/>
  <c r="T92" i="1" s="1"/>
  <c r="T124" i="1" s="1"/>
  <c r="E61" i="1"/>
  <c r="E93" i="1" s="1"/>
  <c r="E125" i="1" s="1"/>
  <c r="F61" i="1"/>
  <c r="F93" i="1" s="1"/>
  <c r="F125" i="1" s="1"/>
  <c r="G61" i="1"/>
  <c r="G93" i="1" s="1"/>
  <c r="G125" i="1" s="1"/>
  <c r="H61" i="1"/>
  <c r="H93" i="1" s="1"/>
  <c r="H125" i="1" s="1"/>
  <c r="I61" i="1"/>
  <c r="I93" i="1" s="1"/>
  <c r="I125" i="1" s="1"/>
  <c r="J61" i="1"/>
  <c r="J93" i="1" s="1"/>
  <c r="J125" i="1" s="1"/>
  <c r="K61" i="1"/>
  <c r="K93" i="1" s="1"/>
  <c r="K125" i="1" s="1"/>
  <c r="L61" i="1"/>
  <c r="L93" i="1" s="1"/>
  <c r="L125" i="1" s="1"/>
  <c r="M61" i="1"/>
  <c r="M93" i="1" s="1"/>
  <c r="M125" i="1" s="1"/>
  <c r="N61" i="1"/>
  <c r="N93" i="1" s="1"/>
  <c r="N125" i="1" s="1"/>
  <c r="O61" i="1"/>
  <c r="O93" i="1" s="1"/>
  <c r="O125" i="1" s="1"/>
  <c r="P61" i="1"/>
  <c r="P93" i="1" s="1"/>
  <c r="P125" i="1" s="1"/>
  <c r="Q61" i="1"/>
  <c r="Q93" i="1" s="1"/>
  <c r="Q125" i="1" s="1"/>
  <c r="R61" i="1"/>
  <c r="R93" i="1" s="1"/>
  <c r="R125" i="1" s="1"/>
  <c r="S61" i="1"/>
  <c r="S93" i="1" s="1"/>
  <c r="S125" i="1" s="1"/>
  <c r="T61" i="1"/>
  <c r="T93" i="1" s="1"/>
  <c r="T125" i="1" s="1"/>
  <c r="E62" i="1"/>
  <c r="E94" i="1" s="1"/>
  <c r="E126" i="1" s="1"/>
  <c r="F62" i="1"/>
  <c r="F94" i="1" s="1"/>
  <c r="F126" i="1" s="1"/>
  <c r="G62" i="1"/>
  <c r="G94" i="1" s="1"/>
  <c r="G126" i="1" s="1"/>
  <c r="H62" i="1"/>
  <c r="H94" i="1" s="1"/>
  <c r="H126" i="1" s="1"/>
  <c r="I62" i="1"/>
  <c r="I94" i="1" s="1"/>
  <c r="I126" i="1" s="1"/>
  <c r="J62" i="1"/>
  <c r="J94" i="1" s="1"/>
  <c r="J126" i="1" s="1"/>
  <c r="K62" i="1"/>
  <c r="K94" i="1" s="1"/>
  <c r="K126" i="1" s="1"/>
  <c r="L62" i="1"/>
  <c r="L94" i="1" s="1"/>
  <c r="L126" i="1" s="1"/>
  <c r="M62" i="1"/>
  <c r="M94" i="1" s="1"/>
  <c r="M126" i="1" s="1"/>
  <c r="N62" i="1"/>
  <c r="N94" i="1" s="1"/>
  <c r="N126" i="1" s="1"/>
  <c r="O62" i="1"/>
  <c r="O94" i="1" s="1"/>
  <c r="O126" i="1" s="1"/>
  <c r="P62" i="1"/>
  <c r="P94" i="1" s="1"/>
  <c r="P126" i="1" s="1"/>
  <c r="Q62" i="1"/>
  <c r="Q94" i="1" s="1"/>
  <c r="Q126" i="1" s="1"/>
  <c r="R62" i="1"/>
  <c r="R94" i="1" s="1"/>
  <c r="R126" i="1" s="1"/>
  <c r="S62" i="1"/>
  <c r="S94" i="1" s="1"/>
  <c r="S126" i="1" s="1"/>
  <c r="T62" i="1"/>
  <c r="T94" i="1" s="1"/>
  <c r="T126" i="1" s="1"/>
  <c r="E63" i="1"/>
  <c r="E95" i="1" s="1"/>
  <c r="F63" i="1"/>
  <c r="F95" i="1" s="1"/>
  <c r="G63" i="1"/>
  <c r="G95" i="1" s="1"/>
  <c r="H63" i="1"/>
  <c r="H95" i="1" s="1"/>
  <c r="I63" i="1"/>
  <c r="I95" i="1" s="1"/>
  <c r="J63" i="1"/>
  <c r="J95" i="1" s="1"/>
  <c r="K63" i="1"/>
  <c r="K95" i="1" s="1"/>
  <c r="L63" i="1"/>
  <c r="L95" i="1" s="1"/>
  <c r="M63" i="1"/>
  <c r="M95" i="1" s="1"/>
  <c r="N63" i="1"/>
  <c r="N95" i="1" s="1"/>
  <c r="O63" i="1"/>
  <c r="O95" i="1" s="1"/>
  <c r="P63" i="1"/>
  <c r="P95" i="1" s="1"/>
  <c r="Q63" i="1"/>
  <c r="Q95" i="1" s="1"/>
  <c r="R63" i="1"/>
  <c r="R95" i="1" s="1"/>
  <c r="S63" i="1"/>
  <c r="S95" i="1" s="1"/>
  <c r="T63" i="1"/>
  <c r="T95" i="1" s="1"/>
  <c r="E64" i="1"/>
  <c r="E96" i="1" s="1"/>
  <c r="F64" i="1"/>
  <c r="F96" i="1" s="1"/>
  <c r="G64" i="1"/>
  <c r="G96" i="1" s="1"/>
  <c r="H64" i="1"/>
  <c r="H96" i="1" s="1"/>
  <c r="I64" i="1"/>
  <c r="I96" i="1" s="1"/>
  <c r="J64" i="1"/>
  <c r="J96" i="1" s="1"/>
  <c r="K64" i="1"/>
  <c r="K96" i="1" s="1"/>
  <c r="L64" i="1"/>
  <c r="L96" i="1" s="1"/>
  <c r="M64" i="1"/>
  <c r="M96" i="1" s="1"/>
  <c r="N64" i="1"/>
  <c r="N96" i="1" s="1"/>
  <c r="O64" i="1"/>
  <c r="P64" i="1"/>
  <c r="Q64" i="1"/>
  <c r="R64" i="1"/>
  <c r="S64" i="1"/>
  <c r="T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O96" i="1"/>
  <c r="P96" i="1"/>
  <c r="Q96" i="1"/>
  <c r="R96" i="1"/>
  <c r="S96" i="1"/>
  <c r="T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T39" i="1"/>
  <c r="T71" i="1" s="1"/>
  <c r="T103" i="1" s="1"/>
  <c r="S39" i="1"/>
  <c r="S71" i="1" s="1"/>
  <c r="S103" i="1" s="1"/>
  <c r="R39" i="1"/>
  <c r="R71" i="1" s="1"/>
  <c r="R103" i="1" s="1"/>
  <c r="Q39" i="1"/>
  <c r="Q71" i="1" s="1"/>
  <c r="Q103" i="1" s="1"/>
  <c r="P39" i="1"/>
  <c r="P71" i="1" s="1"/>
  <c r="P103" i="1" s="1"/>
  <c r="O39" i="1"/>
  <c r="O71" i="1" s="1"/>
  <c r="O103" i="1" s="1"/>
  <c r="N39" i="1"/>
  <c r="N71" i="1" s="1"/>
  <c r="N103" i="1" s="1"/>
  <c r="M39" i="1"/>
  <c r="M71" i="1" s="1"/>
  <c r="M103" i="1" s="1"/>
  <c r="L39" i="1"/>
  <c r="L71" i="1" s="1"/>
  <c r="L103" i="1" s="1"/>
  <c r="K39" i="1"/>
  <c r="K71" i="1" s="1"/>
  <c r="K103" i="1" s="1"/>
  <c r="J39" i="1"/>
  <c r="J71" i="1" s="1"/>
  <c r="J103" i="1" s="1"/>
  <c r="I39" i="1"/>
  <c r="I71" i="1" s="1"/>
  <c r="I103" i="1" s="1"/>
  <c r="H39" i="1"/>
  <c r="H71" i="1" s="1"/>
  <c r="H103" i="1" s="1"/>
  <c r="G39" i="1"/>
  <c r="G71" i="1" s="1"/>
  <c r="G103" i="1" s="1"/>
  <c r="F39" i="1"/>
  <c r="F71" i="1" s="1"/>
  <c r="F103" i="1" s="1"/>
  <c r="E39" i="1"/>
  <c r="E71" i="1" s="1"/>
  <c r="E103" i="1" s="1"/>
  <c r="E45" i="20"/>
  <c r="E82" i="20" s="1"/>
  <c r="E119" i="20" s="1"/>
  <c r="F45" i="20"/>
  <c r="H45" i="20"/>
  <c r="J45" i="20"/>
  <c r="J82" i="20" s="1"/>
  <c r="J119" i="20" s="1"/>
  <c r="L45" i="20"/>
  <c r="L82" i="20" s="1"/>
  <c r="L119" i="20" s="1"/>
  <c r="N45" i="20"/>
  <c r="O45" i="20"/>
  <c r="Q45" i="20"/>
  <c r="Q82" i="20" s="1"/>
  <c r="Q119" i="20" s="1"/>
  <c r="R45" i="20"/>
  <c r="T45" i="20"/>
  <c r="T82" i="20" s="1"/>
  <c r="T119" i="20" s="1"/>
  <c r="E46" i="20"/>
  <c r="E83" i="20" s="1"/>
  <c r="E120" i="20" s="1"/>
  <c r="F46" i="20"/>
  <c r="I46" i="20"/>
  <c r="I83" i="20" s="1"/>
  <c r="I120" i="20" s="1"/>
  <c r="J46" i="20"/>
  <c r="L46" i="20"/>
  <c r="L83" i="20" s="1"/>
  <c r="L120" i="20" s="1"/>
  <c r="N46" i="20"/>
  <c r="O46" i="20"/>
  <c r="O83" i="20" s="1"/>
  <c r="O120" i="20" s="1"/>
  <c r="Q46" i="20"/>
  <c r="Q83" i="20" s="1"/>
  <c r="Q120" i="20" s="1"/>
  <c r="R46" i="20"/>
  <c r="T46" i="20"/>
  <c r="E47" i="20"/>
  <c r="F47" i="20"/>
  <c r="G47" i="20"/>
  <c r="G84" i="20" s="1"/>
  <c r="G121" i="20" s="1"/>
  <c r="H47" i="20"/>
  <c r="I47" i="20"/>
  <c r="I84" i="20" s="1"/>
  <c r="I121" i="20" s="1"/>
  <c r="J47" i="20"/>
  <c r="K47" i="20"/>
  <c r="L47" i="20"/>
  <c r="M47" i="20"/>
  <c r="M84" i="20" s="1"/>
  <c r="M121" i="20" s="1"/>
  <c r="N47" i="20"/>
  <c r="O47" i="20"/>
  <c r="P47" i="20"/>
  <c r="Q47" i="20"/>
  <c r="R47" i="20"/>
  <c r="S47" i="20"/>
  <c r="T47" i="20"/>
  <c r="E48" i="20"/>
  <c r="F48" i="20"/>
  <c r="G48" i="20"/>
  <c r="H48" i="20"/>
  <c r="H85" i="20" s="1"/>
  <c r="H122" i="20" s="1"/>
  <c r="I48" i="20"/>
  <c r="J48" i="20"/>
  <c r="J85" i="20" s="1"/>
  <c r="J122" i="20" s="1"/>
  <c r="K48" i="20"/>
  <c r="K85" i="20" s="1"/>
  <c r="K122" i="20" s="1"/>
  <c r="L48" i="20"/>
  <c r="L85" i="20" s="1"/>
  <c r="L122" i="20" s="1"/>
  <c r="M48" i="20"/>
  <c r="M85" i="20" s="1"/>
  <c r="M122" i="20" s="1"/>
  <c r="N48" i="20"/>
  <c r="O48" i="20"/>
  <c r="P48" i="20"/>
  <c r="Q48" i="20"/>
  <c r="R48" i="20"/>
  <c r="S48" i="20"/>
  <c r="S85" i="20" s="1"/>
  <c r="S122" i="20" s="1"/>
  <c r="T48" i="20"/>
  <c r="E49" i="20"/>
  <c r="F49" i="20"/>
  <c r="G49" i="20"/>
  <c r="H49" i="20"/>
  <c r="I49" i="20"/>
  <c r="J49" i="20"/>
  <c r="J86" i="20" s="1"/>
  <c r="J123" i="20" s="1"/>
  <c r="K49" i="20"/>
  <c r="K86" i="20" s="1"/>
  <c r="K123" i="20" s="1"/>
  <c r="L49" i="20"/>
  <c r="M49" i="20"/>
  <c r="M86" i="20" s="1"/>
  <c r="M123" i="20" s="1"/>
  <c r="N49" i="20"/>
  <c r="O49" i="20"/>
  <c r="P49" i="20"/>
  <c r="Q49" i="20"/>
  <c r="R49" i="20"/>
  <c r="S49" i="20"/>
  <c r="T49" i="20"/>
  <c r="F50" i="20"/>
  <c r="G50" i="20"/>
  <c r="H50" i="20"/>
  <c r="I50" i="20"/>
  <c r="J50" i="20"/>
  <c r="L50" i="20"/>
  <c r="L87" i="20" s="1"/>
  <c r="L124" i="20" s="1"/>
  <c r="M50" i="20"/>
  <c r="M87" i="20" s="1"/>
  <c r="M124" i="20" s="1"/>
  <c r="N50" i="20"/>
  <c r="O50" i="20"/>
  <c r="Q50" i="20"/>
  <c r="R50" i="20"/>
  <c r="T50" i="20"/>
  <c r="T87" i="20" s="1"/>
  <c r="T124" i="20" s="1"/>
  <c r="F51" i="20"/>
  <c r="G51" i="20"/>
  <c r="H51" i="20"/>
  <c r="I51" i="20"/>
  <c r="J51" i="20"/>
  <c r="L51" i="20"/>
  <c r="N51" i="20"/>
  <c r="O51" i="20"/>
  <c r="Q51" i="20"/>
  <c r="R51" i="20"/>
  <c r="T51" i="20"/>
  <c r="E52" i="20"/>
  <c r="F52" i="20"/>
  <c r="G52" i="20"/>
  <c r="H52" i="20"/>
  <c r="I52" i="20"/>
  <c r="J52" i="20"/>
  <c r="K52" i="20"/>
  <c r="L52" i="20"/>
  <c r="L89" i="20" s="1"/>
  <c r="L126" i="20" s="1"/>
  <c r="M52" i="20"/>
  <c r="N52" i="20"/>
  <c r="O52" i="20"/>
  <c r="P52" i="20"/>
  <c r="Q52" i="20"/>
  <c r="R52" i="20"/>
  <c r="S52" i="20"/>
  <c r="T52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E78" i="20"/>
  <c r="F78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E79" i="20"/>
  <c r="F79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E80" i="20"/>
  <c r="F80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F82" i="20"/>
  <c r="H82" i="20"/>
  <c r="H119" i="20" s="1"/>
  <c r="N82" i="20"/>
  <c r="N119" i="20" s="1"/>
  <c r="O82" i="20"/>
  <c r="O119" i="20" s="1"/>
  <c r="R82" i="20"/>
  <c r="F83" i="20"/>
  <c r="J83" i="20"/>
  <c r="N83" i="20"/>
  <c r="R83" i="20"/>
  <c r="T83" i="20"/>
  <c r="T120" i="20" s="1"/>
  <c r="E84" i="20"/>
  <c r="F84" i="20"/>
  <c r="H84" i="20"/>
  <c r="H121" i="20" s="1"/>
  <c r="J84" i="20"/>
  <c r="J121" i="20" s="1"/>
  <c r="K84" i="20"/>
  <c r="K121" i="20" s="1"/>
  <c r="L84" i="20"/>
  <c r="L121" i="20" s="1"/>
  <c r="N84" i="20"/>
  <c r="O84" i="20"/>
  <c r="P84" i="20"/>
  <c r="P121" i="20" s="1"/>
  <c r="Q84" i="20"/>
  <c r="R84" i="20"/>
  <c r="S84" i="20"/>
  <c r="S121" i="20" s="1"/>
  <c r="T84" i="20"/>
  <c r="E85" i="20"/>
  <c r="F85" i="20"/>
  <c r="G85" i="20"/>
  <c r="I85" i="20"/>
  <c r="N85" i="20"/>
  <c r="O85" i="20"/>
  <c r="P85" i="20"/>
  <c r="P122" i="20" s="1"/>
  <c r="Q85" i="20"/>
  <c r="R85" i="20"/>
  <c r="T85" i="20"/>
  <c r="E86" i="20"/>
  <c r="F86" i="20"/>
  <c r="G86" i="20"/>
  <c r="H86" i="20"/>
  <c r="I86" i="20"/>
  <c r="L86" i="20"/>
  <c r="L123" i="20" s="1"/>
  <c r="N86" i="20"/>
  <c r="O86" i="20"/>
  <c r="P86" i="20"/>
  <c r="Q86" i="20"/>
  <c r="R86" i="20"/>
  <c r="S86" i="20"/>
  <c r="T86" i="20"/>
  <c r="F87" i="20"/>
  <c r="G87" i="20"/>
  <c r="H87" i="20"/>
  <c r="I87" i="20"/>
  <c r="J87" i="20"/>
  <c r="J124" i="20" s="1"/>
  <c r="N87" i="20"/>
  <c r="O87" i="20"/>
  <c r="Q87" i="20"/>
  <c r="R87" i="20"/>
  <c r="F88" i="20"/>
  <c r="G88" i="20"/>
  <c r="H88" i="20"/>
  <c r="I88" i="20"/>
  <c r="J88" i="20"/>
  <c r="L88" i="20"/>
  <c r="L125" i="20" s="1"/>
  <c r="N88" i="20"/>
  <c r="O88" i="20"/>
  <c r="Q88" i="20"/>
  <c r="R88" i="20"/>
  <c r="T88" i="20"/>
  <c r="E89" i="20"/>
  <c r="F89" i="20"/>
  <c r="G89" i="20"/>
  <c r="H89" i="20"/>
  <c r="I89" i="20"/>
  <c r="J89" i="20"/>
  <c r="K89" i="20"/>
  <c r="M89" i="20"/>
  <c r="N89" i="20"/>
  <c r="O89" i="20"/>
  <c r="P89" i="20"/>
  <c r="Q89" i="20"/>
  <c r="R89" i="20"/>
  <c r="S89" i="20"/>
  <c r="T89" i="20"/>
  <c r="E90" i="20"/>
  <c r="F90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E91" i="20"/>
  <c r="F91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E92" i="20"/>
  <c r="F92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E93" i="20"/>
  <c r="F93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E94" i="20"/>
  <c r="F94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E95" i="20"/>
  <c r="F95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E96" i="20"/>
  <c r="F96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E97" i="20"/>
  <c r="F97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E98" i="20"/>
  <c r="F98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E99" i="20"/>
  <c r="F99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E100" i="20"/>
  <c r="F100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E101" i="20"/>
  <c r="F101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E102" i="20"/>
  <c r="F102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E103" i="20"/>
  <c r="F103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E104" i="20"/>
  <c r="F104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E105" i="20"/>
  <c r="F105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E106" i="20"/>
  <c r="F106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E107" i="20"/>
  <c r="F107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E108" i="20"/>
  <c r="F108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E109" i="20"/>
  <c r="F109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E110" i="20"/>
  <c r="F110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E111" i="20"/>
  <c r="F111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E112" i="20"/>
  <c r="F112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E113" i="20"/>
  <c r="F113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E114" i="20"/>
  <c r="F114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E115" i="20"/>
  <c r="F115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E116" i="20"/>
  <c r="F116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E117" i="20"/>
  <c r="F117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F119" i="20"/>
  <c r="R119" i="20"/>
  <c r="F120" i="20"/>
  <c r="J120" i="20"/>
  <c r="N120" i="20"/>
  <c r="R120" i="20"/>
  <c r="E121" i="20"/>
  <c r="F121" i="20"/>
  <c r="N121" i="20"/>
  <c r="O121" i="20"/>
  <c r="Q121" i="20"/>
  <c r="R121" i="20"/>
  <c r="T121" i="20"/>
  <c r="E122" i="20"/>
  <c r="F122" i="20"/>
  <c r="G122" i="20"/>
  <c r="I122" i="20"/>
  <c r="N122" i="20"/>
  <c r="O122" i="20"/>
  <c r="Q122" i="20"/>
  <c r="R122" i="20"/>
  <c r="T122" i="20"/>
  <c r="E123" i="20"/>
  <c r="F123" i="20"/>
  <c r="G123" i="20"/>
  <c r="H123" i="20"/>
  <c r="I123" i="20"/>
  <c r="N123" i="20"/>
  <c r="O123" i="20"/>
  <c r="P123" i="20"/>
  <c r="Q123" i="20"/>
  <c r="R123" i="20"/>
  <c r="S123" i="20"/>
  <c r="T123" i="20"/>
  <c r="F124" i="20"/>
  <c r="G124" i="20"/>
  <c r="H124" i="20"/>
  <c r="I124" i="20"/>
  <c r="N124" i="20"/>
  <c r="O124" i="20"/>
  <c r="Q124" i="20"/>
  <c r="R124" i="20"/>
  <c r="F125" i="20"/>
  <c r="G125" i="20"/>
  <c r="H125" i="20"/>
  <c r="I125" i="20"/>
  <c r="J125" i="20"/>
  <c r="N125" i="20"/>
  <c r="O125" i="20"/>
  <c r="Q125" i="20"/>
  <c r="R125" i="20"/>
  <c r="T125" i="20"/>
  <c r="E126" i="20"/>
  <c r="F126" i="20"/>
  <c r="G126" i="20"/>
  <c r="H126" i="20"/>
  <c r="I126" i="20"/>
  <c r="J126" i="20"/>
  <c r="K126" i="20"/>
  <c r="M126" i="20"/>
  <c r="N126" i="20"/>
  <c r="O126" i="20"/>
  <c r="P126" i="20"/>
  <c r="Q126" i="20"/>
  <c r="R126" i="20"/>
  <c r="S126" i="20"/>
  <c r="T126" i="20"/>
  <c r="E127" i="20"/>
  <c r="F127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E128" i="20"/>
  <c r="F128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E129" i="20"/>
  <c r="F129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E130" i="20"/>
  <c r="F130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E131" i="20"/>
  <c r="F131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T44" i="20"/>
  <c r="T81" i="20" s="1"/>
  <c r="T118" i="20" s="1"/>
  <c r="S44" i="20"/>
  <c r="S81" i="20" s="1"/>
  <c r="S118" i="20" s="1"/>
  <c r="R44" i="20"/>
  <c r="R81" i="20" s="1"/>
  <c r="R118" i="20" s="1"/>
  <c r="Q44" i="20"/>
  <c r="Q81" i="20" s="1"/>
  <c r="Q118" i="20" s="1"/>
  <c r="P44" i="20"/>
  <c r="P81" i="20" s="1"/>
  <c r="P118" i="20" s="1"/>
  <c r="O44" i="20"/>
  <c r="O81" i="20" s="1"/>
  <c r="O118" i="20" s="1"/>
  <c r="N44" i="20"/>
  <c r="N81" i="20" s="1"/>
  <c r="N118" i="20" s="1"/>
  <c r="M44" i="20"/>
  <c r="M81" i="20" s="1"/>
  <c r="M118" i="20" s="1"/>
  <c r="L44" i="20"/>
  <c r="L81" i="20" s="1"/>
  <c r="L118" i="20" s="1"/>
  <c r="K44" i="20"/>
  <c r="K81" i="20" s="1"/>
  <c r="K118" i="20" s="1"/>
  <c r="J44" i="20"/>
  <c r="J81" i="20" s="1"/>
  <c r="J118" i="20" s="1"/>
  <c r="I44" i="20"/>
  <c r="I81" i="20" s="1"/>
  <c r="I118" i="20" s="1"/>
  <c r="H44" i="20"/>
  <c r="H81" i="20" s="1"/>
  <c r="H118" i="20" s="1"/>
  <c r="G44" i="20"/>
  <c r="G81" i="20" s="1"/>
  <c r="G118" i="20" s="1"/>
  <c r="F44" i="20"/>
  <c r="F81" i="20" s="1"/>
  <c r="F118" i="20" s="1"/>
  <c r="E44" i="20"/>
  <c r="E81" i="20" s="1"/>
  <c r="E118" i="20" s="1"/>
  <c r="E43" i="18"/>
  <c r="F43" i="18"/>
  <c r="G43" i="18"/>
  <c r="H43" i="18"/>
  <c r="I43" i="18"/>
  <c r="J43" i="18"/>
  <c r="J78" i="18" s="1"/>
  <c r="J113" i="18" s="1"/>
  <c r="K43" i="18"/>
  <c r="L43" i="18"/>
  <c r="M43" i="18"/>
  <c r="N43" i="18"/>
  <c r="O43" i="18"/>
  <c r="P43" i="18"/>
  <c r="Q43" i="18"/>
  <c r="R43" i="18"/>
  <c r="S43" i="18"/>
  <c r="T43" i="18"/>
  <c r="E44" i="18"/>
  <c r="F44" i="18"/>
  <c r="G44" i="18"/>
  <c r="H44" i="18"/>
  <c r="I44" i="18"/>
  <c r="I79" i="18" s="1"/>
  <c r="I114" i="18" s="1"/>
  <c r="J44" i="18"/>
  <c r="K44" i="18"/>
  <c r="L44" i="18"/>
  <c r="M44" i="18"/>
  <c r="N44" i="18"/>
  <c r="O44" i="18"/>
  <c r="P44" i="18"/>
  <c r="Q44" i="18"/>
  <c r="R44" i="18"/>
  <c r="S44" i="18"/>
  <c r="T44" i="18"/>
  <c r="E45" i="18"/>
  <c r="F45" i="18"/>
  <c r="G45" i="18"/>
  <c r="H45" i="18"/>
  <c r="H80" i="18" s="1"/>
  <c r="H115" i="18" s="1"/>
  <c r="I45" i="18"/>
  <c r="J45" i="18"/>
  <c r="J80" i="18" s="1"/>
  <c r="J115" i="18" s="1"/>
  <c r="K45" i="18"/>
  <c r="K80" i="18" s="1"/>
  <c r="K115" i="18" s="1"/>
  <c r="L45" i="18"/>
  <c r="M45" i="18"/>
  <c r="N45" i="18"/>
  <c r="O45" i="18"/>
  <c r="P45" i="18"/>
  <c r="Q45" i="18"/>
  <c r="R45" i="18"/>
  <c r="S45" i="18"/>
  <c r="T45" i="18"/>
  <c r="E46" i="18"/>
  <c r="F46" i="18"/>
  <c r="G46" i="18"/>
  <c r="H46" i="18"/>
  <c r="H81" i="18" s="1"/>
  <c r="H116" i="18" s="1"/>
  <c r="I46" i="18"/>
  <c r="I81" i="18" s="1"/>
  <c r="I116" i="18" s="1"/>
  <c r="J46" i="18"/>
  <c r="J81" i="18" s="1"/>
  <c r="J116" i="18" s="1"/>
  <c r="K46" i="18"/>
  <c r="L46" i="18"/>
  <c r="M46" i="18"/>
  <c r="N46" i="18"/>
  <c r="O46" i="18"/>
  <c r="P46" i="18"/>
  <c r="Q46" i="18"/>
  <c r="R46" i="18"/>
  <c r="S46" i="18"/>
  <c r="T46" i="18"/>
  <c r="E47" i="18"/>
  <c r="F47" i="18"/>
  <c r="G47" i="18"/>
  <c r="H47" i="18"/>
  <c r="I47" i="18"/>
  <c r="J47" i="18"/>
  <c r="J82" i="18" s="1"/>
  <c r="J117" i="18" s="1"/>
  <c r="K47" i="18"/>
  <c r="K82" i="18" s="1"/>
  <c r="K117" i="18" s="1"/>
  <c r="L47" i="18"/>
  <c r="M47" i="18"/>
  <c r="N47" i="18"/>
  <c r="O47" i="18"/>
  <c r="P47" i="18"/>
  <c r="Q47" i="18"/>
  <c r="R47" i="18"/>
  <c r="S47" i="18"/>
  <c r="T47" i="18"/>
  <c r="E48" i="18"/>
  <c r="F48" i="18"/>
  <c r="G48" i="18"/>
  <c r="H48" i="18"/>
  <c r="H83" i="18" s="1"/>
  <c r="H118" i="18" s="1"/>
  <c r="I48" i="18"/>
  <c r="J48" i="18"/>
  <c r="J83" i="18" s="1"/>
  <c r="J118" i="18" s="1"/>
  <c r="K48" i="18"/>
  <c r="L48" i="18"/>
  <c r="M48" i="18"/>
  <c r="N48" i="18"/>
  <c r="O48" i="18"/>
  <c r="P48" i="18"/>
  <c r="Q48" i="18"/>
  <c r="R48" i="18"/>
  <c r="S48" i="18"/>
  <c r="T48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Q60" i="18"/>
  <c r="R60" i="18"/>
  <c r="S60" i="18"/>
  <c r="T60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E69" i="18"/>
  <c r="F69" i="18"/>
  <c r="G69" i="18"/>
  <c r="H69" i="18"/>
  <c r="I69" i="18"/>
  <c r="I104" i="18" s="1"/>
  <c r="J69" i="18"/>
  <c r="J104" i="18" s="1"/>
  <c r="K69" i="18"/>
  <c r="K104" i="18" s="1"/>
  <c r="L69" i="18"/>
  <c r="L104" i="18" s="1"/>
  <c r="M69" i="18"/>
  <c r="M104" i="18" s="1"/>
  <c r="N69" i="18"/>
  <c r="N104" i="18" s="1"/>
  <c r="O69" i="18"/>
  <c r="O104" i="18" s="1"/>
  <c r="P69" i="18"/>
  <c r="P104" i="18" s="1"/>
  <c r="Q69" i="18"/>
  <c r="Q104" i="18" s="1"/>
  <c r="R69" i="18"/>
  <c r="R104" i="18" s="1"/>
  <c r="S69" i="18"/>
  <c r="S104" i="18" s="1"/>
  <c r="T69" i="18"/>
  <c r="T104" i="18" s="1"/>
  <c r="E70" i="18"/>
  <c r="E105" i="18" s="1"/>
  <c r="F70" i="18"/>
  <c r="F105" i="18" s="1"/>
  <c r="G70" i="18"/>
  <c r="G105" i="18" s="1"/>
  <c r="H70" i="18"/>
  <c r="H105" i="18" s="1"/>
  <c r="I70" i="18"/>
  <c r="I105" i="18" s="1"/>
  <c r="J70" i="18"/>
  <c r="J105" i="18" s="1"/>
  <c r="K70" i="18"/>
  <c r="K105" i="18" s="1"/>
  <c r="L70" i="18"/>
  <c r="L105" i="18" s="1"/>
  <c r="M70" i="18"/>
  <c r="M105" i="18" s="1"/>
  <c r="N70" i="18"/>
  <c r="N105" i="18" s="1"/>
  <c r="O70" i="18"/>
  <c r="O105" i="18" s="1"/>
  <c r="P70" i="18"/>
  <c r="P105" i="18" s="1"/>
  <c r="Q70" i="18"/>
  <c r="Q105" i="18" s="1"/>
  <c r="R70" i="18"/>
  <c r="R105" i="18" s="1"/>
  <c r="S70" i="18"/>
  <c r="S105" i="18" s="1"/>
  <c r="T70" i="18"/>
  <c r="T105" i="18" s="1"/>
  <c r="E71" i="18"/>
  <c r="E106" i="18" s="1"/>
  <c r="F71" i="18"/>
  <c r="F106" i="18" s="1"/>
  <c r="G71" i="18"/>
  <c r="G106" i="18" s="1"/>
  <c r="H71" i="18"/>
  <c r="H106" i="18" s="1"/>
  <c r="I71" i="18"/>
  <c r="I106" i="18" s="1"/>
  <c r="J71" i="18"/>
  <c r="J106" i="18" s="1"/>
  <c r="K71" i="18"/>
  <c r="K106" i="18" s="1"/>
  <c r="L71" i="18"/>
  <c r="L106" i="18" s="1"/>
  <c r="M71" i="18"/>
  <c r="M106" i="18" s="1"/>
  <c r="N71" i="18"/>
  <c r="N106" i="18" s="1"/>
  <c r="O71" i="18"/>
  <c r="O106" i="18" s="1"/>
  <c r="P71" i="18"/>
  <c r="P106" i="18" s="1"/>
  <c r="Q71" i="18"/>
  <c r="Q106" i="18" s="1"/>
  <c r="R71" i="18"/>
  <c r="R106" i="18" s="1"/>
  <c r="S71" i="18"/>
  <c r="S106" i="18" s="1"/>
  <c r="T71" i="18"/>
  <c r="T106" i="18" s="1"/>
  <c r="E72" i="18"/>
  <c r="E107" i="18" s="1"/>
  <c r="F72" i="18"/>
  <c r="F107" i="18" s="1"/>
  <c r="G72" i="18"/>
  <c r="G107" i="18" s="1"/>
  <c r="H72" i="18"/>
  <c r="H107" i="18" s="1"/>
  <c r="I72" i="18"/>
  <c r="I107" i="18" s="1"/>
  <c r="J72" i="18"/>
  <c r="J107" i="18" s="1"/>
  <c r="K72" i="18"/>
  <c r="K107" i="18" s="1"/>
  <c r="L72" i="18"/>
  <c r="L107" i="18" s="1"/>
  <c r="M72" i="18"/>
  <c r="M107" i="18" s="1"/>
  <c r="N72" i="18"/>
  <c r="N107" i="18" s="1"/>
  <c r="O72" i="18"/>
  <c r="O107" i="18" s="1"/>
  <c r="P72" i="18"/>
  <c r="P107" i="18" s="1"/>
  <c r="Q72" i="18"/>
  <c r="Q107" i="18" s="1"/>
  <c r="R72" i="18"/>
  <c r="R107" i="18" s="1"/>
  <c r="S72" i="18"/>
  <c r="S107" i="18" s="1"/>
  <c r="T72" i="18"/>
  <c r="T107" i="18" s="1"/>
  <c r="E73" i="18"/>
  <c r="E108" i="18" s="1"/>
  <c r="F73" i="18"/>
  <c r="F108" i="18" s="1"/>
  <c r="G73" i="18"/>
  <c r="G108" i="18" s="1"/>
  <c r="H73" i="18"/>
  <c r="H108" i="18" s="1"/>
  <c r="I73" i="18"/>
  <c r="I108" i="18" s="1"/>
  <c r="J73" i="18"/>
  <c r="J108" i="18" s="1"/>
  <c r="K73" i="18"/>
  <c r="K108" i="18" s="1"/>
  <c r="L73" i="18"/>
  <c r="L108" i="18" s="1"/>
  <c r="M73" i="18"/>
  <c r="M108" i="18" s="1"/>
  <c r="N73" i="18"/>
  <c r="N108" i="18" s="1"/>
  <c r="O73" i="18"/>
  <c r="O108" i="18" s="1"/>
  <c r="P73" i="18"/>
  <c r="P108" i="18" s="1"/>
  <c r="Q73" i="18"/>
  <c r="Q108" i="18" s="1"/>
  <c r="R73" i="18"/>
  <c r="R108" i="18" s="1"/>
  <c r="S73" i="18"/>
  <c r="S108" i="18" s="1"/>
  <c r="T73" i="18"/>
  <c r="T108" i="18" s="1"/>
  <c r="E74" i="18"/>
  <c r="E109" i="18" s="1"/>
  <c r="F74" i="18"/>
  <c r="F109" i="18" s="1"/>
  <c r="G74" i="18"/>
  <c r="G109" i="18" s="1"/>
  <c r="H74" i="18"/>
  <c r="H109" i="18" s="1"/>
  <c r="I74" i="18"/>
  <c r="I109" i="18" s="1"/>
  <c r="J74" i="18"/>
  <c r="J109" i="18" s="1"/>
  <c r="K74" i="18"/>
  <c r="K109" i="18" s="1"/>
  <c r="L74" i="18"/>
  <c r="L109" i="18" s="1"/>
  <c r="M74" i="18"/>
  <c r="M109" i="18" s="1"/>
  <c r="N74" i="18"/>
  <c r="N109" i="18" s="1"/>
  <c r="O74" i="18"/>
  <c r="O109" i="18" s="1"/>
  <c r="P74" i="18"/>
  <c r="P109" i="18" s="1"/>
  <c r="Q74" i="18"/>
  <c r="Q109" i="18" s="1"/>
  <c r="R74" i="18"/>
  <c r="R109" i="18" s="1"/>
  <c r="S74" i="18"/>
  <c r="S109" i="18" s="1"/>
  <c r="T74" i="18"/>
  <c r="T109" i="18" s="1"/>
  <c r="E75" i="18"/>
  <c r="E110" i="18" s="1"/>
  <c r="F75" i="18"/>
  <c r="F110" i="18" s="1"/>
  <c r="G75" i="18"/>
  <c r="G110" i="18" s="1"/>
  <c r="H75" i="18"/>
  <c r="H110" i="18" s="1"/>
  <c r="I75" i="18"/>
  <c r="I110" i="18" s="1"/>
  <c r="J75" i="18"/>
  <c r="J110" i="18" s="1"/>
  <c r="K75" i="18"/>
  <c r="K110" i="18" s="1"/>
  <c r="L75" i="18"/>
  <c r="L110" i="18" s="1"/>
  <c r="M75" i="18"/>
  <c r="M110" i="18" s="1"/>
  <c r="N75" i="18"/>
  <c r="N110" i="18" s="1"/>
  <c r="O75" i="18"/>
  <c r="O110" i="18" s="1"/>
  <c r="P75" i="18"/>
  <c r="P110" i="18" s="1"/>
  <c r="Q75" i="18"/>
  <c r="Q110" i="18" s="1"/>
  <c r="R75" i="18"/>
  <c r="R110" i="18" s="1"/>
  <c r="S75" i="18"/>
  <c r="S110" i="18" s="1"/>
  <c r="T75" i="18"/>
  <c r="T110" i="18" s="1"/>
  <c r="E76" i="18"/>
  <c r="E111" i="18" s="1"/>
  <c r="F76" i="18"/>
  <c r="F111" i="18" s="1"/>
  <c r="G76" i="18"/>
  <c r="G111" i="18" s="1"/>
  <c r="H76" i="18"/>
  <c r="H111" i="18" s="1"/>
  <c r="I76" i="18"/>
  <c r="I111" i="18" s="1"/>
  <c r="J76" i="18"/>
  <c r="J111" i="18" s="1"/>
  <c r="K76" i="18"/>
  <c r="K111" i="18" s="1"/>
  <c r="L76" i="18"/>
  <c r="L111" i="18" s="1"/>
  <c r="M76" i="18"/>
  <c r="M111" i="18" s="1"/>
  <c r="N76" i="18"/>
  <c r="N111" i="18" s="1"/>
  <c r="O76" i="18"/>
  <c r="O111" i="18" s="1"/>
  <c r="P76" i="18"/>
  <c r="P111" i="18" s="1"/>
  <c r="Q76" i="18"/>
  <c r="Q111" i="18" s="1"/>
  <c r="R76" i="18"/>
  <c r="R111" i="18" s="1"/>
  <c r="S76" i="18"/>
  <c r="S111" i="18" s="1"/>
  <c r="T76" i="18"/>
  <c r="T111" i="18" s="1"/>
  <c r="E77" i="18"/>
  <c r="E112" i="18" s="1"/>
  <c r="F77" i="18"/>
  <c r="F112" i="18" s="1"/>
  <c r="G77" i="18"/>
  <c r="G112" i="18" s="1"/>
  <c r="H77" i="18"/>
  <c r="H112" i="18" s="1"/>
  <c r="L77" i="18"/>
  <c r="L112" i="18" s="1"/>
  <c r="M77" i="18"/>
  <c r="M112" i="18" s="1"/>
  <c r="N77" i="18"/>
  <c r="N112" i="18" s="1"/>
  <c r="O77" i="18"/>
  <c r="O112" i="18" s="1"/>
  <c r="P77" i="18"/>
  <c r="P112" i="18" s="1"/>
  <c r="Q77" i="18"/>
  <c r="Q112" i="18" s="1"/>
  <c r="R77" i="18"/>
  <c r="R112" i="18" s="1"/>
  <c r="S77" i="18"/>
  <c r="S112" i="18" s="1"/>
  <c r="T77" i="18"/>
  <c r="T112" i="18" s="1"/>
  <c r="E78" i="18"/>
  <c r="E113" i="18" s="1"/>
  <c r="F78" i="18"/>
  <c r="F113" i="18" s="1"/>
  <c r="G78" i="18"/>
  <c r="G113" i="18" s="1"/>
  <c r="H78" i="18"/>
  <c r="H113" i="18" s="1"/>
  <c r="I78" i="18"/>
  <c r="I113" i="18" s="1"/>
  <c r="K78" i="18"/>
  <c r="K113" i="18" s="1"/>
  <c r="L78" i="18"/>
  <c r="L113" i="18" s="1"/>
  <c r="M78" i="18"/>
  <c r="M113" i="18" s="1"/>
  <c r="N78" i="18"/>
  <c r="N113" i="18" s="1"/>
  <c r="O78" i="18"/>
  <c r="O113" i="18" s="1"/>
  <c r="P78" i="18"/>
  <c r="P113" i="18" s="1"/>
  <c r="Q78" i="18"/>
  <c r="Q113" i="18" s="1"/>
  <c r="R78" i="18"/>
  <c r="R113" i="18" s="1"/>
  <c r="S78" i="18"/>
  <c r="S113" i="18" s="1"/>
  <c r="T78" i="18"/>
  <c r="T113" i="18" s="1"/>
  <c r="E79" i="18"/>
  <c r="E114" i="18" s="1"/>
  <c r="F79" i="18"/>
  <c r="F114" i="18" s="1"/>
  <c r="G79" i="18"/>
  <c r="G114" i="18" s="1"/>
  <c r="H79" i="18"/>
  <c r="H114" i="18" s="1"/>
  <c r="J79" i="18"/>
  <c r="J114" i="18" s="1"/>
  <c r="K79" i="18"/>
  <c r="K114" i="18" s="1"/>
  <c r="L79" i="18"/>
  <c r="L114" i="18" s="1"/>
  <c r="M79" i="18"/>
  <c r="M114" i="18" s="1"/>
  <c r="N79" i="18"/>
  <c r="N114" i="18" s="1"/>
  <c r="O79" i="18"/>
  <c r="O114" i="18" s="1"/>
  <c r="P79" i="18"/>
  <c r="P114" i="18" s="1"/>
  <c r="Q79" i="18"/>
  <c r="Q114" i="18" s="1"/>
  <c r="R79" i="18"/>
  <c r="R114" i="18" s="1"/>
  <c r="S79" i="18"/>
  <c r="S114" i="18" s="1"/>
  <c r="T79" i="18"/>
  <c r="T114" i="18" s="1"/>
  <c r="E80" i="18"/>
  <c r="E115" i="18" s="1"/>
  <c r="F80" i="18"/>
  <c r="F115" i="18" s="1"/>
  <c r="G80" i="18"/>
  <c r="G115" i="18" s="1"/>
  <c r="I80" i="18"/>
  <c r="I115" i="18" s="1"/>
  <c r="L80" i="18"/>
  <c r="L115" i="18" s="1"/>
  <c r="M80" i="18"/>
  <c r="M115" i="18" s="1"/>
  <c r="N80" i="18"/>
  <c r="N115" i="18" s="1"/>
  <c r="O80" i="18"/>
  <c r="O115" i="18" s="1"/>
  <c r="P80" i="18"/>
  <c r="P115" i="18" s="1"/>
  <c r="Q80" i="18"/>
  <c r="Q115" i="18" s="1"/>
  <c r="R80" i="18"/>
  <c r="R115" i="18" s="1"/>
  <c r="S80" i="18"/>
  <c r="S115" i="18" s="1"/>
  <c r="T80" i="18"/>
  <c r="T115" i="18" s="1"/>
  <c r="E81" i="18"/>
  <c r="E116" i="18" s="1"/>
  <c r="F81" i="18"/>
  <c r="F116" i="18" s="1"/>
  <c r="G81" i="18"/>
  <c r="G116" i="18" s="1"/>
  <c r="K81" i="18"/>
  <c r="K116" i="18" s="1"/>
  <c r="L81" i="18"/>
  <c r="L116" i="18" s="1"/>
  <c r="M81" i="18"/>
  <c r="M116" i="18" s="1"/>
  <c r="N81" i="18"/>
  <c r="N116" i="18" s="1"/>
  <c r="O81" i="18"/>
  <c r="O116" i="18" s="1"/>
  <c r="P81" i="18"/>
  <c r="P116" i="18" s="1"/>
  <c r="Q81" i="18"/>
  <c r="Q116" i="18" s="1"/>
  <c r="R81" i="18"/>
  <c r="R116" i="18" s="1"/>
  <c r="S81" i="18"/>
  <c r="S116" i="18" s="1"/>
  <c r="T81" i="18"/>
  <c r="T116" i="18" s="1"/>
  <c r="E82" i="18"/>
  <c r="E117" i="18" s="1"/>
  <c r="F82" i="18"/>
  <c r="F117" i="18" s="1"/>
  <c r="G82" i="18"/>
  <c r="G117" i="18" s="1"/>
  <c r="H82" i="18"/>
  <c r="H117" i="18" s="1"/>
  <c r="I82" i="18"/>
  <c r="I117" i="18" s="1"/>
  <c r="L82" i="18"/>
  <c r="L117" i="18" s="1"/>
  <c r="M82" i="18"/>
  <c r="M117" i="18" s="1"/>
  <c r="N82" i="18"/>
  <c r="N117" i="18" s="1"/>
  <c r="O82" i="18"/>
  <c r="O117" i="18" s="1"/>
  <c r="P82" i="18"/>
  <c r="P117" i="18" s="1"/>
  <c r="Q82" i="18"/>
  <c r="Q117" i="18" s="1"/>
  <c r="R82" i="18"/>
  <c r="R117" i="18" s="1"/>
  <c r="S82" i="18"/>
  <c r="S117" i="18" s="1"/>
  <c r="T82" i="18"/>
  <c r="T117" i="18" s="1"/>
  <c r="E83" i="18"/>
  <c r="E118" i="18" s="1"/>
  <c r="F83" i="18"/>
  <c r="F118" i="18" s="1"/>
  <c r="G83" i="18"/>
  <c r="G118" i="18" s="1"/>
  <c r="I83" i="18"/>
  <c r="I118" i="18" s="1"/>
  <c r="K83" i="18"/>
  <c r="K118" i="18" s="1"/>
  <c r="L83" i="18"/>
  <c r="L118" i="18" s="1"/>
  <c r="M83" i="18"/>
  <c r="M118" i="18" s="1"/>
  <c r="N83" i="18"/>
  <c r="N118" i="18" s="1"/>
  <c r="O83" i="18"/>
  <c r="O118" i="18" s="1"/>
  <c r="P83" i="18"/>
  <c r="P118" i="18" s="1"/>
  <c r="Q83" i="18"/>
  <c r="Q118" i="18" s="1"/>
  <c r="R83" i="18"/>
  <c r="R118" i="18" s="1"/>
  <c r="S83" i="18"/>
  <c r="S118" i="18" s="1"/>
  <c r="T83" i="18"/>
  <c r="T118" i="18" s="1"/>
  <c r="E84" i="18"/>
  <c r="E119" i="18" s="1"/>
  <c r="F84" i="18"/>
  <c r="F119" i="18" s="1"/>
  <c r="G84" i="18"/>
  <c r="G119" i="18" s="1"/>
  <c r="H84" i="18"/>
  <c r="H119" i="18" s="1"/>
  <c r="I84" i="18"/>
  <c r="I119" i="18" s="1"/>
  <c r="J84" i="18"/>
  <c r="J119" i="18" s="1"/>
  <c r="K84" i="18"/>
  <c r="K119" i="18" s="1"/>
  <c r="L84" i="18"/>
  <c r="L119" i="18" s="1"/>
  <c r="M84" i="18"/>
  <c r="M119" i="18" s="1"/>
  <c r="N84" i="18"/>
  <c r="N119" i="18" s="1"/>
  <c r="O84" i="18"/>
  <c r="O119" i="18" s="1"/>
  <c r="P84" i="18"/>
  <c r="P119" i="18" s="1"/>
  <c r="Q84" i="18"/>
  <c r="Q119" i="18" s="1"/>
  <c r="R84" i="18"/>
  <c r="R119" i="18" s="1"/>
  <c r="S84" i="18"/>
  <c r="S119" i="18" s="1"/>
  <c r="T84" i="18"/>
  <c r="T119" i="18" s="1"/>
  <c r="E85" i="18"/>
  <c r="E120" i="18" s="1"/>
  <c r="F85" i="18"/>
  <c r="F120" i="18" s="1"/>
  <c r="G85" i="18"/>
  <c r="G120" i="18" s="1"/>
  <c r="H85" i="18"/>
  <c r="H120" i="18" s="1"/>
  <c r="I85" i="18"/>
  <c r="I120" i="18" s="1"/>
  <c r="J85" i="18"/>
  <c r="J120" i="18" s="1"/>
  <c r="K85" i="18"/>
  <c r="K120" i="18" s="1"/>
  <c r="L85" i="18"/>
  <c r="L120" i="18" s="1"/>
  <c r="M85" i="18"/>
  <c r="M120" i="18" s="1"/>
  <c r="N85" i="18"/>
  <c r="N120" i="18" s="1"/>
  <c r="O85" i="18"/>
  <c r="O120" i="18" s="1"/>
  <c r="P85" i="18"/>
  <c r="P120" i="18" s="1"/>
  <c r="Q85" i="18"/>
  <c r="Q120" i="18" s="1"/>
  <c r="R85" i="18"/>
  <c r="R120" i="18" s="1"/>
  <c r="S85" i="18"/>
  <c r="S120" i="18" s="1"/>
  <c r="T85" i="18"/>
  <c r="T120" i="18" s="1"/>
  <c r="E86" i="18"/>
  <c r="E121" i="18" s="1"/>
  <c r="F86" i="18"/>
  <c r="F121" i="18" s="1"/>
  <c r="G86" i="18"/>
  <c r="G121" i="18" s="1"/>
  <c r="H86" i="18"/>
  <c r="H121" i="18" s="1"/>
  <c r="I86" i="18"/>
  <c r="I121" i="18" s="1"/>
  <c r="J86" i="18"/>
  <c r="J121" i="18" s="1"/>
  <c r="K86" i="18"/>
  <c r="K121" i="18" s="1"/>
  <c r="L86" i="18"/>
  <c r="L121" i="18" s="1"/>
  <c r="M86" i="18"/>
  <c r="M121" i="18" s="1"/>
  <c r="N86" i="18"/>
  <c r="N121" i="18" s="1"/>
  <c r="O86" i="18"/>
  <c r="O121" i="18" s="1"/>
  <c r="P86" i="18"/>
  <c r="P121" i="18" s="1"/>
  <c r="Q86" i="18"/>
  <c r="Q121" i="18" s="1"/>
  <c r="R86" i="18"/>
  <c r="R121" i="18" s="1"/>
  <c r="S86" i="18"/>
  <c r="S121" i="18" s="1"/>
  <c r="T86" i="18"/>
  <c r="T121" i="18" s="1"/>
  <c r="E87" i="18"/>
  <c r="E122" i="18" s="1"/>
  <c r="F87" i="18"/>
  <c r="F122" i="18" s="1"/>
  <c r="G87" i="18"/>
  <c r="G122" i="18" s="1"/>
  <c r="H87" i="18"/>
  <c r="H122" i="18" s="1"/>
  <c r="I87" i="18"/>
  <c r="I122" i="18" s="1"/>
  <c r="J87" i="18"/>
  <c r="J122" i="18" s="1"/>
  <c r="K87" i="18"/>
  <c r="K122" i="18" s="1"/>
  <c r="L87" i="18"/>
  <c r="L122" i="18" s="1"/>
  <c r="M87" i="18"/>
  <c r="M122" i="18" s="1"/>
  <c r="N87" i="18"/>
  <c r="N122" i="18" s="1"/>
  <c r="O87" i="18"/>
  <c r="O122" i="18" s="1"/>
  <c r="P87" i="18"/>
  <c r="P122" i="18" s="1"/>
  <c r="Q87" i="18"/>
  <c r="Q122" i="18" s="1"/>
  <c r="R87" i="18"/>
  <c r="R122" i="18" s="1"/>
  <c r="S87" i="18"/>
  <c r="S122" i="18" s="1"/>
  <c r="T87" i="18"/>
  <c r="T122" i="18" s="1"/>
  <c r="E88" i="18"/>
  <c r="E123" i="18" s="1"/>
  <c r="F88" i="18"/>
  <c r="F123" i="18" s="1"/>
  <c r="G88" i="18"/>
  <c r="G123" i="18" s="1"/>
  <c r="H88" i="18"/>
  <c r="H123" i="18" s="1"/>
  <c r="I88" i="18"/>
  <c r="I123" i="18" s="1"/>
  <c r="J88" i="18"/>
  <c r="J123" i="18" s="1"/>
  <c r="K88" i="18"/>
  <c r="K123" i="18" s="1"/>
  <c r="L88" i="18"/>
  <c r="L123" i="18" s="1"/>
  <c r="M88" i="18"/>
  <c r="M123" i="18" s="1"/>
  <c r="N88" i="18"/>
  <c r="N123" i="18" s="1"/>
  <c r="O88" i="18"/>
  <c r="O123" i="18" s="1"/>
  <c r="P88" i="18"/>
  <c r="P123" i="18" s="1"/>
  <c r="Q88" i="18"/>
  <c r="Q123" i="18" s="1"/>
  <c r="R88" i="18"/>
  <c r="R123" i="18" s="1"/>
  <c r="S88" i="18"/>
  <c r="S123" i="18" s="1"/>
  <c r="T88" i="18"/>
  <c r="T123" i="18" s="1"/>
  <c r="E89" i="18"/>
  <c r="E124" i="18" s="1"/>
  <c r="F89" i="18"/>
  <c r="F124" i="18" s="1"/>
  <c r="G89" i="18"/>
  <c r="G124" i="18" s="1"/>
  <c r="H89" i="18"/>
  <c r="H124" i="18" s="1"/>
  <c r="I89" i="18"/>
  <c r="I124" i="18" s="1"/>
  <c r="J89" i="18"/>
  <c r="J124" i="18" s="1"/>
  <c r="K89" i="18"/>
  <c r="K124" i="18" s="1"/>
  <c r="L89" i="18"/>
  <c r="L124" i="18" s="1"/>
  <c r="M89" i="18"/>
  <c r="M124" i="18" s="1"/>
  <c r="N89" i="18"/>
  <c r="N124" i="18" s="1"/>
  <c r="O89" i="18"/>
  <c r="O124" i="18" s="1"/>
  <c r="P89" i="18"/>
  <c r="P124" i="18" s="1"/>
  <c r="Q89" i="18"/>
  <c r="Q124" i="18" s="1"/>
  <c r="R89" i="18"/>
  <c r="R124" i="18" s="1"/>
  <c r="S89" i="18"/>
  <c r="S124" i="18" s="1"/>
  <c r="T89" i="18"/>
  <c r="T124" i="18" s="1"/>
  <c r="E90" i="18"/>
  <c r="E125" i="18" s="1"/>
  <c r="F90" i="18"/>
  <c r="F125" i="18" s="1"/>
  <c r="G90" i="18"/>
  <c r="G125" i="18" s="1"/>
  <c r="H90" i="18"/>
  <c r="H125" i="18" s="1"/>
  <c r="I90" i="18"/>
  <c r="I125" i="18" s="1"/>
  <c r="J90" i="18"/>
  <c r="J125" i="18" s="1"/>
  <c r="K90" i="18"/>
  <c r="K125" i="18" s="1"/>
  <c r="L90" i="18"/>
  <c r="L125" i="18" s="1"/>
  <c r="M90" i="18"/>
  <c r="M125" i="18" s="1"/>
  <c r="N90" i="18"/>
  <c r="N125" i="18" s="1"/>
  <c r="O90" i="18"/>
  <c r="O125" i="18" s="1"/>
  <c r="P90" i="18"/>
  <c r="P125" i="18" s="1"/>
  <c r="Q90" i="18"/>
  <c r="Q125" i="18" s="1"/>
  <c r="R90" i="18"/>
  <c r="R125" i="18" s="1"/>
  <c r="S90" i="18"/>
  <c r="S125" i="18" s="1"/>
  <c r="T90" i="18"/>
  <c r="T125" i="18" s="1"/>
  <c r="E91" i="18"/>
  <c r="E126" i="18" s="1"/>
  <c r="F91" i="18"/>
  <c r="F126" i="18" s="1"/>
  <c r="G91" i="18"/>
  <c r="G126" i="18" s="1"/>
  <c r="H91" i="18"/>
  <c r="H126" i="18" s="1"/>
  <c r="I91" i="18"/>
  <c r="I126" i="18" s="1"/>
  <c r="J91" i="18"/>
  <c r="J126" i="18" s="1"/>
  <c r="K91" i="18"/>
  <c r="K126" i="18" s="1"/>
  <c r="L91" i="18"/>
  <c r="L126" i="18" s="1"/>
  <c r="M91" i="18"/>
  <c r="M126" i="18" s="1"/>
  <c r="N91" i="18"/>
  <c r="N126" i="18" s="1"/>
  <c r="O91" i="18"/>
  <c r="O126" i="18" s="1"/>
  <c r="P91" i="18"/>
  <c r="P126" i="18" s="1"/>
  <c r="Q91" i="18"/>
  <c r="Q126" i="18" s="1"/>
  <c r="R91" i="18"/>
  <c r="R126" i="18" s="1"/>
  <c r="S91" i="18"/>
  <c r="S126" i="18" s="1"/>
  <c r="T91" i="18"/>
  <c r="T126" i="18" s="1"/>
  <c r="E92" i="18"/>
  <c r="E127" i="18" s="1"/>
  <c r="F92" i="18"/>
  <c r="F127" i="18" s="1"/>
  <c r="G92" i="18"/>
  <c r="G127" i="18" s="1"/>
  <c r="H92" i="18"/>
  <c r="H127" i="18" s="1"/>
  <c r="I92" i="18"/>
  <c r="I127" i="18" s="1"/>
  <c r="J92" i="18"/>
  <c r="J127" i="18" s="1"/>
  <c r="K92" i="18"/>
  <c r="K127" i="18" s="1"/>
  <c r="L92" i="18"/>
  <c r="L127" i="18" s="1"/>
  <c r="M92" i="18"/>
  <c r="M127" i="18" s="1"/>
  <c r="N92" i="18"/>
  <c r="N127" i="18" s="1"/>
  <c r="O92" i="18"/>
  <c r="O127" i="18" s="1"/>
  <c r="P92" i="18"/>
  <c r="P127" i="18" s="1"/>
  <c r="Q92" i="18"/>
  <c r="Q127" i="18" s="1"/>
  <c r="R92" i="18"/>
  <c r="R127" i="18" s="1"/>
  <c r="S92" i="18"/>
  <c r="S127" i="18" s="1"/>
  <c r="T92" i="18"/>
  <c r="T127" i="18" s="1"/>
  <c r="E93" i="18"/>
  <c r="E128" i="18" s="1"/>
  <c r="F93" i="18"/>
  <c r="F128" i="18" s="1"/>
  <c r="G93" i="18"/>
  <c r="G128" i="18" s="1"/>
  <c r="H93" i="18"/>
  <c r="H128" i="18" s="1"/>
  <c r="I93" i="18"/>
  <c r="I128" i="18" s="1"/>
  <c r="J93" i="18"/>
  <c r="J128" i="18" s="1"/>
  <c r="K93" i="18"/>
  <c r="K128" i="18" s="1"/>
  <c r="L93" i="18"/>
  <c r="L128" i="18" s="1"/>
  <c r="M93" i="18"/>
  <c r="M128" i="18" s="1"/>
  <c r="N93" i="18"/>
  <c r="N128" i="18" s="1"/>
  <c r="O93" i="18"/>
  <c r="O128" i="18" s="1"/>
  <c r="P93" i="18"/>
  <c r="P128" i="18" s="1"/>
  <c r="Q93" i="18"/>
  <c r="Q128" i="18" s="1"/>
  <c r="R93" i="18"/>
  <c r="R128" i="18" s="1"/>
  <c r="S93" i="18"/>
  <c r="S128" i="18" s="1"/>
  <c r="T93" i="18"/>
  <c r="T128" i="18" s="1"/>
  <c r="E94" i="18"/>
  <c r="E129" i="18" s="1"/>
  <c r="F94" i="18"/>
  <c r="F129" i="18" s="1"/>
  <c r="G94" i="18"/>
  <c r="G129" i="18" s="1"/>
  <c r="H94" i="18"/>
  <c r="H129" i="18" s="1"/>
  <c r="I94" i="18"/>
  <c r="I129" i="18" s="1"/>
  <c r="J94" i="18"/>
  <c r="J129" i="18" s="1"/>
  <c r="K94" i="18"/>
  <c r="K129" i="18" s="1"/>
  <c r="L94" i="18"/>
  <c r="L129" i="18" s="1"/>
  <c r="M94" i="18"/>
  <c r="M129" i="18" s="1"/>
  <c r="N94" i="18"/>
  <c r="N129" i="18" s="1"/>
  <c r="O94" i="18"/>
  <c r="O129" i="18" s="1"/>
  <c r="P94" i="18"/>
  <c r="P129" i="18" s="1"/>
  <c r="Q94" i="18"/>
  <c r="Q129" i="18" s="1"/>
  <c r="R94" i="18"/>
  <c r="R129" i="18" s="1"/>
  <c r="S94" i="18"/>
  <c r="S129" i="18" s="1"/>
  <c r="T94" i="18"/>
  <c r="T129" i="18" s="1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S95" i="18"/>
  <c r="T95" i="18"/>
  <c r="E96" i="18"/>
  <c r="F96" i="18"/>
  <c r="G96" i="18"/>
  <c r="H96" i="18"/>
  <c r="I96" i="18"/>
  <c r="J96" i="18"/>
  <c r="K96" i="18"/>
  <c r="L96" i="18"/>
  <c r="M96" i="18"/>
  <c r="N96" i="18"/>
  <c r="O96" i="18"/>
  <c r="P96" i="18"/>
  <c r="Q96" i="18"/>
  <c r="R96" i="18"/>
  <c r="S96" i="18"/>
  <c r="T96" i="18"/>
  <c r="E97" i="18"/>
  <c r="F97" i="18"/>
  <c r="G97" i="18"/>
  <c r="H97" i="18"/>
  <c r="I97" i="18"/>
  <c r="J97" i="18"/>
  <c r="K97" i="18"/>
  <c r="L97" i="18"/>
  <c r="M97" i="18"/>
  <c r="N97" i="18"/>
  <c r="O97" i="18"/>
  <c r="P97" i="18"/>
  <c r="Q97" i="18"/>
  <c r="R97" i="18"/>
  <c r="S97" i="18"/>
  <c r="T97" i="18"/>
  <c r="E98" i="18"/>
  <c r="F98" i="18"/>
  <c r="G98" i="18"/>
  <c r="H98" i="18"/>
  <c r="I98" i="18"/>
  <c r="J98" i="18"/>
  <c r="K98" i="18"/>
  <c r="L98" i="18"/>
  <c r="M98" i="18"/>
  <c r="N98" i="18"/>
  <c r="O98" i="18"/>
  <c r="P98" i="18"/>
  <c r="Q98" i="18"/>
  <c r="R98" i="18"/>
  <c r="S98" i="18"/>
  <c r="T98" i="18"/>
  <c r="E99" i="18"/>
  <c r="F99" i="18"/>
  <c r="G99" i="18"/>
  <c r="H99" i="18"/>
  <c r="I99" i="18"/>
  <c r="J99" i="18"/>
  <c r="K99" i="18"/>
  <c r="L99" i="18"/>
  <c r="M99" i="18"/>
  <c r="N99" i="18"/>
  <c r="O99" i="18"/>
  <c r="P99" i="18"/>
  <c r="Q99" i="18"/>
  <c r="R99" i="18"/>
  <c r="S99" i="18"/>
  <c r="T99" i="18"/>
  <c r="E100" i="18"/>
  <c r="F100" i="18"/>
  <c r="G100" i="18"/>
  <c r="H100" i="18"/>
  <c r="I100" i="18"/>
  <c r="J100" i="18"/>
  <c r="K100" i="18"/>
  <c r="L100" i="18"/>
  <c r="M100" i="18"/>
  <c r="N100" i="18"/>
  <c r="O100" i="18"/>
  <c r="P100" i="18"/>
  <c r="Q100" i="18"/>
  <c r="R100" i="18"/>
  <c r="S100" i="18"/>
  <c r="T100" i="18"/>
  <c r="E101" i="18"/>
  <c r="F101" i="18"/>
  <c r="G101" i="18"/>
  <c r="H101" i="18"/>
  <c r="I101" i="18"/>
  <c r="J101" i="18"/>
  <c r="K101" i="18"/>
  <c r="L101" i="18"/>
  <c r="M101" i="18"/>
  <c r="N101" i="18"/>
  <c r="O101" i="18"/>
  <c r="P101" i="18"/>
  <c r="Q101" i="18"/>
  <c r="R101" i="18"/>
  <c r="S101" i="18"/>
  <c r="T101" i="18"/>
  <c r="E102" i="18"/>
  <c r="F102" i="18"/>
  <c r="G102" i="18"/>
  <c r="H102" i="18"/>
  <c r="I102" i="18"/>
  <c r="J102" i="18"/>
  <c r="K102" i="18"/>
  <c r="L102" i="18"/>
  <c r="M102" i="18"/>
  <c r="N102" i="18"/>
  <c r="O102" i="18"/>
  <c r="P102" i="18"/>
  <c r="Q102" i="18"/>
  <c r="R102" i="18"/>
  <c r="S102" i="18"/>
  <c r="T102" i="18"/>
  <c r="E103" i="18"/>
  <c r="F103" i="18"/>
  <c r="G103" i="18"/>
  <c r="H103" i="18"/>
  <c r="I103" i="18"/>
  <c r="J103" i="18"/>
  <c r="K103" i="18"/>
  <c r="L103" i="18"/>
  <c r="M103" i="18"/>
  <c r="N103" i="18"/>
  <c r="O103" i="18"/>
  <c r="P103" i="18"/>
  <c r="Q103" i="18"/>
  <c r="R103" i="18"/>
  <c r="S103" i="18"/>
  <c r="T103" i="18"/>
  <c r="E104" i="18"/>
  <c r="F104" i="18"/>
  <c r="G104" i="18"/>
  <c r="H104" i="18"/>
  <c r="T42" i="18"/>
  <c r="S42" i="18"/>
  <c r="R42" i="18"/>
  <c r="Q42" i="18"/>
  <c r="P42" i="18"/>
  <c r="O42" i="18"/>
  <c r="N42" i="18"/>
  <c r="M42" i="18"/>
  <c r="L42" i="18"/>
  <c r="K42" i="18"/>
  <c r="K77" i="18" s="1"/>
  <c r="K112" i="18" s="1"/>
  <c r="J42" i="18"/>
  <c r="J77" i="18" s="1"/>
  <c r="J112" i="18" s="1"/>
  <c r="I42" i="18"/>
  <c r="I77" i="18" s="1"/>
  <c r="I112" i="18" s="1"/>
  <c r="H42" i="18"/>
  <c r="G42" i="18"/>
  <c r="F42" i="18"/>
  <c r="E42" i="18"/>
  <c r="C9" i="18"/>
  <c r="C10" i="18"/>
  <c r="C8" i="18"/>
  <c r="F45" i="33"/>
  <c r="B3" i="32"/>
  <c r="B3" i="31"/>
  <c r="B3" i="30"/>
  <c r="B3" i="29"/>
  <c r="B3" i="28"/>
  <c r="B3" i="27"/>
  <c r="B3" i="26"/>
  <c r="B3" i="25"/>
  <c r="B3" i="24"/>
  <c r="B3" i="23"/>
  <c r="B3" i="22"/>
  <c r="B3" i="21"/>
  <c r="B3" i="20"/>
  <c r="B3" i="19"/>
  <c r="B3" i="18"/>
  <c r="O2" i="19" l="1"/>
  <c r="O2" i="27"/>
  <c r="O2" i="20"/>
  <c r="O2" i="28"/>
  <c r="O2" i="21"/>
  <c r="O2" i="29"/>
  <c r="O2" i="22"/>
  <c r="O2" i="30"/>
  <c r="O2" i="23"/>
  <c r="O2" i="31"/>
  <c r="O2" i="24"/>
  <c r="L41" i="26"/>
  <c r="L73" i="26" s="1"/>
  <c r="L105" i="26" s="1"/>
  <c r="K41" i="26"/>
  <c r="K73" i="26" s="1"/>
  <c r="K105" i="26" s="1"/>
  <c r="S41" i="26"/>
  <c r="S73" i="26" s="1"/>
  <c r="S105" i="26" s="1"/>
  <c r="F41" i="26"/>
  <c r="F73" i="26" s="1"/>
  <c r="F105" i="26" s="1"/>
  <c r="O41" i="26"/>
  <c r="O73" i="26" s="1"/>
  <c r="O105" i="26" s="1"/>
  <c r="F42" i="26"/>
  <c r="F74" i="26" s="1"/>
  <c r="F106" i="26" s="1"/>
  <c r="K42" i="26"/>
  <c r="K74" i="26" s="1"/>
  <c r="K106" i="26" s="1"/>
  <c r="S42" i="26"/>
  <c r="S74" i="26" s="1"/>
  <c r="S106" i="26" s="1"/>
  <c r="M42" i="26"/>
  <c r="M74" i="26" s="1"/>
  <c r="M106" i="26" s="1"/>
  <c r="O42" i="26"/>
  <c r="O74" i="26" s="1"/>
  <c r="O106" i="26" s="1"/>
  <c r="H42" i="26"/>
  <c r="H74" i="26" s="1"/>
  <c r="H106" i="26" s="1"/>
  <c r="F43" i="26"/>
  <c r="F75" i="26" s="1"/>
  <c r="F107" i="26" s="1"/>
  <c r="S43" i="26"/>
  <c r="S75" i="26" s="1"/>
  <c r="S107" i="26" s="1"/>
  <c r="M43" i="26"/>
  <c r="M75" i="26" s="1"/>
  <c r="M107" i="26" s="1"/>
  <c r="K43" i="26"/>
  <c r="K75" i="26" s="1"/>
  <c r="K107" i="26" s="1"/>
  <c r="O43" i="26"/>
  <c r="O75" i="26" s="1"/>
  <c r="O107" i="26" s="1"/>
  <c r="K44" i="26"/>
  <c r="K76" i="26" s="1"/>
  <c r="K108" i="26" s="1"/>
  <c r="G44" i="26"/>
  <c r="G76" i="26" s="1"/>
  <c r="G108" i="26" s="1"/>
  <c r="M44" i="26"/>
  <c r="M76" i="26" s="1"/>
  <c r="M108" i="26" s="1"/>
  <c r="O44" i="26"/>
  <c r="O76" i="26" s="1"/>
  <c r="O108" i="26" s="1"/>
  <c r="H44" i="26"/>
  <c r="H76" i="26" s="1"/>
  <c r="H108" i="26" s="1"/>
  <c r="S44" i="26"/>
  <c r="S76" i="26" s="1"/>
  <c r="S108" i="26" s="1"/>
  <c r="K45" i="26"/>
  <c r="K77" i="26" s="1"/>
  <c r="K109" i="26" s="1"/>
  <c r="F45" i="26"/>
  <c r="F77" i="26" s="1"/>
  <c r="F109" i="26" s="1"/>
  <c r="O45" i="26"/>
  <c r="O77" i="26" s="1"/>
  <c r="O109" i="26" s="1"/>
  <c r="M45" i="26"/>
  <c r="M77" i="26" s="1"/>
  <c r="M109" i="26" s="1"/>
  <c r="S45" i="26"/>
  <c r="S77" i="26" s="1"/>
  <c r="S109" i="26" s="1"/>
  <c r="S46" i="26"/>
  <c r="S78" i="26" s="1"/>
  <c r="S110" i="26" s="1"/>
  <c r="J46" i="26"/>
  <c r="J78" i="26" s="1"/>
  <c r="J110" i="26" s="1"/>
  <c r="F46" i="26"/>
  <c r="F78" i="26" s="1"/>
  <c r="F110" i="26" s="1"/>
  <c r="O46" i="26"/>
  <c r="O78" i="26" s="1"/>
  <c r="O110" i="26" s="1"/>
  <c r="M46" i="26"/>
  <c r="M78" i="26" s="1"/>
  <c r="M110" i="26" s="1"/>
  <c r="S47" i="26"/>
  <c r="S79" i="26" s="1"/>
  <c r="S111" i="26" s="1"/>
  <c r="O47" i="26"/>
  <c r="O79" i="26" s="1"/>
  <c r="O111" i="26" s="1"/>
  <c r="F47" i="26"/>
  <c r="F79" i="26" s="1"/>
  <c r="F111" i="26" s="1"/>
  <c r="K47" i="26"/>
  <c r="K79" i="26" s="1"/>
  <c r="K111" i="26" s="1"/>
  <c r="M47" i="26"/>
  <c r="M79" i="26" s="1"/>
  <c r="M111" i="26" s="1"/>
  <c r="E48" i="26"/>
  <c r="E80" i="26" s="1"/>
  <c r="E112" i="26" s="1"/>
  <c r="M48" i="26"/>
  <c r="M80" i="26" s="1"/>
  <c r="M112" i="26" s="1"/>
  <c r="O48" i="26"/>
  <c r="O80" i="26" s="1"/>
  <c r="O112" i="26" s="1"/>
  <c r="S48" i="26"/>
  <c r="S80" i="26" s="1"/>
  <c r="S112" i="26" s="1"/>
  <c r="J48" i="26"/>
  <c r="J80" i="26" s="1"/>
  <c r="J112" i="26" s="1"/>
  <c r="F49" i="26"/>
  <c r="F81" i="26" s="1"/>
  <c r="F113" i="26" s="1"/>
  <c r="J49" i="26"/>
  <c r="J81" i="26" s="1"/>
  <c r="J113" i="26" s="1"/>
  <c r="M49" i="26"/>
  <c r="M81" i="26" s="1"/>
  <c r="M113" i="26" s="1"/>
  <c r="N49" i="26"/>
  <c r="N81" i="26" s="1"/>
  <c r="N113" i="26" s="1"/>
  <c r="O49" i="26"/>
  <c r="O81" i="26" s="1"/>
  <c r="O113" i="26" s="1"/>
  <c r="S49" i="26"/>
  <c r="S81" i="26" s="1"/>
  <c r="S113" i="26" s="1"/>
  <c r="S50" i="26"/>
  <c r="S82" i="26" s="1"/>
  <c r="S114" i="26" s="1"/>
  <c r="M50" i="26"/>
  <c r="M82" i="26" s="1"/>
  <c r="M114" i="26" s="1"/>
  <c r="K50" i="26"/>
  <c r="K82" i="26" s="1"/>
  <c r="K114" i="26" s="1"/>
  <c r="O50" i="26"/>
  <c r="O82" i="26" s="1"/>
  <c r="O114" i="26" s="1"/>
  <c r="F50" i="26"/>
  <c r="F82" i="26" s="1"/>
  <c r="F114" i="26" s="1"/>
  <c r="G40" i="26"/>
  <c r="G72" i="26" s="1"/>
  <c r="G104" i="26" s="1"/>
  <c r="S40" i="26"/>
  <c r="S72" i="26" s="1"/>
  <c r="S104" i="26" s="1"/>
  <c r="H40" i="26"/>
  <c r="H72" i="26" s="1"/>
  <c r="H104" i="26" s="1"/>
  <c r="K40" i="26"/>
  <c r="K72" i="26" s="1"/>
  <c r="K104" i="26" s="1"/>
  <c r="L40" i="26"/>
  <c r="L72" i="26" s="1"/>
  <c r="L104" i="26" s="1"/>
  <c r="O40" i="26"/>
  <c r="O72" i="26" s="1"/>
  <c r="O104" i="26" s="1"/>
  <c r="G46" i="20"/>
  <c r="G83" i="20" s="1"/>
  <c r="G120" i="20" s="1"/>
  <c r="H46" i="20"/>
  <c r="H83" i="20" s="1"/>
  <c r="H120" i="20" s="1"/>
  <c r="K46" i="20"/>
  <c r="K83" i="20" s="1"/>
  <c r="K120" i="20" s="1"/>
  <c r="P46" i="20"/>
  <c r="P83" i="20" s="1"/>
  <c r="P120" i="20" s="1"/>
  <c r="M46" i="20"/>
  <c r="M83" i="20" s="1"/>
  <c r="M120" i="20" s="1"/>
  <c r="S46" i="20"/>
  <c r="S83" i="20" s="1"/>
  <c r="S120" i="20" s="1"/>
  <c r="S45" i="20"/>
  <c r="S82" i="20" s="1"/>
  <c r="S119" i="20" s="1"/>
  <c r="K45" i="20"/>
  <c r="K82" i="20" s="1"/>
  <c r="K119" i="20" s="1"/>
  <c r="P45" i="20"/>
  <c r="P82" i="20" s="1"/>
  <c r="P119" i="20" s="1"/>
  <c r="I45" i="20"/>
  <c r="I82" i="20" s="1"/>
  <c r="I119" i="20" s="1"/>
  <c r="M45" i="20"/>
  <c r="M82" i="20" s="1"/>
  <c r="M119" i="20" s="1"/>
  <c r="G45" i="20"/>
  <c r="G82" i="20" s="1"/>
  <c r="G119" i="20" s="1"/>
  <c r="S51" i="20"/>
  <c r="S88" i="20" s="1"/>
  <c r="S125" i="20" s="1"/>
  <c r="M51" i="20"/>
  <c r="M88" i="20" s="1"/>
  <c r="M125" i="20" s="1"/>
  <c r="E51" i="20"/>
  <c r="E88" i="20" s="1"/>
  <c r="E125" i="20" s="1"/>
  <c r="P51" i="20"/>
  <c r="P88" i="20" s="1"/>
  <c r="P125" i="20" s="1"/>
  <c r="K51" i="20"/>
  <c r="K88" i="20" s="1"/>
  <c r="K125" i="20" s="1"/>
  <c r="S50" i="20"/>
  <c r="S87" i="20" s="1"/>
  <c r="S124" i="20" s="1"/>
  <c r="P50" i="20"/>
  <c r="P87" i="20" s="1"/>
  <c r="P124" i="20" s="1"/>
  <c r="K50" i="20"/>
  <c r="K87" i="20" s="1"/>
  <c r="K124" i="20" s="1"/>
  <c r="E50" i="20"/>
  <c r="E87" i="20" s="1"/>
  <c r="E124" i="20" s="1"/>
  <c r="H43" i="23"/>
  <c r="H75" i="23" s="1"/>
  <c r="H107" i="23" s="1"/>
  <c r="F43" i="23"/>
  <c r="F75" i="23" s="1"/>
  <c r="F107" i="23" s="1"/>
  <c r="P43" i="23"/>
  <c r="P75" i="23" s="1"/>
  <c r="P107" i="23" s="1"/>
  <c r="M43" i="23"/>
  <c r="M75" i="23" s="1"/>
  <c r="M107" i="23" s="1"/>
  <c r="S43" i="23"/>
  <c r="S75" i="23" s="1"/>
  <c r="S107" i="23" s="1"/>
  <c r="K43" i="23"/>
  <c r="K75" i="23" s="1"/>
  <c r="K107" i="23" s="1"/>
  <c r="S44" i="23"/>
  <c r="S76" i="23" s="1"/>
  <c r="S108" i="23" s="1"/>
  <c r="P44" i="23"/>
  <c r="P76" i="23" s="1"/>
  <c r="P108" i="23" s="1"/>
  <c r="K44" i="23"/>
  <c r="K76" i="23" s="1"/>
  <c r="K108" i="23" s="1"/>
  <c r="F44" i="23"/>
  <c r="F76" i="23" s="1"/>
  <c r="F108" i="23" s="1"/>
  <c r="H44" i="23"/>
  <c r="H76" i="23" s="1"/>
  <c r="H108" i="23" s="1"/>
  <c r="M44" i="23"/>
  <c r="M76" i="23" s="1"/>
  <c r="M108" i="23" s="1"/>
  <c r="G45" i="23"/>
  <c r="G77" i="23" s="1"/>
  <c r="G109" i="23" s="1"/>
  <c r="P45" i="23"/>
  <c r="P77" i="23" s="1"/>
  <c r="P109" i="23" s="1"/>
  <c r="I45" i="23"/>
  <c r="I77" i="23" s="1"/>
  <c r="I109" i="23" s="1"/>
  <c r="K45" i="23"/>
  <c r="K77" i="23" s="1"/>
  <c r="K109" i="23" s="1"/>
  <c r="M45" i="23"/>
  <c r="M77" i="23" s="1"/>
  <c r="M109" i="23" s="1"/>
  <c r="S45" i="23"/>
  <c r="S77" i="23" s="1"/>
  <c r="S109" i="23" s="1"/>
  <c r="H46" i="23"/>
  <c r="H78" i="23" s="1"/>
  <c r="H110" i="23" s="1"/>
  <c r="G46" i="23"/>
  <c r="G78" i="23" s="1"/>
  <c r="G110" i="23" s="1"/>
  <c r="S46" i="23"/>
  <c r="S78" i="23" s="1"/>
  <c r="S110" i="23" s="1"/>
  <c r="P46" i="23"/>
  <c r="P78" i="23" s="1"/>
  <c r="P110" i="23" s="1"/>
  <c r="M46" i="23"/>
  <c r="M78" i="23" s="1"/>
  <c r="M110" i="23" s="1"/>
  <c r="K46" i="23"/>
  <c r="K78" i="23" s="1"/>
  <c r="K110" i="23" s="1"/>
  <c r="N46" i="23"/>
  <c r="N78" i="23" s="1"/>
  <c r="N110" i="23" s="1"/>
  <c r="H47" i="23"/>
  <c r="H79" i="23" s="1"/>
  <c r="H111" i="23" s="1"/>
  <c r="K47" i="23"/>
  <c r="K79" i="23" s="1"/>
  <c r="K111" i="23" s="1"/>
  <c r="N47" i="23"/>
  <c r="N79" i="23" s="1"/>
  <c r="N111" i="23" s="1"/>
  <c r="S47" i="23"/>
  <c r="S79" i="23" s="1"/>
  <c r="S111" i="23" s="1"/>
  <c r="P47" i="23"/>
  <c r="P79" i="23" s="1"/>
  <c r="P111" i="23" s="1"/>
  <c r="M47" i="23"/>
  <c r="M79" i="23" s="1"/>
  <c r="M111" i="23" s="1"/>
  <c r="F47" i="23"/>
  <c r="F79" i="23" s="1"/>
  <c r="F111" i="23" s="1"/>
  <c r="I41" i="23"/>
  <c r="I73" i="23" s="1"/>
  <c r="I105" i="23" s="1"/>
  <c r="J41" i="23"/>
  <c r="J73" i="23" s="1"/>
  <c r="J105" i="23" s="1"/>
  <c r="S41" i="23"/>
  <c r="S73" i="23" s="1"/>
  <c r="S105" i="23" s="1"/>
  <c r="P41" i="23"/>
  <c r="P73" i="23" s="1"/>
  <c r="P105" i="23" s="1"/>
  <c r="G41" i="23"/>
  <c r="G73" i="23" s="1"/>
  <c r="G105" i="23" s="1"/>
  <c r="J42" i="23"/>
  <c r="J74" i="23" s="1"/>
  <c r="J106" i="23" s="1"/>
  <c r="G42" i="23"/>
  <c r="G74" i="23" s="1"/>
  <c r="G106" i="23" s="1"/>
  <c r="H42" i="23"/>
  <c r="H74" i="23" s="1"/>
  <c r="H106" i="23" s="1"/>
  <c r="P42" i="23"/>
  <c r="P74" i="23" s="1"/>
  <c r="P106" i="23" s="1"/>
  <c r="S42" i="23"/>
  <c r="S74" i="23" s="1"/>
  <c r="S106" i="23" s="1"/>
  <c r="S40" i="23"/>
  <c r="S72" i="23" s="1"/>
  <c r="S104" i="23" s="1"/>
  <c r="P40" i="23"/>
  <c r="P72" i="23" s="1"/>
  <c r="P104" i="23" s="1"/>
  <c r="H40" i="23"/>
  <c r="H72" i="23" s="1"/>
  <c r="H104" i="23" s="1"/>
  <c r="L40" i="23"/>
  <c r="L72" i="23" s="1"/>
  <c r="L104" i="23" s="1"/>
  <c r="F40" i="23"/>
  <c r="F72" i="23" s="1"/>
  <c r="F104" i="23" s="1"/>
  <c r="P43" i="32"/>
  <c r="P75" i="32" s="1"/>
  <c r="P107" i="32" s="1"/>
  <c r="L43" i="32"/>
  <c r="L75" i="32" s="1"/>
  <c r="L107" i="32" s="1"/>
  <c r="S43" i="32"/>
  <c r="S75" i="32" s="1"/>
  <c r="S107" i="32" s="1"/>
  <c r="K43" i="32"/>
  <c r="K75" i="32" s="1"/>
  <c r="K107" i="32" s="1"/>
  <c r="N43" i="32"/>
  <c r="N75" i="32" s="1"/>
  <c r="N107" i="32" s="1"/>
  <c r="J127" i="32"/>
  <c r="I19" i="2" s="1"/>
  <c r="R127" i="32"/>
  <c r="Q19" i="2" s="1"/>
  <c r="G127" i="31"/>
  <c r="F18" i="2" s="1"/>
  <c r="P134" i="30"/>
  <c r="O17" i="2" s="1"/>
  <c r="G134" i="30"/>
  <c r="F17" i="2" s="1"/>
  <c r="O134" i="30"/>
  <c r="N17" i="2" s="1"/>
  <c r="G130" i="29"/>
  <c r="F16" i="2" s="1"/>
  <c r="H130" i="29"/>
  <c r="G16" i="2" s="1"/>
  <c r="K130" i="29"/>
  <c r="J16" i="2" s="1"/>
  <c r="S130" i="29"/>
  <c r="R16" i="2" s="1"/>
  <c r="Q130" i="29"/>
  <c r="P16" i="2" s="1"/>
  <c r="R130" i="29"/>
  <c r="Q16" i="2" s="1"/>
  <c r="O130" i="29"/>
  <c r="N16" i="2" s="1"/>
  <c r="P130" i="29"/>
  <c r="O16" i="2" s="1"/>
  <c r="P127" i="28"/>
  <c r="O15" i="2" s="1"/>
  <c r="R127" i="27"/>
  <c r="Q14" i="2" s="1"/>
  <c r="G127" i="27"/>
  <c r="F14" i="2" s="1"/>
  <c r="J127" i="27"/>
  <c r="I14" i="2" s="1"/>
  <c r="E127" i="26"/>
  <c r="D13" i="2" s="1"/>
  <c r="G127" i="25"/>
  <c r="F12" i="2" s="1"/>
  <c r="O127" i="25"/>
  <c r="N12" i="2" s="1"/>
  <c r="S127" i="25"/>
  <c r="R12" i="2" s="1"/>
  <c r="Q127" i="24"/>
  <c r="P11" i="2" s="1"/>
  <c r="L127" i="24"/>
  <c r="K11" i="2" s="1"/>
  <c r="G127" i="23"/>
  <c r="F10" i="2" s="1"/>
  <c r="M127" i="23"/>
  <c r="L10" i="2" s="1"/>
  <c r="L127" i="22"/>
  <c r="K9" i="2" s="1"/>
  <c r="T127" i="22"/>
  <c r="S9" i="2" s="1"/>
  <c r="J127" i="21"/>
  <c r="I8" i="2" s="1"/>
  <c r="R127" i="21"/>
  <c r="Q8" i="2" s="1"/>
  <c r="G127" i="21"/>
  <c r="F8" i="2" s="1"/>
  <c r="O127" i="21"/>
  <c r="N8" i="2" s="1"/>
  <c r="L132" i="20"/>
  <c r="K7" i="2" s="1"/>
  <c r="T132" i="20"/>
  <c r="S7" i="2" s="1"/>
  <c r="S132" i="20"/>
  <c r="R7" i="2" s="1"/>
  <c r="G132" i="20"/>
  <c r="F7" i="2" s="1"/>
  <c r="G127" i="19"/>
  <c r="F6" i="2" s="1"/>
  <c r="J127" i="19"/>
  <c r="I6" i="2" s="1"/>
  <c r="O127" i="19"/>
  <c r="N6" i="2" s="1"/>
  <c r="Q130" i="18"/>
  <c r="P5" i="2" s="1"/>
  <c r="K130" i="18"/>
  <c r="J5" i="2" s="1"/>
  <c r="G130" i="18"/>
  <c r="F5" i="2" s="1"/>
  <c r="M132" i="20" l="1"/>
  <c r="L7" i="2" s="1"/>
  <c r="H132" i="20"/>
  <c r="G7" i="2" s="1"/>
  <c r="I127" i="23"/>
  <c r="H10" i="2" s="1"/>
  <c r="M127" i="26"/>
  <c r="L13" i="2" s="1"/>
  <c r="N127" i="21"/>
  <c r="M8" i="2" s="1"/>
  <c r="H127" i="32"/>
  <c r="G19" i="2" s="1"/>
  <c r="I127" i="31"/>
  <c r="H18" i="2" s="1"/>
  <c r="S127" i="31"/>
  <c r="R18" i="2" s="1"/>
  <c r="L127" i="31"/>
  <c r="K18" i="2" s="1"/>
  <c r="M127" i="31"/>
  <c r="L18" i="2" s="1"/>
  <c r="Q127" i="27"/>
  <c r="P14" i="2" s="1"/>
  <c r="O127" i="26"/>
  <c r="N13" i="2" s="1"/>
  <c r="I127" i="26"/>
  <c r="H13" i="2" s="1"/>
  <c r="H127" i="26"/>
  <c r="G13" i="2" s="1"/>
  <c r="L127" i="26"/>
  <c r="K13" i="2" s="1"/>
  <c r="J127" i="23"/>
  <c r="I10" i="2" s="1"/>
  <c r="R127" i="23"/>
  <c r="Q10" i="2" s="1"/>
  <c r="P127" i="22"/>
  <c r="O9" i="2" s="1"/>
  <c r="N127" i="22"/>
  <c r="M9" i="2" s="1"/>
  <c r="J127" i="22"/>
  <c r="I9" i="2" s="1"/>
  <c r="H127" i="22"/>
  <c r="G9" i="2" s="1"/>
  <c r="R127" i="22"/>
  <c r="Q9" i="2" s="1"/>
  <c r="M127" i="21"/>
  <c r="L8" i="2" s="1"/>
  <c r="K127" i="25"/>
  <c r="J12" i="2" s="1"/>
  <c r="Q127" i="25"/>
  <c r="P12" i="2" s="1"/>
  <c r="M127" i="25"/>
  <c r="L12" i="2" s="1"/>
  <c r="I127" i="25"/>
  <c r="H12" i="2" s="1"/>
  <c r="E127" i="25"/>
  <c r="D12" i="2" s="1"/>
  <c r="G127" i="28"/>
  <c r="F15" i="2" s="1"/>
  <c r="F127" i="28"/>
  <c r="E15" i="2" s="1"/>
  <c r="I127" i="28"/>
  <c r="H15" i="2" s="1"/>
  <c r="P127" i="24"/>
  <c r="O11" i="2" s="1"/>
  <c r="R127" i="24"/>
  <c r="Q11" i="2" s="1"/>
  <c r="N130" i="18"/>
  <c r="M5" i="2" s="1"/>
  <c r="H130" i="18"/>
  <c r="G5" i="2" s="1"/>
  <c r="S130" i="18"/>
  <c r="R5" i="2" s="1"/>
  <c r="R130" i="18"/>
  <c r="Q5" i="2" s="1"/>
  <c r="J130" i="18"/>
  <c r="I5" i="2" s="1"/>
  <c r="T127" i="19"/>
  <c r="S6" i="2" s="1"/>
  <c r="F127" i="19"/>
  <c r="E6" i="2" s="1"/>
  <c r="E127" i="19"/>
  <c r="D6" i="2" s="1"/>
  <c r="L127" i="19"/>
  <c r="K6" i="2" s="1"/>
  <c r="Q127" i="19"/>
  <c r="P6" i="2" s="1"/>
  <c r="T130" i="29"/>
  <c r="S16" i="2" s="1"/>
  <c r="L130" i="29"/>
  <c r="K16" i="2" s="1"/>
  <c r="N130" i="29"/>
  <c r="M16" i="2" s="1"/>
  <c r="I130" i="29"/>
  <c r="H16" i="2" s="1"/>
  <c r="F130" i="29"/>
  <c r="E16" i="2" s="1"/>
  <c r="N127" i="27"/>
  <c r="M14" i="2" s="1"/>
  <c r="F127" i="27"/>
  <c r="E14" i="2" s="1"/>
  <c r="T127" i="27"/>
  <c r="S14" i="2" s="1"/>
  <c r="K134" i="30"/>
  <c r="J17" i="2" s="1"/>
  <c r="M134" i="30"/>
  <c r="L17" i="2" s="1"/>
  <c r="Q134" i="30"/>
  <c r="P17" i="2" s="1"/>
  <c r="E134" i="30"/>
  <c r="D17" i="2" s="1"/>
  <c r="I134" i="30"/>
  <c r="H17" i="2" s="1"/>
  <c r="N127" i="32"/>
  <c r="M19" i="2" s="1"/>
  <c r="T127" i="32"/>
  <c r="S19" i="2" s="1"/>
  <c r="P127" i="32"/>
  <c r="O19" i="2" s="1"/>
  <c r="F127" i="32"/>
  <c r="E19" i="2" s="1"/>
  <c r="L127" i="32"/>
  <c r="K19" i="2" s="1"/>
  <c r="Q127" i="32"/>
  <c r="P19" i="2" s="1"/>
  <c r="M127" i="32"/>
  <c r="L19" i="2" s="1"/>
  <c r="S127" i="32"/>
  <c r="R19" i="2" s="1"/>
  <c r="I127" i="32"/>
  <c r="H19" i="2" s="1"/>
  <c r="E127" i="32"/>
  <c r="D19" i="2" s="1"/>
  <c r="K127" i="32"/>
  <c r="J19" i="2" s="1"/>
  <c r="O127" i="32"/>
  <c r="N19" i="2" s="1"/>
  <c r="G127" i="32"/>
  <c r="F19" i="2" s="1"/>
  <c r="J127" i="31"/>
  <c r="I18" i="2" s="1"/>
  <c r="E127" i="31"/>
  <c r="D18" i="2" s="1"/>
  <c r="K127" i="31"/>
  <c r="J18" i="2" s="1"/>
  <c r="P127" i="31"/>
  <c r="O18" i="2" s="1"/>
  <c r="H127" i="31"/>
  <c r="G18" i="2" s="1"/>
  <c r="N127" i="31"/>
  <c r="M18" i="2" s="1"/>
  <c r="R127" i="31"/>
  <c r="Q18" i="2" s="1"/>
  <c r="F127" i="31"/>
  <c r="E18" i="2" s="1"/>
  <c r="T127" i="31"/>
  <c r="S18" i="2" s="1"/>
  <c r="Q127" i="31"/>
  <c r="P18" i="2" s="1"/>
  <c r="O127" i="31"/>
  <c r="N18" i="2" s="1"/>
  <c r="S134" i="30"/>
  <c r="R17" i="2" s="1"/>
  <c r="T134" i="30"/>
  <c r="S17" i="2" s="1"/>
  <c r="N134" i="30"/>
  <c r="M17" i="2" s="1"/>
  <c r="R134" i="30"/>
  <c r="Q17" i="2" s="1"/>
  <c r="L134" i="30"/>
  <c r="K17" i="2" s="1"/>
  <c r="J134" i="30"/>
  <c r="I17" i="2" s="1"/>
  <c r="F134" i="30"/>
  <c r="E17" i="2" s="1"/>
  <c r="H134" i="30"/>
  <c r="G17" i="2" s="1"/>
  <c r="M130" i="29"/>
  <c r="L16" i="2" s="1"/>
  <c r="J130" i="29"/>
  <c r="I16" i="2" s="1"/>
  <c r="E130" i="29"/>
  <c r="D16" i="2" s="1"/>
  <c r="S127" i="28"/>
  <c r="R15" i="2" s="1"/>
  <c r="O127" i="28"/>
  <c r="N15" i="2" s="1"/>
  <c r="K127" i="28"/>
  <c r="J15" i="2" s="1"/>
  <c r="Q127" i="28"/>
  <c r="P15" i="2" s="1"/>
  <c r="H127" i="28"/>
  <c r="G15" i="2" s="1"/>
  <c r="T127" i="28"/>
  <c r="S15" i="2" s="1"/>
  <c r="R127" i="28"/>
  <c r="Q15" i="2" s="1"/>
  <c r="M127" i="28"/>
  <c r="L15" i="2" s="1"/>
  <c r="N127" i="28"/>
  <c r="M15" i="2" s="1"/>
  <c r="L127" i="28"/>
  <c r="K15" i="2" s="1"/>
  <c r="J127" i="28"/>
  <c r="I15" i="2" s="1"/>
  <c r="E127" i="28"/>
  <c r="D15" i="2" s="1"/>
  <c r="E127" i="27"/>
  <c r="D14" i="2" s="1"/>
  <c r="S127" i="27"/>
  <c r="R14" i="2" s="1"/>
  <c r="P127" i="27"/>
  <c r="O14" i="2" s="1"/>
  <c r="I127" i="27"/>
  <c r="H14" i="2" s="1"/>
  <c r="K127" i="27"/>
  <c r="J14" i="2" s="1"/>
  <c r="H127" i="27"/>
  <c r="G14" i="2" s="1"/>
  <c r="L127" i="27"/>
  <c r="K14" i="2" s="1"/>
  <c r="M127" i="27"/>
  <c r="L14" i="2" s="1"/>
  <c r="O127" i="27"/>
  <c r="N14" i="2" s="1"/>
  <c r="Q127" i="26"/>
  <c r="P13" i="2" s="1"/>
  <c r="T127" i="26"/>
  <c r="S13" i="2" s="1"/>
  <c r="N127" i="26"/>
  <c r="M13" i="2" s="1"/>
  <c r="R127" i="26"/>
  <c r="Q13" i="2" s="1"/>
  <c r="S127" i="26"/>
  <c r="R13" i="2" s="1"/>
  <c r="J127" i="26"/>
  <c r="I13" i="2" s="1"/>
  <c r="P127" i="26"/>
  <c r="O13" i="2" s="1"/>
  <c r="F127" i="26"/>
  <c r="E13" i="2" s="1"/>
  <c r="K127" i="26"/>
  <c r="J13" i="2" s="1"/>
  <c r="G127" i="26"/>
  <c r="F13" i="2" s="1"/>
  <c r="T127" i="25"/>
  <c r="S12" i="2" s="1"/>
  <c r="R127" i="25"/>
  <c r="Q12" i="2" s="1"/>
  <c r="P127" i="25"/>
  <c r="O12" i="2" s="1"/>
  <c r="L127" i="25"/>
  <c r="K12" i="2" s="1"/>
  <c r="J127" i="25"/>
  <c r="I12" i="2" s="1"/>
  <c r="H127" i="25"/>
  <c r="G12" i="2" s="1"/>
  <c r="N127" i="25"/>
  <c r="M12" i="2" s="1"/>
  <c r="F127" i="25"/>
  <c r="E12" i="2" s="1"/>
  <c r="J127" i="24"/>
  <c r="I11" i="2" s="1"/>
  <c r="F127" i="24"/>
  <c r="E11" i="2" s="1"/>
  <c r="T127" i="24"/>
  <c r="S11" i="2" s="1"/>
  <c r="M127" i="24"/>
  <c r="L11" i="2" s="1"/>
  <c r="E127" i="24"/>
  <c r="D11" i="2" s="1"/>
  <c r="H127" i="24"/>
  <c r="G11" i="2" s="1"/>
  <c r="S127" i="24"/>
  <c r="R11" i="2" s="1"/>
  <c r="O127" i="24"/>
  <c r="N11" i="2" s="1"/>
  <c r="K127" i="24"/>
  <c r="J11" i="2" s="1"/>
  <c r="I127" i="24"/>
  <c r="H11" i="2" s="1"/>
  <c r="N127" i="24"/>
  <c r="M11" i="2" s="1"/>
  <c r="G127" i="24"/>
  <c r="F11" i="2" s="1"/>
  <c r="S127" i="23"/>
  <c r="R10" i="2" s="1"/>
  <c r="E127" i="23"/>
  <c r="D10" i="2" s="1"/>
  <c r="H127" i="23"/>
  <c r="G10" i="2" s="1"/>
  <c r="T127" i="23"/>
  <c r="S10" i="2" s="1"/>
  <c r="Q127" i="23"/>
  <c r="P10" i="2" s="1"/>
  <c r="F127" i="23"/>
  <c r="E10" i="2" s="1"/>
  <c r="O127" i="23"/>
  <c r="N10" i="2" s="1"/>
  <c r="K127" i="23"/>
  <c r="J10" i="2" s="1"/>
  <c r="L127" i="23"/>
  <c r="K10" i="2" s="1"/>
  <c r="P127" i="23"/>
  <c r="O10" i="2" s="1"/>
  <c r="N127" i="23"/>
  <c r="M10" i="2" s="1"/>
  <c r="Q127" i="22"/>
  <c r="P9" i="2" s="1"/>
  <c r="S127" i="22"/>
  <c r="R9" i="2" s="1"/>
  <c r="E127" i="22"/>
  <c r="D9" i="2" s="1"/>
  <c r="K127" i="22"/>
  <c r="J9" i="2" s="1"/>
  <c r="M127" i="22"/>
  <c r="L9" i="2" s="1"/>
  <c r="O127" i="22"/>
  <c r="N9" i="2" s="1"/>
  <c r="I127" i="22"/>
  <c r="H9" i="2" s="1"/>
  <c r="F127" i="22"/>
  <c r="E9" i="2" s="1"/>
  <c r="G127" i="22"/>
  <c r="F9" i="2" s="1"/>
  <c r="H127" i="21"/>
  <c r="G8" i="2" s="1"/>
  <c r="F127" i="21"/>
  <c r="E8" i="2" s="1"/>
  <c r="T127" i="21"/>
  <c r="S8" i="2" s="1"/>
  <c r="Q127" i="21"/>
  <c r="P8" i="2" s="1"/>
  <c r="P127" i="21"/>
  <c r="O8" i="2" s="1"/>
  <c r="L127" i="21"/>
  <c r="K8" i="2" s="1"/>
  <c r="I127" i="21"/>
  <c r="H8" i="2" s="1"/>
  <c r="E127" i="21"/>
  <c r="D8" i="2" s="1"/>
  <c r="S127" i="21"/>
  <c r="R8" i="2" s="1"/>
  <c r="K127" i="21"/>
  <c r="J8" i="2" s="1"/>
  <c r="I132" i="20"/>
  <c r="H7" i="2" s="1"/>
  <c r="F132" i="20"/>
  <c r="E7" i="2" s="1"/>
  <c r="J132" i="20"/>
  <c r="I7" i="2" s="1"/>
  <c r="P132" i="20"/>
  <c r="O7" i="2" s="1"/>
  <c r="K132" i="20"/>
  <c r="J7" i="2" s="1"/>
  <c r="O132" i="20"/>
  <c r="N7" i="2" s="1"/>
  <c r="Q132" i="20"/>
  <c r="P7" i="2" s="1"/>
  <c r="N132" i="20"/>
  <c r="M7" i="2" s="1"/>
  <c r="R132" i="20"/>
  <c r="Q7" i="2" s="1"/>
  <c r="E132" i="20"/>
  <c r="D7" i="2" s="1"/>
  <c r="R127" i="19"/>
  <c r="Q6" i="2" s="1"/>
  <c r="I127" i="19"/>
  <c r="H6" i="2" s="1"/>
  <c r="M127" i="19"/>
  <c r="L6" i="2" s="1"/>
  <c r="S127" i="19"/>
  <c r="R6" i="2" s="1"/>
  <c r="P127" i="19"/>
  <c r="O6" i="2" s="1"/>
  <c r="N127" i="19"/>
  <c r="M6" i="2" s="1"/>
  <c r="K127" i="19"/>
  <c r="J6" i="2" s="1"/>
  <c r="H127" i="19"/>
  <c r="G6" i="2" s="1"/>
  <c r="F130" i="18"/>
  <c r="E5" i="2" s="1"/>
  <c r="T130" i="18"/>
  <c r="S5" i="2" s="1"/>
  <c r="I130" i="18"/>
  <c r="H5" i="2" s="1"/>
  <c r="P130" i="18"/>
  <c r="O5" i="2" s="1"/>
  <c r="L130" i="18"/>
  <c r="K5" i="2" s="1"/>
  <c r="E130" i="18"/>
  <c r="D5" i="2" s="1"/>
  <c r="O130" i="18"/>
  <c r="N5" i="2" s="1"/>
  <c r="M130" i="18"/>
  <c r="L5" i="2" s="1"/>
  <c r="B3" i="1"/>
  <c r="G127" i="1" l="1"/>
  <c r="F4" i="2" s="1"/>
  <c r="F21" i="2" s="1"/>
  <c r="P127" i="1"/>
  <c r="O4" i="2" s="1"/>
  <c r="O21" i="2" s="1"/>
  <c r="N127" i="1"/>
  <c r="M4" i="2" s="1"/>
  <c r="M21" i="2" s="1"/>
  <c r="T127" i="1" l="1"/>
  <c r="S4" i="2" s="1"/>
  <c r="S21" i="2" s="1"/>
  <c r="R127" i="1"/>
  <c r="Q4" i="2" s="1"/>
  <c r="Q21" i="2" s="1"/>
  <c r="M127" i="1"/>
  <c r="L4" i="2" s="1"/>
  <c r="L21" i="2" s="1"/>
  <c r="Q127" i="1"/>
  <c r="P4" i="2" s="1"/>
  <c r="P21" i="2" s="1"/>
  <c r="F127" i="1"/>
  <c r="E4" i="2" s="1"/>
  <c r="E21" i="2" s="1"/>
  <c r="L127" i="1"/>
  <c r="K4" i="2" s="1"/>
  <c r="K21" i="2" s="1"/>
  <c r="H127" i="1"/>
  <c r="G4" i="2" s="1"/>
  <c r="G21" i="2" s="1"/>
  <c r="J127" i="1"/>
  <c r="I4" i="2" s="1"/>
  <c r="I21" i="2" s="1"/>
  <c r="I127" i="1"/>
  <c r="H4" i="2" s="1"/>
  <c r="H21" i="2" s="1"/>
  <c r="E127" i="1"/>
  <c r="D4" i="2" s="1"/>
  <c r="D21" i="2" s="1"/>
  <c r="K127" i="1"/>
  <c r="J4" i="2" s="1"/>
  <c r="J21" i="2" s="1"/>
  <c r="S127" i="1"/>
  <c r="R4" i="2" s="1"/>
  <c r="R21" i="2" s="1"/>
  <c r="O127" i="1"/>
  <c r="N4" i="2" s="1"/>
  <c r="N21" i="2" s="1"/>
  <c r="H22" i="2" l="1"/>
  <c r="H23" i="2" s="1"/>
</calcChain>
</file>

<file path=xl/sharedStrings.xml><?xml version="1.0" encoding="utf-8"?>
<sst xmlns="http://schemas.openxmlformats.org/spreadsheetml/2006/main" count="2009" uniqueCount="199">
  <si>
    <t>PROGRAMA DE MANUTENÇÃORODOVIÁRIA</t>
  </si>
  <si>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</si>
  <si>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</si>
  <si>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</si>
  <si>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</si>
  <si>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</si>
  <si>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</si>
  <si>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</si>
  <si>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</si>
  <si>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</si>
  <si>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</si>
  <si>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</si>
  <si>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</si>
  <si>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</si>
  <si>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</si>
  <si>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</si>
  <si>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</si>
  <si>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</si>
  <si>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</si>
  <si>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</si>
  <si>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</si>
  <si>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</si>
  <si>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</si>
  <si>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</si>
  <si>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</si>
  <si>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</si>
  <si>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</si>
  <si>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</si>
  <si>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</si>
  <si>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</si>
  <si>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</si>
  <si>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</si>
  <si>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</si>
  <si>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</si>
  <si>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</si>
  <si>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</si>
  <si>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</si>
  <si>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</si>
  <si>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</si>
  <si>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FICHA DE INSPEÇÃO:</t>
  </si>
  <si>
    <t>246</t>
  </si>
  <si>
    <t>RODOVIA TO-040 - TRECHO ALMAS - PORTO ALEGRE DO TOCANTINS</t>
  </si>
  <si>
    <t>247</t>
  </si>
  <si>
    <t>RODOVIA TO-040 - TRECHO DIANÓPOLIS - NOVO JARDIM</t>
  </si>
  <si>
    <t>248</t>
  </si>
  <si>
    <t>RODOVIA TO-040 - TRECHO NOVO JARDIM - DIVISA TO-BA</t>
  </si>
  <si>
    <t>249</t>
  </si>
  <si>
    <t>RODOVIA TO-040 - TRECHO PORTO ALEGRE DO TOCANTINS - DIANÓPOLIS</t>
  </si>
  <si>
    <t>250</t>
  </si>
  <si>
    <t>RODOVIA TO-050 - TRECHO ARRAIAS - DIVISA TO-GO</t>
  </si>
  <si>
    <t>251</t>
  </si>
  <si>
    <t>RODOVIA TO-050 - TRECHO CONCEIÇÃO DO TOCANTINS - ARRAIAS</t>
  </si>
  <si>
    <t>252</t>
  </si>
  <si>
    <t>RODOVIA TO-050 - TRECHO ENTR. BR-010 (POVOADO PRÍNCIPE) - CONCEIÇÃO DO TOCANTINS</t>
  </si>
  <si>
    <t>253</t>
  </si>
  <si>
    <t>RODOVIA TO-110 - TRECHO AURORA DO TOCANTINS - LAVANDEIRA</t>
  </si>
  <si>
    <t>254</t>
  </si>
  <si>
    <t>RODOVIA TO-110 - TRECHO COMBINADO - NOVO ALEGRE - DIVISA TO-GO</t>
  </si>
  <si>
    <t>255</t>
  </si>
  <si>
    <t>RODOVIA TO-110 - TRECHO ENTR. TO-040 (DIANÓPOLIS) - DIVISA TO-BA (GARGANTA)</t>
  </si>
  <si>
    <t>256</t>
  </si>
  <si>
    <t>RODOVIA TO-110 - TRECHO ENTR. TO-040 - PONTE ALTA DO BOM JESUS</t>
  </si>
  <si>
    <t>257</t>
  </si>
  <si>
    <t>RODOVIA TO-110 - TRECHO LAVANDEIRA - COMBINADO</t>
  </si>
  <si>
    <t>258</t>
  </si>
  <si>
    <t>RODOVIA TO-110 - TRECHO PONTE ALTA DO BOM JESUS - ENTR. BR-242(TAGUATINGA)</t>
  </si>
  <si>
    <t>259</t>
  </si>
  <si>
    <t>RODOVIA TO-110 - TRECHO TAGUATINGA - AURORA DO TOCANTINS</t>
  </si>
  <si>
    <t>265</t>
  </si>
  <si>
    <t>RODOVIA TO-387 - TRECHO ENTR. TO-040 - TAIPAS DO TOCANTINS</t>
  </si>
  <si>
    <t>266</t>
  </si>
  <si>
    <t>RODOVIA TO-476 - TRECHO RIO DA CONCEIÇÃO - DIANÓPOLIS</t>
  </si>
  <si>
    <t>PERCORRIDO NO MÊS</t>
  </si>
  <si>
    <t>TOTAL</t>
  </si>
  <si>
    <t>% DA EXTENSÃO DA MALHA:</t>
  </si>
  <si>
    <t>LOTE</t>
  </si>
  <si>
    <t>S.R.E</t>
  </si>
  <si>
    <t>TIPO</t>
  </si>
  <si>
    <t>040ETO0150</t>
  </si>
  <si>
    <t>ENTR. TO-280 (ALMAS) - ENTR. TO-477</t>
  </si>
  <si>
    <t>PPS</t>
  </si>
  <si>
    <t>040ETO0160</t>
  </si>
  <si>
    <t>ENTR. TO-477 - PORTO ALEGRE DO TOCANTINS</t>
  </si>
  <si>
    <t>040ETO0190</t>
  </si>
  <si>
    <t>ENTR. TO-476 (DIANÓPOLIS) - ENTR. TO-387-TO-110</t>
  </si>
  <si>
    <t>040ETO0200</t>
  </si>
  <si>
    <t>ENTR. TO-387-TO-110 - AMARALINA</t>
  </si>
  <si>
    <t>040ETO0210</t>
  </si>
  <si>
    <t>AMARALINA - NOVO JARDIM</t>
  </si>
  <si>
    <t>040ETO0220</t>
  </si>
  <si>
    <t>NOVO JARDIM - ENTR. TO-110</t>
  </si>
  <si>
    <t>040ETO0230</t>
  </si>
  <si>
    <t>ENTR. TO-110 - DIV TO-BA</t>
  </si>
  <si>
    <t>ACESSO</t>
  </si>
  <si>
    <t>ENTR. TO-040 - PROJETO MANOEL ALVES</t>
  </si>
  <si>
    <t>040ETO0170</t>
  </si>
  <si>
    <t>PORTO ALEGRE DO TOCANTINS - ENTR.TO-387</t>
  </si>
  <si>
    <t>040ETO0180</t>
  </si>
  <si>
    <t>ENTR.TO-387 - ENTR.TO-476 (DIANÓPOLIS)</t>
  </si>
  <si>
    <t>050ETO0270</t>
  </si>
  <si>
    <t>ARRAIAS (ACESSO SUL) - ENTR. TO-499</t>
  </si>
  <si>
    <t>050ETO0280</t>
  </si>
  <si>
    <t>ENTR. TO-499 - ENTR. TO-296</t>
  </si>
  <si>
    <t>050ETO0290</t>
  </si>
  <si>
    <t>ENTR. TO-296 - DIV TO-GO</t>
  </si>
  <si>
    <t>050ETO0230</t>
  </si>
  <si>
    <t>CONCEIÇÃO DO TOCANTINS - ENTR. BR-242</t>
  </si>
  <si>
    <t>050ETO0240</t>
  </si>
  <si>
    <t>ENTR. BR-242 - ENTR. TO-296</t>
  </si>
  <si>
    <t>050ETO0250</t>
  </si>
  <si>
    <t>ENTR. TO-296 - ARRAIAS (ACESSO NORTE)</t>
  </si>
  <si>
    <t>050ETO0260</t>
  </si>
  <si>
    <t>ARRAIAS (ACESSO NORTE) - ARRAIAS (ACESSO SUL)</t>
  </si>
  <si>
    <t>387ETO0071</t>
  </si>
  <si>
    <t>CONCEIÇÃO DO TOCANTINS *TRECHO URBANO*</t>
  </si>
  <si>
    <t>PSU</t>
  </si>
  <si>
    <t>050ETO0210</t>
  </si>
  <si>
    <t>ENTR. BR-010 (PRÍNCIPE) - ENTR. TO-387</t>
  </si>
  <si>
    <t>050ETO0220</t>
  </si>
  <si>
    <t>ENTR. TO-387 - CONCEIÇÃO DO TOCANTINS</t>
  </si>
  <si>
    <t>110ETO0330</t>
  </si>
  <si>
    <t>AURORA DO TOCANTINS *TRECHO URBANO* - LAVANDEIRA</t>
  </si>
  <si>
    <t>110ETO0341</t>
  </si>
  <si>
    <t>COMBINADO *TRECHO URBANO*</t>
  </si>
  <si>
    <t>110ETO0370</t>
  </si>
  <si>
    <t>COMBINADO *TRECHO URBANO* - NOVO ALEGRE *TRECHO URBANO*</t>
  </si>
  <si>
    <t>110ETO0390</t>
  </si>
  <si>
    <t>NOVO ALEGRE *TRECHO URBANO* - DIV TO-GO</t>
  </si>
  <si>
    <t>110ETO0110</t>
  </si>
  <si>
    <t>GARGANTA - ENTR. TO-040-TO-280</t>
  </si>
  <si>
    <t>110ETO0150</t>
  </si>
  <si>
    <t>ENTR. TO-040 - CABECEIRINHA</t>
  </si>
  <si>
    <t>110ETO0160</t>
  </si>
  <si>
    <t>CABECEIRINHA - IPANEMA</t>
  </si>
  <si>
    <t>110ETO0170</t>
  </si>
  <si>
    <t>IPANEMA - BOA VISTA DE BELÉM</t>
  </si>
  <si>
    <t>110ETO0180</t>
  </si>
  <si>
    <t>BOA VISTA DE BELÉM - ENTR. TO-485</t>
  </si>
  <si>
    <t>110ETO0190</t>
  </si>
  <si>
    <t>ENTR. TO-485 - PONTE ALTA DO BOM JESUS *TRECHO URBANO*</t>
  </si>
  <si>
    <t>110ETO0340</t>
  </si>
  <si>
    <t>LAVANDEIRA - COMBINADO *TRECHO URBANO*</t>
  </si>
  <si>
    <t>110ETO0210</t>
  </si>
  <si>
    <t>PONTE ALTA DO BOM JESUS *TRECHO URBANO* - ALTAMIRA</t>
  </si>
  <si>
    <t>110ETO0220</t>
  </si>
  <si>
    <t>ALTAMIRA - SÃO GONÇALO</t>
  </si>
  <si>
    <t>110ETO0230</t>
  </si>
  <si>
    <t>SÃO GONÇALO - ENTR. BR-242 (A)</t>
  </si>
  <si>
    <t>110ETO0241</t>
  </si>
  <si>
    <t>TAGUATINGA *TRECHO URBANO*</t>
  </si>
  <si>
    <t>110ETO0270</t>
  </si>
  <si>
    <t>TAGUATINGA *TRECHO URBANO* - POV. SAPATEIRO</t>
  </si>
  <si>
    <t>110ETO0280</t>
  </si>
  <si>
    <t>POV. SAPATEIRO - ENTR. ACESSO POV. AZUIS</t>
  </si>
  <si>
    <t>110ETO0290</t>
  </si>
  <si>
    <t>ENTR. ACESSO POV. AZUIS - AURORA DO TOCANTINS *TRECHO URBANO*</t>
  </si>
  <si>
    <t>ENTR- TO-110 - RIO AZUIS</t>
  </si>
  <si>
    <t>387ETO0041</t>
  </si>
  <si>
    <t>INÍCIO PU TAIPAS - FIM PU TAIPAS</t>
  </si>
  <si>
    <t>476ETO0060</t>
  </si>
  <si>
    <t>RIO DA CONCEIÇÃO *TRECHO URBANO* - CATINGUEIRO</t>
  </si>
  <si>
    <t>476ETO0070</t>
  </si>
  <si>
    <t>CATINGUEIRO - ENTR. TO-040-TO-280-TO-387</t>
  </si>
  <si>
    <t>N.</t>
  </si>
  <si>
    <t>EXT. (KM)</t>
  </si>
  <si>
    <t>SUBTRECHOS</t>
  </si>
  <si>
    <t>REGIÃO:</t>
  </si>
  <si>
    <t>D</t>
  </si>
  <si>
    <t>X</t>
  </si>
  <si>
    <t>5,41 km</t>
  </si>
  <si>
    <t>19,23 km</t>
  </si>
  <si>
    <t>19,01 km</t>
  </si>
  <si>
    <t>3,63 km</t>
  </si>
  <si>
    <t>3,92 km</t>
  </si>
  <si>
    <t>19,87 km</t>
  </si>
  <si>
    <t>5,36 km</t>
  </si>
  <si>
    <t>3,77 km</t>
  </si>
  <si>
    <t>5,08 Km</t>
  </si>
  <si>
    <t>19,02 km</t>
  </si>
  <si>
    <t>9,17 km</t>
  </si>
  <si>
    <t>7,31 km</t>
  </si>
  <si>
    <t>C</t>
  </si>
  <si>
    <t>37,19 km</t>
  </si>
  <si>
    <t>15,56 km</t>
  </si>
  <si>
    <t>6,38 km</t>
  </si>
  <si>
    <t>6,52 km</t>
  </si>
  <si>
    <t>10,29 km</t>
  </si>
  <si>
    <t>1,17 km</t>
  </si>
  <si>
    <t>c</t>
  </si>
  <si>
    <t>33,95 km</t>
  </si>
  <si>
    <t>47,95 km</t>
  </si>
  <si>
    <t>3,65 km</t>
  </si>
  <si>
    <t>5,52 km</t>
  </si>
  <si>
    <t>1,40 km</t>
  </si>
  <si>
    <t xml:space="preserve">ACESSO </t>
  </si>
  <si>
    <t>1,09 km</t>
  </si>
  <si>
    <t>x</t>
  </si>
  <si>
    <t>RELAÇÃO DE TRECHOS PAVIMENTDOS R.13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</si>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</sst>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sz val="8"/>
      <name val="Aptos Narrow"/>
      <family val="2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4" fontId="11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" fontId="11" fillId="0" borderId="3" xfId="0" applyNumberFormat="1" applyFont="1" applyBorder="1" applyAlignment="1">
      <alignment vertical="center"/>
    </xf>
    <xf numFmtId="10" fontId="11" fillId="0" borderId="3" xfId="2" applyNumberFormat="1" applyFont="1" applyBorder="1" applyAlignment="1">
      <alignment vertical="center"/>
    </xf>
    <xf numFmtId="49" fontId="1" fillId="0" borderId="9" xfId="1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7" fontId="10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49" fontId="1" fillId="2" borderId="9" xfId="1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49" fontId="1" fillId="3" borderId="9" xfId="1" applyNumberFormat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49" fontId="1" fillId="3" borderId="10" xfId="1" applyNumberFormat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4" fontId="17" fillId="2" borderId="3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" fontId="17" fillId="2" borderId="5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4" fontId="17" fillId="3" borderId="11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4" fontId="17" fillId="3" borderId="3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4" fontId="17" fillId="3" borderId="5" xfId="0" applyNumberFormat="1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Normal" xfId="0" builtinId="0"/>
    <cellStyle name="Normal 9" xfId="1" xr:uid="{F8D9944F-528D-44D9-B95F-8DA620BB9BBD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08-4731-B368-CE0999294EE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08-4731-B368-CE0999294EE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08-4731-B368-CE0999294EE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08-4731-B368-CE0999294EE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08-4731-B368-CE0999294EE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08-4731-B368-CE0999294EE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08-4731-B368-CE0999294EE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'246'!$E$127:$I$127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14.870000000000001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08-4731-B368-CE0999294EE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708-4731-B368-CE0999294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708-4731-B368-CE0999294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708-4731-B368-CE0999294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708-4731-B368-CE0999294E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708-4731-B368-CE0999294EE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'246'!$E$127:$I$127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14.870000000000001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708-4731-B368-CE0999294EE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708-4731-B368-CE0999294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708-4731-B368-CE0999294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708-4731-B368-CE0999294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708-4731-B368-CE0999294E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708-4731-B368-CE0999294EE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'246'!$E$127:$I$127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14.870000000000001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708-4731-B368-CE0999294E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13-4BE5-A005-4EFF16BB1AB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13-4BE5-A005-4EFF16BB1AB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13-4BE5-A005-4EFF16BB1AB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'246'!$J$127:$K$127</c:f>
              <c:numCache>
                <c:formatCode>0.00</c:formatCode>
                <c:ptCount val="2"/>
                <c:pt idx="0">
                  <c:v>14.870000000000001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13-4BE5-A005-4EFF16BB1A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F13-4BE5-A005-4EFF16BB1AB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F13-4BE5-A005-4EFF16BB1AB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F13-4BE5-A005-4EFF16BB1AB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F13-4BE5-A005-4EFF16BB1AB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F13-4BE5-A005-4EFF16BB1AB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F13-4BE5-A005-4EFF16BB1AB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F13-4BE5-A005-4EFF16BB1AB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F13-4BE5-A005-4EFF16BB1AB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F13-4BE5-A005-4EFF16BB1AB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F13-4BE5-A005-4EFF16BB1AB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F13-4BE5-A005-4EFF16BB1AB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F13-4BE5-A005-4EFF16BB1AB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A5-4CB0-A7A6-85E46F3224B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A5-4CB0-A7A6-85E46F3224B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A5-4CB0-A7A6-85E46F3224B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A5-4CB0-A7A6-85E46F3224B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A5-4CB0-A7A6-85E46F3224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'246'!$L$127:$N$127</c:f>
              <c:numCache>
                <c:formatCode>0.00</c:formatCode>
                <c:ptCount val="3"/>
                <c:pt idx="0">
                  <c:v>0</c:v>
                </c:pt>
                <c:pt idx="1">
                  <c:v>14.870000000000001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5-4CB0-A7A6-85E46F3224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BD-46F0-9853-7DE68B26AE0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BD-46F0-9853-7DE68B26AE0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BD-46F0-9853-7DE68B26AE0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D-46F0-9853-7DE68B26AE0B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02070207020701"/>
                      <c:h val="8.73525261753867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CBD-46F0-9853-7DE68B26AE0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BD-46F0-9853-7DE68B26AE0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'246'!$O$127:$Q$127</c:f>
              <c:numCache>
                <c:formatCode>0.00</c:formatCode>
                <c:ptCount val="3"/>
                <c:pt idx="0">
                  <c:v>0</c:v>
                </c:pt>
                <c:pt idx="1">
                  <c:v>14.870000000000001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BD-46F0-9853-7DE68B26AE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3B-4A5D-9BB0-02CC90DCAD5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3B-4A5D-9BB0-02CC90DCAD5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3B-4A5D-9BB0-02CC90DCAD5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3B-4A5D-9BB0-02CC90DCAD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3B-4A5D-9BB0-02CC90DCAD5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'246'!$R$127:$T$127</c:f>
              <c:numCache>
                <c:formatCode>0.00</c:formatCode>
                <c:ptCount val="3"/>
                <c:pt idx="0">
                  <c:v>0</c:v>
                </c:pt>
                <c:pt idx="1">
                  <c:v>14.870000000000001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3B-4A5D-9BB0-02CC90DCAD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D3-4C8B-923A-E58324F0FC6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D3-4C8B-923A-E58324F0FC6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D3-4C8B-923A-E58324F0FC6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D3-4C8B-923A-E58324F0FC6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D3-4C8B-923A-E58324F0FC6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D3-4C8B-923A-E58324F0FC6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'247'!$E$130:$I$130</c:f>
              <c:numCache>
                <c:formatCode>0.00</c:formatCode>
                <c:ptCount val="5"/>
                <c:pt idx="0">
                  <c:v>0</c:v>
                </c:pt>
                <c:pt idx="1">
                  <c:v>16.68</c:v>
                </c:pt>
                <c:pt idx="2">
                  <c:v>19.36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D3-4C8B-923A-E58324F0FC6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DD3-4C8B-923A-E58324F0F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DD3-4C8B-923A-E58324F0F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DD3-4C8B-923A-E58324F0F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DD3-4C8B-923A-E58324F0FC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DD3-4C8B-923A-E58324F0FC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'247'!$E$130:$I$130</c:f>
              <c:numCache>
                <c:formatCode>0.00</c:formatCode>
                <c:ptCount val="5"/>
                <c:pt idx="0">
                  <c:v>0</c:v>
                </c:pt>
                <c:pt idx="1">
                  <c:v>16.68</c:v>
                </c:pt>
                <c:pt idx="2">
                  <c:v>19.36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DD3-4C8B-923A-E58324F0FC6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DD3-4C8B-923A-E58324F0F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DD3-4C8B-923A-E58324F0F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DD3-4C8B-923A-E58324F0F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DD3-4C8B-923A-E58324F0FC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DD3-4C8B-923A-E58324F0FC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'247'!$E$130:$I$130</c:f>
              <c:numCache>
                <c:formatCode>0.00</c:formatCode>
                <c:ptCount val="5"/>
                <c:pt idx="0">
                  <c:v>0</c:v>
                </c:pt>
                <c:pt idx="1">
                  <c:v>16.68</c:v>
                </c:pt>
                <c:pt idx="2">
                  <c:v>19.36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DD3-4C8B-923A-E58324F0FC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00-4112-8F87-E8482D6A6D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00-4112-8F87-E8482D6A6D68}"/>
              </c:ext>
            </c:extLst>
          </c:dPt>
          <c:dLbls>
            <c:dLbl>
              <c:idx val="1"/>
              <c:layout>
                <c:manualLayout>
                  <c:x val="7.570168492417681E-2"/>
                  <c:y val="-0.2678184946077434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75837682015325"/>
                      <c:h val="8.57489039752862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F00-4112-8F87-E8482D6A6D6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'247'!$J$130:$K$130</c:f>
              <c:numCache>
                <c:formatCode>0.00</c:formatCode>
                <c:ptCount val="2"/>
                <c:pt idx="0">
                  <c:v>36.04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0-4112-8F87-E8482D6A6D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F00-4112-8F87-E8482D6A6D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F00-4112-8F87-E8482D6A6D6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F00-4112-8F87-E8482D6A6D6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F00-4112-8F87-E8482D6A6D6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F00-4112-8F87-E8482D6A6D6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F00-4112-8F87-E8482D6A6D6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F00-4112-8F87-E8482D6A6D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F00-4112-8F87-E8482D6A6D6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F00-4112-8F87-E8482D6A6D6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F00-4112-8F87-E8482D6A6D6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F00-4112-8F87-E8482D6A6D6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F00-4112-8F87-E8482D6A6D6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80-4D5F-8861-E5C8EFE725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80-4D5F-8861-E5C8EFE725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80-4D5F-8861-E5C8EFE7251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80-4D5F-8861-E5C8EFE72511}"/>
                </c:ext>
              </c:extLst>
            </c:dLbl>
            <c:dLbl>
              <c:idx val="1"/>
              <c:layout>
                <c:manualLayout>
                  <c:x val="0"/>
                  <c:y val="-0.2650358172555372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52656546316058"/>
                      <c:h val="8.33948907743716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C80-4D5F-8861-E5C8EFE72511}"/>
                </c:ext>
              </c:extLst>
            </c:dLbl>
            <c:dLbl>
              <c:idx val="2"/>
              <c:layout>
                <c:manualLayout>
                  <c:x val="1.7462588169028508E-2"/>
                  <c:y val="9.6716844526592994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80-4D5F-8861-E5C8EFE725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'247'!$L$130:$N$130</c:f>
              <c:numCache>
                <c:formatCode>0.00</c:formatCode>
                <c:ptCount val="3"/>
                <c:pt idx="0">
                  <c:v>0</c:v>
                </c:pt>
                <c:pt idx="1">
                  <c:v>35.94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0-4D5F-8861-E5C8EFE725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E1-4177-9CE5-62EC03512D0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E1-4177-9CE5-62EC03512D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E1-4177-9CE5-62EC03512D0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1-4177-9CE5-62EC03512D0E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02280228022803"/>
                      <c:h val="9.18903197429393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7E1-4177-9CE5-62EC03512D0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E1-4177-9CE5-62EC03512D0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'247'!$O$130:$Q$130</c:f>
              <c:numCache>
                <c:formatCode>0.00</c:formatCode>
                <c:ptCount val="3"/>
                <c:pt idx="0">
                  <c:v>0</c:v>
                </c:pt>
                <c:pt idx="1">
                  <c:v>36.04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E1-4177-9CE5-62EC03512D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DF-4BC9-8B93-EDA7849BAD3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DF-4BC9-8B93-EDA7849BAD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DF-4BC9-8B93-EDA7849BAD3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DF-4BC9-8B93-EDA7849BA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DF-4BC9-8B93-EDA7849BAD3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'247'!$R$6:$T$6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'247'!$R$130:$T$130</c:f>
              <c:numCache>
                <c:formatCode>0.00</c:formatCode>
                <c:ptCount val="3"/>
                <c:pt idx="0">
                  <c:v>0</c:v>
                </c:pt>
                <c:pt idx="1">
                  <c:v>36.04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DF-4BC9-8B93-EDA7849BAD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39-4E9C-9ABA-2D6A2999BEB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39-4E9C-9ABA-2D6A2999BEB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39-4E9C-9ABA-2D6A2999BEB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39-4E9C-9ABA-2D6A2999BEB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39-4E9C-9ABA-2D6A2999BEBE}"/>
              </c:ext>
            </c:extLst>
          </c:dPt>
          <c:dLbls>
            <c:dLbl>
              <c:idx val="0"/>
              <c:layout>
                <c:manualLayout>
                  <c:x val="-0.14841419315083407"/>
                  <c:y val="-0.224779053982078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39-4E9C-9ABA-2D6A2999BEBE}"/>
                </c:ext>
              </c:extLst>
            </c:dLbl>
            <c:dLbl>
              <c:idx val="1"/>
              <c:layout>
                <c:manualLayout>
                  <c:x val="-1.5987101347547796E-2"/>
                  <c:y val="8.4925025608248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39-4E9C-9ABA-2D6A2999BEBE}"/>
                </c:ext>
              </c:extLst>
            </c:dLbl>
            <c:dLbl>
              <c:idx val="3"/>
              <c:layout>
                <c:manualLayout>
                  <c:x val="0.14525230903948128"/>
                  <c:y val="-2.125364864561021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39-4E9C-9ABA-2D6A2999BEB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39-4E9C-9ABA-2D6A2999BE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'248'!$E$127:$I$127</c:f>
              <c:numCache>
                <c:formatCode>0.00</c:formatCode>
                <c:ptCount val="5"/>
                <c:pt idx="0">
                  <c:v>27.889999999999997</c:v>
                </c:pt>
                <c:pt idx="1">
                  <c:v>5.81</c:v>
                </c:pt>
                <c:pt idx="2">
                  <c:v>9.3000000000000007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39-4E9C-9ABA-2D6A2999BEB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839-4E9C-9ABA-2D6A2999B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839-4E9C-9ABA-2D6A2999B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839-4E9C-9ABA-2D6A2999B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839-4E9C-9ABA-2D6A2999BE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839-4E9C-9ABA-2D6A2999BEB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'248'!$E$127:$I$127</c:f>
              <c:numCache>
                <c:formatCode>0.00</c:formatCode>
                <c:ptCount val="5"/>
                <c:pt idx="0">
                  <c:v>27.889999999999997</c:v>
                </c:pt>
                <c:pt idx="1">
                  <c:v>5.81</c:v>
                </c:pt>
                <c:pt idx="2">
                  <c:v>9.3000000000000007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39-4E9C-9ABA-2D6A2999BEB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839-4E9C-9ABA-2D6A2999B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839-4E9C-9ABA-2D6A2999B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839-4E9C-9ABA-2D6A2999B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839-4E9C-9ABA-2D6A2999BE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839-4E9C-9ABA-2D6A2999BEB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'248'!$E$127:$I$127</c:f>
              <c:numCache>
                <c:formatCode>0.00</c:formatCode>
                <c:ptCount val="5"/>
                <c:pt idx="0">
                  <c:v>27.889999999999997</c:v>
                </c:pt>
                <c:pt idx="1">
                  <c:v>5.81</c:v>
                </c:pt>
                <c:pt idx="2">
                  <c:v>9.3000000000000007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839-4E9C-9ABA-2D6A2999BE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52-4560-810E-80846209062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52-4560-810E-80846209062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52-4560-810E-80846209062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'248'!$J$127:$K$127</c:f>
              <c:numCache>
                <c:formatCode>0.00</c:formatCode>
                <c:ptCount val="2"/>
                <c:pt idx="0">
                  <c:v>43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52-4560-810E-8084620906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052-4560-810E-80846209062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052-4560-810E-80846209062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052-4560-810E-80846209062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052-4560-810E-80846209062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052-4560-810E-80846209062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052-4560-810E-80846209062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052-4560-810E-80846209062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052-4560-810E-80846209062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052-4560-810E-80846209062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052-4560-810E-80846209062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052-4560-810E-80846209062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052-4560-810E-80846209062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F6-4E4A-8ADD-D8DCB6EE157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F6-4E4A-8ADD-D8DCB6EE157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F6-4E4A-8ADD-D8DCB6EE157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F6-4E4A-8ADD-D8DCB6EE15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F6-4E4A-8ADD-D8DCB6EE157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'248'!$L$127:$N$127</c:f>
              <c:numCache>
                <c:formatCode>0.00</c:formatCode>
                <c:ptCount val="3"/>
                <c:pt idx="0">
                  <c:v>0</c:v>
                </c:pt>
                <c:pt idx="1">
                  <c:v>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F6-4E4A-8ADD-D8DCB6EE15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98-44A7-81B6-C35B69F4015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98-44A7-81B6-C35B69F4015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98-44A7-81B6-C35B69F4015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98-44A7-81B6-C35B69F40156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27672323821228"/>
                      <c:h val="7.37391454727291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B98-44A7-81B6-C35B69F401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98-44A7-81B6-C35B69F4015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'248'!$O$127:$Q$127</c:f>
              <c:numCache>
                <c:formatCode>0.00</c:formatCode>
                <c:ptCount val="3"/>
                <c:pt idx="0">
                  <c:v>0</c:v>
                </c:pt>
                <c:pt idx="1">
                  <c:v>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98-44A7-81B6-C35B69F401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0A-4A7E-A9EC-C83ABF9051F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0A-4A7E-A9EC-C83ABF9051F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0A-4A7E-A9EC-C83ABF9051F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0A-4A7E-A9EC-C83ABF9051F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0A-4A7E-A9EC-C83ABF9051F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'248'!$R$127:$T$127</c:f>
              <c:numCache>
                <c:formatCode>0.00</c:formatCode>
                <c:ptCount val="3"/>
                <c:pt idx="0">
                  <c:v>0</c:v>
                </c:pt>
                <c:pt idx="1">
                  <c:v>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0A-4A7E-A9EC-C83ABF9051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194008392263069"/>
          <c:y val="0.20649897060231734"/>
          <c:w val="0.44774696156610999"/>
          <c:h val="0.751369039069233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1B-41BD-B253-9C307FB482C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1B-41BD-B253-9C307FB482C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1B-41BD-B253-9C307FB482C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1B-41BD-B253-9C307FB482C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1B-41BD-B253-9C307FB482C3}"/>
              </c:ext>
            </c:extLst>
          </c:dPt>
          <c:dLbls>
            <c:dLbl>
              <c:idx val="0"/>
              <c:layout>
                <c:manualLayout>
                  <c:x val="-8.4118196686752619E-2"/>
                  <c:y val="0.1093509567300761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92127605682762"/>
                      <c:h val="8.16039406797180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71B-41BD-B253-9C307FB482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1B-41BD-B253-9C307FB482C3}"/>
                </c:ext>
              </c:extLst>
            </c:dLbl>
            <c:dLbl>
              <c:idx val="4"/>
              <c:layout>
                <c:manualLayout>
                  <c:x val="9.2820079102623521E-2"/>
                  <c:y val="0.1077995226872551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61688375312874"/>
                      <c:h val="8.63346039075278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71B-41BD-B253-9C307FB482C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'249'!$E$132:$I$132</c:f>
              <c:numCache>
                <c:formatCode>0.00</c:formatCode>
                <c:ptCount val="5"/>
                <c:pt idx="0">
                  <c:v>8.68</c:v>
                </c:pt>
                <c:pt idx="1">
                  <c:v>0</c:v>
                </c:pt>
                <c:pt idx="2">
                  <c:v>28.26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1B-41BD-B253-9C307FB482C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71B-41BD-B253-9C307FB48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71B-41BD-B253-9C307FB48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71B-41BD-B253-9C307FB48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71B-41BD-B253-9C307FB48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71B-41BD-B253-9C307FB482C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'249'!$E$132:$I$132</c:f>
              <c:numCache>
                <c:formatCode>0.00</c:formatCode>
                <c:ptCount val="5"/>
                <c:pt idx="0">
                  <c:v>8.68</c:v>
                </c:pt>
                <c:pt idx="1">
                  <c:v>0</c:v>
                </c:pt>
                <c:pt idx="2">
                  <c:v>28.26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71B-41BD-B253-9C307FB482C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71B-41BD-B253-9C307FB48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71B-41BD-B253-9C307FB48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71B-41BD-B253-9C307FB48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71B-41BD-B253-9C307FB48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71B-41BD-B253-9C307FB482C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'249'!$E$132:$I$132</c:f>
              <c:numCache>
                <c:formatCode>0.00</c:formatCode>
                <c:ptCount val="5"/>
                <c:pt idx="0">
                  <c:v>8.68</c:v>
                </c:pt>
                <c:pt idx="1">
                  <c:v>0</c:v>
                </c:pt>
                <c:pt idx="2">
                  <c:v>28.26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71B-41BD-B253-9C307FB482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2907216407507"/>
          <c:y val="0.22503258062399722"/>
          <c:w val="0.43355605843043266"/>
          <c:h val="0.7246288641962054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19-4238-B55B-88B45C5DD1D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19-4238-B55B-88B45C5DD1D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19-4238-B55B-88B45C5DD1D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'249'!$J$132:$K$132</c:f>
              <c:numCache>
                <c:formatCode>0.00</c:formatCode>
                <c:ptCount val="2"/>
                <c:pt idx="0">
                  <c:v>36.94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19-4238-B55B-88B45C5DD1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519-4238-B55B-88B45C5DD1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519-4238-B55B-88B45C5DD1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519-4238-B55B-88B45C5DD1D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519-4238-B55B-88B45C5DD1D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519-4238-B55B-88B45C5DD1D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519-4238-B55B-88B45C5DD1D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519-4238-B55B-88B45C5DD1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519-4238-B55B-88B45C5DD1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519-4238-B55B-88B45C5DD1D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519-4238-B55B-88B45C5DD1D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519-4238-B55B-88B45C5DD1D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519-4238-B55B-88B45C5DD1D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3A-4D10-8A16-B6B1AF8F3E8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3A-4D10-8A16-B6B1AF8F3E8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3A-4D10-8A16-B6B1AF8F3E8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3A-4D10-8A16-B6B1AF8F3E8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'249'!$L$132:$N$132</c:f>
              <c:numCache>
                <c:formatCode>0.00</c:formatCode>
                <c:ptCount val="3"/>
                <c:pt idx="0">
                  <c:v>36.94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3A-4D10-8A16-B6B1AF8F3E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74-4D7A-AE61-69872CD3652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74-4D7A-AE61-69872CD3652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74-4D7A-AE61-69872CD365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4-4D7A-AE61-69872CD365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74-4D7A-AE61-69872CD3652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'249'!$O$132:$Q$132</c:f>
              <c:numCache>
                <c:formatCode>0.00</c:formatCode>
                <c:ptCount val="3"/>
                <c:pt idx="0">
                  <c:v>0</c:v>
                </c:pt>
                <c:pt idx="1">
                  <c:v>36.94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74-4D7A-AE61-69872CD365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77-4AA4-ACFF-E4C2D90C589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77-4AA4-ACFF-E4C2D90C589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77-4AA4-ACFF-E4C2D90C589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77-4AA4-ACFF-E4C2D90C589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77-4AA4-ACFF-E4C2D90C589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'249'!$R$132:$T$132</c:f>
              <c:numCache>
                <c:formatCode>0.00</c:formatCode>
                <c:ptCount val="3"/>
                <c:pt idx="0">
                  <c:v>0</c:v>
                </c:pt>
                <c:pt idx="1">
                  <c:v>36.94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77-4AA4-ACFF-E4C2D90C58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36-4425-93AF-E57FA1165A5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36-4425-93AF-E57FA1165A5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36-4425-93AF-E57FA1165A5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36-4425-93AF-E57FA1165A5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36-4425-93AF-E57FA1165A5F}"/>
              </c:ext>
            </c:extLst>
          </c:dPt>
          <c:dLbls>
            <c:dLbl>
              <c:idx val="0"/>
              <c:layout>
                <c:manualLayout>
                  <c:x val="-0.2001433412769433"/>
                  <c:y val="-8.831696862076755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71629983998581"/>
                      <c:h val="8.15382147457716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436-4425-93AF-E57FA1165A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36-4425-93AF-E57FA1165A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36-4425-93AF-E57FA1165A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36-4425-93AF-E57FA1165A5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'250'!$E$127:$I$127</c:f>
              <c:numCache>
                <c:formatCode>0.00</c:formatCode>
                <c:ptCount val="5"/>
                <c:pt idx="0">
                  <c:v>1.86</c:v>
                </c:pt>
                <c:pt idx="1">
                  <c:v>13.48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36-4425-93AF-E57FA1165A5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436-4425-93AF-E57FA1165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436-4425-93AF-E57FA1165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436-4425-93AF-E57FA1165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436-4425-93AF-E57FA1165A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436-4425-93AF-E57FA1165A5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'250'!$E$127:$I$127</c:f>
              <c:numCache>
                <c:formatCode>0.00</c:formatCode>
                <c:ptCount val="5"/>
                <c:pt idx="0">
                  <c:v>1.86</c:v>
                </c:pt>
                <c:pt idx="1">
                  <c:v>13.48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436-4425-93AF-E57FA1165A5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436-4425-93AF-E57FA1165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436-4425-93AF-E57FA1165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436-4425-93AF-E57FA1165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436-4425-93AF-E57FA1165A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436-4425-93AF-E57FA1165A5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'250'!$E$127:$I$127</c:f>
              <c:numCache>
                <c:formatCode>0.00</c:formatCode>
                <c:ptCount val="5"/>
                <c:pt idx="0">
                  <c:v>1.86</c:v>
                </c:pt>
                <c:pt idx="1">
                  <c:v>13.48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436-4425-93AF-E57FA1165A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48-414C-8E40-9A62208ED93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48-414C-8E40-9A62208ED93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8-414C-8E40-9A62208ED93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'250'!$J$127:$K$127</c:f>
              <c:numCache>
                <c:formatCode>0.00</c:formatCode>
                <c:ptCount val="2"/>
                <c:pt idx="0">
                  <c:v>15.34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48-414C-8E40-9A62208ED9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548-414C-8E40-9A62208ED93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548-414C-8E40-9A62208ED93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548-414C-8E40-9A62208ED93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548-414C-8E40-9A62208ED93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548-414C-8E40-9A62208ED93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548-414C-8E40-9A62208ED93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548-414C-8E40-9A62208ED93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548-414C-8E40-9A62208ED93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548-414C-8E40-9A62208ED93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548-414C-8E40-9A62208ED93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548-414C-8E40-9A62208ED93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548-414C-8E40-9A62208ED93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FC-496A-BA86-AC79F871A67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FC-496A-BA86-AC79F871A67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FC-496A-BA86-AC79F871A67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FC-496A-BA86-AC79F871A67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FC-496A-BA86-AC79F871A67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'250'!$L$127:$N$127</c:f>
              <c:numCache>
                <c:formatCode>0.00</c:formatCode>
                <c:ptCount val="3"/>
                <c:pt idx="0">
                  <c:v>0</c:v>
                </c:pt>
                <c:pt idx="1">
                  <c:v>15.34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FC-496A-BA86-AC79F871A6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E4-4B68-965A-C0A78F23C65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E4-4B68-965A-C0A78F23C65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E4-4B68-965A-C0A78F23C6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E4-4B68-965A-C0A78F23C6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E4-4B68-965A-C0A78F23C65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'250'!$O$127:$Q$127</c:f>
              <c:numCache>
                <c:formatCode>0.00</c:formatCode>
                <c:ptCount val="3"/>
                <c:pt idx="0">
                  <c:v>0</c:v>
                </c:pt>
                <c:pt idx="1">
                  <c:v>15.34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E4-4B68-965A-C0A78F23C6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A3-4538-9884-7FEF3400477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A3-4538-9884-7FEF340047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A3-4538-9884-7FEF3400477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3-4538-9884-7FEF340047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A3-4538-9884-7FEF340047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'250'!$R$127:$T$127</c:f>
              <c:numCache>
                <c:formatCode>0.00</c:formatCode>
                <c:ptCount val="3"/>
                <c:pt idx="0">
                  <c:v>15.34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A3-4538-9884-7FEF340047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725367449490427"/>
          <c:y val="0.20098903784764294"/>
          <c:w val="0.45092906728728693"/>
          <c:h val="0.74731879822935965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89-4FF3-910D-758C8FE05F0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89-4FF3-910D-758C8FE05F0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89-4FF3-910D-758C8FE05F0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89-4FF3-910D-758C8FE05F0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89-4FF3-910D-758C8FE05F0E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89-4FF3-910D-758C8FE05F0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89-4FF3-910D-758C8FE05F0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'251'!$E$127:$I$127</c:f>
              <c:numCache>
                <c:formatCode>0.00</c:formatCode>
                <c:ptCount val="5"/>
                <c:pt idx="0">
                  <c:v>59.65</c:v>
                </c:pt>
                <c:pt idx="1">
                  <c:v>24.860000000000007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89-4FF3-910D-758C8FE05F0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889-4FF3-910D-758C8FE05F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889-4FF3-910D-758C8FE05F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889-4FF3-910D-758C8FE05F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889-4FF3-910D-758C8FE05F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889-4FF3-910D-758C8FE05F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'251'!$E$127:$I$127</c:f>
              <c:numCache>
                <c:formatCode>0.00</c:formatCode>
                <c:ptCount val="5"/>
                <c:pt idx="0">
                  <c:v>59.65</c:v>
                </c:pt>
                <c:pt idx="1">
                  <c:v>24.860000000000007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889-4FF3-910D-758C8FE05F0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889-4FF3-910D-758C8FE05F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889-4FF3-910D-758C8FE05F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889-4FF3-910D-758C8FE05F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889-4FF3-910D-758C8FE05F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889-4FF3-910D-758C8FE05F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'251'!$E$127:$I$127</c:f>
              <c:numCache>
                <c:formatCode>0.00</c:formatCode>
                <c:ptCount val="5"/>
                <c:pt idx="0">
                  <c:v>59.65</c:v>
                </c:pt>
                <c:pt idx="1">
                  <c:v>24.860000000000007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889-4FF3-910D-758C8FE05F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</a:t>
            </a: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 FX DOMÍNIO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561735886371808"/>
          <c:y val="0.23423048629279608"/>
          <c:w val="0.43605672419992808"/>
          <c:h val="0.7194272399902705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64-4447-ADEC-DECBAACFE8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64-4447-ADEC-DECBAACFE82C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37334197008325"/>
                      <c:h val="8.1521162756168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164-4447-ADEC-DECBAACFE8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64-4447-ADEC-DECBAACFE8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'251'!$J$127:$K$127</c:f>
              <c:numCache>
                <c:formatCode>0.00</c:formatCode>
                <c:ptCount val="2"/>
                <c:pt idx="0">
                  <c:v>104.51000000000002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64-4447-ADEC-DECBAACFE8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164-4447-ADEC-DECBAACFE8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164-4447-ADEC-DECBAACFE8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164-4447-ADEC-DECBAACFE82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164-4447-ADEC-DECBAACFE82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164-4447-ADEC-DECBAACFE82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164-4447-ADEC-DECBAACFE82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164-4447-ADEC-DECBAACFE8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164-4447-ADEC-DECBAACFE8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164-4447-ADEC-DECBAACFE82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164-4447-ADEC-DECBAACFE82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164-4447-ADEC-DECBAACFE82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164-4447-ADEC-DECBAACFE82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E7-48E6-9EA5-B0B14E3DE0E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E7-48E6-9EA5-B0B14E3DE0E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E7-48E6-9EA5-B0B14E3DE0E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'251'!$L$127:$N$127</c:f>
              <c:numCache>
                <c:formatCode>0.00</c:formatCode>
                <c:ptCount val="3"/>
                <c:pt idx="0">
                  <c:v>3.65</c:v>
                </c:pt>
                <c:pt idx="1">
                  <c:v>92.860000000000014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E7-48E6-9EA5-B0B14E3DE0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02-4A3D-8315-BF1FE78F3D4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02-4A3D-8315-BF1FE78F3D4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02-4A3D-8315-BF1FE78F3D4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02-4A3D-8315-BF1FE78F3D4E}"/>
                </c:ext>
              </c:extLst>
            </c:dLbl>
            <c:dLbl>
              <c:idx val="1"/>
              <c:layout>
                <c:manualLayout>
                  <c:x val="1.0787203001493971E-3"/>
                  <c:y val="-0.2089070735992711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5861148197593"/>
                      <c:h val="9.7796143250688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102-4A3D-8315-BF1FE78F3D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02-4A3D-8315-BF1FE78F3D4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'251'!$O$127:$Q$127</c:f>
              <c:numCache>
                <c:formatCode>0.00</c:formatCode>
                <c:ptCount val="3"/>
                <c:pt idx="0">
                  <c:v>0</c:v>
                </c:pt>
                <c:pt idx="1">
                  <c:v>104.51000000000002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02-4A3D-8315-BF1FE78F3D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60-4809-A161-D8705A0EA63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60-4809-A161-D8705A0EA63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60-4809-A161-D8705A0EA632}"/>
              </c:ext>
            </c:extLst>
          </c:dPt>
          <c:dLbls>
            <c:dLbl>
              <c:idx val="1"/>
              <c:layout>
                <c:manualLayout>
                  <c:x val="4.8076923076923024E-2"/>
                  <c:y val="-0.211463404303229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06177156177155"/>
                      <c:h val="8.85057150852692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60-4809-A161-D8705A0EA6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60-4809-A161-D8705A0EA6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'251'!$R$127:$T$127</c:f>
              <c:numCache>
                <c:formatCode>0.00</c:formatCode>
                <c:ptCount val="3"/>
                <c:pt idx="0">
                  <c:v>3.65</c:v>
                </c:pt>
                <c:pt idx="1">
                  <c:v>100.86000000000001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0-4809-A161-D8705A0EA6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0A-4F08-9F19-C1590C4450B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0A-4F08-9F19-C1590C4450B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0A-4F08-9F19-C1590C4450B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60A-4F08-9F19-C1590C4450B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60A-4F08-9F19-C1590C4450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'252'!$E$127:$I$127</c:f>
              <c:numCache>
                <c:formatCode>0.00</c:formatCode>
                <c:ptCount val="5"/>
                <c:pt idx="0">
                  <c:v>6.92</c:v>
                </c:pt>
                <c:pt idx="1">
                  <c:v>22.75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0A-4F08-9F19-C1590C4450B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60A-4F08-9F19-C1590C4450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60A-4F08-9F19-C1590C4450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60A-4F08-9F19-C1590C4450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60A-4F08-9F19-C1590C4450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60A-4F08-9F19-C1590C4450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'252'!$E$127:$I$127</c:f>
              <c:numCache>
                <c:formatCode>0.00</c:formatCode>
                <c:ptCount val="5"/>
                <c:pt idx="0">
                  <c:v>6.92</c:v>
                </c:pt>
                <c:pt idx="1">
                  <c:v>22.75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60A-4F08-9F19-C1590C4450B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60A-4F08-9F19-C1590C4450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60A-4F08-9F19-C1590C4450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60A-4F08-9F19-C1590C4450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60A-4F08-9F19-C1590C4450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60A-4F08-9F19-C1590C4450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'252'!$E$127:$I$127</c:f>
              <c:numCache>
                <c:formatCode>0.00</c:formatCode>
                <c:ptCount val="5"/>
                <c:pt idx="0">
                  <c:v>6.92</c:v>
                </c:pt>
                <c:pt idx="1">
                  <c:v>22.75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60A-4F08-9F19-C1590C4450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86-408B-BCEA-DE13B4A71C1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86-408B-BCEA-DE13B4A71C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'252'!$J$127:$K$127</c:f>
              <c:numCache>
                <c:formatCode>0.00</c:formatCode>
                <c:ptCount val="2"/>
                <c:pt idx="0">
                  <c:v>52.669999999999995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6-408B-BCEA-DE13B4A71C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386-408B-BCEA-DE13B4A71C1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386-408B-BCEA-DE13B4A71C1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386-408B-BCEA-DE13B4A71C1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386-408B-BCEA-DE13B4A71C1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386-408B-BCEA-DE13B4A71C1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386-408B-BCEA-DE13B4A71C1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386-408B-BCEA-DE13B4A71C1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386-408B-BCEA-DE13B4A71C1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386-408B-BCEA-DE13B4A71C1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386-408B-BCEA-DE13B4A71C1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386-408B-BCEA-DE13B4A71C1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386-408B-BCEA-DE13B4A71C1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87-4910-999B-6D9B4054D9D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87-4910-999B-6D9B4054D9D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87-4910-999B-6D9B4054D9D6}"/>
              </c:ext>
            </c:extLst>
          </c:dPt>
          <c:dLbls>
            <c:dLbl>
              <c:idx val="1"/>
              <c:layout>
                <c:manualLayout>
                  <c:x val="-5.3257653747345243E-2"/>
                  <c:y val="-0.2077620614277827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87-4910-999B-6D9B4054D9D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'252'!$L$127:$N$127</c:f>
              <c:numCache>
                <c:formatCode>0.00</c:formatCode>
                <c:ptCount val="3"/>
                <c:pt idx="0">
                  <c:v>17.399999999999999</c:v>
                </c:pt>
                <c:pt idx="1">
                  <c:v>35.269999999999996</c:v>
                </c:pt>
                <c:pt idx="2">
                  <c:v>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7-4910-999B-6D9B4054D9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A6-4488-A60A-C77133B1343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A6-4488-A60A-C77133B1343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A6-4488-A60A-C77133B134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A6-4488-A60A-C77133B13432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06931143603763"/>
                      <c:h val="8.2814732607834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0A6-4488-A60A-C77133B134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A6-4488-A60A-C77133B134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'252'!$O$127:$Q$127</c:f>
              <c:numCache>
                <c:formatCode>0.00</c:formatCode>
                <c:ptCount val="3"/>
                <c:pt idx="0">
                  <c:v>0</c:v>
                </c:pt>
                <c:pt idx="1">
                  <c:v>52.669999999999995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A6-4488-A60A-C77133B134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91-47A4-B7BD-271A25A711B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91-47A4-B7BD-271A25A711B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91-47A4-B7BD-271A25A711BD}"/>
              </c:ext>
            </c:extLst>
          </c:dPt>
          <c:dLbls>
            <c:dLbl>
              <c:idx val="1"/>
              <c:layout>
                <c:manualLayout>
                  <c:x val="4.6453684030236961E-2"/>
                  <c:y val="-0.2402590711393720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91-47A4-B7BD-271A25A711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91-47A4-B7BD-271A25A711B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'252'!$R$6:$T$6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'252'!$R$127:$T$127</c:f>
              <c:numCache>
                <c:formatCode>0.00</c:formatCode>
                <c:ptCount val="3"/>
                <c:pt idx="0">
                  <c:v>1.4</c:v>
                </c:pt>
                <c:pt idx="1">
                  <c:v>51.269999999999996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91-47A4-B7BD-271A25A711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41-4AED-BCBE-6FC3D3E2A97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41-4AED-BCBE-6FC3D3E2A97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41-4AED-BCBE-6FC3D3E2A97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41-4AED-BCBE-6FC3D3E2A97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41-4AED-BCBE-6FC3D3E2A97A}"/>
              </c:ext>
            </c:extLst>
          </c:dPt>
          <c:dLbls>
            <c:dLbl>
              <c:idx val="0"/>
              <c:layout>
                <c:manualLayout>
                  <c:x val="-0.19144145687359793"/>
                  <c:y val="-0.1720816680785602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41818424333119"/>
                      <c:h val="8.13261800695082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141-4AED-BCBE-6FC3D3E2A9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41-4AED-BCBE-6FC3D3E2A9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41-4AED-BCBE-6FC3D3E2A9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41-4AED-BCBE-6FC3D3E2A97A}"/>
                </c:ext>
              </c:extLst>
            </c:dLbl>
            <c:dLbl>
              <c:idx val="4"/>
              <c:layout>
                <c:manualLayout>
                  <c:x val="7.2515703361211312E-2"/>
                  <c:y val="6.570112206555690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041190289884664"/>
                      <c:h val="8.13261800695082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141-4AED-BCBE-6FC3D3E2A97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'253'!$E$127:$I$127</c:f>
              <c:numCache>
                <c:formatCode>0.00</c:formatCode>
                <c:ptCount val="5"/>
                <c:pt idx="0">
                  <c:v>13.16</c:v>
                </c:pt>
                <c:pt idx="1">
                  <c:v>0</c:v>
                </c:pt>
                <c:pt idx="2">
                  <c:v>2.4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41-4AED-BCBE-6FC3D3E2A97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141-4AED-BCBE-6FC3D3E2A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141-4AED-BCBE-6FC3D3E2A9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141-4AED-BCBE-6FC3D3E2A9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141-4AED-BCBE-6FC3D3E2A9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141-4AED-BCBE-6FC3D3E2A97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'253'!$E$127:$I$127</c:f>
              <c:numCache>
                <c:formatCode>0.00</c:formatCode>
                <c:ptCount val="5"/>
                <c:pt idx="0">
                  <c:v>13.16</c:v>
                </c:pt>
                <c:pt idx="1">
                  <c:v>0</c:v>
                </c:pt>
                <c:pt idx="2">
                  <c:v>2.4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41-4AED-BCBE-6FC3D3E2A97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141-4AED-BCBE-6FC3D3E2A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141-4AED-BCBE-6FC3D3E2A9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141-4AED-BCBE-6FC3D3E2A9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141-4AED-BCBE-6FC3D3E2A9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141-4AED-BCBE-6FC3D3E2A97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'253'!$E$127:$I$127</c:f>
              <c:numCache>
                <c:formatCode>0.00</c:formatCode>
                <c:ptCount val="5"/>
                <c:pt idx="0">
                  <c:v>13.16</c:v>
                </c:pt>
                <c:pt idx="1">
                  <c:v>0</c:v>
                </c:pt>
                <c:pt idx="2">
                  <c:v>2.4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141-4AED-BCBE-6FC3D3E2A9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C0-4C08-BDCD-601428DCCA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C0-4C08-BDCD-601428DCCA1E}"/>
              </c:ext>
            </c:extLst>
          </c:dPt>
          <c:dLbls>
            <c:dLbl>
              <c:idx val="1"/>
              <c:layout>
                <c:manualLayout>
                  <c:x val="0.195077418843071"/>
                  <c:y val="-0.1151571431214043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87989842860544"/>
                      <c:h val="8.10503338944486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FC0-4C08-BDCD-601428DCCA1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'253'!$J$127:$K$127</c:f>
              <c:numCache>
                <c:formatCode>0.00</c:formatCode>
                <c:ptCount val="2"/>
                <c:pt idx="0">
                  <c:v>15.56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C0-4C08-BDCD-601428DCCA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FC0-4C08-BDCD-601428DCCA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FC0-4C08-BDCD-601428DCCA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FC0-4C08-BDCD-601428DCCA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FC0-4C08-BDCD-601428DCCA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FC0-4C08-BDCD-601428DCCA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FC0-4C08-BDCD-601428DCCA1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FC0-4C08-BDCD-601428DCCA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FC0-4C08-BDCD-601428DCCA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FC0-4C08-BDCD-601428DCCA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FC0-4C08-BDCD-601428DCCA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FC0-4C08-BDCD-601428DCCA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FC0-4C08-BDCD-601428DCCA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16-4CD5-99F5-12763C19BBB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16-4CD5-99F5-12763C19BBB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16-4CD5-99F5-12763C19BBB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16-4CD5-99F5-12763C19BBB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'253'!$L$127:$N$127</c:f>
              <c:numCache>
                <c:formatCode>0.00</c:formatCode>
                <c:ptCount val="3"/>
                <c:pt idx="0">
                  <c:v>0</c:v>
                </c:pt>
                <c:pt idx="1">
                  <c:v>10.6</c:v>
                </c:pt>
                <c:pt idx="2">
                  <c:v>4.9600000000000009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16-4CD5-99F5-12763C19BB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DC-45C1-A75A-110FE1A836F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DC-45C1-A75A-110FE1A836F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DC-45C1-A75A-110FE1A836FB}"/>
              </c:ext>
            </c:extLst>
          </c:dPt>
          <c:dLbls>
            <c:dLbl>
              <c:idx val="1"/>
              <c:layout>
                <c:manualLayout>
                  <c:x val="5.6132335528534909E-2"/>
                  <c:y val="1.2456165787673857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33875736547898"/>
                      <c:h val="8.33870898688148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9DC-45C1-A75A-110FE1A836FB}"/>
                </c:ext>
              </c:extLst>
            </c:dLbl>
            <c:dLbl>
              <c:idx val="2"/>
              <c:layout>
                <c:manualLayout>
                  <c:x val="7.0904002772886165E-2"/>
                  <c:y val="5.6103114689043776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07734072769652"/>
                      <c:h val="8.79562454780649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9DC-45C1-A75A-110FE1A836F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'253'!$O$127:$Q$127</c:f>
              <c:numCache>
                <c:formatCode>0.00</c:formatCode>
                <c:ptCount val="3"/>
                <c:pt idx="0">
                  <c:v>10.6</c:v>
                </c:pt>
                <c:pt idx="1">
                  <c:v>2.5600000000000005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DC-45C1-A75A-110FE1A836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81-400E-A617-1CAD65E3F07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81-400E-A617-1CAD65E3F07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81-400E-A617-1CAD65E3F0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81-400E-A617-1CAD65E3F0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81-400E-A617-1CAD65E3F07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'253'!$R$127:$T$127</c:f>
              <c:numCache>
                <c:formatCode>0.00</c:formatCode>
                <c:ptCount val="3"/>
                <c:pt idx="0">
                  <c:v>0</c:v>
                </c:pt>
                <c:pt idx="1">
                  <c:v>15.56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81-400E-A617-1CAD65E3F0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2-4912-A6D0-D9CD43AF4A4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2-4912-A6D0-D9CD43AF4A4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2-4912-A6D0-D9CD43AF4A4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2-4912-A6D0-D9CD43AF4A4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2-4912-A6D0-D9CD43AF4A41}"/>
              </c:ext>
            </c:extLst>
          </c:dPt>
          <c:dLbls>
            <c:dLbl>
              <c:idx val="0"/>
              <c:layout>
                <c:manualLayout>
                  <c:x val="-0.14503140672242273"/>
                  <c:y val="-0.2262989358455880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21315916774355"/>
                      <c:h val="9.54698635598574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F2-4912-A6D0-D9CD43AF4A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2-4912-A6D0-D9CD43AF4A4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2-4912-A6D0-D9CD43AF4A4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'254'!$E$127:$I$127</c:f>
              <c:numCache>
                <c:formatCode>0.00</c:formatCode>
                <c:ptCount val="5"/>
                <c:pt idx="0">
                  <c:v>15.52</c:v>
                </c:pt>
                <c:pt idx="1">
                  <c:v>1.17</c:v>
                </c:pt>
                <c:pt idx="2">
                  <c:v>1.2899999999999991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2-4912-A6D0-D9CD43AF4A4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CF2-4912-A6D0-D9CD43AF4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CF2-4912-A6D0-D9CD43AF4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CF2-4912-A6D0-D9CD43AF4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CF2-4912-A6D0-D9CD43AF4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CF2-4912-A6D0-D9CD43AF4A4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'254'!$E$127:$I$127</c:f>
              <c:numCache>
                <c:formatCode>0.00</c:formatCode>
                <c:ptCount val="5"/>
                <c:pt idx="0">
                  <c:v>15.52</c:v>
                </c:pt>
                <c:pt idx="1">
                  <c:v>1.17</c:v>
                </c:pt>
                <c:pt idx="2">
                  <c:v>1.2899999999999991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CF2-4912-A6D0-D9CD43AF4A4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CF2-4912-A6D0-D9CD43AF4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CF2-4912-A6D0-D9CD43AF4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CF2-4912-A6D0-D9CD43AF4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CF2-4912-A6D0-D9CD43AF4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CF2-4912-A6D0-D9CD43AF4A4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'254'!$E$127:$I$127</c:f>
              <c:numCache>
                <c:formatCode>0.00</c:formatCode>
                <c:ptCount val="5"/>
                <c:pt idx="0">
                  <c:v>15.52</c:v>
                </c:pt>
                <c:pt idx="1">
                  <c:v>1.17</c:v>
                </c:pt>
                <c:pt idx="2">
                  <c:v>1.2899999999999991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CF2-4912-A6D0-D9CD43AF4A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1C-480D-85C8-A1E7C9B7D2C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1C-480D-85C8-A1E7C9B7D2C1}"/>
              </c:ext>
            </c:extLst>
          </c:dPt>
          <c:dLbls>
            <c:dLbl>
              <c:idx val="1"/>
              <c:layout>
                <c:manualLayout>
                  <c:x val="0.17760779924518405"/>
                  <c:y val="-0.2090863685972733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99593109175035"/>
                      <c:h val="8.10503338944486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A1C-480D-85C8-A1E7C9B7D2C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'254'!$J$127:$K$127</c:f>
              <c:numCache>
                <c:formatCode>0.00</c:formatCode>
                <c:ptCount val="2"/>
                <c:pt idx="0">
                  <c:v>10.459999999999999</c:v>
                </c:pt>
                <c:pt idx="1">
                  <c:v>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C-480D-85C8-A1E7C9B7D2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A1C-480D-85C8-A1E7C9B7D2C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A1C-480D-85C8-A1E7C9B7D2C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A1C-480D-85C8-A1E7C9B7D2C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A1C-480D-85C8-A1E7C9B7D2C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A1C-480D-85C8-A1E7C9B7D2C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A1C-480D-85C8-A1E7C9B7D2C1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A1C-480D-85C8-A1E7C9B7D2C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A1C-480D-85C8-A1E7C9B7D2C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A1C-480D-85C8-A1E7C9B7D2C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A1C-480D-85C8-A1E7C9B7D2C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A1C-480D-85C8-A1E7C9B7D2C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A1C-480D-85C8-A1E7C9B7D2C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66-420D-80A4-25AC72BED6A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66-420D-80A4-25AC72BED6A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66-420D-80A4-25AC72BED6AA}"/>
              </c:ext>
            </c:extLst>
          </c:dPt>
          <c:dLbls>
            <c:dLbl>
              <c:idx val="1"/>
              <c:layout>
                <c:manualLayout>
                  <c:x val="0.14864356395809217"/>
                  <c:y val="-0.2556483824575505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66-420D-80A4-25AC72BED6A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66-420D-80A4-25AC72BED6A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'254'!$L$127:$N$127</c:f>
              <c:numCache>
                <c:formatCode>0.00</c:formatCode>
                <c:ptCount val="3"/>
                <c:pt idx="0">
                  <c:v>2.4599999999999991</c:v>
                </c:pt>
                <c:pt idx="1">
                  <c:v>15.52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66-420D-80A4-25AC72BED6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BF-4D0F-B4B6-6003C82A4C4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BF-4D0F-B4B6-6003C82A4C4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BF-4D0F-B4B6-6003C82A4C44}"/>
              </c:ext>
            </c:extLst>
          </c:dPt>
          <c:dLbls>
            <c:dLbl>
              <c:idx val="1"/>
              <c:layout>
                <c:manualLayout>
                  <c:x val="8.7521546861078874E-3"/>
                  <c:y val="-0.267073621329250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BF-4D0F-B4B6-6003C82A4C4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'254'!$O$127:$Q$127</c:f>
              <c:numCache>
                <c:formatCode>0.00</c:formatCode>
                <c:ptCount val="3"/>
                <c:pt idx="0">
                  <c:v>1.2899999999999991</c:v>
                </c:pt>
                <c:pt idx="1">
                  <c:v>15.52</c:v>
                </c:pt>
                <c:pt idx="2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F-4D0F-B4B6-6003C82A4C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7F-4F93-BE81-3FB4221F132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7F-4F93-BE81-3FB4221F132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7F-4F93-BE81-3FB4221F13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7F-4F93-BE81-3FB4221F132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7F-4F93-BE81-3FB4221F132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'254'!$R$127:$T$127</c:f>
              <c:numCache>
                <c:formatCode>0.00</c:formatCode>
                <c:ptCount val="3"/>
                <c:pt idx="0">
                  <c:v>0</c:v>
                </c:pt>
                <c:pt idx="1">
                  <c:v>17.979999999999997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7F-4F93-BE81-3FB4221F13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62-4A7B-A870-3282191E3D0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62-4A7B-A870-3282191E3D0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62-4A7B-A870-3282191E3D0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62-4A7B-A870-3282191E3D0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62-4A7B-A870-3282191E3D00}"/>
              </c:ext>
            </c:extLst>
          </c:dPt>
          <c:dLbls>
            <c:dLbl>
              <c:idx val="1"/>
              <c:layout>
                <c:manualLayout>
                  <c:x val="-7.5935951518858028E-2"/>
                  <c:y val="-0.274941365495598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62-4A7B-A870-3282191E3D0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62-4A7B-A870-3282191E3D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'255'!$E$127:$I$127</c:f>
              <c:numCache>
                <c:formatCode>0.00</c:formatCode>
                <c:ptCount val="5"/>
                <c:pt idx="0">
                  <c:v>10</c:v>
                </c:pt>
                <c:pt idx="1">
                  <c:v>42.45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62-4A7B-A870-3282191E3D0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F62-4A7B-A870-3282191E3D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F62-4A7B-A870-3282191E3D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F62-4A7B-A870-3282191E3D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F62-4A7B-A870-3282191E3D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F62-4A7B-A870-3282191E3D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'255'!$E$127:$I$127</c:f>
              <c:numCache>
                <c:formatCode>0.00</c:formatCode>
                <c:ptCount val="5"/>
                <c:pt idx="0">
                  <c:v>10</c:v>
                </c:pt>
                <c:pt idx="1">
                  <c:v>42.45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F62-4A7B-A870-3282191E3D0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F62-4A7B-A870-3282191E3D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F62-4A7B-A870-3282191E3D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F62-4A7B-A870-3282191E3D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F62-4A7B-A870-3282191E3D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F62-4A7B-A870-3282191E3D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'255'!$E$127:$I$127</c:f>
              <c:numCache>
                <c:formatCode>0.00</c:formatCode>
                <c:ptCount val="5"/>
                <c:pt idx="0">
                  <c:v>10</c:v>
                </c:pt>
                <c:pt idx="1">
                  <c:v>42.45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F62-4A7B-A870-3282191E3D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F8-4931-A558-91C6684A582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F8-4931-A558-91C6684A582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'255'!$J$127:$K$127</c:f>
              <c:numCache>
                <c:formatCode>0.00</c:formatCode>
                <c:ptCount val="2"/>
                <c:pt idx="0">
                  <c:v>57.45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8-4931-A558-91C6684A58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CF8-4931-A558-91C6684A582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CF8-4931-A558-91C6684A582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CF8-4931-A558-91C6684A582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CF8-4931-A558-91C6684A582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CF8-4931-A558-91C6684A582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CF8-4931-A558-91C6684A582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CF8-4931-A558-91C6684A582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CF8-4931-A558-91C6684A582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CF8-4931-A558-91C6684A582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CF8-4931-A558-91C6684A582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CF8-4931-A558-91C6684A582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CF8-4931-A558-91C6684A582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93-47ED-A463-0DB09F23AF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93-47ED-A463-0DB09F23AF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93-47ED-A463-0DB09F23AFB5}"/>
              </c:ext>
            </c:extLst>
          </c:dPt>
          <c:dLbls>
            <c:dLbl>
              <c:idx val="1"/>
              <c:layout>
                <c:manualLayout>
                  <c:x val="0.11275817775428248"/>
                  <c:y val="-0.2591678199807965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93-47ED-A463-0DB09F23AFB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'255'!$L$127:$N$127</c:f>
              <c:numCache>
                <c:formatCode>0.00</c:formatCode>
                <c:ptCount val="3"/>
                <c:pt idx="0">
                  <c:v>8</c:v>
                </c:pt>
                <c:pt idx="1">
                  <c:v>49.45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3-47ED-A463-0DB09F23AF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EF-4092-A517-1480F053C6D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EF-4092-A517-1480F053C6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EF-4092-A517-1480F053C6DC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02370237023704"/>
                      <c:h val="7.37391454727291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9EF-4092-A517-1480F053C6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F-4092-A517-1480F053C6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F-4092-A517-1480F053C6D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'255'!$O$127:$Q$127</c:f>
              <c:numCache>
                <c:formatCode>0.00</c:formatCode>
                <c:ptCount val="3"/>
                <c:pt idx="0">
                  <c:v>57.45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F-4092-A517-1480F053C6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59-49F8-87B6-239B5068547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59-49F8-87B6-239B5068547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59-49F8-87B6-239B5068547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59-49F8-87B6-239B506854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59-49F8-87B6-239B5068547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'255'!$R$127:$T$127</c:f>
              <c:numCache>
                <c:formatCode>0.00</c:formatCode>
                <c:ptCount val="3"/>
                <c:pt idx="0">
                  <c:v>0</c:v>
                </c:pt>
                <c:pt idx="1">
                  <c:v>57.45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59-49F8-87B6-239B506854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15-47D0-84C6-205B314B84D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15-47D0-84C6-205B314B84D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15-47D0-84C6-205B314B84D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15-47D0-84C6-205B314B84D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15-47D0-84C6-205B314B84D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15-47D0-84C6-205B314B84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15-47D0-84C6-205B314B84D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'256'!$E$127:$I$127</c:f>
              <c:numCache>
                <c:formatCode>0.00</c:formatCode>
                <c:ptCount val="5"/>
                <c:pt idx="0">
                  <c:v>14.77</c:v>
                </c:pt>
                <c:pt idx="1">
                  <c:v>9.23</c:v>
                </c:pt>
                <c:pt idx="2">
                  <c:v>6.1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15-47D0-84C6-205B314B84D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515-47D0-84C6-205B314B8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515-47D0-84C6-205B314B8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515-47D0-84C6-205B314B84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515-47D0-84C6-205B314B84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515-47D0-84C6-205B314B84D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'256'!$E$127:$I$127</c:f>
              <c:numCache>
                <c:formatCode>0.00</c:formatCode>
                <c:ptCount val="5"/>
                <c:pt idx="0">
                  <c:v>14.77</c:v>
                </c:pt>
                <c:pt idx="1">
                  <c:v>9.23</c:v>
                </c:pt>
                <c:pt idx="2">
                  <c:v>6.1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515-47D0-84C6-205B314B84D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515-47D0-84C6-205B314B8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515-47D0-84C6-205B314B8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515-47D0-84C6-205B314B84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515-47D0-84C6-205B314B84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515-47D0-84C6-205B314B84D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'256'!$E$127:$I$127</c:f>
              <c:numCache>
                <c:formatCode>0.00</c:formatCode>
                <c:ptCount val="5"/>
                <c:pt idx="0">
                  <c:v>14.77</c:v>
                </c:pt>
                <c:pt idx="1">
                  <c:v>9.23</c:v>
                </c:pt>
                <c:pt idx="2">
                  <c:v>6.1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515-47D0-84C6-205B314B84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171152741293251"/>
          <c:y val="0.20554243665093513"/>
          <c:w val="0.44735191525774587"/>
          <c:h val="0.7433108319384921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B2-4802-9BE3-459A8431E28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B2-4802-9BE3-459A8431E282}"/>
              </c:ext>
            </c:extLst>
          </c:dPt>
          <c:dLbls>
            <c:dLbl>
              <c:idx val="0"/>
              <c:layout>
                <c:manualLayout>
                  <c:x val="6.0910506791079143E-2"/>
                  <c:y val="2.42686767827065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B2-4802-9BE3-459A8431E28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'256'!$J$127:$K$127</c:f>
              <c:numCache>
                <c:formatCode>0.00</c:formatCode>
                <c:ptCount val="2"/>
                <c:pt idx="0">
                  <c:v>29.1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B2-4802-9BE3-459A8431E2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7AB2-4802-9BE3-459A8431E28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7AB2-4802-9BE3-459A8431E28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7AB2-4802-9BE3-459A8431E28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AB2-4802-9BE3-459A8431E28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AB2-4802-9BE3-459A8431E28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7AB2-4802-9BE3-459A8431E282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7AB2-4802-9BE3-459A8431E28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AB2-4802-9BE3-459A8431E28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AB2-4802-9BE3-459A8431E28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AB2-4802-9BE3-459A8431E28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AB2-4802-9BE3-459A8431E28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AB2-4802-9BE3-459A8431E28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FF-41DA-B933-1227AF3382D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FF-41DA-B933-1227AF3382D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FF-41DA-B933-1227AF3382D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F-41DA-B933-1227AF3382D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'256'!$L$127:$N$127</c:f>
              <c:numCache>
                <c:formatCode>0.00</c:formatCode>
                <c:ptCount val="3"/>
                <c:pt idx="0">
                  <c:v>0</c:v>
                </c:pt>
                <c:pt idx="1">
                  <c:v>35.18</c:v>
                </c:pt>
                <c:pt idx="2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F-41DA-B933-1227AF3382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7D-4690-82C3-470DA5AE8BE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7D-4690-82C3-470DA5AE8BE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7D-4690-82C3-470DA5AE8BE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7D-4690-82C3-470DA5AE8B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7D-4690-82C3-470DA5AE8BE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'256'!$O$127:$Q$127</c:f>
              <c:numCache>
                <c:formatCode>0.00</c:formatCode>
                <c:ptCount val="3"/>
                <c:pt idx="0">
                  <c:v>39.1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7D-4690-82C3-470DA5AE8B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BA-4391-AB70-ACE9FD5EEF1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BA-4391-AB70-ACE9FD5EEF1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BA-4391-AB70-ACE9FD5EEF1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BA-4391-AB70-ACE9FD5EEF1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BA-4391-AB70-ACE9FD5EEF1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'256'!$R$127:$T$127</c:f>
              <c:numCache>
                <c:formatCode>0.00</c:formatCode>
                <c:ptCount val="3"/>
                <c:pt idx="0">
                  <c:v>0</c:v>
                </c:pt>
                <c:pt idx="1">
                  <c:v>39.1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A-4391-AB70-ACE9FD5EEF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85-4253-B804-712F7A9802D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85-4253-B804-712F7A9802D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85-4253-B804-712F7A9802D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F85-4253-B804-712F7A9802D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F85-4253-B804-712F7A9802D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5-4253-B804-712F7A9802D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85-4253-B804-712F7A9802D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85-4253-B804-712F7A9802D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'257'!$E$127:$I$127</c:f>
              <c:numCache>
                <c:formatCode>0.00</c:formatCode>
                <c:ptCount val="5"/>
                <c:pt idx="0">
                  <c:v>4.3</c:v>
                </c:pt>
                <c:pt idx="1">
                  <c:v>2.08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85-4253-B804-712F7A9802D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F85-4253-B804-712F7A9802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F85-4253-B804-712F7A9802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F85-4253-B804-712F7A9802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F85-4253-B804-712F7A9802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F85-4253-B804-712F7A9802D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'257'!$E$127:$I$127</c:f>
              <c:numCache>
                <c:formatCode>0.00</c:formatCode>
                <c:ptCount val="5"/>
                <c:pt idx="0">
                  <c:v>4.3</c:v>
                </c:pt>
                <c:pt idx="1">
                  <c:v>2.08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F85-4253-B804-712F7A9802D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F85-4253-B804-712F7A9802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F85-4253-B804-712F7A9802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F85-4253-B804-712F7A9802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F85-4253-B804-712F7A9802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F85-4253-B804-712F7A9802D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'257'!$E$127:$I$127</c:f>
              <c:numCache>
                <c:formatCode>0.00</c:formatCode>
                <c:ptCount val="5"/>
                <c:pt idx="0">
                  <c:v>4.3</c:v>
                </c:pt>
                <c:pt idx="1">
                  <c:v>2.08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F85-4253-B804-712F7A9802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9F-463F-9E76-5C8A0A00B08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9F-463F-9E76-5C8A0A00B08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'257'!$J$127:$K$127</c:f>
              <c:numCache>
                <c:formatCode>0.00</c:formatCode>
                <c:ptCount val="2"/>
                <c:pt idx="0">
                  <c:v>6.38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9F-463F-9E76-5C8A0A00B08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A9F-463F-9E76-5C8A0A00B08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A9F-463F-9E76-5C8A0A00B08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A9F-463F-9E76-5C8A0A00B08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A9F-463F-9E76-5C8A0A00B08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A9F-463F-9E76-5C8A0A00B08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A9F-463F-9E76-5C8A0A00B08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A9F-463F-9E76-5C8A0A00B08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A9F-463F-9E76-5C8A0A00B08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A9F-463F-9E76-5C8A0A00B08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A9F-463F-9E76-5C8A0A00B08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A9F-463F-9E76-5C8A0A00B08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A9F-463F-9E76-5C8A0A00B08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1B-4FCB-8BBE-EF054063260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1B-4FCB-8BBE-EF054063260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1B-4FCB-8BBE-EF054063260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1B-4FCB-8BBE-EF054063260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'257'!$L$127:$N$127</c:f>
              <c:numCache>
                <c:formatCode>0.00</c:formatCode>
                <c:ptCount val="3"/>
                <c:pt idx="0">
                  <c:v>1.38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1B-4FCB-8BBE-EF05406326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62-4338-8DBE-FB39FE9692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62-4338-8DBE-FB39FE9692F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62-4338-8DBE-FB39FE9692F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62-4338-8DBE-FB39FE9692F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'257'!$O$127:$Q$127</c:f>
              <c:numCache>
                <c:formatCode>0.00</c:formatCode>
                <c:ptCount val="3"/>
                <c:pt idx="0">
                  <c:v>0</c:v>
                </c:pt>
                <c:pt idx="1">
                  <c:v>3.7</c:v>
                </c:pt>
                <c:pt idx="2">
                  <c:v>2.6799999999999997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62-4338-8DBE-FB39FE9692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1B-4E19-B40D-06BDFB2B681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1B-4E19-B40D-06BDFB2B681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1B-4E19-B40D-06BDFB2B681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1B-4E19-B40D-06BDFB2B681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1B-4E19-B40D-06BDFB2B681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'257'!$R$6:$T$6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'257'!$R$127:$T$127</c:f>
              <c:numCache>
                <c:formatCode>0.00</c:formatCode>
                <c:ptCount val="3"/>
                <c:pt idx="0">
                  <c:v>0</c:v>
                </c:pt>
                <c:pt idx="1">
                  <c:v>6.38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1B-4E19-B40D-06BDFB2B68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E6-4DF0-888A-3627F3F98B6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E6-4DF0-888A-3627F3F98B6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E6-4DF0-888A-3627F3F98B6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E6-4DF0-888A-3627F3F98B6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E6-4DF0-888A-3627F3F98B6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6-4DF0-888A-3627F3F98B6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'258'!$E$130:$I$130</c:f>
              <c:numCache>
                <c:formatCode>0.00</c:formatCode>
                <c:ptCount val="5"/>
                <c:pt idx="0">
                  <c:v>23.2</c:v>
                </c:pt>
                <c:pt idx="1">
                  <c:v>2.7200000000000011</c:v>
                </c:pt>
                <c:pt idx="2">
                  <c:v>5.68</c:v>
                </c:pt>
                <c:pt idx="3">
                  <c:v>1.2000000000000002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E6-4DF0-888A-3627F3F98B6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CE6-4DF0-888A-3627F3F98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CE6-4DF0-888A-3627F3F98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CE6-4DF0-888A-3627F3F98B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CE6-4DF0-888A-3627F3F98B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CE6-4DF0-888A-3627F3F98B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'258'!$E$130:$I$130</c:f>
              <c:numCache>
                <c:formatCode>0.00</c:formatCode>
                <c:ptCount val="5"/>
                <c:pt idx="0">
                  <c:v>23.2</c:v>
                </c:pt>
                <c:pt idx="1">
                  <c:v>2.7200000000000011</c:v>
                </c:pt>
                <c:pt idx="2">
                  <c:v>5.68</c:v>
                </c:pt>
                <c:pt idx="3">
                  <c:v>1.2000000000000002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E6-4DF0-888A-3627F3F98B6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CE6-4DF0-888A-3627F3F98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CE6-4DF0-888A-3627F3F98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CE6-4DF0-888A-3627F3F98B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CE6-4DF0-888A-3627F3F98B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CE6-4DF0-888A-3627F3F98B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'258'!$E$130:$I$130</c:f>
              <c:numCache>
                <c:formatCode>0.00</c:formatCode>
                <c:ptCount val="5"/>
                <c:pt idx="0">
                  <c:v>23.2</c:v>
                </c:pt>
                <c:pt idx="1">
                  <c:v>2.7200000000000011</c:v>
                </c:pt>
                <c:pt idx="2">
                  <c:v>5.68</c:v>
                </c:pt>
                <c:pt idx="3">
                  <c:v>1.2000000000000002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CE6-4DF0-888A-3627F3F98B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CE-4F07-BDD8-C5FDFB7CA78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CE-4F07-BDD8-C5FDFB7CA78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'258'!$J$130:$K$130</c:f>
              <c:numCache>
                <c:formatCode>0.00</c:formatCode>
                <c:ptCount val="2"/>
                <c:pt idx="0">
                  <c:v>25.499999999999996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CE-4F07-BDD8-C5FDFB7CA7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C2CE-4F07-BDD8-C5FDFB7CA78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C2CE-4F07-BDD8-C5FDFB7CA78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C2CE-4F07-BDD8-C5FDFB7CA78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C2CE-4F07-BDD8-C5FDFB7CA78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C2CE-4F07-BDD8-C5FDFB7CA78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2CE-4F07-BDD8-C5FDFB7CA78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C2CE-4F07-BDD8-C5FDFB7CA78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C2CE-4F07-BDD8-C5FDFB7CA78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2CE-4F07-BDD8-C5FDFB7CA78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2CE-4F07-BDD8-C5FDFB7CA78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C2CE-4F07-BDD8-C5FDFB7CA78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2CE-4F07-BDD8-C5FDFB7CA78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B5-464A-83B0-3C7FEF05E6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B5-464A-83B0-3C7FEF05E6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B5-464A-83B0-3C7FEF05E61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B5-464A-83B0-3C7FEF05E611}"/>
                </c:ext>
              </c:extLst>
            </c:dLbl>
            <c:dLbl>
              <c:idx val="1"/>
              <c:layout>
                <c:manualLayout>
                  <c:x val="-7.0467339992394948E-2"/>
                  <c:y val="-0.2893051420836553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B5-464A-83B0-3C7FEF05E611}"/>
                </c:ext>
              </c:extLst>
            </c:dLbl>
            <c:dLbl>
              <c:idx val="2"/>
              <c:layout>
                <c:manualLayout>
                  <c:x val="1.3137966853083294E-2"/>
                  <c:y val="4.301656234131880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B5-464A-83B0-3C7FEF05E6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'258'!$L$130:$N$130</c:f>
              <c:numCache>
                <c:formatCode>0.00</c:formatCode>
                <c:ptCount val="3"/>
                <c:pt idx="0">
                  <c:v>0</c:v>
                </c:pt>
                <c:pt idx="1">
                  <c:v>33.99</c:v>
                </c:pt>
                <c:pt idx="2">
                  <c:v>1.5099999999999996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B5-464A-83B0-3C7FEF05E6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CE-4A87-8B06-FCF24A671B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CE-4A87-8B06-FCF24A671B6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CE-4A87-8B06-FCF24A671B68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25188910144968"/>
                      <c:h val="8.2814732607834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FCE-4A87-8B06-FCF24A671B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CE-4A87-8B06-FCF24A671B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CE-4A87-8B06-FCF24A671B6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'258'!$O$130:$Q$130</c:f>
              <c:numCache>
                <c:formatCode>0.00</c:formatCode>
                <c:ptCount val="3"/>
                <c:pt idx="0">
                  <c:v>35.5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E-4A87-8B06-FCF24A671B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AA-48A5-B6F5-740286D208C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AA-48A5-B6F5-740286D208C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AA-48A5-B6F5-740286D208C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AA-48A5-B6F5-740286D208C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AA-48A5-B6F5-740286D208C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'258'!$R$130:$T$130</c:f>
              <c:numCache>
                <c:formatCode>0.00</c:formatCode>
                <c:ptCount val="3"/>
                <c:pt idx="0">
                  <c:v>0</c:v>
                </c:pt>
                <c:pt idx="1">
                  <c:v>35.5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A-48A5-B6F5-740286D208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44866302213879"/>
          <c:y val="1.3685298766734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81-44D3-8EFF-7C87E33FAD2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81-44D3-8EFF-7C87E33FAD2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81-44D3-8EFF-7C87E33FAD2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81-44D3-8EFF-7C87E33FAD2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81-44D3-8EFF-7C87E33FAD2E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81-44D3-8EFF-7C87E33FAD2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'259'!$E$134:$I$134</c:f>
              <c:numCache>
                <c:formatCode>0.00</c:formatCode>
                <c:ptCount val="5"/>
                <c:pt idx="0">
                  <c:v>26.44</c:v>
                </c:pt>
                <c:pt idx="1">
                  <c:v>11.73</c:v>
                </c:pt>
                <c:pt idx="2">
                  <c:v>2.9</c:v>
                </c:pt>
                <c:pt idx="3">
                  <c:v>5.2</c:v>
                </c:pt>
                <c:pt idx="4">
                  <c:v>2.0999999999999996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1-44D3-8EFF-7C87E33FAD2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681-44D3-8EFF-7C87E33FAD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681-44D3-8EFF-7C87E33FAD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681-44D3-8EFF-7C87E33FAD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681-44D3-8EFF-7C87E33FAD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681-44D3-8EFF-7C87E33FAD2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'259'!$E$134:$I$134</c:f>
              <c:numCache>
                <c:formatCode>0.00</c:formatCode>
                <c:ptCount val="5"/>
                <c:pt idx="0">
                  <c:v>26.44</c:v>
                </c:pt>
                <c:pt idx="1">
                  <c:v>11.73</c:v>
                </c:pt>
                <c:pt idx="2">
                  <c:v>2.9</c:v>
                </c:pt>
                <c:pt idx="3">
                  <c:v>5.2</c:v>
                </c:pt>
                <c:pt idx="4">
                  <c:v>2.0999999999999996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81-44D3-8EFF-7C87E33FAD2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681-44D3-8EFF-7C87E33FAD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681-44D3-8EFF-7C87E33FAD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681-44D3-8EFF-7C87E33FAD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681-44D3-8EFF-7C87E33FAD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681-44D3-8EFF-7C87E33FAD2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'259'!$E$134:$I$134</c:f>
              <c:numCache>
                <c:formatCode>0.00</c:formatCode>
                <c:ptCount val="5"/>
                <c:pt idx="0">
                  <c:v>26.44</c:v>
                </c:pt>
                <c:pt idx="1">
                  <c:v>11.73</c:v>
                </c:pt>
                <c:pt idx="2">
                  <c:v>2.9</c:v>
                </c:pt>
                <c:pt idx="3">
                  <c:v>5.2</c:v>
                </c:pt>
                <c:pt idx="4">
                  <c:v>2.0999999999999996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81-44D3-8EFF-7C87E33FAD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25327278333754"/>
          <c:y val="3.2084664004090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7E-441B-90A0-D96DDE07D76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7E-441B-90A0-D96DDE07D76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'259'!$J$134:$K$134</c:f>
              <c:numCache>
                <c:formatCode>0.00</c:formatCode>
                <c:ptCount val="2"/>
                <c:pt idx="0">
                  <c:v>48.370000000000012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E-441B-90A0-D96DDE07D7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D7E-441B-90A0-D96DDE07D76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D7E-441B-90A0-D96DDE07D76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D7E-441B-90A0-D96DDE07D76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D7E-441B-90A0-D96DDE07D76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D7E-441B-90A0-D96DDE07D76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D7E-441B-90A0-D96DDE07D761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D7E-441B-90A0-D96DDE07D76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D7E-441B-90A0-D96DDE07D76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D7E-441B-90A0-D96DDE07D76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D7E-441B-90A0-D96DDE07D76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D7E-441B-90A0-D96DDE07D76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D7E-441B-90A0-D96DDE07D76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F4-4290-9AD9-96092235641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F4-4290-9AD9-96092235641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F4-4290-9AD9-96092235641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F4-4290-9AD9-96092235641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'259'!$L$134:$N$134</c:f>
              <c:numCache>
                <c:formatCode>0.00</c:formatCode>
                <c:ptCount val="3"/>
                <c:pt idx="0">
                  <c:v>0</c:v>
                </c:pt>
                <c:pt idx="1">
                  <c:v>44.740000000000009</c:v>
                </c:pt>
                <c:pt idx="2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F4-4290-9AD9-9609223564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3A-42CE-B837-263D2DAFB44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3A-42CE-B837-263D2DAFB44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3A-42CE-B837-263D2DAFB44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3A-42CE-B837-263D2DAFB44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'259'!$O$134:$Q$134</c:f>
              <c:numCache>
                <c:formatCode>0.00</c:formatCode>
                <c:ptCount val="3"/>
                <c:pt idx="0">
                  <c:v>43.650000000000006</c:v>
                </c:pt>
                <c:pt idx="1">
                  <c:v>0</c:v>
                </c:pt>
                <c:pt idx="2">
                  <c:v>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3A-42CE-B837-263D2DAFB4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C2-435C-88CE-5A5C7C913FD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C2-435C-88CE-5A5C7C913FD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C2-435C-88CE-5A5C7C913FD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2-435C-88CE-5A5C7C913FD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C2-435C-88CE-5A5C7C913FD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'259'!$R$134:$T$134</c:f>
              <c:numCache>
                <c:formatCode>0.00</c:formatCode>
                <c:ptCount val="3"/>
                <c:pt idx="0">
                  <c:v>0</c:v>
                </c:pt>
                <c:pt idx="1">
                  <c:v>48.370000000000012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C2-435C-88CE-5A5C7C913F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81-46CB-AF03-D14D6E93883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81-46CB-AF03-D14D6E93883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81-46CB-AF03-D14D6E93883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81-46CB-AF03-D14D6E93883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81-46CB-AF03-D14D6E9388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81-46CB-AF03-D14D6E93883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81-46CB-AF03-D14D6E93883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81-46CB-AF03-D14D6E93883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81-46CB-AF03-D14D6E93883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'265'!$E$127:$I$127</c:f>
              <c:numCache>
                <c:formatCode>0.00</c:formatCode>
                <c:ptCount val="5"/>
                <c:pt idx="0">
                  <c:v>0</c:v>
                </c:pt>
                <c:pt idx="1">
                  <c:v>1.0900000000000001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81-46CB-AF03-D14D6E93883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D81-46CB-AF03-D14D6E9388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D81-46CB-AF03-D14D6E9388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D81-46CB-AF03-D14D6E9388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D81-46CB-AF03-D14D6E9388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D81-46CB-AF03-D14D6E93883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'265'!$E$127:$I$127</c:f>
              <c:numCache>
                <c:formatCode>0.00</c:formatCode>
                <c:ptCount val="5"/>
                <c:pt idx="0">
                  <c:v>0</c:v>
                </c:pt>
                <c:pt idx="1">
                  <c:v>1.0900000000000001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D81-46CB-AF03-D14D6E93883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D81-46CB-AF03-D14D6E9388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D81-46CB-AF03-D14D6E9388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D81-46CB-AF03-D14D6E9388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D81-46CB-AF03-D14D6E9388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D81-46CB-AF03-D14D6E93883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'265'!$E$127:$I$127</c:f>
              <c:numCache>
                <c:formatCode>0.00</c:formatCode>
                <c:ptCount val="5"/>
                <c:pt idx="0">
                  <c:v>0</c:v>
                </c:pt>
                <c:pt idx="1">
                  <c:v>1.0900000000000001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D81-46CB-AF03-D14D6E9388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5B-421C-B7F9-C504D87356E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5B-421C-B7F9-C504D87356EB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5B-421C-B7F9-C504D87356E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'265'!$J$127:$K$127</c:f>
              <c:numCache>
                <c:formatCode>0.00</c:formatCode>
                <c:ptCount val="2"/>
                <c:pt idx="0">
                  <c:v>1.0900000000000001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5B-421C-B7F9-C504D87356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95B-421C-B7F9-C504D87356E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95B-421C-B7F9-C504D87356E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95B-421C-B7F9-C504D87356E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95B-421C-B7F9-C504D87356E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95B-421C-B7F9-C504D87356E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'265'!$J$6:$K$6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95B-421C-B7F9-C504D87356E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95B-421C-B7F9-C504D87356E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95B-421C-B7F9-C504D87356E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95B-421C-B7F9-C504D87356E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95B-421C-B7F9-C504D87356E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95B-421C-B7F9-C504D87356E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95B-421C-B7F9-C504D87356E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B9-4B04-BA93-3F4159336D6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B9-4B04-BA93-3F4159336D6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B9-4B04-BA93-3F4159336D6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B9-4B04-BA93-3F4159336D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B9-4B04-BA93-3F4159336D6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'265'!$L$127:$N$127</c:f>
              <c:numCache>
                <c:formatCode>0.00</c:formatCode>
                <c:ptCount val="3"/>
                <c:pt idx="0">
                  <c:v>1.0900000000000001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9-4B04-BA93-3F4159336D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47-4382-B8D3-9514338CA05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47-4382-B8D3-9514338CA05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47-4382-B8D3-9514338CA05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47-4382-B8D3-9514338CA0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47-4382-B8D3-9514338CA05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'265'!$O$127:$Q$127</c:f>
              <c:numCache>
                <c:formatCode>0.00</c:formatCode>
                <c:ptCount val="3"/>
                <c:pt idx="0">
                  <c:v>0</c:v>
                </c:pt>
                <c:pt idx="1">
                  <c:v>1.0900000000000001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47-4382-B8D3-9514338CA0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6B-463E-932B-86C10892C24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6B-463E-932B-86C10892C2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6B-463E-932B-86C10892C24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6B-463E-932B-86C10892C2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6B-463E-932B-86C10892C24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'265'!$R$127:$T$127</c:f>
              <c:numCache>
                <c:formatCode>0.00</c:formatCode>
                <c:ptCount val="3"/>
                <c:pt idx="0">
                  <c:v>0</c:v>
                </c:pt>
                <c:pt idx="1">
                  <c:v>1.0900000000000001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6B-463E-932B-86C10892C2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28-4EA8-8A1F-4B97E930FC4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28-4EA8-8A1F-4B97E930FC4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28-4EA8-8A1F-4B97E930FC4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28-4EA8-8A1F-4B97E930FC4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28-4EA8-8A1F-4B97E930FC4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8-4EA8-8A1F-4B97E930FC45}"/>
                </c:ext>
              </c:extLst>
            </c:dLbl>
            <c:dLbl>
              <c:idx val="1"/>
              <c:layout>
                <c:manualLayout>
                  <c:x val="-0.14213077858797424"/>
                  <c:y val="-0.211903449150402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11378730219202"/>
                      <c:h val="9.53565521176811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928-4EA8-8A1F-4B97E930FC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28-4EA8-8A1F-4B97E930FC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28-4EA8-8A1F-4B97E930FC4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'266'!$E$127:$I$127</c:f>
              <c:numCache>
                <c:formatCode>0.00</c:formatCode>
                <c:ptCount val="5"/>
                <c:pt idx="0">
                  <c:v>0</c:v>
                </c:pt>
                <c:pt idx="1">
                  <c:v>23.660000000000004</c:v>
                </c:pt>
                <c:pt idx="2">
                  <c:v>3.0800000000000005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28-4EA8-8A1F-4B97E930FC4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928-4EA8-8A1F-4B97E930FC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928-4EA8-8A1F-4B97E930FC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928-4EA8-8A1F-4B97E930FC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928-4EA8-8A1F-4B97E930FC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928-4EA8-8A1F-4B97E930FC4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'266'!$E$127:$I$127</c:f>
              <c:numCache>
                <c:formatCode>0.00</c:formatCode>
                <c:ptCount val="5"/>
                <c:pt idx="0">
                  <c:v>0</c:v>
                </c:pt>
                <c:pt idx="1">
                  <c:v>23.660000000000004</c:v>
                </c:pt>
                <c:pt idx="2">
                  <c:v>3.0800000000000005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928-4EA8-8A1F-4B97E930FC4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928-4EA8-8A1F-4B97E930FC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928-4EA8-8A1F-4B97E930FC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928-4EA8-8A1F-4B97E930FC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928-4EA8-8A1F-4B97E930FC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928-4EA8-8A1F-4B97E930FC4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'266'!$E$127:$I$127</c:f>
              <c:numCache>
                <c:formatCode>0.00</c:formatCode>
                <c:ptCount val="5"/>
                <c:pt idx="0">
                  <c:v>0</c:v>
                </c:pt>
                <c:pt idx="1">
                  <c:v>23.660000000000004</c:v>
                </c:pt>
                <c:pt idx="2">
                  <c:v>3.0800000000000005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928-4EA8-8A1F-4B97E930FC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FC-4472-A763-A386BC5B4F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FC-4472-A763-A386BC5B4F5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FC-4472-A763-A386BC5B4F5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'266'!$J$127:$K$127</c:f>
              <c:numCache>
                <c:formatCode>0.00</c:formatCode>
                <c:ptCount val="2"/>
                <c:pt idx="0">
                  <c:v>0</c:v>
                </c:pt>
                <c:pt idx="1">
                  <c:v>26.740000000000006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C-4472-A763-A386BC5B4F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0FC-4472-A763-A386BC5B4F5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0FC-4472-A763-A386BC5B4F5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0FC-4472-A763-A386BC5B4F5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0FC-4472-A763-A386BC5B4F5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0FC-4472-A763-A386BC5B4F5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'266'!$J$6:$K$6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0FC-4472-A763-A386BC5B4F5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0FC-4472-A763-A386BC5B4F5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0FC-4472-A763-A386BC5B4F5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0FC-4472-A763-A386BC5B4F5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0FC-4472-A763-A386BC5B4F5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0FC-4472-A763-A386BC5B4F5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0FC-4472-A763-A386BC5B4F5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62-423E-8B05-DBBB12E2A61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62-423E-8B05-DBBB12E2A61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62-423E-8B05-DBBB12E2A61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62-423E-8B05-DBBB12E2A61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'266'!$L$127:$N$127</c:f>
              <c:numCache>
                <c:formatCode>0.00</c:formatCode>
                <c:ptCount val="3"/>
                <c:pt idx="0">
                  <c:v>26.740000000000006</c:v>
                </c:pt>
                <c:pt idx="1">
                  <c:v>0</c:v>
                </c:pt>
                <c:pt idx="2">
                  <c:v>22.760000000000005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62-423E-8B05-DBBB12E2A6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88-4BA0-BB22-93776694E6C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88-4BA0-BB22-93776694E6C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88-4BA0-BB22-93776694E6C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88-4BA0-BB22-93776694E6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88-4BA0-BB22-93776694E6C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'266'!$O$127:$Q$127</c:f>
              <c:numCache>
                <c:formatCode>0.00</c:formatCode>
                <c:ptCount val="3"/>
                <c:pt idx="0">
                  <c:v>0</c:v>
                </c:pt>
                <c:pt idx="1">
                  <c:v>26.740000000000006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88-4BA0-BB22-93776694E6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3355323825"/>
          <c:y val="5.9519586915257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66-4CE6-828A-DBBF4438694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66-4CE6-828A-DBBF4438694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66-4CE6-828A-DBBF4438694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66-4CE6-828A-DBBF443869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66-4CE6-828A-DBBF4438694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'266'!$R$127:$T$127</c:f>
              <c:numCache>
                <c:formatCode>0.00</c:formatCode>
                <c:ptCount val="3"/>
                <c:pt idx="0">
                  <c:v>0</c:v>
                </c:pt>
                <c:pt idx="1">
                  <c:v>26.740000000000006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66-4CE6-828A-DBBF443869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29574053880478"/>
          <c:y val="0.21744765507910629"/>
          <c:w val="0.47221683313375123"/>
          <c:h val="0.7529614860143900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FB-40AA-AAA0-A43CBED96D8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FB-40AA-AAA0-A43CBED96D8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FB-40AA-AAA0-A43CBED96D8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FB-40AA-AAA0-A43CBED96D8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FB-40AA-AAA0-A43CBED96D8A}"/>
              </c:ext>
            </c:extLst>
          </c:dPt>
          <c:dLbls>
            <c:dLbl>
              <c:idx val="2"/>
              <c:layout>
                <c:manualLayout>
                  <c:x val="9.4911909795630731E-2"/>
                  <c:y val="-9.597876971236614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FB-40AA-AAA0-A43CBED96D8A}"/>
                </c:ext>
              </c:extLst>
            </c:dLbl>
            <c:dLbl>
              <c:idx val="3"/>
              <c:layout>
                <c:manualLayout>
                  <c:x val="6.9062720225510937E-2"/>
                  <c:y val="3.677876516322187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14094432699084"/>
                      <c:h val="9.14004824936134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6FB-40AA-AAA0-A43CBED96D8A}"/>
                </c:ext>
              </c:extLst>
            </c:dLbl>
            <c:dLbl>
              <c:idx val="4"/>
              <c:layout>
                <c:manualLayout>
                  <c:x val="1.6913319238900583E-2"/>
                  <c:y val="1.9842087829759648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34178999295278"/>
                      <c:h val="6.88324621248199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6FB-40AA-AAA0-A43CBED96D8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'T.T.'!$D$21:$H$21</c:f>
              <c:numCache>
                <c:formatCode>#,##0.00</c:formatCode>
                <c:ptCount val="5"/>
                <c:pt idx="0">
                  <c:v>212.39</c:v>
                </c:pt>
                <c:pt idx="1">
                  <c:v>177.71</c:v>
                </c:pt>
                <c:pt idx="2">
                  <c:v>141.24000000000004</c:v>
                </c:pt>
                <c:pt idx="3">
                  <c:v>16.399999999999999</c:v>
                </c:pt>
                <c:pt idx="4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FB-40AA-AAA0-A43CBED96D8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16FB-40AA-AAA0-A43CBED9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E-16FB-40AA-AAA0-A43CBED9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0-16FB-40AA-AAA0-A43CBED9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2-16FB-40AA-AAA0-A43CBED9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4-16FB-40AA-AAA0-A43CBED96D8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'T.T.'!$D$21:$H$21</c:f>
              <c:numCache>
                <c:formatCode>#,##0.00</c:formatCode>
                <c:ptCount val="5"/>
                <c:pt idx="0">
                  <c:v>212.39</c:v>
                </c:pt>
                <c:pt idx="1">
                  <c:v>177.71</c:v>
                </c:pt>
                <c:pt idx="2">
                  <c:v>141.24000000000004</c:v>
                </c:pt>
                <c:pt idx="3">
                  <c:v>16.399999999999999</c:v>
                </c:pt>
                <c:pt idx="4">
                  <c:v>4.0999999999999996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16FB-40AA-AAA0-A43CBED96D8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7-16FB-40AA-AAA0-A43CBED9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9-16FB-40AA-AAA0-A43CBED9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B-16FB-40AA-AAA0-A43CBED9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D-16FB-40AA-AAA0-A43CBED9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F-16FB-40AA-AAA0-A43CBED96D8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'T.T.'!$D$21:$H$21</c:f>
              <c:numCache>
                <c:formatCode>#,##0.00</c:formatCode>
                <c:ptCount val="5"/>
                <c:pt idx="0">
                  <c:v>212.39</c:v>
                </c:pt>
                <c:pt idx="1">
                  <c:v>177.71</c:v>
                </c:pt>
                <c:pt idx="2">
                  <c:v>141.24000000000004</c:v>
                </c:pt>
                <c:pt idx="3">
                  <c:v>16.399999999999999</c:v>
                </c:pt>
                <c:pt idx="4">
                  <c:v>4.0999999999999996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0-16FB-40AA-AAA0-A43CBED96D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/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51128457340418"/>
          <c:y val="0.22239676832214092"/>
          <c:w val="0.47688595598319905"/>
          <c:h val="0.7616858633703362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C0-480A-BDF2-526CB50C4AF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C0-480A-BDF2-526CB50C4A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'T.T.'!$I$3:$J$3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'T.T.'!$I$21:$J$21</c:f>
              <c:numCache>
                <c:formatCode>#,##0.00</c:formatCode>
                <c:ptCount val="2"/>
                <c:pt idx="0">
                  <c:v>497.28</c:v>
                </c:pt>
                <c:pt idx="1">
                  <c:v>44.260000000000005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C0-480A-BDF2-526CB50C4A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BC0-480A-BDF2-526CB50C4AF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BC0-480A-BDF2-526CB50C4AF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BC0-480A-BDF2-526CB50C4AF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BC0-480A-BDF2-526CB50C4AF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BC0-480A-BDF2-526CB50C4AF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'T.T.'!$I$3:$J$3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BC0-480A-BDF2-526CB50C4AF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BC0-480A-BDF2-526CB50C4AF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BC0-480A-BDF2-526CB50C4AF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BC0-480A-BDF2-526CB50C4AF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BC0-480A-BDF2-526CB50C4AF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BC0-480A-BDF2-526CB50C4AF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'T.T.'!$I$3:$J$3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BC0-480A-BDF2-526CB50C4AF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/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717291543475"/>
          <c:y val="4.1186461372566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8B-4AE6-8507-EFF5C4C31F0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8B-4AE6-8507-EFF5C4C31F0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8B-4AE6-8507-EFF5C4C31F02}"/>
              </c:ext>
            </c:extLst>
          </c:dPt>
          <c:dLbls>
            <c:dLbl>
              <c:idx val="0"/>
              <c:layout>
                <c:manualLayout>
                  <c:x val="6.0358131766298818E-2"/>
                  <c:y val="-1.169678231503592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8B-4AE6-8507-EFF5C4C31F02}"/>
                </c:ext>
              </c:extLst>
            </c:dLbl>
            <c:dLbl>
              <c:idx val="1"/>
              <c:layout>
                <c:manualLayout>
                  <c:x val="5.637773079633545E-3"/>
                  <c:y val="-0.2740006918218809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90063424947147"/>
                      <c:h val="8.71820383069620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8B-4AE6-8507-EFF5C4C31F02}"/>
                </c:ext>
              </c:extLst>
            </c:dLbl>
            <c:dLbl>
              <c:idx val="2"/>
              <c:layout>
                <c:manualLayout>
                  <c:x val="-7.1148474305405274E-2"/>
                  <c:y val="4.947239666356417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8B-4AE6-8507-EFF5C4C31F0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'T.T.'!$K$3:$M$3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'T.T.'!$K$21:$M$21</c:f>
              <c:numCache>
                <c:formatCode>#,##0.00</c:formatCode>
                <c:ptCount val="3"/>
                <c:pt idx="0">
                  <c:v>97.66</c:v>
                </c:pt>
                <c:pt idx="1">
                  <c:v>431.76000000000005</c:v>
                </c:pt>
                <c:pt idx="2">
                  <c:v>67.63000000000001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8B-4AE6-8507-EFF5C4C31F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E4-4AC7-9DDF-BB52BBBA0B5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E4-4AC7-9DDF-BB52BBBA0B5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E4-4AC7-9DDF-BB52BBBA0B5A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43622269203665"/>
                      <c:h val="8.2596989766918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3E4-4AC7-9DDF-BB52BBBA0B5A}"/>
                </c:ext>
              </c:extLst>
            </c:dLbl>
            <c:dLbl>
              <c:idx val="1"/>
              <c:layout>
                <c:manualLayout>
                  <c:x val="0.20295983086680761"/>
                  <c:y val="-0.1098727947557014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09372797744892"/>
                      <c:h val="8.71228522198998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3E4-4AC7-9DDF-BB52BBBA0B5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'T.T.'!$N$3:$P$3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'T.T.'!$N$21:$P$21</c:f>
              <c:numCache>
                <c:formatCode>#,##0.00</c:formatCode>
                <c:ptCount val="3"/>
                <c:pt idx="0">
                  <c:v>187.59</c:v>
                </c:pt>
                <c:pt idx="1">
                  <c:v>352.97999999999996</c:v>
                </c:pt>
                <c:pt idx="2">
                  <c:v>10.969999999999999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E4-4AC7-9DDF-BB52BBBA0B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EE-4865-86DF-A07DE543CCB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EE-4865-86DF-A07DE543CCB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EE-4865-86DF-A07DE543CCB6}"/>
              </c:ext>
            </c:extLst>
          </c:dPt>
          <c:dLbls>
            <c:dLbl>
              <c:idx val="1"/>
              <c:layout>
                <c:manualLayout>
                  <c:x val="6.8858909499718943E-2"/>
                  <c:y val="-0.2772996481656999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03709949409781"/>
                      <c:h val="7.65347028937331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BEE-4865-86DF-A07DE543CCB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EE-4865-86DF-A07DE543CCB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'T.T.'!$Q$3:$S$3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'T.T.'!$Q$21:$S$21</c:f>
              <c:numCache>
                <c:formatCode>#,##0.00</c:formatCode>
                <c:ptCount val="3"/>
                <c:pt idx="0">
                  <c:v>20.389999999999997</c:v>
                </c:pt>
                <c:pt idx="1">
                  <c:v>531.15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E-4865-86DF-A07DE543CC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43FD8-7104-48E7-8C0D-429B803F5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444060</xdr:colOff>
      <xdr:row>8</xdr:row>
      <xdr:rowOff>90679</xdr:rowOff>
    </xdr:from>
    <xdr:to>
      <xdr:col>39</xdr:col>
      <xdr:colOff>54624</xdr:colOff>
      <xdr:row>14</xdr:row>
      <xdr:rowOff>36982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9E055B-74D8-43F1-BF99-C1F146F1A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147205</xdr:colOff>
      <xdr:row>14</xdr:row>
      <xdr:rowOff>99581</xdr:rowOff>
    </xdr:from>
    <xdr:to>
      <xdr:col>31</xdr:col>
      <xdr:colOff>364375</xdr:colOff>
      <xdr:row>20</xdr:row>
      <xdr:rowOff>122181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DCB56B-8666-4F15-B6DE-3E8D9E378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450273</xdr:colOff>
      <xdr:row>14</xdr:row>
      <xdr:rowOff>103909</xdr:rowOff>
    </xdr:from>
    <xdr:to>
      <xdr:col>38</xdr:col>
      <xdr:colOff>673158</xdr:colOff>
      <xdr:row>20</xdr:row>
      <xdr:rowOff>126769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EACD52B-E114-4E22-8256-98A2D5097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160143</xdr:colOff>
      <xdr:row>20</xdr:row>
      <xdr:rowOff>225137</xdr:rowOff>
    </xdr:from>
    <xdr:to>
      <xdr:col>31</xdr:col>
      <xdr:colOff>384933</xdr:colOff>
      <xdr:row>26</xdr:row>
      <xdr:rowOff>244187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B68CB9D-3AB8-414A-80AF-35DA9A4C1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41BB05-71CB-4093-B71F-6182574E5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444060</xdr:colOff>
      <xdr:row>8</xdr:row>
      <xdr:rowOff>73359</xdr:rowOff>
    </xdr:from>
    <xdr:to>
      <xdr:col>39</xdr:col>
      <xdr:colOff>54624</xdr:colOff>
      <xdr:row>14</xdr:row>
      <xdr:rowOff>19662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D66FF9-5BB9-4CA4-8D85-30EF42529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147204</xdr:colOff>
      <xdr:row>14</xdr:row>
      <xdr:rowOff>134216</xdr:rowOff>
    </xdr:from>
    <xdr:to>
      <xdr:col>31</xdr:col>
      <xdr:colOff>364374</xdr:colOff>
      <xdr:row>20</xdr:row>
      <xdr:rowOff>156816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84DC99-7A19-485E-96D6-B74D5D53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450273</xdr:colOff>
      <xdr:row>14</xdr:row>
      <xdr:rowOff>138546</xdr:rowOff>
    </xdr:from>
    <xdr:to>
      <xdr:col>38</xdr:col>
      <xdr:colOff>673158</xdr:colOff>
      <xdr:row>20</xdr:row>
      <xdr:rowOff>161406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4D3EDE7-4BDF-4527-824E-8FC7E14AB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160143</xdr:colOff>
      <xdr:row>20</xdr:row>
      <xdr:rowOff>259773</xdr:rowOff>
    </xdr:from>
    <xdr:to>
      <xdr:col>31</xdr:col>
      <xdr:colOff>384933</xdr:colOff>
      <xdr:row>26</xdr:row>
      <xdr:rowOff>259773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C06913-205B-4171-8E6B-5F5541D0B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F5B4A0-F075-4E69-AFF6-267E5FB15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444061</xdr:colOff>
      <xdr:row>8</xdr:row>
      <xdr:rowOff>90678</xdr:rowOff>
    </xdr:from>
    <xdr:to>
      <xdr:col>39</xdr:col>
      <xdr:colOff>54625</xdr:colOff>
      <xdr:row>14</xdr:row>
      <xdr:rowOff>36981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B3A54E-DC3B-42D7-9CF3-EE494AA7F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129886</xdr:colOff>
      <xdr:row>14</xdr:row>
      <xdr:rowOff>116899</xdr:rowOff>
    </xdr:from>
    <xdr:to>
      <xdr:col>31</xdr:col>
      <xdr:colOff>347056</xdr:colOff>
      <xdr:row>20</xdr:row>
      <xdr:rowOff>139499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633EA49-31D0-4475-8C3B-848D627D1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467591</xdr:colOff>
      <xdr:row>14</xdr:row>
      <xdr:rowOff>121228</xdr:rowOff>
    </xdr:from>
    <xdr:to>
      <xdr:col>39</xdr:col>
      <xdr:colOff>15067</xdr:colOff>
      <xdr:row>20</xdr:row>
      <xdr:rowOff>144088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A58CD09-6BB0-4F8E-B5C1-C3377632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125506</xdr:colOff>
      <xdr:row>20</xdr:row>
      <xdr:rowOff>259773</xdr:rowOff>
    </xdr:from>
    <xdr:to>
      <xdr:col>31</xdr:col>
      <xdr:colOff>350296</xdr:colOff>
      <xdr:row>26</xdr:row>
      <xdr:rowOff>278823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287B997-DD69-48BA-A9E2-D8E8DFB50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241242</xdr:colOff>
      <xdr:row>8</xdr:row>
      <xdr:rowOff>50136</xdr:rowOff>
    </xdr:from>
    <xdr:to>
      <xdr:col>31</xdr:col>
      <xdr:colOff>462222</xdr:colOff>
      <xdr:row>13</xdr:row>
      <xdr:rowOff>437544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CAB805-3C83-4910-8286-B944715FC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563383</xdr:colOff>
      <xdr:row>8</xdr:row>
      <xdr:rowOff>38724</xdr:rowOff>
    </xdr:from>
    <xdr:to>
      <xdr:col>39</xdr:col>
      <xdr:colOff>172042</xdr:colOff>
      <xdr:row>13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D72290-E75B-4599-A677-36251824F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251113</xdr:colOff>
      <xdr:row>14</xdr:row>
      <xdr:rowOff>82263</xdr:rowOff>
    </xdr:from>
    <xdr:to>
      <xdr:col>31</xdr:col>
      <xdr:colOff>468283</xdr:colOff>
      <xdr:row>20</xdr:row>
      <xdr:rowOff>104863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CACFE91-CCD3-499F-A760-29A512BE3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571499</xdr:colOff>
      <xdr:row>14</xdr:row>
      <xdr:rowOff>86592</xdr:rowOff>
    </xdr:from>
    <xdr:to>
      <xdr:col>39</xdr:col>
      <xdr:colOff>118975</xdr:colOff>
      <xdr:row>20</xdr:row>
      <xdr:rowOff>109452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118AEE-CC38-47B9-99DD-129F6B7E1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246735</xdr:colOff>
      <xdr:row>20</xdr:row>
      <xdr:rowOff>242455</xdr:rowOff>
    </xdr:from>
    <xdr:to>
      <xdr:col>31</xdr:col>
      <xdr:colOff>471525</xdr:colOff>
      <xdr:row>26</xdr:row>
      <xdr:rowOff>277090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121E248-C43E-482C-8FAC-62ACD9725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215265</xdr:colOff>
      <xdr:row>8</xdr:row>
      <xdr:rowOff>37147</xdr:rowOff>
    </xdr:from>
    <xdr:to>
      <xdr:col>31</xdr:col>
      <xdr:colOff>436245</xdr:colOff>
      <xdr:row>13</xdr:row>
      <xdr:rowOff>426719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9E97A1-605E-40DA-8B38-510D8F427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EB770D-A7CF-4DEC-AB7C-B1A22A51E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190500</xdr:colOff>
      <xdr:row>14</xdr:row>
      <xdr:rowOff>119063</xdr:rowOff>
    </xdr:from>
    <xdr:to>
      <xdr:col>31</xdr:col>
      <xdr:colOff>407670</xdr:colOff>
      <xdr:row>20</xdr:row>
      <xdr:rowOff>143828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7ED23D4-58F2-4ACA-AAE0-DA58AF4E0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571500</xdr:colOff>
      <xdr:row>14</xdr:row>
      <xdr:rowOff>119063</xdr:rowOff>
    </xdr:from>
    <xdr:to>
      <xdr:col>39</xdr:col>
      <xdr:colOff>127635</xdr:colOff>
      <xdr:row>20</xdr:row>
      <xdr:rowOff>141923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A8890B8-F4C1-4997-BBB9-4FA118DF0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190450</xdr:colOff>
      <xdr:row>20</xdr:row>
      <xdr:rowOff>320387</xdr:rowOff>
    </xdr:from>
    <xdr:to>
      <xdr:col>31</xdr:col>
      <xdr:colOff>415240</xdr:colOff>
      <xdr:row>26</xdr:row>
      <xdr:rowOff>339438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996C2EC-AF8F-4A70-AB1A-984F964BF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2FD7FE-F77D-404E-8F0D-7338D33B8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470038</xdr:colOff>
      <xdr:row>8</xdr:row>
      <xdr:rowOff>86349</xdr:rowOff>
    </xdr:from>
    <xdr:to>
      <xdr:col>39</xdr:col>
      <xdr:colOff>80602</xdr:colOff>
      <xdr:row>14</xdr:row>
      <xdr:rowOff>30488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D78FB1-0655-49C8-9B7A-4AF63B039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119062</xdr:colOff>
      <xdr:row>14</xdr:row>
      <xdr:rowOff>166689</xdr:rowOff>
    </xdr:from>
    <xdr:to>
      <xdr:col>31</xdr:col>
      <xdr:colOff>336232</xdr:colOff>
      <xdr:row>20</xdr:row>
      <xdr:rowOff>191454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948E89-07BC-4736-9501-111A458BC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476250</xdr:colOff>
      <xdr:row>14</xdr:row>
      <xdr:rowOff>166688</xdr:rowOff>
    </xdr:from>
    <xdr:to>
      <xdr:col>39</xdr:col>
      <xdr:colOff>32385</xdr:colOff>
      <xdr:row>20</xdr:row>
      <xdr:rowOff>189548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3F0C3A-D428-42DF-802A-62501D3A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344199</xdr:rowOff>
    </xdr:from>
    <xdr:to>
      <xdr:col>31</xdr:col>
      <xdr:colOff>367615</xdr:colOff>
      <xdr:row>26</xdr:row>
      <xdr:rowOff>363250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7DC77E-74F4-413C-AB08-1CEFF3FB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085D6E-E54D-4FC0-9E24-BD043F2F8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493850</xdr:colOff>
      <xdr:row>8</xdr:row>
      <xdr:rowOff>86349</xdr:rowOff>
    </xdr:from>
    <xdr:to>
      <xdr:col>39</xdr:col>
      <xdr:colOff>104414</xdr:colOff>
      <xdr:row>14</xdr:row>
      <xdr:rowOff>30488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7F8AB5-92E1-48D7-8A98-9BDD2A85A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142875</xdr:colOff>
      <xdr:row>14</xdr:row>
      <xdr:rowOff>166689</xdr:rowOff>
    </xdr:from>
    <xdr:to>
      <xdr:col>31</xdr:col>
      <xdr:colOff>360045</xdr:colOff>
      <xdr:row>20</xdr:row>
      <xdr:rowOff>191454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EA2EEF-0B64-48A4-A7A1-32B24C370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500062</xdr:colOff>
      <xdr:row>14</xdr:row>
      <xdr:rowOff>142876</xdr:rowOff>
    </xdr:from>
    <xdr:to>
      <xdr:col>39</xdr:col>
      <xdr:colOff>122464</xdr:colOff>
      <xdr:row>20</xdr:row>
      <xdr:rowOff>165736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C5E9D29-95C8-40EE-8D1B-35BCF5B50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166637</xdr:colOff>
      <xdr:row>20</xdr:row>
      <xdr:rowOff>344199</xdr:rowOff>
    </xdr:from>
    <xdr:to>
      <xdr:col>31</xdr:col>
      <xdr:colOff>340178</xdr:colOff>
      <xdr:row>26</xdr:row>
      <xdr:rowOff>363250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1618B42-851B-4FF7-82A0-61133138E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241243</xdr:colOff>
      <xdr:row>8</xdr:row>
      <xdr:rowOff>84772</xdr:rowOff>
    </xdr:from>
    <xdr:to>
      <xdr:col>31</xdr:col>
      <xdr:colOff>462223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9C0442-B9B1-47DE-85AD-2A488E5ED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90679</xdr:rowOff>
    </xdr:from>
    <xdr:to>
      <xdr:col>39</xdr:col>
      <xdr:colOff>175852</xdr:colOff>
      <xdr:row>14</xdr:row>
      <xdr:rowOff>36982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CBA5E0A-AF56-4908-B1C9-04EE1D662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268432</xdr:colOff>
      <xdr:row>14</xdr:row>
      <xdr:rowOff>168853</xdr:rowOff>
    </xdr:from>
    <xdr:to>
      <xdr:col>31</xdr:col>
      <xdr:colOff>485602</xdr:colOff>
      <xdr:row>20</xdr:row>
      <xdr:rowOff>191453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CB85C7-4ADD-4DCD-9EB9-B365719DC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588818</xdr:colOff>
      <xdr:row>14</xdr:row>
      <xdr:rowOff>155863</xdr:rowOff>
    </xdr:from>
    <xdr:to>
      <xdr:col>39</xdr:col>
      <xdr:colOff>136294</xdr:colOff>
      <xdr:row>20</xdr:row>
      <xdr:rowOff>178723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5B7F37-56D5-4D4A-A4FB-ADD9F28C9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281371</xdr:colOff>
      <xdr:row>20</xdr:row>
      <xdr:rowOff>329045</xdr:rowOff>
    </xdr:from>
    <xdr:to>
      <xdr:col>31</xdr:col>
      <xdr:colOff>506161</xdr:colOff>
      <xdr:row>26</xdr:row>
      <xdr:rowOff>348095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FC6DC1-4D95-4742-92A2-52BC91C1E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743636-3C9B-410E-87A2-EC8B5BE56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461379</xdr:colOff>
      <xdr:row>8</xdr:row>
      <xdr:rowOff>73361</xdr:rowOff>
    </xdr:from>
    <xdr:to>
      <xdr:col>39</xdr:col>
      <xdr:colOff>71943</xdr:colOff>
      <xdr:row>14</xdr:row>
      <xdr:rowOff>19664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83275A-E6F1-4C69-878A-9BF1B2E90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129886</xdr:colOff>
      <xdr:row>14</xdr:row>
      <xdr:rowOff>99581</xdr:rowOff>
    </xdr:from>
    <xdr:to>
      <xdr:col>31</xdr:col>
      <xdr:colOff>347056</xdr:colOff>
      <xdr:row>20</xdr:row>
      <xdr:rowOff>122181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104D2A-773A-4132-B733-9230AA61D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467590</xdr:colOff>
      <xdr:row>14</xdr:row>
      <xdr:rowOff>103909</xdr:rowOff>
    </xdr:from>
    <xdr:to>
      <xdr:col>39</xdr:col>
      <xdr:colOff>15066</xdr:colOff>
      <xdr:row>20</xdr:row>
      <xdr:rowOff>126769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C3D58E0-258F-47CD-8C5B-D0F0C4FD9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207818</xdr:rowOff>
    </xdr:from>
    <xdr:to>
      <xdr:col>31</xdr:col>
      <xdr:colOff>367615</xdr:colOff>
      <xdr:row>26</xdr:row>
      <xdr:rowOff>226868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FFE64B-58B1-4D2D-A913-F1CF0EA42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C6209F-A682-46DC-B208-D76C4F817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444061</xdr:colOff>
      <xdr:row>8</xdr:row>
      <xdr:rowOff>73361</xdr:rowOff>
    </xdr:from>
    <xdr:to>
      <xdr:col>39</xdr:col>
      <xdr:colOff>54625</xdr:colOff>
      <xdr:row>14</xdr:row>
      <xdr:rowOff>19664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AA4D83-2CB2-45DB-950E-ADA7C29DE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147204</xdr:colOff>
      <xdr:row>14</xdr:row>
      <xdr:rowOff>99581</xdr:rowOff>
    </xdr:from>
    <xdr:to>
      <xdr:col>31</xdr:col>
      <xdr:colOff>364374</xdr:colOff>
      <xdr:row>20</xdr:row>
      <xdr:rowOff>122181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C20137-2A62-4DF5-91E4-83A9E921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450272</xdr:colOff>
      <xdr:row>14</xdr:row>
      <xdr:rowOff>103909</xdr:rowOff>
    </xdr:from>
    <xdr:to>
      <xdr:col>38</xdr:col>
      <xdr:colOff>673157</xdr:colOff>
      <xdr:row>20</xdr:row>
      <xdr:rowOff>126769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95DAEB-6A44-47ED-9EC8-4C4AF5FEA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190499</xdr:rowOff>
    </xdr:from>
    <xdr:to>
      <xdr:col>31</xdr:col>
      <xdr:colOff>367615</xdr:colOff>
      <xdr:row>26</xdr:row>
      <xdr:rowOff>209549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BC3CCD-7811-494C-938B-3FED07045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EB4E4D-C760-4581-966C-454F974A6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444061</xdr:colOff>
      <xdr:row>8</xdr:row>
      <xdr:rowOff>90678</xdr:rowOff>
    </xdr:from>
    <xdr:to>
      <xdr:col>39</xdr:col>
      <xdr:colOff>54625</xdr:colOff>
      <xdr:row>14</xdr:row>
      <xdr:rowOff>36981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7ADD73-ABF1-4783-A472-ACB96CC24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129887</xdr:colOff>
      <xdr:row>14</xdr:row>
      <xdr:rowOff>151535</xdr:rowOff>
    </xdr:from>
    <xdr:to>
      <xdr:col>31</xdr:col>
      <xdr:colOff>347057</xdr:colOff>
      <xdr:row>20</xdr:row>
      <xdr:rowOff>174135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263647-9C32-4EA4-9E5C-EEE361413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450272</xdr:colOff>
      <xdr:row>14</xdr:row>
      <xdr:rowOff>138546</xdr:rowOff>
    </xdr:from>
    <xdr:to>
      <xdr:col>38</xdr:col>
      <xdr:colOff>673157</xdr:colOff>
      <xdr:row>20</xdr:row>
      <xdr:rowOff>161406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7E44C2C-3FA8-47A8-8733-21021B8F5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277091</xdr:rowOff>
    </xdr:from>
    <xdr:to>
      <xdr:col>31</xdr:col>
      <xdr:colOff>367615</xdr:colOff>
      <xdr:row>26</xdr:row>
      <xdr:rowOff>296141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78BE953-7BE8-46D0-91CD-4EACC76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56DE2A-FA59-4203-A62B-3E8F0F378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444060</xdr:colOff>
      <xdr:row>8</xdr:row>
      <xdr:rowOff>73360</xdr:rowOff>
    </xdr:from>
    <xdr:to>
      <xdr:col>39</xdr:col>
      <xdr:colOff>54624</xdr:colOff>
      <xdr:row>14</xdr:row>
      <xdr:rowOff>19663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E755FD-243F-4869-99C2-EA77171D1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129886</xdr:colOff>
      <xdr:row>14</xdr:row>
      <xdr:rowOff>151535</xdr:rowOff>
    </xdr:from>
    <xdr:to>
      <xdr:col>31</xdr:col>
      <xdr:colOff>347056</xdr:colOff>
      <xdr:row>20</xdr:row>
      <xdr:rowOff>174135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CECC55-67B9-4A2E-B97E-E24933B06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450272</xdr:colOff>
      <xdr:row>14</xdr:row>
      <xdr:rowOff>138546</xdr:rowOff>
    </xdr:from>
    <xdr:to>
      <xdr:col>38</xdr:col>
      <xdr:colOff>673157</xdr:colOff>
      <xdr:row>20</xdr:row>
      <xdr:rowOff>161406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72E07FC-B28A-4E6E-888D-58787DDA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160143</xdr:colOff>
      <xdr:row>20</xdr:row>
      <xdr:rowOff>277090</xdr:rowOff>
    </xdr:from>
    <xdr:to>
      <xdr:col>31</xdr:col>
      <xdr:colOff>384933</xdr:colOff>
      <xdr:row>26</xdr:row>
      <xdr:rowOff>296140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05D6D15-2E0B-4FDB-90D3-EA774E9AE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241243</xdr:colOff>
      <xdr:row>8</xdr:row>
      <xdr:rowOff>50135</xdr:rowOff>
    </xdr:from>
    <xdr:to>
      <xdr:col>31</xdr:col>
      <xdr:colOff>462223</xdr:colOff>
      <xdr:row>13</xdr:row>
      <xdr:rowOff>437543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53602B-EF1C-4C02-BFAB-8641B2B54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241C40-B34E-4E56-9664-79BA6685B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251114</xdr:colOff>
      <xdr:row>14</xdr:row>
      <xdr:rowOff>99580</xdr:rowOff>
    </xdr:from>
    <xdr:to>
      <xdr:col>31</xdr:col>
      <xdr:colOff>468284</xdr:colOff>
      <xdr:row>20</xdr:row>
      <xdr:rowOff>122180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E507C30-04D1-4036-9F6A-9CF2183CB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554182</xdr:colOff>
      <xdr:row>14</xdr:row>
      <xdr:rowOff>86591</xdr:rowOff>
    </xdr:from>
    <xdr:to>
      <xdr:col>39</xdr:col>
      <xdr:colOff>101658</xdr:colOff>
      <xdr:row>20</xdr:row>
      <xdr:rowOff>109451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B63AF2A-E5EC-48F8-B2B9-4B56F5DC0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264052</xdr:colOff>
      <xdr:row>20</xdr:row>
      <xdr:rowOff>207819</xdr:rowOff>
    </xdr:from>
    <xdr:to>
      <xdr:col>31</xdr:col>
      <xdr:colOff>488842</xdr:colOff>
      <xdr:row>26</xdr:row>
      <xdr:rowOff>121227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0335BF3-D545-4D0F-AF41-4945B86E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7D037-36DF-4979-82C8-16BFAE9E6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444061</xdr:colOff>
      <xdr:row>8</xdr:row>
      <xdr:rowOff>90678</xdr:rowOff>
    </xdr:from>
    <xdr:to>
      <xdr:col>39</xdr:col>
      <xdr:colOff>54625</xdr:colOff>
      <xdr:row>14</xdr:row>
      <xdr:rowOff>36981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DBF2B6-16A0-454D-9127-D714FFA5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129886</xdr:colOff>
      <xdr:row>14</xdr:row>
      <xdr:rowOff>134217</xdr:rowOff>
    </xdr:from>
    <xdr:to>
      <xdr:col>31</xdr:col>
      <xdr:colOff>347056</xdr:colOff>
      <xdr:row>20</xdr:row>
      <xdr:rowOff>156817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5920929-B901-410C-8A5D-8BAF67EC7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450273</xdr:colOff>
      <xdr:row>14</xdr:row>
      <xdr:rowOff>138545</xdr:rowOff>
    </xdr:from>
    <xdr:to>
      <xdr:col>38</xdr:col>
      <xdr:colOff>673158</xdr:colOff>
      <xdr:row>20</xdr:row>
      <xdr:rowOff>161405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98FB2C-6D2A-4B42-909A-1CC3F6FDD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108188</xdr:colOff>
      <xdr:row>20</xdr:row>
      <xdr:rowOff>277091</xdr:rowOff>
    </xdr:from>
    <xdr:to>
      <xdr:col>31</xdr:col>
      <xdr:colOff>332978</xdr:colOff>
      <xdr:row>26</xdr:row>
      <xdr:rowOff>259772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8B430BE-F652-4485-A734-0E2A0D6D0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FC4A0C-3782-41DA-9676-D70C18B0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434553</xdr:colOff>
      <xdr:row>8</xdr:row>
      <xdr:rowOff>76077</xdr:rowOff>
    </xdr:from>
    <xdr:to>
      <xdr:col>39</xdr:col>
      <xdr:colOff>45117</xdr:colOff>
      <xdr:row>14</xdr:row>
      <xdr:rowOff>24418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A5D502-5B93-46C0-A601-8BE61370A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113927</xdr:colOff>
      <xdr:row>14</xdr:row>
      <xdr:rowOff>129803</xdr:rowOff>
    </xdr:from>
    <xdr:to>
      <xdr:col>31</xdr:col>
      <xdr:colOff>331097</xdr:colOff>
      <xdr:row>20</xdr:row>
      <xdr:rowOff>150365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5AA4DC1-D4FF-4777-AF79-FB8455688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448236</xdr:colOff>
      <xdr:row>14</xdr:row>
      <xdr:rowOff>130735</xdr:rowOff>
    </xdr:from>
    <xdr:to>
      <xdr:col>38</xdr:col>
      <xdr:colOff>671121</xdr:colOff>
      <xdr:row>20</xdr:row>
      <xdr:rowOff>153595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BE6DB16-916A-4716-B2DA-4677AC23A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124149</xdr:colOff>
      <xdr:row>20</xdr:row>
      <xdr:rowOff>266224</xdr:rowOff>
    </xdr:from>
    <xdr:to>
      <xdr:col>31</xdr:col>
      <xdr:colOff>348939</xdr:colOff>
      <xdr:row>26</xdr:row>
      <xdr:rowOff>285275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FCDC81E-8E1B-4984-B75E-84AF980B7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242479</xdr:colOff>
      <xdr:row>8</xdr:row>
      <xdr:rowOff>30344</xdr:rowOff>
    </xdr:from>
    <xdr:to>
      <xdr:col>31</xdr:col>
      <xdr:colOff>463459</xdr:colOff>
      <xdr:row>13</xdr:row>
      <xdr:rowOff>430122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FC2A2E-2D67-43B9-A79B-33C5852AB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A6970F-0029-4433-A1E4-74E123B02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258535</xdr:colOff>
      <xdr:row>14</xdr:row>
      <xdr:rowOff>47626</xdr:rowOff>
    </xdr:from>
    <xdr:to>
      <xdr:col>31</xdr:col>
      <xdr:colOff>459440</xdr:colOff>
      <xdr:row>20</xdr:row>
      <xdr:rowOff>82596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CD7469E-D50E-4D8D-8498-953003013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549088</xdr:colOff>
      <xdr:row>14</xdr:row>
      <xdr:rowOff>43221</xdr:rowOff>
    </xdr:from>
    <xdr:to>
      <xdr:col>39</xdr:col>
      <xdr:colOff>156883</xdr:colOff>
      <xdr:row>20</xdr:row>
      <xdr:rowOff>66082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DAF77FE-3090-4FA5-A9F3-7A4069CB5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251682</xdr:colOff>
      <xdr:row>20</xdr:row>
      <xdr:rowOff>170707</xdr:rowOff>
    </xdr:from>
    <xdr:to>
      <xdr:col>31</xdr:col>
      <xdr:colOff>437030</xdr:colOff>
      <xdr:row>26</xdr:row>
      <xdr:rowOff>189758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412B93-1E11-4F5C-BB91-1322F8FBE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228411</xdr:colOff>
      <xdr:row>2</xdr:row>
      <xdr:rowOff>226558</xdr:rowOff>
    </xdr:from>
    <xdr:to>
      <xdr:col>28</xdr:col>
      <xdr:colOff>447486</xdr:colOff>
      <xdr:row>10</xdr:row>
      <xdr:rowOff>114738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234DB9-4AB0-427A-8F19-E267D63D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547871</xdr:colOff>
      <xdr:row>2</xdr:row>
      <xdr:rowOff>215616</xdr:rowOff>
    </xdr:from>
    <xdr:to>
      <xdr:col>36</xdr:col>
      <xdr:colOff>154625</xdr:colOff>
      <xdr:row>10</xdr:row>
      <xdr:rowOff>96176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6189FD-EBC4-40B8-8713-63C38C1CD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210095</xdr:colOff>
      <xdr:row>10</xdr:row>
      <xdr:rowOff>192405</xdr:rowOff>
    </xdr:from>
    <xdr:to>
      <xdr:col>28</xdr:col>
      <xdr:colOff>429170</xdr:colOff>
      <xdr:row>17</xdr:row>
      <xdr:rowOff>329595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01FC6F-9DBB-4E44-B5B2-1087D03CA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544286</xdr:colOff>
      <xdr:row>10</xdr:row>
      <xdr:rowOff>176893</xdr:rowOff>
    </xdr:from>
    <xdr:to>
      <xdr:col>36</xdr:col>
      <xdr:colOff>151040</xdr:colOff>
      <xdr:row>17</xdr:row>
      <xdr:rowOff>315988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8DE1E6-0A51-439F-AE0A-D63FBAEC7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216848</xdr:colOff>
      <xdr:row>18</xdr:row>
      <xdr:rowOff>29465</xdr:rowOff>
    </xdr:from>
    <xdr:to>
      <xdr:col>28</xdr:col>
      <xdr:colOff>449258</xdr:colOff>
      <xdr:row>28</xdr:row>
      <xdr:rowOff>143250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AAF83B7-10AF-4D0E-BE5D-94DA634B8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chos"/>
      <sheetName val="68"/>
      <sheetName val="70"/>
      <sheetName val="73"/>
      <sheetName val="74"/>
      <sheetName val="75"/>
      <sheetName val="78"/>
      <sheetName val="80"/>
      <sheetName val="TT"/>
      <sheetName val="71"/>
      <sheetName val="77"/>
    </sheetNames>
    <sheetDataSet>
      <sheetData sheetId="0"/>
      <sheetData sheetId="1">
        <row r="6">
          <cell r="E6" t="str">
            <v>BOM</v>
          </cell>
        </row>
        <row r="137">
          <cell r="E137">
            <v>18.450000000000003</v>
          </cell>
          <cell r="F137">
            <v>22.46</v>
          </cell>
          <cell r="G137">
            <v>16.420000000000002</v>
          </cell>
          <cell r="H137">
            <v>8.3999999999999986</v>
          </cell>
          <cell r="I137">
            <v>6.6999999999999993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4">
          <cell r="D14">
            <v>123.02000000000001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9165-6F6B-42D3-9C13-48A20EDD353B}">
  <sheetPr>
    <pageSetUpPr fitToPage="1"/>
  </sheetPr>
  <dimension ref="A1:I45"/>
  <sheetViews>
    <sheetView view="pageBreakPreview" zoomScale="55" zoomScaleNormal="55" zoomScaleSheetLayoutView="55" workbookViewId="0">
      <selection activeCell="C8" sqref="C8"/>
    </sheetView>
  </sheetViews>
  <sheetFormatPr defaultColWidth="8.88671875" defaultRowHeight="14.4" x14ac:dyDescent="0.3"/>
  <cols>
    <col min="1" max="1" width="9.6640625" style="31" customWidth="1"/>
    <col min="2" max="2" width="8.88671875" style="31" customWidth="1"/>
    <col min="3" max="3" width="92.5546875" style="31" bestFit="1" customWidth="1"/>
    <col min="4" max="4" width="18.88671875" style="31" customWidth="1"/>
    <col min="5" max="5" width="73.33203125" style="31" bestFit="1" customWidth="1"/>
    <col min="6" max="6" width="12.6640625" style="32" customWidth="1"/>
    <col min="7" max="7" width="9.6640625" style="31" customWidth="1"/>
    <col min="8" max="16384" width="8.88671875" style="31"/>
  </cols>
  <sheetData>
    <row r="1" spans="1:9" ht="30.75" customHeight="1" thickBot="1" x14ac:dyDescent="0.35">
      <c r="A1" s="84" t="s">
        <v>197</v>
      </c>
      <c r="B1" s="85"/>
      <c r="C1" s="85"/>
      <c r="D1" s="85"/>
      <c r="E1" s="85"/>
      <c r="F1" s="85"/>
      <c r="G1" s="86"/>
    </row>
    <row r="2" spans="1:9" s="33" customFormat="1" ht="37.799999999999997" thickBot="1" x14ac:dyDescent="0.35">
      <c r="A2" s="68" t="s">
        <v>75</v>
      </c>
      <c r="B2" s="69" t="s">
        <v>163</v>
      </c>
      <c r="C2" s="69" t="s">
        <v>38</v>
      </c>
      <c r="D2" s="69" t="s">
        <v>76</v>
      </c>
      <c r="E2" s="69" t="s">
        <v>165</v>
      </c>
      <c r="F2" s="70" t="s">
        <v>164</v>
      </c>
      <c r="G2" s="71" t="s">
        <v>77</v>
      </c>
      <c r="H2" s="34">
        <v>45839</v>
      </c>
      <c r="I2" s="34">
        <v>45870</v>
      </c>
    </row>
    <row r="3" spans="1:9" s="33" customFormat="1" ht="39.9" customHeight="1" x14ac:dyDescent="0.3">
      <c r="A3" s="72">
        <v>13</v>
      </c>
      <c r="B3" s="73" t="s">
        <v>40</v>
      </c>
      <c r="C3" s="73" t="s">
        <v>41</v>
      </c>
      <c r="D3" s="73" t="s">
        <v>78</v>
      </c>
      <c r="E3" s="73" t="s">
        <v>79</v>
      </c>
      <c r="F3" s="74">
        <v>1.57022046791</v>
      </c>
      <c r="G3" s="75" t="s">
        <v>80</v>
      </c>
      <c r="H3" s="33" t="s">
        <v>168</v>
      </c>
    </row>
    <row r="4" spans="1:9" s="33" customFormat="1" ht="39.9" customHeight="1" x14ac:dyDescent="0.3">
      <c r="A4" s="76">
        <v>13</v>
      </c>
      <c r="B4" s="77" t="s">
        <v>40</v>
      </c>
      <c r="C4" s="77" t="s">
        <v>41</v>
      </c>
      <c r="D4" s="77" t="s">
        <v>81</v>
      </c>
      <c r="E4" s="77" t="s">
        <v>82</v>
      </c>
      <c r="F4" s="78">
        <v>13.3233917017</v>
      </c>
      <c r="G4" s="79" t="s">
        <v>80</v>
      </c>
      <c r="H4" s="33" t="s">
        <v>168</v>
      </c>
    </row>
    <row r="5" spans="1:9" s="33" customFormat="1" ht="39.9" customHeight="1" x14ac:dyDescent="0.3">
      <c r="A5" s="63">
        <v>13</v>
      </c>
      <c r="B5" s="64" t="s">
        <v>42</v>
      </c>
      <c r="C5" s="64" t="s">
        <v>43</v>
      </c>
      <c r="D5" s="64" t="s">
        <v>83</v>
      </c>
      <c r="E5" s="64" t="s">
        <v>84</v>
      </c>
      <c r="F5" s="65">
        <v>6.2949204345299998</v>
      </c>
      <c r="G5" s="66" t="s">
        <v>80</v>
      </c>
      <c r="H5" s="33" t="s">
        <v>168</v>
      </c>
    </row>
    <row r="6" spans="1:9" s="33" customFormat="1" ht="39.9" customHeight="1" x14ac:dyDescent="0.3">
      <c r="A6" s="63">
        <v>13</v>
      </c>
      <c r="B6" s="64" t="s">
        <v>42</v>
      </c>
      <c r="C6" s="64" t="s">
        <v>43</v>
      </c>
      <c r="D6" s="64" t="s">
        <v>85</v>
      </c>
      <c r="E6" s="64" t="s">
        <v>86</v>
      </c>
      <c r="F6" s="65">
        <v>11.481208842299999</v>
      </c>
      <c r="G6" s="66" t="s">
        <v>80</v>
      </c>
      <c r="H6" s="33" t="s">
        <v>168</v>
      </c>
    </row>
    <row r="7" spans="1:9" s="33" customFormat="1" ht="39.9" customHeight="1" x14ac:dyDescent="0.3">
      <c r="A7" s="63">
        <v>13</v>
      </c>
      <c r="B7" s="64" t="s">
        <v>42</v>
      </c>
      <c r="C7" s="64" t="s">
        <v>43</v>
      </c>
      <c r="D7" s="64" t="s">
        <v>87</v>
      </c>
      <c r="E7" s="64" t="s">
        <v>88</v>
      </c>
      <c r="F7" s="65">
        <v>18.270379774199998</v>
      </c>
      <c r="G7" s="66" t="s">
        <v>80</v>
      </c>
      <c r="H7" s="33" t="s">
        <v>168</v>
      </c>
    </row>
    <row r="8" spans="1:9" s="33" customFormat="1" ht="39.9" customHeight="1" x14ac:dyDescent="0.3">
      <c r="A8" s="63">
        <v>13</v>
      </c>
      <c r="B8" s="64" t="s">
        <v>44</v>
      </c>
      <c r="C8" s="64" t="s">
        <v>45</v>
      </c>
      <c r="D8" s="64" t="s">
        <v>89</v>
      </c>
      <c r="E8" s="64" t="s">
        <v>90</v>
      </c>
      <c r="F8" s="65">
        <v>5.8182596155799997</v>
      </c>
      <c r="G8" s="66" t="s">
        <v>80</v>
      </c>
      <c r="H8" s="33" t="s">
        <v>168</v>
      </c>
    </row>
    <row r="9" spans="1:9" s="33" customFormat="1" ht="39.9" customHeight="1" x14ac:dyDescent="0.3">
      <c r="A9" s="63">
        <v>13</v>
      </c>
      <c r="B9" s="64" t="s">
        <v>44</v>
      </c>
      <c r="C9" s="64" t="s">
        <v>45</v>
      </c>
      <c r="D9" s="64" t="s">
        <v>91</v>
      </c>
      <c r="E9" s="64" t="s">
        <v>92</v>
      </c>
      <c r="F9" s="65">
        <v>37.187731417099997</v>
      </c>
      <c r="G9" s="66" t="s">
        <v>80</v>
      </c>
      <c r="H9" s="33" t="s">
        <v>168</v>
      </c>
    </row>
    <row r="10" spans="1:9" s="33" customFormat="1" ht="39.9" customHeight="1" x14ac:dyDescent="0.3">
      <c r="A10" s="76">
        <v>13</v>
      </c>
      <c r="B10" s="77" t="s">
        <v>46</v>
      </c>
      <c r="C10" s="77" t="s">
        <v>47</v>
      </c>
      <c r="D10" s="77" t="s">
        <v>93</v>
      </c>
      <c r="E10" s="77" t="s">
        <v>94</v>
      </c>
      <c r="F10" s="78">
        <v>8.6840399444400003</v>
      </c>
      <c r="G10" s="79" t="s">
        <v>80</v>
      </c>
      <c r="H10" s="33" t="s">
        <v>168</v>
      </c>
    </row>
    <row r="11" spans="1:9" s="33" customFormat="1" ht="39.9" customHeight="1" x14ac:dyDescent="0.3">
      <c r="A11" s="76">
        <v>13</v>
      </c>
      <c r="B11" s="77" t="s">
        <v>46</v>
      </c>
      <c r="C11" s="77" t="s">
        <v>47</v>
      </c>
      <c r="D11" s="77" t="s">
        <v>95</v>
      </c>
      <c r="E11" s="77" t="s">
        <v>96</v>
      </c>
      <c r="F11" s="78">
        <v>15.045976034300001</v>
      </c>
      <c r="G11" s="79" t="s">
        <v>80</v>
      </c>
      <c r="H11" s="33" t="s">
        <v>168</v>
      </c>
    </row>
    <row r="12" spans="1:9" s="33" customFormat="1" ht="39.9" customHeight="1" x14ac:dyDescent="0.3">
      <c r="A12" s="76">
        <v>13</v>
      </c>
      <c r="B12" s="77" t="s">
        <v>46</v>
      </c>
      <c r="C12" s="77" t="s">
        <v>47</v>
      </c>
      <c r="D12" s="77" t="s">
        <v>97</v>
      </c>
      <c r="E12" s="77" t="s">
        <v>98</v>
      </c>
      <c r="F12" s="78">
        <v>11.205250684099999</v>
      </c>
      <c r="G12" s="79" t="s">
        <v>80</v>
      </c>
      <c r="H12" s="33" t="s">
        <v>168</v>
      </c>
    </row>
    <row r="13" spans="1:9" s="33" customFormat="1" ht="39.9" customHeight="1" x14ac:dyDescent="0.3">
      <c r="A13" s="63">
        <v>13</v>
      </c>
      <c r="B13" s="64" t="s">
        <v>48</v>
      </c>
      <c r="C13" s="64" t="s">
        <v>49</v>
      </c>
      <c r="D13" s="64" t="s">
        <v>99</v>
      </c>
      <c r="E13" s="64" t="s">
        <v>100</v>
      </c>
      <c r="F13" s="65">
        <v>4.9837539104499999</v>
      </c>
      <c r="G13" s="66" t="s">
        <v>80</v>
      </c>
      <c r="H13" s="33" t="s">
        <v>168</v>
      </c>
    </row>
    <row r="14" spans="1:9" s="33" customFormat="1" ht="39.9" customHeight="1" x14ac:dyDescent="0.3">
      <c r="A14" s="63">
        <v>13</v>
      </c>
      <c r="B14" s="64" t="s">
        <v>48</v>
      </c>
      <c r="C14" s="64" t="s">
        <v>49</v>
      </c>
      <c r="D14" s="64" t="s">
        <v>101</v>
      </c>
      <c r="E14" s="64" t="s">
        <v>102</v>
      </c>
      <c r="F14" s="65">
        <v>1.8568037714200001</v>
      </c>
      <c r="G14" s="66" t="s">
        <v>80</v>
      </c>
      <c r="H14" s="33" t="s">
        <v>168</v>
      </c>
    </row>
    <row r="15" spans="1:9" s="33" customFormat="1" ht="39.9" customHeight="1" x14ac:dyDescent="0.3">
      <c r="A15" s="63">
        <v>13</v>
      </c>
      <c r="B15" s="64" t="s">
        <v>48</v>
      </c>
      <c r="C15" s="64" t="s">
        <v>49</v>
      </c>
      <c r="D15" s="64" t="s">
        <v>103</v>
      </c>
      <c r="E15" s="64" t="s">
        <v>104</v>
      </c>
      <c r="F15" s="65">
        <v>8.54784982346</v>
      </c>
      <c r="G15" s="66" t="s">
        <v>80</v>
      </c>
    </row>
    <row r="16" spans="1:9" s="33" customFormat="1" ht="39.9" customHeight="1" x14ac:dyDescent="0.3">
      <c r="A16" s="63">
        <v>13</v>
      </c>
      <c r="B16" s="64" t="s">
        <v>50</v>
      </c>
      <c r="C16" s="64" t="s">
        <v>51</v>
      </c>
      <c r="D16" s="64" t="s">
        <v>105</v>
      </c>
      <c r="E16" s="64" t="s">
        <v>106</v>
      </c>
      <c r="F16" s="65">
        <v>33.953784900000002</v>
      </c>
      <c r="G16" s="66" t="s">
        <v>80</v>
      </c>
      <c r="H16" s="33" t="s">
        <v>168</v>
      </c>
    </row>
    <row r="17" spans="1:8" s="33" customFormat="1" ht="39.9" customHeight="1" x14ac:dyDescent="0.3">
      <c r="A17" s="63">
        <v>13</v>
      </c>
      <c r="B17" s="64" t="s">
        <v>50</v>
      </c>
      <c r="C17" s="64" t="s">
        <v>51</v>
      </c>
      <c r="D17" s="64" t="s">
        <v>107</v>
      </c>
      <c r="E17" s="64" t="s">
        <v>108</v>
      </c>
      <c r="F17" s="65">
        <v>47.950062449500003</v>
      </c>
      <c r="G17" s="66" t="s">
        <v>80</v>
      </c>
      <c r="H17" s="33" t="s">
        <v>168</v>
      </c>
    </row>
    <row r="18" spans="1:8" s="33" customFormat="1" ht="39.9" customHeight="1" x14ac:dyDescent="0.3">
      <c r="A18" s="63">
        <v>13</v>
      </c>
      <c r="B18" s="64" t="s">
        <v>50</v>
      </c>
      <c r="C18" s="64" t="s">
        <v>51</v>
      </c>
      <c r="D18" s="64" t="s">
        <v>109</v>
      </c>
      <c r="E18" s="64" t="s">
        <v>110</v>
      </c>
      <c r="F18" s="65">
        <v>18.959078117099999</v>
      </c>
      <c r="G18" s="66" t="s">
        <v>80</v>
      </c>
      <c r="H18" s="33" t="s">
        <v>168</v>
      </c>
    </row>
    <row r="19" spans="1:8" s="33" customFormat="1" ht="39.9" customHeight="1" x14ac:dyDescent="0.3">
      <c r="A19" s="63">
        <v>13</v>
      </c>
      <c r="B19" s="64" t="s">
        <v>50</v>
      </c>
      <c r="C19" s="64" t="s">
        <v>51</v>
      </c>
      <c r="D19" s="64" t="s">
        <v>111</v>
      </c>
      <c r="E19" s="64" t="s">
        <v>112</v>
      </c>
      <c r="F19" s="65">
        <v>3.6488389734100002</v>
      </c>
      <c r="G19" s="66" t="s">
        <v>80</v>
      </c>
      <c r="H19" s="33" t="s">
        <v>168</v>
      </c>
    </row>
    <row r="20" spans="1:8" s="33" customFormat="1" ht="39.9" customHeight="1" x14ac:dyDescent="0.3">
      <c r="A20" s="76">
        <v>13</v>
      </c>
      <c r="B20" s="77" t="s">
        <v>52</v>
      </c>
      <c r="C20" s="77" t="s">
        <v>53</v>
      </c>
      <c r="D20" s="77" t="s">
        <v>113</v>
      </c>
      <c r="E20" s="77" t="s">
        <v>114</v>
      </c>
      <c r="F20" s="78">
        <v>1.4023074398199999</v>
      </c>
      <c r="G20" s="79" t="s">
        <v>115</v>
      </c>
      <c r="H20" s="33" t="s">
        <v>168</v>
      </c>
    </row>
    <row r="21" spans="1:8" s="33" customFormat="1" ht="39.9" customHeight="1" x14ac:dyDescent="0.3">
      <c r="A21" s="76">
        <v>13</v>
      </c>
      <c r="B21" s="77" t="s">
        <v>52</v>
      </c>
      <c r="C21" s="77" t="s">
        <v>53</v>
      </c>
      <c r="D21" s="77" t="s">
        <v>116</v>
      </c>
      <c r="E21" s="77" t="s">
        <v>117</v>
      </c>
      <c r="F21" s="78">
        <v>45.7523322025</v>
      </c>
      <c r="G21" s="79" t="s">
        <v>80</v>
      </c>
      <c r="H21" s="33" t="s">
        <v>168</v>
      </c>
    </row>
    <row r="22" spans="1:8" s="33" customFormat="1" ht="39.9" customHeight="1" x14ac:dyDescent="0.3">
      <c r="A22" s="76">
        <v>13</v>
      </c>
      <c r="B22" s="77" t="s">
        <v>52</v>
      </c>
      <c r="C22" s="77" t="s">
        <v>53</v>
      </c>
      <c r="D22" s="77" t="s">
        <v>118</v>
      </c>
      <c r="E22" s="77" t="s">
        <v>119</v>
      </c>
      <c r="F22" s="78">
        <v>5.51803175531</v>
      </c>
      <c r="G22" s="79" t="s">
        <v>80</v>
      </c>
      <c r="H22" s="33" t="s">
        <v>168</v>
      </c>
    </row>
    <row r="23" spans="1:8" s="33" customFormat="1" ht="39.9" customHeight="1" x14ac:dyDescent="0.3">
      <c r="A23" s="63">
        <v>13</v>
      </c>
      <c r="B23" s="64" t="s">
        <v>54</v>
      </c>
      <c r="C23" s="64" t="s">
        <v>55</v>
      </c>
      <c r="D23" s="64" t="s">
        <v>120</v>
      </c>
      <c r="E23" s="64" t="s">
        <v>121</v>
      </c>
      <c r="F23" s="65">
        <v>15.560727356799999</v>
      </c>
      <c r="G23" s="66" t="s">
        <v>80</v>
      </c>
      <c r="H23" s="33" t="s">
        <v>168</v>
      </c>
    </row>
    <row r="24" spans="1:8" s="33" customFormat="1" ht="39.9" customHeight="1" x14ac:dyDescent="0.3">
      <c r="A24" s="63">
        <v>13</v>
      </c>
      <c r="B24" s="64" t="s">
        <v>56</v>
      </c>
      <c r="C24" s="64" t="s">
        <v>57</v>
      </c>
      <c r="D24" s="64" t="s">
        <v>122</v>
      </c>
      <c r="E24" s="64" t="s">
        <v>123</v>
      </c>
      <c r="F24" s="65">
        <v>1.1652050469699999</v>
      </c>
      <c r="G24" s="66" t="s">
        <v>115</v>
      </c>
      <c r="H24" s="33" t="s">
        <v>168</v>
      </c>
    </row>
    <row r="25" spans="1:8" s="33" customFormat="1" ht="39.9" customHeight="1" x14ac:dyDescent="0.3">
      <c r="A25" s="63">
        <v>13</v>
      </c>
      <c r="B25" s="64" t="s">
        <v>56</v>
      </c>
      <c r="C25" s="64" t="s">
        <v>57</v>
      </c>
      <c r="D25" s="64" t="s">
        <v>124</v>
      </c>
      <c r="E25" s="64" t="s">
        <v>125</v>
      </c>
      <c r="F25" s="65">
        <v>10.290560861399999</v>
      </c>
      <c r="G25" s="66" t="s">
        <v>80</v>
      </c>
      <c r="H25" s="33" t="s">
        <v>168</v>
      </c>
    </row>
    <row r="26" spans="1:8" s="33" customFormat="1" ht="39.9" customHeight="1" x14ac:dyDescent="0.3">
      <c r="A26" s="63">
        <v>13</v>
      </c>
      <c r="B26" s="64" t="s">
        <v>56</v>
      </c>
      <c r="C26" s="64" t="s">
        <v>57</v>
      </c>
      <c r="D26" s="64" t="s">
        <v>126</v>
      </c>
      <c r="E26" s="64" t="s">
        <v>127</v>
      </c>
      <c r="F26" s="65">
        <v>6.5224718560000001</v>
      </c>
      <c r="G26" s="66" t="s">
        <v>80</v>
      </c>
      <c r="H26" s="33" t="s">
        <v>168</v>
      </c>
    </row>
    <row r="27" spans="1:8" s="33" customFormat="1" ht="39.9" customHeight="1" x14ac:dyDescent="0.3">
      <c r="A27" s="76">
        <v>13</v>
      </c>
      <c r="B27" s="77" t="s">
        <v>58</v>
      </c>
      <c r="C27" s="77" t="s">
        <v>59</v>
      </c>
      <c r="D27" s="77" t="s">
        <v>128</v>
      </c>
      <c r="E27" s="77" t="s">
        <v>129</v>
      </c>
      <c r="F27" s="78">
        <v>57.452308968700002</v>
      </c>
      <c r="G27" s="79" t="s">
        <v>80</v>
      </c>
      <c r="H27" s="33" t="s">
        <v>168</v>
      </c>
    </row>
    <row r="28" spans="1:8" s="33" customFormat="1" ht="39.9" customHeight="1" x14ac:dyDescent="0.3">
      <c r="A28" s="63">
        <v>13</v>
      </c>
      <c r="B28" s="64" t="s">
        <v>60</v>
      </c>
      <c r="C28" s="64" t="s">
        <v>61</v>
      </c>
      <c r="D28" s="64" t="s">
        <v>130</v>
      </c>
      <c r="E28" s="64" t="s">
        <v>131</v>
      </c>
      <c r="F28" s="65">
        <v>5.0826416457799999</v>
      </c>
      <c r="G28" s="66" t="s">
        <v>80</v>
      </c>
      <c r="H28" s="33" t="s">
        <v>168</v>
      </c>
    </row>
    <row r="29" spans="1:8" s="33" customFormat="1" ht="39.9" customHeight="1" x14ac:dyDescent="0.3">
      <c r="A29" s="63">
        <v>13</v>
      </c>
      <c r="B29" s="64" t="s">
        <v>60</v>
      </c>
      <c r="C29" s="64" t="s">
        <v>61</v>
      </c>
      <c r="D29" s="64" t="s">
        <v>132</v>
      </c>
      <c r="E29" s="64" t="s">
        <v>133</v>
      </c>
      <c r="F29" s="65">
        <v>3.7674197791899999</v>
      </c>
      <c r="G29" s="66" t="s">
        <v>80</v>
      </c>
      <c r="H29" s="33" t="s">
        <v>168</v>
      </c>
    </row>
    <row r="30" spans="1:8" s="33" customFormat="1" ht="39.9" customHeight="1" x14ac:dyDescent="0.3">
      <c r="A30" s="63">
        <v>13</v>
      </c>
      <c r="B30" s="64" t="s">
        <v>60</v>
      </c>
      <c r="C30" s="64" t="s">
        <v>61</v>
      </c>
      <c r="D30" s="64" t="s">
        <v>134</v>
      </c>
      <c r="E30" s="64" t="s">
        <v>135</v>
      </c>
      <c r="F30" s="65">
        <v>5.3611366482399996</v>
      </c>
      <c r="G30" s="66" t="s">
        <v>80</v>
      </c>
      <c r="H30" s="33" t="s">
        <v>168</v>
      </c>
    </row>
    <row r="31" spans="1:8" s="33" customFormat="1" ht="39.9" customHeight="1" x14ac:dyDescent="0.3">
      <c r="A31" s="63">
        <v>13</v>
      </c>
      <c r="B31" s="64" t="s">
        <v>60</v>
      </c>
      <c r="C31" s="64" t="s">
        <v>61</v>
      </c>
      <c r="D31" s="64" t="s">
        <v>136</v>
      </c>
      <c r="E31" s="64" t="s">
        <v>137</v>
      </c>
      <c r="F31" s="65">
        <v>19.874596345499999</v>
      </c>
      <c r="G31" s="66" t="s">
        <v>80</v>
      </c>
      <c r="H31" s="33" t="s">
        <v>168</v>
      </c>
    </row>
    <row r="32" spans="1:8" s="33" customFormat="1" ht="39.9" customHeight="1" x14ac:dyDescent="0.3">
      <c r="A32" s="63">
        <v>13</v>
      </c>
      <c r="B32" s="64" t="s">
        <v>60</v>
      </c>
      <c r="C32" s="64" t="s">
        <v>61</v>
      </c>
      <c r="D32" s="64" t="s">
        <v>138</v>
      </c>
      <c r="E32" s="64" t="s">
        <v>139</v>
      </c>
      <c r="F32" s="65">
        <v>3.9202904580200002</v>
      </c>
      <c r="G32" s="66" t="s">
        <v>80</v>
      </c>
      <c r="H32" s="33" t="s">
        <v>168</v>
      </c>
    </row>
    <row r="33" spans="1:8" s="33" customFormat="1" ht="39.9" customHeight="1" x14ac:dyDescent="0.3">
      <c r="A33" s="63">
        <v>13</v>
      </c>
      <c r="B33" s="64" t="s">
        <v>62</v>
      </c>
      <c r="C33" s="64" t="s">
        <v>63</v>
      </c>
      <c r="D33" s="64" t="s">
        <v>140</v>
      </c>
      <c r="E33" s="64" t="s">
        <v>141</v>
      </c>
      <c r="F33" s="65">
        <v>6.3844721453100002</v>
      </c>
      <c r="G33" s="66" t="s">
        <v>80</v>
      </c>
      <c r="H33" s="33" t="s">
        <v>168</v>
      </c>
    </row>
    <row r="34" spans="1:8" s="33" customFormat="1" ht="39.9" customHeight="1" x14ac:dyDescent="0.3">
      <c r="A34" s="63">
        <v>13</v>
      </c>
      <c r="B34" s="64" t="s">
        <v>64</v>
      </c>
      <c r="C34" s="64" t="s">
        <v>65</v>
      </c>
      <c r="D34" s="64" t="s">
        <v>142</v>
      </c>
      <c r="E34" s="64" t="s">
        <v>143</v>
      </c>
      <c r="F34" s="65">
        <v>7.3072537821100001</v>
      </c>
      <c r="G34" s="66" t="s">
        <v>80</v>
      </c>
      <c r="H34" s="33" t="s">
        <v>168</v>
      </c>
    </row>
    <row r="35" spans="1:8" s="33" customFormat="1" ht="39.9" customHeight="1" x14ac:dyDescent="0.3">
      <c r="A35" s="63">
        <v>13</v>
      </c>
      <c r="B35" s="64" t="s">
        <v>64</v>
      </c>
      <c r="C35" s="64" t="s">
        <v>65</v>
      </c>
      <c r="D35" s="64" t="s">
        <v>144</v>
      </c>
      <c r="E35" s="64" t="s">
        <v>145</v>
      </c>
      <c r="F35" s="65">
        <v>9.1714459656499994</v>
      </c>
      <c r="G35" s="66" t="s">
        <v>80</v>
      </c>
      <c r="H35" s="33" t="s">
        <v>168</v>
      </c>
    </row>
    <row r="36" spans="1:8" s="33" customFormat="1" ht="39.9" customHeight="1" x14ac:dyDescent="0.3">
      <c r="A36" s="63">
        <v>13</v>
      </c>
      <c r="B36" s="64" t="s">
        <v>64</v>
      </c>
      <c r="C36" s="64" t="s">
        <v>65</v>
      </c>
      <c r="D36" s="64" t="s">
        <v>146</v>
      </c>
      <c r="E36" s="64" t="s">
        <v>147</v>
      </c>
      <c r="F36" s="65">
        <v>19.018099254500001</v>
      </c>
      <c r="G36" s="66" t="s">
        <v>80</v>
      </c>
      <c r="H36" s="33" t="s">
        <v>168</v>
      </c>
    </row>
    <row r="37" spans="1:8" s="33" customFormat="1" ht="39.9" customHeight="1" x14ac:dyDescent="0.3">
      <c r="A37" s="63">
        <v>13</v>
      </c>
      <c r="B37" s="64" t="s">
        <v>66</v>
      </c>
      <c r="C37" s="64" t="s">
        <v>67</v>
      </c>
      <c r="D37" s="64" t="s">
        <v>148</v>
      </c>
      <c r="E37" s="64" t="s">
        <v>149</v>
      </c>
      <c r="F37" s="65">
        <v>3.6312180823000002</v>
      </c>
      <c r="G37" s="66" t="s">
        <v>115</v>
      </c>
      <c r="H37" s="33" t="s">
        <v>168</v>
      </c>
    </row>
    <row r="38" spans="1:8" s="33" customFormat="1" ht="39.9" customHeight="1" x14ac:dyDescent="0.3">
      <c r="A38" s="63">
        <v>13</v>
      </c>
      <c r="B38" s="64" t="s">
        <v>66</v>
      </c>
      <c r="C38" s="64" t="s">
        <v>67</v>
      </c>
      <c r="D38" s="64" t="s">
        <v>150</v>
      </c>
      <c r="E38" s="64" t="s">
        <v>151</v>
      </c>
      <c r="F38" s="65">
        <v>19.0081215001</v>
      </c>
      <c r="G38" s="66" t="s">
        <v>80</v>
      </c>
      <c r="H38" s="33" t="s">
        <v>168</v>
      </c>
    </row>
    <row r="39" spans="1:8" s="33" customFormat="1" ht="39.9" customHeight="1" x14ac:dyDescent="0.3">
      <c r="A39" s="63">
        <v>13</v>
      </c>
      <c r="B39" s="64" t="s">
        <v>66</v>
      </c>
      <c r="C39" s="64" t="s">
        <v>67</v>
      </c>
      <c r="D39" s="64" t="s">
        <v>152</v>
      </c>
      <c r="E39" s="64" t="s">
        <v>153</v>
      </c>
      <c r="F39" s="65">
        <v>5.4077161822699997</v>
      </c>
      <c r="G39" s="66" t="s">
        <v>80</v>
      </c>
      <c r="H39" s="33" t="s">
        <v>168</v>
      </c>
    </row>
    <row r="40" spans="1:8" s="33" customFormat="1" ht="39.9" customHeight="1" x14ac:dyDescent="0.3">
      <c r="A40" s="63">
        <v>13</v>
      </c>
      <c r="B40" s="64" t="s">
        <v>66</v>
      </c>
      <c r="C40" s="64" t="s">
        <v>67</v>
      </c>
      <c r="D40" s="64" t="s">
        <v>154</v>
      </c>
      <c r="E40" s="64" t="s">
        <v>155</v>
      </c>
      <c r="F40" s="65">
        <v>19.2339814133</v>
      </c>
      <c r="G40" s="66" t="s">
        <v>80</v>
      </c>
      <c r="H40" s="33" t="s">
        <v>168</v>
      </c>
    </row>
    <row r="41" spans="1:8" s="33" customFormat="1" ht="39.9" customHeight="1" x14ac:dyDescent="0.3">
      <c r="A41" s="63">
        <v>13</v>
      </c>
      <c r="B41" s="64" t="s">
        <v>66</v>
      </c>
      <c r="C41" s="64" t="s">
        <v>67</v>
      </c>
      <c r="D41" s="64" t="s">
        <v>93</v>
      </c>
      <c r="E41" s="64" t="s">
        <v>156</v>
      </c>
      <c r="F41" s="65">
        <v>1.0864508096300001</v>
      </c>
      <c r="G41" s="66" t="s">
        <v>80</v>
      </c>
      <c r="H41" s="33" t="s">
        <v>168</v>
      </c>
    </row>
    <row r="42" spans="1:8" s="33" customFormat="1" ht="39.9" customHeight="1" x14ac:dyDescent="0.3">
      <c r="A42" s="63">
        <v>13</v>
      </c>
      <c r="B42" s="64" t="s">
        <v>68</v>
      </c>
      <c r="C42" s="64" t="s">
        <v>69</v>
      </c>
      <c r="D42" s="64" t="s">
        <v>157</v>
      </c>
      <c r="E42" s="64" t="s">
        <v>158</v>
      </c>
      <c r="F42" s="65">
        <v>1.08661106769</v>
      </c>
      <c r="G42" s="66" t="s">
        <v>115</v>
      </c>
    </row>
    <row r="43" spans="1:8" s="33" customFormat="1" ht="39.9" customHeight="1" x14ac:dyDescent="0.3">
      <c r="A43" s="76">
        <v>13</v>
      </c>
      <c r="B43" s="77" t="s">
        <v>70</v>
      </c>
      <c r="C43" s="77" t="s">
        <v>71</v>
      </c>
      <c r="D43" s="77" t="s">
        <v>159</v>
      </c>
      <c r="E43" s="77" t="s">
        <v>160</v>
      </c>
      <c r="F43" s="78">
        <v>6.9762042709800003</v>
      </c>
      <c r="G43" s="79" t="s">
        <v>80</v>
      </c>
      <c r="H43" s="33" t="s">
        <v>168</v>
      </c>
    </row>
    <row r="44" spans="1:8" s="33" customFormat="1" ht="39.9" customHeight="1" thickBot="1" x14ac:dyDescent="0.35">
      <c r="A44" s="80">
        <v>13</v>
      </c>
      <c r="B44" s="81" t="s">
        <v>70</v>
      </c>
      <c r="C44" s="81" t="s">
        <v>71</v>
      </c>
      <c r="D44" s="81" t="s">
        <v>161</v>
      </c>
      <c r="E44" s="81" t="s">
        <v>162</v>
      </c>
      <c r="F44" s="82">
        <v>19.761116343099999</v>
      </c>
      <c r="G44" s="83" t="s">
        <v>80</v>
      </c>
      <c r="H44" s="33" t="s">
        <v>168</v>
      </c>
    </row>
    <row r="45" spans="1:8" ht="18.600000000000001" thickBot="1" x14ac:dyDescent="0.35">
      <c r="F45" s="67">
        <f>SUM(F3:F44)</f>
        <v>548.52427204266996</v>
      </c>
    </row>
  </sheetData>
  <mergeCells count="1">
    <mergeCell ref="A1:G1"/>
  </mergeCells>
  <pageMargins left="0.51181102362204722" right="0.51181102362204722" top="0.78740157480314965" bottom="0.78740157480314965" header="0.31496062992125984" footer="0.31496062992125984"/>
  <pageSetup paperSize="9" scale="41" fitToHeight="0" orientation="portrait" horizontalDpi="1200" verticalDpi="120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6608-2901-40AB-9043-4697D0AE0595}">
  <sheetPr>
    <tabColor theme="2"/>
  </sheetPr>
  <dimension ref="A1:AN127"/>
  <sheetViews>
    <sheetView view="pageBreakPreview" zoomScale="55" zoomScaleNormal="70" zoomScaleSheetLayoutView="55" workbookViewId="0">
      <pane ySplit="6" topLeftCell="A7" activePane="bottomLeft" state="frozen"/>
      <selection activeCell="J2" sqref="J2:K2"/>
      <selection pane="bottomLeft" activeCell="L12" sqref="L12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7.3320312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">
        <v>198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'T.T.'!C4</f>
        <v>RODOVIA TO-040 - TRECHO ALMAS - PORTO ALEGRE DO TOCANTINS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8" t="s">
        <v>166</v>
      </c>
      <c r="P3" s="38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81</v>
      </c>
      <c r="B7" s="40" t="s">
        <v>167</v>
      </c>
      <c r="C7" s="47">
        <v>0</v>
      </c>
      <c r="D7" s="47">
        <v>8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 t="s">
        <v>168</v>
      </c>
      <c r="Q7" s="40"/>
      <c r="R7" s="40"/>
      <c r="S7" s="40" t="s">
        <v>168</v>
      </c>
      <c r="T7" s="40"/>
      <c r="U7" s="5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8</v>
      </c>
      <c r="D8" s="47">
        <v>13.3</v>
      </c>
      <c r="E8" s="40"/>
      <c r="F8" s="40"/>
      <c r="G8" s="40" t="s">
        <v>168</v>
      </c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 t="s">
        <v>168</v>
      </c>
      <c r="Q8" s="40"/>
      <c r="R8" s="40"/>
      <c r="S8" s="40" t="s">
        <v>168</v>
      </c>
      <c r="T8" s="40"/>
      <c r="U8" s="56"/>
    </row>
    <row r="9" spans="1:40" ht="36" customHeight="1" x14ac:dyDescent="0.25">
      <c r="A9" s="40" t="s">
        <v>78</v>
      </c>
      <c r="B9" s="40" t="s">
        <v>167</v>
      </c>
      <c r="C9" s="47">
        <v>0</v>
      </c>
      <c r="D9" s="47">
        <v>1.57</v>
      </c>
      <c r="E9" s="40"/>
      <c r="F9" s="40"/>
      <c r="G9" s="40" t="s">
        <v>168</v>
      </c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5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/>
      <c r="D10" s="47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5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/>
      <c r="D11" s="47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/>
      <c r="D12" s="47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7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7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7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0"/>
      <c r="B30" s="40"/>
      <c r="C30" s="47"/>
      <c r="D30" s="47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7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8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8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8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8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8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>
        <f t="shared" ref="G40:G103" si="2">IF(G8="X",(D8-C8),"0")</f>
        <v>5.3000000000000007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5.3000000000000007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5.3000000000000007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5.3000000000000007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5.3000000000000007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>
        <f t="shared" si="2"/>
        <v>1.57</v>
      </c>
      <c r="H41" s="2" t="str">
        <f t="shared" si="3"/>
        <v>0</v>
      </c>
      <c r="I41" s="2" t="str">
        <f t="shared" si="4"/>
        <v>0</v>
      </c>
      <c r="J41" s="2">
        <f t="shared" si="5"/>
        <v>1.57</v>
      </c>
      <c r="K41" s="2" t="str">
        <f t="shared" si="6"/>
        <v>0</v>
      </c>
      <c r="L41" s="2" t="str">
        <f t="shared" si="7"/>
        <v>0</v>
      </c>
      <c r="M41" s="2">
        <f t="shared" si="8"/>
        <v>1.57</v>
      </c>
      <c r="N41" s="2" t="str">
        <f t="shared" si="9"/>
        <v>0</v>
      </c>
      <c r="O41" s="2" t="str">
        <f t="shared" si="10"/>
        <v>0</v>
      </c>
      <c r="P41" s="2">
        <f t="shared" si="11"/>
        <v>1.57</v>
      </c>
      <c r="Q41" s="2" t="str">
        <f t="shared" si="12"/>
        <v>0</v>
      </c>
      <c r="R41" s="2" t="str">
        <f t="shared" si="13"/>
        <v>0</v>
      </c>
      <c r="S41" s="2">
        <f t="shared" si="14"/>
        <v>1.57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0</v>
      </c>
      <c r="F127" s="16">
        <f t="shared" ref="F127:T127" si="32">SUM(F39:F126)</f>
        <v>0</v>
      </c>
      <c r="G127" s="16">
        <f t="shared" si="32"/>
        <v>14.870000000000001</v>
      </c>
      <c r="H127" s="16">
        <f t="shared" si="32"/>
        <v>0</v>
      </c>
      <c r="I127" s="16">
        <f t="shared" si="32"/>
        <v>0</v>
      </c>
      <c r="J127" s="16">
        <f t="shared" si="32"/>
        <v>14.870000000000001</v>
      </c>
      <c r="K127" s="16">
        <f t="shared" si="32"/>
        <v>0</v>
      </c>
      <c r="L127" s="16">
        <f t="shared" si="32"/>
        <v>0</v>
      </c>
      <c r="M127" s="16">
        <f t="shared" si="32"/>
        <v>14.870000000000001</v>
      </c>
      <c r="N127" s="16">
        <f t="shared" si="32"/>
        <v>0</v>
      </c>
      <c r="O127" s="16">
        <f t="shared" si="32"/>
        <v>0</v>
      </c>
      <c r="P127" s="16">
        <f t="shared" si="32"/>
        <v>14.870000000000001</v>
      </c>
      <c r="Q127" s="16">
        <f t="shared" si="32"/>
        <v>0</v>
      </c>
      <c r="R127" s="16">
        <f t="shared" si="32"/>
        <v>0</v>
      </c>
      <c r="S127" s="16">
        <f t="shared" si="32"/>
        <v>14.870000000000001</v>
      </c>
      <c r="T127" s="16">
        <f t="shared" si="32"/>
        <v>0</v>
      </c>
    </row>
  </sheetData>
  <mergeCells count="13">
    <mergeCell ref="B5:B6"/>
    <mergeCell ref="A5:A6"/>
    <mergeCell ref="U5:U6"/>
    <mergeCell ref="E32:F32"/>
    <mergeCell ref="E5:I5"/>
    <mergeCell ref="J5:K5"/>
    <mergeCell ref="L5:N5"/>
    <mergeCell ref="J2:K2"/>
    <mergeCell ref="O2:S2"/>
    <mergeCell ref="C5:C6"/>
    <mergeCell ref="O5:Q5"/>
    <mergeCell ref="R5:T5"/>
    <mergeCell ref="D5:D6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9276-F137-44E6-B68B-96412AF18BA8}">
  <sheetPr>
    <tabColor theme="2"/>
  </sheetPr>
  <dimension ref="A1:AN130"/>
  <sheetViews>
    <sheetView view="pageBreakPreview" zoomScale="70" zoomScaleNormal="70" zoomScaleSheetLayoutView="70" workbookViewId="0">
      <pane ySplit="6" topLeftCell="A7" activePane="bottomLeft" state="frozen"/>
      <selection activeCell="J2" sqref="J2:K2"/>
      <selection pane="bottomLeft" activeCell="H13" sqref="H13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f>'246'!J2</f>
        <v>46204</v>
      </c>
      <c r="K2" s="87"/>
      <c r="L2" s="7"/>
      <c r="M2" s="6"/>
      <c r="N2" s="12" t="s">
        <v>28</v>
      </c>
      <c r="O2" s="88" t="str">
        <f>'246'!O2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'T.T.'!C5</f>
        <v>RODOVIA TO-040 - TRECHO DIANÓPOLIS - NOVO JARDIM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87</v>
      </c>
      <c r="B7" s="40" t="s">
        <v>167</v>
      </c>
      <c r="C7" s="47">
        <v>0</v>
      </c>
      <c r="D7" s="47">
        <v>0.1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 t="s">
        <v>168</v>
      </c>
      <c r="Q7" s="40"/>
      <c r="R7" s="40"/>
      <c r="S7" s="40" t="s">
        <v>168</v>
      </c>
      <c r="T7" s="40"/>
      <c r="U7" s="4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f>D7</f>
        <v>0.1</v>
      </c>
      <c r="D8" s="47">
        <v>0.2</v>
      </c>
      <c r="E8" s="40"/>
      <c r="F8" s="40" t="s">
        <v>168</v>
      </c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 t="s">
        <v>168</v>
      </c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f t="shared" ref="C9:C10" si="0">D8</f>
        <v>0.2</v>
      </c>
      <c r="D9" s="47">
        <v>0.3</v>
      </c>
      <c r="E9" s="40"/>
      <c r="F9" s="40" t="s">
        <v>168</v>
      </c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f t="shared" si="0"/>
        <v>0.3</v>
      </c>
      <c r="D10" s="47">
        <v>18.27</v>
      </c>
      <c r="E10" s="40"/>
      <c r="F10" s="40"/>
      <c r="G10" s="40" t="s">
        <v>168</v>
      </c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 t="s">
        <v>85</v>
      </c>
      <c r="B11" s="40" t="s">
        <v>167</v>
      </c>
      <c r="C11" s="47">
        <v>0</v>
      </c>
      <c r="D11" s="47">
        <v>0.1</v>
      </c>
      <c r="E11" s="40"/>
      <c r="F11" s="40" t="s">
        <v>168</v>
      </c>
      <c r="G11" s="40"/>
      <c r="H11" s="40"/>
      <c r="I11" s="40"/>
      <c r="J11" s="40" t="s">
        <v>168</v>
      </c>
      <c r="K11" s="40"/>
      <c r="L11" s="40"/>
      <c r="M11" s="40"/>
      <c r="N11" s="40" t="s">
        <v>168</v>
      </c>
      <c r="O11" s="40"/>
      <c r="P11" s="40" t="s">
        <v>168</v>
      </c>
      <c r="Q11" s="40"/>
      <c r="R11" s="40"/>
      <c r="S11" s="40" t="s">
        <v>168</v>
      </c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0.1</v>
      </c>
      <c r="D12" s="47">
        <v>11.48</v>
      </c>
      <c r="E12" s="40"/>
      <c r="F12" s="40" t="s">
        <v>168</v>
      </c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 t="s">
        <v>83</v>
      </c>
      <c r="B13" s="40" t="s">
        <v>167</v>
      </c>
      <c r="C13" s="47">
        <v>0</v>
      </c>
      <c r="D13" s="47">
        <v>5</v>
      </c>
      <c r="E13" s="40"/>
      <c r="F13" s="40" t="s">
        <v>168</v>
      </c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/>
      <c r="P13" s="40" t="s">
        <v>168</v>
      </c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5</v>
      </c>
      <c r="D14" s="47">
        <v>6.29</v>
      </c>
      <c r="E14" s="40"/>
      <c r="F14" s="40"/>
      <c r="G14" s="40" t="s">
        <v>168</v>
      </c>
      <c r="H14" s="40"/>
      <c r="I14" s="40"/>
      <c r="J14" s="40" t="s">
        <v>168</v>
      </c>
      <c r="K14" s="40"/>
      <c r="L14" s="40"/>
      <c r="M14" s="40" t="s">
        <v>168</v>
      </c>
      <c r="N14" s="40"/>
      <c r="O14" s="40"/>
      <c r="P14" s="40" t="s">
        <v>168</v>
      </c>
      <c r="Q14" s="40"/>
      <c r="R14" s="40"/>
      <c r="S14" s="40" t="s">
        <v>168</v>
      </c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7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50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50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50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50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50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0"/>
      <c r="B30" s="40"/>
      <c r="C30" s="47"/>
      <c r="D30" s="47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4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0"/>
      <c r="B31" s="40"/>
      <c r="C31" s="47"/>
      <c r="D31" s="47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4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0"/>
      <c r="B32" s="40"/>
      <c r="C32" s="47"/>
      <c r="D32" s="47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4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21" ht="36" customHeight="1" thickBot="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</row>
    <row r="35" spans="1:21" ht="19.2" x14ac:dyDescent="0.35">
      <c r="A35" s="4" t="s">
        <v>7</v>
      </c>
      <c r="B35" s="11" t="s">
        <v>2</v>
      </c>
      <c r="C35" s="5"/>
      <c r="D35" s="5"/>
      <c r="E35" s="94"/>
      <c r="F35" s="94"/>
    </row>
    <row r="36" spans="1:21" ht="19.2" x14ac:dyDescent="0.35">
      <c r="A36" s="4" t="s">
        <v>9</v>
      </c>
      <c r="B36" s="4" t="s">
        <v>10</v>
      </c>
      <c r="E36" s="4" t="s">
        <v>14</v>
      </c>
      <c r="F36" s="4"/>
      <c r="G36" s="4"/>
      <c r="I36" s="4" t="s">
        <v>5</v>
      </c>
      <c r="J36" s="4" t="s">
        <v>12</v>
      </c>
      <c r="K36" s="1"/>
      <c r="L36" s="1"/>
      <c r="M36" s="4" t="s">
        <v>16</v>
      </c>
      <c r="N36" s="4"/>
      <c r="O36" s="4"/>
    </row>
    <row r="37" spans="1:21" ht="19.2" x14ac:dyDescent="0.35">
      <c r="A37" s="4" t="s">
        <v>4</v>
      </c>
      <c r="B37" s="4" t="s">
        <v>11</v>
      </c>
      <c r="E37" s="4" t="s">
        <v>15</v>
      </c>
      <c r="F37" s="4"/>
      <c r="G37" s="4"/>
      <c r="I37" s="4" t="s">
        <v>6</v>
      </c>
      <c r="J37" s="4" t="s">
        <v>13</v>
      </c>
      <c r="K37" s="1"/>
      <c r="L37" s="1"/>
      <c r="M37" s="4" t="s">
        <v>17</v>
      </c>
      <c r="N37" s="4"/>
      <c r="O37" s="4"/>
    </row>
    <row r="38" spans="1:21" x14ac:dyDescent="0.25">
      <c r="E38" s="1"/>
      <c r="F38" s="1"/>
      <c r="G38" s="1"/>
    </row>
    <row r="39" spans="1:21" x14ac:dyDescent="0.25">
      <c r="E39" s="1"/>
      <c r="F39" s="1"/>
      <c r="G39" s="1"/>
    </row>
    <row r="42" spans="1:21" x14ac:dyDescent="0.25">
      <c r="E42" s="2" t="str">
        <f>IF(E7="X",(D7-C7),"0")</f>
        <v>0</v>
      </c>
      <c r="F42" s="2" t="str">
        <f>IF(F7="X",(D7-C7),"0")</f>
        <v>0</v>
      </c>
      <c r="G42" s="2">
        <f>IF(G7="X",(D7-C7),"0")</f>
        <v>0.1</v>
      </c>
      <c r="H42" s="2" t="str">
        <f>IF(H7="X",(D7-C7),"0")</f>
        <v>0</v>
      </c>
      <c r="I42" s="2" t="str">
        <f>IF(I7="X",(D7-C7),"0")</f>
        <v>0</v>
      </c>
      <c r="J42" s="2">
        <f>IF(J7="X",(D7-C7),"0")</f>
        <v>0.1</v>
      </c>
      <c r="K42" s="2" t="str">
        <f>IF(K7="X",(D7-C7),"0")</f>
        <v>0</v>
      </c>
      <c r="L42" s="2" t="str">
        <f>IF(L7="X",(D7-C7),"0")</f>
        <v>0</v>
      </c>
      <c r="M42" s="2">
        <f>IF(M7="X",(D7-C7),"0")</f>
        <v>0.1</v>
      </c>
      <c r="N42" s="2" t="str">
        <f>IF(N7="X",(D7-C7),"0")</f>
        <v>0</v>
      </c>
      <c r="O42" s="2" t="str">
        <f>IF(O7="X",(D7-C7),"0")</f>
        <v>0</v>
      </c>
      <c r="P42" s="2">
        <f>IF(P7="X",(D7-C7),"0")</f>
        <v>0.1</v>
      </c>
      <c r="Q42" s="2" t="str">
        <f>IF(Q7="X",(D7-C7),"0")</f>
        <v>0</v>
      </c>
      <c r="R42" s="2" t="str">
        <f>IF(R7="X",(D7-C7),"0")</f>
        <v>0</v>
      </c>
      <c r="S42" s="2">
        <f>IF(S7="X",(D7-C7),"0")</f>
        <v>0.1</v>
      </c>
      <c r="T42" s="2" t="str">
        <f>IF(T7="X",(D7-C7),"0")</f>
        <v>0</v>
      </c>
    </row>
    <row r="43" spans="1:21" x14ac:dyDescent="0.25">
      <c r="E43" s="2" t="str">
        <f t="shared" ref="E43:E106" si="1">IF(E8="X",(D8-C8),"0")</f>
        <v>0</v>
      </c>
      <c r="F43" s="2">
        <f t="shared" ref="F43:F106" si="2">IF(F8="X",(D8-C8),"0")</f>
        <v>0.1</v>
      </c>
      <c r="G43" s="2" t="str">
        <f t="shared" ref="G43:G106" si="3">IF(G8="X",(D8-C8),"0")</f>
        <v>0</v>
      </c>
      <c r="H43" s="2" t="str">
        <f t="shared" ref="H43:H106" si="4">IF(H8="X",(D8-C8),"0")</f>
        <v>0</v>
      </c>
      <c r="I43" s="2" t="str">
        <f t="shared" ref="I43:I106" si="5">IF(I8="X",(D8-C8),"0")</f>
        <v>0</v>
      </c>
      <c r="J43" s="2">
        <f t="shared" ref="J43:J106" si="6">IF(J8="X",(D8-C8),"0")</f>
        <v>0.1</v>
      </c>
      <c r="K43" s="2" t="str">
        <f t="shared" ref="K43:K106" si="7">IF(K8="X",(D8-C8),"0")</f>
        <v>0</v>
      </c>
      <c r="L43" s="2" t="str">
        <f t="shared" ref="L43:L106" si="8">IF(L8="X",(D8-C8),"0")</f>
        <v>0</v>
      </c>
      <c r="M43" s="2">
        <f t="shared" ref="M43:M106" si="9">IF(M8="X",(D8-C8),"0")</f>
        <v>0.1</v>
      </c>
      <c r="N43" s="2" t="str">
        <f t="shared" ref="N43:N106" si="10">IF(N8="X",(D8-C8),"0")</f>
        <v>0</v>
      </c>
      <c r="O43" s="2" t="str">
        <f t="shared" ref="O43:O106" si="11">IF(O8="X",(D8-C8),"0")</f>
        <v>0</v>
      </c>
      <c r="P43" s="2">
        <f t="shared" ref="P43:P106" si="12">IF(P8="X",(D8-C8),"0")</f>
        <v>0.1</v>
      </c>
      <c r="Q43" s="2" t="str">
        <f t="shared" ref="Q43:Q106" si="13">IF(Q8="X",(D8-C8),"0")</f>
        <v>0</v>
      </c>
      <c r="R43" s="2" t="str">
        <f t="shared" ref="R43:R106" si="14">IF(R8="X",(D8-C8),"0")</f>
        <v>0</v>
      </c>
      <c r="S43" s="2">
        <f t="shared" ref="S43:S106" si="15">IF(S8="X",(D8-C8),"0")</f>
        <v>0.1</v>
      </c>
      <c r="T43" s="2" t="str">
        <f t="shared" ref="T43:T106" si="16">IF(T8="X",(D8-C8),"0")</f>
        <v>0</v>
      </c>
    </row>
    <row r="44" spans="1:21" x14ac:dyDescent="0.25">
      <c r="E44" s="2" t="str">
        <f t="shared" si="1"/>
        <v>0</v>
      </c>
      <c r="F44" s="2">
        <f t="shared" si="2"/>
        <v>9.9999999999999978E-2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9.9999999999999978E-2</v>
      </c>
      <c r="K44" s="2" t="str">
        <f t="shared" si="7"/>
        <v>0</v>
      </c>
      <c r="L44" s="2" t="str">
        <f t="shared" si="8"/>
        <v>0</v>
      </c>
      <c r="M44" s="2">
        <f t="shared" si="9"/>
        <v>9.9999999999999978E-2</v>
      </c>
      <c r="N44" s="2" t="str">
        <f t="shared" si="10"/>
        <v>0</v>
      </c>
      <c r="O44" s="2" t="str">
        <f t="shared" si="11"/>
        <v>0</v>
      </c>
      <c r="P44" s="2">
        <f t="shared" si="12"/>
        <v>9.9999999999999978E-2</v>
      </c>
      <c r="Q44" s="2" t="str">
        <f t="shared" si="13"/>
        <v>0</v>
      </c>
      <c r="R44" s="2" t="str">
        <f t="shared" si="14"/>
        <v>0</v>
      </c>
      <c r="S44" s="2">
        <f t="shared" si="15"/>
        <v>9.9999999999999978E-2</v>
      </c>
      <c r="T44" s="2" t="str">
        <f t="shared" si="16"/>
        <v>0</v>
      </c>
    </row>
    <row r="45" spans="1:21" x14ac:dyDescent="0.25">
      <c r="E45" s="2" t="str">
        <f t="shared" si="1"/>
        <v>0</v>
      </c>
      <c r="F45" s="2" t="str">
        <f t="shared" si="2"/>
        <v>0</v>
      </c>
      <c r="G45" s="2">
        <f t="shared" si="3"/>
        <v>17.97</v>
      </c>
      <c r="H45" s="2" t="str">
        <f t="shared" si="4"/>
        <v>0</v>
      </c>
      <c r="I45" s="2" t="str">
        <f t="shared" si="5"/>
        <v>0</v>
      </c>
      <c r="J45" s="2">
        <f t="shared" si="6"/>
        <v>17.97</v>
      </c>
      <c r="K45" s="2" t="str">
        <f t="shared" si="7"/>
        <v>0</v>
      </c>
      <c r="L45" s="2" t="str">
        <f t="shared" si="8"/>
        <v>0</v>
      </c>
      <c r="M45" s="2">
        <f t="shared" si="9"/>
        <v>17.97</v>
      </c>
      <c r="N45" s="2" t="str">
        <f t="shared" si="10"/>
        <v>0</v>
      </c>
      <c r="O45" s="2" t="str">
        <f t="shared" si="11"/>
        <v>0</v>
      </c>
      <c r="P45" s="2">
        <f t="shared" si="12"/>
        <v>17.97</v>
      </c>
      <c r="Q45" s="2" t="str">
        <f t="shared" si="13"/>
        <v>0</v>
      </c>
      <c r="R45" s="2" t="str">
        <f t="shared" si="14"/>
        <v>0</v>
      </c>
      <c r="S45" s="2">
        <f t="shared" si="15"/>
        <v>17.97</v>
      </c>
      <c r="T45" s="2" t="str">
        <f t="shared" si="16"/>
        <v>0</v>
      </c>
    </row>
    <row r="46" spans="1:21" x14ac:dyDescent="0.25">
      <c r="E46" s="2" t="str">
        <f t="shared" si="1"/>
        <v>0</v>
      </c>
      <c r="F46" s="2">
        <f t="shared" si="2"/>
        <v>0.1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>
        <f t="shared" si="6"/>
        <v>0.1</v>
      </c>
      <c r="K46" s="2" t="str">
        <f t="shared" si="7"/>
        <v>0</v>
      </c>
      <c r="L46" s="2" t="str">
        <f t="shared" si="8"/>
        <v>0</v>
      </c>
      <c r="M46" s="2" t="str">
        <f t="shared" si="9"/>
        <v>0</v>
      </c>
      <c r="N46" s="2">
        <f t="shared" si="10"/>
        <v>0.1</v>
      </c>
      <c r="O46" s="2" t="str">
        <f t="shared" si="11"/>
        <v>0</v>
      </c>
      <c r="P46" s="2">
        <f t="shared" si="12"/>
        <v>0.1</v>
      </c>
      <c r="Q46" s="2" t="str">
        <f t="shared" si="13"/>
        <v>0</v>
      </c>
      <c r="R46" s="2" t="str">
        <f t="shared" si="14"/>
        <v>0</v>
      </c>
      <c r="S46" s="2">
        <f t="shared" si="15"/>
        <v>0.1</v>
      </c>
      <c r="T46" s="2" t="str">
        <f t="shared" si="16"/>
        <v>0</v>
      </c>
    </row>
    <row r="47" spans="1:21" x14ac:dyDescent="0.25">
      <c r="E47" s="2" t="str">
        <f t="shared" si="1"/>
        <v>0</v>
      </c>
      <c r="F47" s="2">
        <f t="shared" si="2"/>
        <v>11.38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11.38</v>
      </c>
      <c r="K47" s="2" t="str">
        <f t="shared" si="7"/>
        <v>0</v>
      </c>
      <c r="L47" s="2" t="str">
        <f t="shared" si="8"/>
        <v>0</v>
      </c>
      <c r="M47" s="2">
        <f t="shared" si="9"/>
        <v>11.38</v>
      </c>
      <c r="N47" s="2" t="str">
        <f t="shared" si="10"/>
        <v>0</v>
      </c>
      <c r="O47" s="2" t="str">
        <f t="shared" si="11"/>
        <v>0</v>
      </c>
      <c r="P47" s="2">
        <f t="shared" si="12"/>
        <v>11.38</v>
      </c>
      <c r="Q47" s="2" t="str">
        <f t="shared" si="13"/>
        <v>0</v>
      </c>
      <c r="R47" s="2" t="str">
        <f t="shared" si="14"/>
        <v>0</v>
      </c>
      <c r="S47" s="2">
        <f t="shared" si="15"/>
        <v>11.38</v>
      </c>
      <c r="T47" s="2" t="str">
        <f t="shared" si="16"/>
        <v>0</v>
      </c>
    </row>
    <row r="48" spans="1:21" x14ac:dyDescent="0.25">
      <c r="E48" s="2" t="str">
        <f t="shared" si="1"/>
        <v>0</v>
      </c>
      <c r="F48" s="2">
        <f t="shared" si="2"/>
        <v>5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>
        <f t="shared" si="6"/>
        <v>5</v>
      </c>
      <c r="K48" s="2" t="str">
        <f t="shared" si="7"/>
        <v>0</v>
      </c>
      <c r="L48" s="2" t="str">
        <f t="shared" si="8"/>
        <v>0</v>
      </c>
      <c r="M48" s="2">
        <f t="shared" si="9"/>
        <v>5</v>
      </c>
      <c r="N48" s="2" t="str">
        <f t="shared" si="10"/>
        <v>0</v>
      </c>
      <c r="O48" s="2" t="str">
        <f t="shared" si="11"/>
        <v>0</v>
      </c>
      <c r="P48" s="2">
        <f t="shared" si="12"/>
        <v>5</v>
      </c>
      <c r="Q48" s="2" t="str">
        <f t="shared" si="13"/>
        <v>0</v>
      </c>
      <c r="R48" s="2" t="str">
        <f t="shared" si="14"/>
        <v>0</v>
      </c>
      <c r="S48" s="2">
        <f t="shared" si="15"/>
        <v>5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 t="str">
        <f t="shared" si="2"/>
        <v>0</v>
      </c>
      <c r="G49" s="2">
        <f t="shared" si="3"/>
        <v>1.29</v>
      </c>
      <c r="H49" s="2" t="str">
        <f t="shared" si="4"/>
        <v>0</v>
      </c>
      <c r="I49" s="2" t="str">
        <f t="shared" si="5"/>
        <v>0</v>
      </c>
      <c r="J49" s="2">
        <f t="shared" si="6"/>
        <v>1.29</v>
      </c>
      <c r="K49" s="2" t="str">
        <f t="shared" si="7"/>
        <v>0</v>
      </c>
      <c r="L49" s="2" t="str">
        <f t="shared" si="8"/>
        <v>0</v>
      </c>
      <c r="M49" s="2">
        <f t="shared" si="9"/>
        <v>1.29</v>
      </c>
      <c r="N49" s="2" t="str">
        <f t="shared" si="10"/>
        <v>0</v>
      </c>
      <c r="O49" s="2" t="str">
        <f t="shared" si="11"/>
        <v>0</v>
      </c>
      <c r="P49" s="2">
        <f t="shared" si="12"/>
        <v>1.29</v>
      </c>
      <c r="Q49" s="2" t="str">
        <f t="shared" si="13"/>
        <v>0</v>
      </c>
      <c r="R49" s="2" t="str">
        <f t="shared" si="14"/>
        <v>0</v>
      </c>
      <c r="S49" s="2">
        <f t="shared" si="15"/>
        <v>1.29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 t="str">
        <f t="shared" si="2"/>
        <v>0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 t="str">
        <f t="shared" si="6"/>
        <v>0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si="1"/>
        <v>0</v>
      </c>
      <c r="F104" s="2" t="str">
        <f t="shared" si="2"/>
        <v>0</v>
      </c>
      <c r="G104" s="2" t="str">
        <f t="shared" si="3"/>
        <v>0</v>
      </c>
      <c r="H104" s="2" t="str">
        <f t="shared" si="4"/>
        <v>0</v>
      </c>
      <c r="I104" s="2" t="str">
        <f t="shared" si="5"/>
        <v>0</v>
      </c>
      <c r="J104" s="2" t="str">
        <f t="shared" si="6"/>
        <v>0</v>
      </c>
      <c r="K104" s="2" t="str">
        <f t="shared" si="7"/>
        <v>0</v>
      </c>
      <c r="L104" s="2" t="str">
        <f t="shared" si="8"/>
        <v>0</v>
      </c>
      <c r="M104" s="2" t="str">
        <f t="shared" si="9"/>
        <v>0</v>
      </c>
      <c r="N104" s="2" t="str">
        <f t="shared" si="10"/>
        <v>0</v>
      </c>
      <c r="O104" s="2" t="str">
        <f t="shared" si="11"/>
        <v>0</v>
      </c>
      <c r="P104" s="2" t="str">
        <f t="shared" si="12"/>
        <v>0</v>
      </c>
      <c r="Q104" s="2" t="str">
        <f t="shared" si="13"/>
        <v>0</v>
      </c>
      <c r="R104" s="2" t="str">
        <f t="shared" si="14"/>
        <v>0</v>
      </c>
      <c r="S104" s="2" t="str">
        <f t="shared" si="15"/>
        <v>0</v>
      </c>
      <c r="T104" s="2" t="str">
        <f t="shared" si="16"/>
        <v>0</v>
      </c>
    </row>
    <row r="105" spans="5:20" x14ac:dyDescent="0.25">
      <c r="E105" s="2" t="str">
        <f t="shared" si="1"/>
        <v>0</v>
      </c>
      <c r="F105" s="2" t="str">
        <f t="shared" si="2"/>
        <v>0</v>
      </c>
      <c r="G105" s="2" t="str">
        <f t="shared" si="3"/>
        <v>0</v>
      </c>
      <c r="H105" s="2" t="str">
        <f t="shared" si="4"/>
        <v>0</v>
      </c>
      <c r="I105" s="2" t="str">
        <f t="shared" si="5"/>
        <v>0</v>
      </c>
      <c r="J105" s="2" t="str">
        <f t="shared" si="6"/>
        <v>0</v>
      </c>
      <c r="K105" s="2" t="str">
        <f t="shared" si="7"/>
        <v>0</v>
      </c>
      <c r="L105" s="2" t="str">
        <f t="shared" si="8"/>
        <v>0</v>
      </c>
      <c r="M105" s="2" t="str">
        <f t="shared" si="9"/>
        <v>0</v>
      </c>
      <c r="N105" s="2" t="str">
        <f t="shared" si="10"/>
        <v>0</v>
      </c>
      <c r="O105" s="2" t="str">
        <f t="shared" si="11"/>
        <v>0</v>
      </c>
      <c r="P105" s="2" t="str">
        <f t="shared" si="12"/>
        <v>0</v>
      </c>
      <c r="Q105" s="2" t="str">
        <f t="shared" si="13"/>
        <v>0</v>
      </c>
      <c r="R105" s="2" t="str">
        <f t="shared" si="14"/>
        <v>0</v>
      </c>
      <c r="S105" s="2" t="str">
        <f t="shared" si="15"/>
        <v>0</v>
      </c>
      <c r="T105" s="2" t="str">
        <f t="shared" si="16"/>
        <v>0</v>
      </c>
    </row>
    <row r="106" spans="5:20" x14ac:dyDescent="0.25">
      <c r="E106" s="2" t="str">
        <f t="shared" si="1"/>
        <v>0</v>
      </c>
      <c r="F106" s="2" t="str">
        <f t="shared" si="2"/>
        <v>0</v>
      </c>
      <c r="G106" s="2" t="str">
        <f t="shared" si="3"/>
        <v>0</v>
      </c>
      <c r="H106" s="2" t="str">
        <f t="shared" si="4"/>
        <v>0</v>
      </c>
      <c r="I106" s="2" t="str">
        <f t="shared" si="5"/>
        <v>0</v>
      </c>
      <c r="J106" s="2" t="str">
        <f t="shared" si="6"/>
        <v>0</v>
      </c>
      <c r="K106" s="2" t="str">
        <f t="shared" si="7"/>
        <v>0</v>
      </c>
      <c r="L106" s="2" t="str">
        <f t="shared" si="8"/>
        <v>0</v>
      </c>
      <c r="M106" s="2" t="str">
        <f t="shared" si="9"/>
        <v>0</v>
      </c>
      <c r="N106" s="2" t="str">
        <f t="shared" si="10"/>
        <v>0</v>
      </c>
      <c r="O106" s="2" t="str">
        <f t="shared" si="11"/>
        <v>0</v>
      </c>
      <c r="P106" s="2" t="str">
        <f t="shared" si="12"/>
        <v>0</v>
      </c>
      <c r="Q106" s="2" t="str">
        <f t="shared" si="13"/>
        <v>0</v>
      </c>
      <c r="R106" s="2" t="str">
        <f t="shared" si="14"/>
        <v>0</v>
      </c>
      <c r="S106" s="2" t="str">
        <f t="shared" si="15"/>
        <v>0</v>
      </c>
      <c r="T106" s="2" t="str">
        <f t="shared" si="16"/>
        <v>0</v>
      </c>
    </row>
    <row r="107" spans="5:20" x14ac:dyDescent="0.25">
      <c r="E107" s="2" t="str">
        <f t="shared" ref="E107:E129" si="17">IF(E72="X",(D72-C72),"0")</f>
        <v>0</v>
      </c>
      <c r="F107" s="2" t="str">
        <f t="shared" ref="F107:F129" si="18">IF(F72="X",(D72-C72),"0")</f>
        <v>0</v>
      </c>
      <c r="G107" s="2" t="str">
        <f t="shared" ref="G107:G129" si="19">IF(G72="X",(D72-C72),"0")</f>
        <v>0</v>
      </c>
      <c r="H107" s="2" t="str">
        <f t="shared" ref="H107:H129" si="20">IF(H72="X",(D72-C72),"0")</f>
        <v>0</v>
      </c>
      <c r="I107" s="2" t="str">
        <f t="shared" ref="I107:I129" si="21">IF(I72="X",(D72-C72),"0")</f>
        <v>0</v>
      </c>
      <c r="J107" s="2" t="str">
        <f t="shared" ref="J107:J129" si="22">IF(J72="X",(D72-C72),"0")</f>
        <v>0</v>
      </c>
      <c r="K107" s="2" t="str">
        <f t="shared" ref="K107:K129" si="23">IF(K72="X",(D72-C72),"0")</f>
        <v>0</v>
      </c>
      <c r="L107" s="2" t="str">
        <f t="shared" ref="L107:L129" si="24">IF(L72="X",(D72-C72),"0")</f>
        <v>0</v>
      </c>
      <c r="M107" s="2" t="str">
        <f t="shared" ref="M107:M129" si="25">IF(M72="X",(D72-C72),"0")</f>
        <v>0</v>
      </c>
      <c r="N107" s="2" t="str">
        <f t="shared" ref="N107:N129" si="26">IF(N72="X",(D72-C72),"0")</f>
        <v>0</v>
      </c>
      <c r="O107" s="2" t="str">
        <f t="shared" ref="O107:O129" si="27">IF(O72="X",(D72-C72),"0")</f>
        <v>0</v>
      </c>
      <c r="P107" s="2" t="str">
        <f t="shared" ref="P107:P129" si="28">IF(P72="X",(D72-C72),"0")</f>
        <v>0</v>
      </c>
      <c r="Q107" s="2" t="str">
        <f t="shared" ref="Q107:Q129" si="29">IF(Q72="X",(D72-C72),"0")</f>
        <v>0</v>
      </c>
      <c r="R107" s="2" t="str">
        <f t="shared" ref="R107:R129" si="30">IF(R72="X",(D72-C72),"0")</f>
        <v>0</v>
      </c>
      <c r="S107" s="2" t="str">
        <f t="shared" ref="S107:S129" si="31">IF(S72="X",(D72-C72),"0")</f>
        <v>0</v>
      </c>
      <c r="T107" s="2" t="str">
        <f t="shared" ref="T107:T129" si="32">IF(T72="X",(D72-C72),"0")</f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 t="str">
        <f t="shared" si="17"/>
        <v>0</v>
      </c>
      <c r="F127" s="2" t="str">
        <f t="shared" si="18"/>
        <v>0</v>
      </c>
      <c r="G127" s="2" t="str">
        <f t="shared" si="19"/>
        <v>0</v>
      </c>
      <c r="H127" s="2" t="str">
        <f t="shared" si="20"/>
        <v>0</v>
      </c>
      <c r="I127" s="2" t="str">
        <f t="shared" si="21"/>
        <v>0</v>
      </c>
      <c r="J127" s="2" t="str">
        <f t="shared" si="22"/>
        <v>0</v>
      </c>
      <c r="K127" s="2" t="str">
        <f t="shared" si="23"/>
        <v>0</v>
      </c>
      <c r="L127" s="2" t="str">
        <f t="shared" si="24"/>
        <v>0</v>
      </c>
      <c r="M127" s="2" t="str">
        <f t="shared" si="25"/>
        <v>0</v>
      </c>
      <c r="N127" s="2" t="str">
        <f t="shared" si="26"/>
        <v>0</v>
      </c>
      <c r="O127" s="2" t="str">
        <f t="shared" si="27"/>
        <v>0</v>
      </c>
      <c r="P127" s="2" t="str">
        <f t="shared" si="28"/>
        <v>0</v>
      </c>
      <c r="Q127" s="2" t="str">
        <f t="shared" si="29"/>
        <v>0</v>
      </c>
      <c r="R127" s="2" t="str">
        <f t="shared" si="30"/>
        <v>0</v>
      </c>
      <c r="S127" s="2" t="str">
        <f t="shared" si="31"/>
        <v>0</v>
      </c>
      <c r="T127" s="2" t="str">
        <f t="shared" si="32"/>
        <v>0</v>
      </c>
    </row>
    <row r="128" spans="5:20" x14ac:dyDescent="0.25">
      <c r="E128" s="2" t="str">
        <f t="shared" si="17"/>
        <v>0</v>
      </c>
      <c r="F128" s="2" t="str">
        <f t="shared" si="18"/>
        <v>0</v>
      </c>
      <c r="G128" s="2" t="str">
        <f t="shared" si="19"/>
        <v>0</v>
      </c>
      <c r="H128" s="2" t="str">
        <f t="shared" si="20"/>
        <v>0</v>
      </c>
      <c r="I128" s="2" t="str">
        <f t="shared" si="21"/>
        <v>0</v>
      </c>
      <c r="J128" s="2" t="str">
        <f t="shared" si="22"/>
        <v>0</v>
      </c>
      <c r="K128" s="2" t="str">
        <f t="shared" si="23"/>
        <v>0</v>
      </c>
      <c r="L128" s="2" t="str">
        <f t="shared" si="24"/>
        <v>0</v>
      </c>
      <c r="M128" s="2" t="str">
        <f t="shared" si="25"/>
        <v>0</v>
      </c>
      <c r="N128" s="2" t="str">
        <f t="shared" si="26"/>
        <v>0</v>
      </c>
      <c r="O128" s="2" t="str">
        <f t="shared" si="27"/>
        <v>0</v>
      </c>
      <c r="P128" s="2" t="str">
        <f t="shared" si="28"/>
        <v>0</v>
      </c>
      <c r="Q128" s="2" t="str">
        <f t="shared" si="29"/>
        <v>0</v>
      </c>
      <c r="R128" s="2" t="str">
        <f t="shared" si="30"/>
        <v>0</v>
      </c>
      <c r="S128" s="2" t="str">
        <f t="shared" si="31"/>
        <v>0</v>
      </c>
      <c r="T128" s="2" t="str">
        <f t="shared" si="32"/>
        <v>0</v>
      </c>
    </row>
    <row r="129" spans="5:20" x14ac:dyDescent="0.25">
      <c r="E129" s="2" t="str">
        <f t="shared" si="17"/>
        <v>0</v>
      </c>
      <c r="F129" s="2" t="str">
        <f t="shared" si="18"/>
        <v>0</v>
      </c>
      <c r="G129" s="2" t="str">
        <f t="shared" si="19"/>
        <v>0</v>
      </c>
      <c r="H129" s="2" t="str">
        <f t="shared" si="20"/>
        <v>0</v>
      </c>
      <c r="I129" s="2" t="str">
        <f t="shared" si="21"/>
        <v>0</v>
      </c>
      <c r="J129" s="2" t="str">
        <f t="shared" si="22"/>
        <v>0</v>
      </c>
      <c r="K129" s="2" t="str">
        <f t="shared" si="23"/>
        <v>0</v>
      </c>
      <c r="L129" s="2" t="str">
        <f t="shared" si="24"/>
        <v>0</v>
      </c>
      <c r="M129" s="2" t="str">
        <f t="shared" si="25"/>
        <v>0</v>
      </c>
      <c r="N129" s="2" t="str">
        <f t="shared" si="26"/>
        <v>0</v>
      </c>
      <c r="O129" s="2" t="str">
        <f t="shared" si="27"/>
        <v>0</v>
      </c>
      <c r="P129" s="2" t="str">
        <f t="shared" si="28"/>
        <v>0</v>
      </c>
      <c r="Q129" s="2" t="str">
        <f t="shared" si="29"/>
        <v>0</v>
      </c>
      <c r="R129" s="2" t="str">
        <f t="shared" si="30"/>
        <v>0</v>
      </c>
      <c r="S129" s="2" t="str">
        <f t="shared" si="31"/>
        <v>0</v>
      </c>
      <c r="T129" s="2" t="str">
        <f t="shared" si="32"/>
        <v>0</v>
      </c>
    </row>
    <row r="130" spans="5:20" x14ac:dyDescent="0.25">
      <c r="E130" s="16">
        <f>SUM(E42:E129)</f>
        <v>0</v>
      </c>
      <c r="F130" s="16">
        <f t="shared" ref="F130:T130" si="33">SUM(F42:F129)</f>
        <v>16.68</v>
      </c>
      <c r="G130" s="16">
        <f t="shared" si="33"/>
        <v>19.36</v>
      </c>
      <c r="H130" s="16">
        <f t="shared" si="33"/>
        <v>0</v>
      </c>
      <c r="I130" s="16">
        <f t="shared" si="33"/>
        <v>0</v>
      </c>
      <c r="J130" s="16">
        <f t="shared" si="33"/>
        <v>36.04</v>
      </c>
      <c r="K130" s="16">
        <f t="shared" si="33"/>
        <v>0</v>
      </c>
      <c r="L130" s="16">
        <f t="shared" si="33"/>
        <v>0</v>
      </c>
      <c r="M130" s="16">
        <f t="shared" si="33"/>
        <v>35.94</v>
      </c>
      <c r="N130" s="16">
        <f t="shared" si="33"/>
        <v>0.1</v>
      </c>
      <c r="O130" s="16">
        <f t="shared" si="33"/>
        <v>0</v>
      </c>
      <c r="P130" s="16">
        <f t="shared" si="33"/>
        <v>36.04</v>
      </c>
      <c r="Q130" s="16">
        <f t="shared" si="33"/>
        <v>0</v>
      </c>
      <c r="R130" s="16">
        <f t="shared" si="33"/>
        <v>0</v>
      </c>
      <c r="S130" s="16">
        <f t="shared" si="33"/>
        <v>36.04</v>
      </c>
      <c r="T130" s="16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5:F35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D67E-8AF4-47D0-9CF1-45DBC9FE0449}">
  <sheetPr>
    <tabColor theme="2"/>
  </sheetPr>
  <dimension ref="A1:AN127"/>
  <sheetViews>
    <sheetView view="pageBreakPreview" zoomScale="70" zoomScaleNormal="70" zoomScaleSheetLayoutView="70" workbookViewId="0">
      <pane ySplit="6" topLeftCell="A11" activePane="bottomLeft" state="frozen"/>
      <selection activeCell="J2" sqref="J2:K2"/>
      <selection pane="bottomLeft" activeCell="E21" sqref="E21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f>'247'!J2</f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'T.T.'!C6</f>
        <v>RODOVIA TO-040 - TRECHO NOVO JARDIM - DIVISA TO-BA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91</v>
      </c>
      <c r="B7" s="40" t="s">
        <v>181</v>
      </c>
      <c r="C7" s="47">
        <v>0</v>
      </c>
      <c r="D7" s="47">
        <v>3</v>
      </c>
      <c r="E7" s="40" t="s">
        <v>168</v>
      </c>
      <c r="F7" s="40"/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 t="s">
        <v>168</v>
      </c>
      <c r="Q7" s="40"/>
      <c r="R7" s="40"/>
      <c r="S7" s="40" t="s">
        <v>168</v>
      </c>
      <c r="T7" s="40"/>
      <c r="U7" s="44" t="s">
        <v>182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3</v>
      </c>
      <c r="D8" s="47">
        <v>4</v>
      </c>
      <c r="E8" s="40" t="s">
        <v>168</v>
      </c>
      <c r="F8" s="40"/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 t="s">
        <v>168</v>
      </c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v>4</v>
      </c>
      <c r="D9" s="47">
        <v>6</v>
      </c>
      <c r="E9" s="40" t="s">
        <v>168</v>
      </c>
      <c r="F9" s="40"/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6</v>
      </c>
      <c r="D10" s="47">
        <v>7</v>
      </c>
      <c r="E10" s="40" t="s">
        <v>168</v>
      </c>
      <c r="F10" s="40"/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7</v>
      </c>
      <c r="D11" s="47">
        <v>8</v>
      </c>
      <c r="E11" s="40"/>
      <c r="F11" s="40"/>
      <c r="G11" s="40" t="s">
        <v>168</v>
      </c>
      <c r="H11" s="40"/>
      <c r="I11" s="40"/>
      <c r="J11" s="40" t="s">
        <v>168</v>
      </c>
      <c r="K11" s="40"/>
      <c r="L11" s="40"/>
      <c r="M11" s="40" t="s">
        <v>168</v>
      </c>
      <c r="N11" s="40"/>
      <c r="O11" s="40"/>
      <c r="P11" s="40" t="s">
        <v>168</v>
      </c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8</v>
      </c>
      <c r="D12" s="47">
        <v>11</v>
      </c>
      <c r="E12" s="40" t="s">
        <v>168</v>
      </c>
      <c r="F12" s="40"/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v>11</v>
      </c>
      <c r="D13" s="47">
        <v>12</v>
      </c>
      <c r="E13" s="40"/>
      <c r="F13" s="40"/>
      <c r="G13" s="40" t="s">
        <v>168</v>
      </c>
      <c r="H13" s="40"/>
      <c r="I13" s="40"/>
      <c r="J13" s="40" t="s">
        <v>168</v>
      </c>
      <c r="K13" s="40"/>
      <c r="L13" s="40"/>
      <c r="M13" s="40" t="s">
        <v>168</v>
      </c>
      <c r="N13" s="40"/>
      <c r="O13" s="40"/>
      <c r="P13" s="40" t="s">
        <v>168</v>
      </c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12</v>
      </c>
      <c r="D14" s="47">
        <v>18.5</v>
      </c>
      <c r="E14" s="40" t="s">
        <v>168</v>
      </c>
      <c r="F14" s="40"/>
      <c r="G14" s="40"/>
      <c r="H14" s="40"/>
      <c r="I14" s="40"/>
      <c r="J14" s="40" t="s">
        <v>168</v>
      </c>
      <c r="K14" s="40"/>
      <c r="L14" s="40"/>
      <c r="M14" s="40" t="s">
        <v>168</v>
      </c>
      <c r="N14" s="40"/>
      <c r="O14" s="40"/>
      <c r="P14" s="40" t="s">
        <v>168</v>
      </c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v>18.5</v>
      </c>
      <c r="D15" s="47">
        <v>25.8</v>
      </c>
      <c r="E15" s="40"/>
      <c r="F15" s="40"/>
      <c r="G15" s="40" t="s">
        <v>168</v>
      </c>
      <c r="H15" s="40"/>
      <c r="I15" s="40"/>
      <c r="J15" s="40" t="s">
        <v>168</v>
      </c>
      <c r="K15" s="40"/>
      <c r="L15" s="40"/>
      <c r="M15" s="40" t="s">
        <v>168</v>
      </c>
      <c r="N15" s="40"/>
      <c r="O15" s="40"/>
      <c r="P15" s="40" t="s">
        <v>168</v>
      </c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>
        <v>25.8</v>
      </c>
      <c r="D16" s="47">
        <v>37.19</v>
      </c>
      <c r="E16" s="40" t="s">
        <v>168</v>
      </c>
      <c r="F16" s="40"/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/>
      <c r="P16" s="40" t="s">
        <v>168</v>
      </c>
      <c r="Q16" s="40"/>
      <c r="R16" s="40"/>
      <c r="S16" s="40" t="s">
        <v>168</v>
      </c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57" t="s">
        <v>89</v>
      </c>
      <c r="B17" s="40" t="s">
        <v>167</v>
      </c>
      <c r="C17" s="47">
        <v>0</v>
      </c>
      <c r="D17" s="47">
        <v>5.81</v>
      </c>
      <c r="E17" s="40"/>
      <c r="F17" s="40" t="s">
        <v>168</v>
      </c>
      <c r="G17" s="40"/>
      <c r="H17" s="40"/>
      <c r="I17" s="40"/>
      <c r="J17" s="40" t="s">
        <v>168</v>
      </c>
      <c r="K17" s="40"/>
      <c r="L17" s="40"/>
      <c r="M17" s="40" t="s">
        <v>168</v>
      </c>
      <c r="N17" s="40"/>
      <c r="O17" s="40"/>
      <c r="P17" s="40" t="s">
        <v>168</v>
      </c>
      <c r="Q17" s="40"/>
      <c r="R17" s="40"/>
      <c r="S17" s="40" t="s">
        <v>168</v>
      </c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45"/>
      <c r="B30" s="45"/>
      <c r="C30" s="47"/>
      <c r="D30" s="47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6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3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3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3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3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3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1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1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1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1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1</v>
      </c>
      <c r="T40" s="2" t="str">
        <f t="shared" ref="T40:T103" si="15">IF(T8="X",(D8-C8),"0")</f>
        <v>0</v>
      </c>
    </row>
    <row r="41" spans="1:20" x14ac:dyDescent="0.25">
      <c r="E41" s="2">
        <f t="shared" si="0"/>
        <v>2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2</v>
      </c>
      <c r="K41" s="2" t="str">
        <f t="shared" si="6"/>
        <v>0</v>
      </c>
      <c r="L41" s="2" t="str">
        <f t="shared" si="7"/>
        <v>0</v>
      </c>
      <c r="M41" s="2">
        <f t="shared" si="8"/>
        <v>2</v>
      </c>
      <c r="N41" s="2" t="str">
        <f t="shared" si="9"/>
        <v>0</v>
      </c>
      <c r="O41" s="2" t="str">
        <f t="shared" si="10"/>
        <v>0</v>
      </c>
      <c r="P41" s="2">
        <f t="shared" si="11"/>
        <v>2</v>
      </c>
      <c r="Q41" s="2" t="str">
        <f t="shared" si="12"/>
        <v>0</v>
      </c>
      <c r="R41" s="2" t="str">
        <f t="shared" si="13"/>
        <v>0</v>
      </c>
      <c r="S41" s="2">
        <f t="shared" si="14"/>
        <v>2</v>
      </c>
      <c r="T41" s="2" t="str">
        <f t="shared" si="15"/>
        <v>0</v>
      </c>
    </row>
    <row r="42" spans="1:20" x14ac:dyDescent="0.25">
      <c r="E42" s="2">
        <f t="shared" si="0"/>
        <v>1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1</v>
      </c>
      <c r="K42" s="2" t="str">
        <f t="shared" si="6"/>
        <v>0</v>
      </c>
      <c r="L42" s="2" t="str">
        <f t="shared" si="7"/>
        <v>0</v>
      </c>
      <c r="M42" s="2">
        <f t="shared" si="8"/>
        <v>1</v>
      </c>
      <c r="N42" s="2" t="str">
        <f t="shared" si="9"/>
        <v>0</v>
      </c>
      <c r="O42" s="2" t="str">
        <f t="shared" si="10"/>
        <v>0</v>
      </c>
      <c r="P42" s="2">
        <f t="shared" si="11"/>
        <v>1</v>
      </c>
      <c r="Q42" s="2" t="str">
        <f t="shared" si="12"/>
        <v>0</v>
      </c>
      <c r="R42" s="2" t="str">
        <f t="shared" si="13"/>
        <v>0</v>
      </c>
      <c r="S42" s="2">
        <f t="shared" si="14"/>
        <v>1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>
        <f t="shared" si="2"/>
        <v>1</v>
      </c>
      <c r="H43" s="2" t="str">
        <f t="shared" si="3"/>
        <v>0</v>
      </c>
      <c r="I43" s="2" t="str">
        <f t="shared" si="4"/>
        <v>0</v>
      </c>
      <c r="J43" s="2">
        <f t="shared" si="5"/>
        <v>1</v>
      </c>
      <c r="K43" s="2" t="str">
        <f t="shared" si="6"/>
        <v>0</v>
      </c>
      <c r="L43" s="2" t="str">
        <f t="shared" si="7"/>
        <v>0</v>
      </c>
      <c r="M43" s="2">
        <f t="shared" si="8"/>
        <v>1</v>
      </c>
      <c r="N43" s="2" t="str">
        <f t="shared" si="9"/>
        <v>0</v>
      </c>
      <c r="O43" s="2" t="str">
        <f t="shared" si="10"/>
        <v>0</v>
      </c>
      <c r="P43" s="2">
        <f t="shared" si="11"/>
        <v>1</v>
      </c>
      <c r="Q43" s="2" t="str">
        <f t="shared" si="12"/>
        <v>0</v>
      </c>
      <c r="R43" s="2" t="str">
        <f t="shared" si="13"/>
        <v>0</v>
      </c>
      <c r="S43" s="2">
        <f t="shared" si="14"/>
        <v>1</v>
      </c>
      <c r="T43" s="2" t="str">
        <f t="shared" si="15"/>
        <v>0</v>
      </c>
    </row>
    <row r="44" spans="1:20" x14ac:dyDescent="0.25">
      <c r="E44" s="2">
        <f t="shared" si="0"/>
        <v>3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3</v>
      </c>
      <c r="K44" s="2" t="str">
        <f t="shared" si="6"/>
        <v>0</v>
      </c>
      <c r="L44" s="2" t="str">
        <f t="shared" si="7"/>
        <v>0</v>
      </c>
      <c r="M44" s="2">
        <f t="shared" si="8"/>
        <v>3</v>
      </c>
      <c r="N44" s="2" t="str">
        <f t="shared" si="9"/>
        <v>0</v>
      </c>
      <c r="O44" s="2" t="str">
        <f t="shared" si="10"/>
        <v>0</v>
      </c>
      <c r="P44" s="2">
        <f t="shared" si="11"/>
        <v>3</v>
      </c>
      <c r="Q44" s="2" t="str">
        <f t="shared" si="12"/>
        <v>0</v>
      </c>
      <c r="R44" s="2" t="str">
        <f t="shared" si="13"/>
        <v>0</v>
      </c>
      <c r="S44" s="2">
        <f t="shared" si="14"/>
        <v>3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>
        <f t="shared" si="2"/>
        <v>1</v>
      </c>
      <c r="H45" s="2" t="str">
        <f t="shared" si="3"/>
        <v>0</v>
      </c>
      <c r="I45" s="2" t="str">
        <f t="shared" si="4"/>
        <v>0</v>
      </c>
      <c r="J45" s="2">
        <f t="shared" si="5"/>
        <v>1</v>
      </c>
      <c r="K45" s="2" t="str">
        <f t="shared" si="6"/>
        <v>0</v>
      </c>
      <c r="L45" s="2" t="str">
        <f t="shared" si="7"/>
        <v>0</v>
      </c>
      <c r="M45" s="2">
        <f t="shared" si="8"/>
        <v>1</v>
      </c>
      <c r="N45" s="2" t="str">
        <f t="shared" si="9"/>
        <v>0</v>
      </c>
      <c r="O45" s="2" t="str">
        <f t="shared" si="10"/>
        <v>0</v>
      </c>
      <c r="P45" s="2">
        <f t="shared" si="11"/>
        <v>1</v>
      </c>
      <c r="Q45" s="2" t="str">
        <f t="shared" si="12"/>
        <v>0</v>
      </c>
      <c r="R45" s="2" t="str">
        <f t="shared" si="13"/>
        <v>0</v>
      </c>
      <c r="S45" s="2">
        <f t="shared" si="14"/>
        <v>1</v>
      </c>
      <c r="T45" s="2" t="str">
        <f t="shared" si="15"/>
        <v>0</v>
      </c>
    </row>
    <row r="46" spans="1:20" x14ac:dyDescent="0.25">
      <c r="E46" s="2">
        <f t="shared" si="0"/>
        <v>6.5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6.5</v>
      </c>
      <c r="K46" s="2" t="str">
        <f t="shared" si="6"/>
        <v>0</v>
      </c>
      <c r="L46" s="2" t="str">
        <f t="shared" si="7"/>
        <v>0</v>
      </c>
      <c r="M46" s="2">
        <f t="shared" si="8"/>
        <v>6.5</v>
      </c>
      <c r="N46" s="2" t="str">
        <f t="shared" si="9"/>
        <v>0</v>
      </c>
      <c r="O46" s="2" t="str">
        <f t="shared" si="10"/>
        <v>0</v>
      </c>
      <c r="P46" s="2">
        <f t="shared" si="11"/>
        <v>6.5</v>
      </c>
      <c r="Q46" s="2" t="str">
        <f t="shared" si="12"/>
        <v>0</v>
      </c>
      <c r="R46" s="2" t="str">
        <f t="shared" si="13"/>
        <v>0</v>
      </c>
      <c r="S46" s="2">
        <f t="shared" si="14"/>
        <v>6.5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>
        <f t="shared" si="2"/>
        <v>7.3000000000000007</v>
      </c>
      <c r="H47" s="2" t="str">
        <f t="shared" si="3"/>
        <v>0</v>
      </c>
      <c r="I47" s="2" t="str">
        <f t="shared" si="4"/>
        <v>0</v>
      </c>
      <c r="J47" s="2">
        <f t="shared" si="5"/>
        <v>7.3000000000000007</v>
      </c>
      <c r="K47" s="2" t="str">
        <f t="shared" si="6"/>
        <v>0</v>
      </c>
      <c r="L47" s="2" t="str">
        <f t="shared" si="7"/>
        <v>0</v>
      </c>
      <c r="M47" s="2">
        <f t="shared" si="8"/>
        <v>7.3000000000000007</v>
      </c>
      <c r="N47" s="2" t="str">
        <f t="shared" si="9"/>
        <v>0</v>
      </c>
      <c r="O47" s="2" t="str">
        <f t="shared" si="10"/>
        <v>0</v>
      </c>
      <c r="P47" s="2">
        <f t="shared" si="11"/>
        <v>7.3000000000000007</v>
      </c>
      <c r="Q47" s="2" t="str">
        <f t="shared" si="12"/>
        <v>0</v>
      </c>
      <c r="R47" s="2" t="str">
        <f t="shared" si="13"/>
        <v>0</v>
      </c>
      <c r="S47" s="2">
        <f t="shared" si="14"/>
        <v>7.3000000000000007</v>
      </c>
      <c r="T47" s="2" t="str">
        <f t="shared" si="15"/>
        <v>0</v>
      </c>
    </row>
    <row r="48" spans="1:20" x14ac:dyDescent="0.25">
      <c r="E48" s="2">
        <f t="shared" si="0"/>
        <v>11.389999999999997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11.389999999999997</v>
      </c>
      <c r="K48" s="2" t="str">
        <f t="shared" si="6"/>
        <v>0</v>
      </c>
      <c r="L48" s="2" t="str">
        <f t="shared" si="7"/>
        <v>0</v>
      </c>
      <c r="M48" s="2">
        <f t="shared" si="8"/>
        <v>11.389999999999997</v>
      </c>
      <c r="N48" s="2" t="str">
        <f t="shared" si="9"/>
        <v>0</v>
      </c>
      <c r="O48" s="2" t="str">
        <f t="shared" si="10"/>
        <v>0</v>
      </c>
      <c r="P48" s="2">
        <f t="shared" si="11"/>
        <v>11.389999999999997</v>
      </c>
      <c r="Q48" s="2" t="str">
        <f t="shared" si="12"/>
        <v>0</v>
      </c>
      <c r="R48" s="2" t="str">
        <f t="shared" si="13"/>
        <v>0</v>
      </c>
      <c r="S48" s="2">
        <f t="shared" si="14"/>
        <v>11.389999999999997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>
        <f t="shared" si="1"/>
        <v>5.81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5.81</v>
      </c>
      <c r="K49" s="2" t="str">
        <f t="shared" si="6"/>
        <v>0</v>
      </c>
      <c r="L49" s="2" t="str">
        <f t="shared" si="7"/>
        <v>0</v>
      </c>
      <c r="M49" s="2">
        <f t="shared" si="8"/>
        <v>5.81</v>
      </c>
      <c r="N49" s="2" t="str">
        <f t="shared" si="9"/>
        <v>0</v>
      </c>
      <c r="O49" s="2" t="str">
        <f t="shared" si="10"/>
        <v>0</v>
      </c>
      <c r="P49" s="2">
        <f t="shared" si="11"/>
        <v>5.81</v>
      </c>
      <c r="Q49" s="2" t="str">
        <f t="shared" si="12"/>
        <v>0</v>
      </c>
      <c r="R49" s="2" t="str">
        <f t="shared" si="13"/>
        <v>0</v>
      </c>
      <c r="S49" s="2">
        <f t="shared" si="14"/>
        <v>5.81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27.889999999999997</v>
      </c>
      <c r="F127" s="16">
        <f t="shared" ref="F127:T127" si="32">SUM(F39:F126)</f>
        <v>5.81</v>
      </c>
      <c r="G127" s="16">
        <f t="shared" si="32"/>
        <v>9.3000000000000007</v>
      </c>
      <c r="H127" s="16">
        <f t="shared" si="32"/>
        <v>0</v>
      </c>
      <c r="I127" s="16">
        <f t="shared" si="32"/>
        <v>0</v>
      </c>
      <c r="J127" s="16">
        <f t="shared" si="32"/>
        <v>43</v>
      </c>
      <c r="K127" s="16">
        <f t="shared" si="32"/>
        <v>0</v>
      </c>
      <c r="L127" s="16">
        <f t="shared" si="32"/>
        <v>0</v>
      </c>
      <c r="M127" s="16">
        <f t="shared" si="32"/>
        <v>43</v>
      </c>
      <c r="N127" s="16">
        <f t="shared" si="32"/>
        <v>0</v>
      </c>
      <c r="O127" s="16">
        <f t="shared" si="32"/>
        <v>0</v>
      </c>
      <c r="P127" s="16">
        <f t="shared" si="32"/>
        <v>43</v>
      </c>
      <c r="Q127" s="16">
        <f t="shared" si="32"/>
        <v>0</v>
      </c>
      <c r="R127" s="16">
        <f t="shared" si="32"/>
        <v>0</v>
      </c>
      <c r="S127" s="16">
        <f t="shared" si="32"/>
        <v>43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5056-730C-4C69-BDE7-660E1CBA37E1}">
  <dimension ref="A1:AN132"/>
  <sheetViews>
    <sheetView tabSelected="1" view="pageBreakPreview" zoomScale="55" zoomScaleNormal="70" zoomScaleSheetLayoutView="55" workbookViewId="0">
      <selection activeCell="O15" sqref="O15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4.88671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'T.T.'!C7</f>
        <v>RODOVIA TO-040 - TRECHO PORTO ALEGRE DO TOCANTINS - DIANÓPOLIS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95</v>
      </c>
      <c r="B7" s="40" t="s">
        <v>167</v>
      </c>
      <c r="C7" s="47">
        <v>0</v>
      </c>
      <c r="D7" s="47">
        <v>6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 t="s">
        <v>168</v>
      </c>
      <c r="M7" s="40"/>
      <c r="N7" s="40"/>
      <c r="O7" s="40"/>
      <c r="P7" s="40" t="s">
        <v>168</v>
      </c>
      <c r="Q7" s="40"/>
      <c r="R7" s="40"/>
      <c r="S7" s="40" t="s">
        <v>168</v>
      </c>
      <c r="T7" s="40"/>
      <c r="U7" s="4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f>D7</f>
        <v>6</v>
      </c>
      <c r="D8" s="47">
        <v>12</v>
      </c>
      <c r="E8" s="40"/>
      <c r="F8" s="40"/>
      <c r="G8" s="40" t="s">
        <v>168</v>
      </c>
      <c r="H8" s="40"/>
      <c r="I8" s="40"/>
      <c r="J8" s="40" t="s">
        <v>168</v>
      </c>
      <c r="K8" s="40"/>
      <c r="L8" s="40" t="s">
        <v>168</v>
      </c>
      <c r="M8" s="40"/>
      <c r="N8" s="40"/>
      <c r="O8" s="40"/>
      <c r="P8" s="40" t="s">
        <v>168</v>
      </c>
      <c r="Q8" s="40"/>
      <c r="R8" s="40"/>
      <c r="S8" s="40" t="s">
        <v>168</v>
      </c>
      <c r="T8" s="40"/>
      <c r="U8" s="47"/>
    </row>
    <row r="9" spans="1:40" ht="36" customHeight="1" x14ac:dyDescent="0.25">
      <c r="A9" s="40"/>
      <c r="B9" s="40"/>
      <c r="C9" s="47">
        <f>D8</f>
        <v>12</v>
      </c>
      <c r="D9" s="47">
        <v>15.05</v>
      </c>
      <c r="E9" s="40"/>
      <c r="F9" s="40"/>
      <c r="G9" s="40" t="s">
        <v>168</v>
      </c>
      <c r="H9" s="40"/>
      <c r="I9" s="40"/>
      <c r="J9" s="40" t="s">
        <v>168</v>
      </c>
      <c r="K9" s="40"/>
      <c r="L9" s="40" t="s">
        <v>168</v>
      </c>
      <c r="M9" s="40"/>
      <c r="N9" s="40"/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 t="s">
        <v>97</v>
      </c>
      <c r="B10" s="40" t="s">
        <v>167</v>
      </c>
      <c r="C10" s="47">
        <v>0</v>
      </c>
      <c r="D10" s="47">
        <v>9</v>
      </c>
      <c r="E10" s="40"/>
      <c r="F10" s="40"/>
      <c r="G10" s="40" t="s">
        <v>168</v>
      </c>
      <c r="H10" s="40"/>
      <c r="I10" s="40"/>
      <c r="J10" s="40" t="s">
        <v>168</v>
      </c>
      <c r="K10" s="40"/>
      <c r="L10" s="40" t="s">
        <v>168</v>
      </c>
      <c r="M10" s="40"/>
      <c r="N10" s="40"/>
      <c r="O10" s="40"/>
      <c r="P10" s="40" t="s">
        <v>168</v>
      </c>
      <c r="Q10" s="40"/>
      <c r="R10" s="40"/>
      <c r="S10" s="40" t="s">
        <v>168</v>
      </c>
      <c r="T10" s="40"/>
      <c r="U10" s="47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7</v>
      </c>
      <c r="D11" s="47">
        <v>11.21</v>
      </c>
      <c r="E11" s="40"/>
      <c r="F11" s="40"/>
      <c r="G11" s="40" t="s">
        <v>168</v>
      </c>
      <c r="H11" s="40"/>
      <c r="I11" s="40"/>
      <c r="J11" s="40" t="s">
        <v>168</v>
      </c>
      <c r="K11" s="40"/>
      <c r="L11" s="40" t="s">
        <v>168</v>
      </c>
      <c r="M11" s="40"/>
      <c r="N11" s="40"/>
      <c r="O11" s="40"/>
      <c r="P11" s="40" t="s">
        <v>168</v>
      </c>
      <c r="Q11" s="40"/>
      <c r="R11" s="40"/>
      <c r="S11" s="40" t="s">
        <v>168</v>
      </c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 t="s">
        <v>93</v>
      </c>
      <c r="B12" s="40" t="s">
        <v>181</v>
      </c>
      <c r="C12" s="47">
        <v>0</v>
      </c>
      <c r="D12" s="47">
        <v>4.0999999999999996</v>
      </c>
      <c r="E12" s="40" t="s">
        <v>168</v>
      </c>
      <c r="F12" s="40"/>
      <c r="G12" s="40"/>
      <c r="H12" s="40"/>
      <c r="I12" s="40"/>
      <c r="J12" s="40" t="s">
        <v>168</v>
      </c>
      <c r="K12" s="40"/>
      <c r="L12" s="40" t="s">
        <v>168</v>
      </c>
      <c r="M12" s="40"/>
      <c r="N12" s="40"/>
      <c r="O12" s="40"/>
      <c r="P12" s="40" t="s">
        <v>168</v>
      </c>
      <c r="Q12" s="40"/>
      <c r="R12" s="40"/>
      <c r="S12" s="40" t="s">
        <v>168</v>
      </c>
      <c r="T12" s="40"/>
      <c r="U12" s="47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f>D12</f>
        <v>4.0999999999999996</v>
      </c>
      <c r="D13" s="47">
        <v>7</v>
      </c>
      <c r="E13" s="40" t="s">
        <v>168</v>
      </c>
      <c r="F13" s="40"/>
      <c r="G13" s="40"/>
      <c r="H13" s="40"/>
      <c r="I13" s="40"/>
      <c r="J13" s="40" t="s">
        <v>168</v>
      </c>
      <c r="K13" s="40"/>
      <c r="L13" s="40" t="s">
        <v>168</v>
      </c>
      <c r="M13" s="40"/>
      <c r="N13" s="40"/>
      <c r="O13" s="40"/>
      <c r="P13" s="40" t="s">
        <v>168</v>
      </c>
      <c r="Q13" s="40"/>
      <c r="R13" s="40"/>
      <c r="S13" s="40" t="s">
        <v>168</v>
      </c>
      <c r="T13" s="40"/>
      <c r="U13" s="47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f>D13</f>
        <v>7</v>
      </c>
      <c r="D14" s="47">
        <v>8.68</v>
      </c>
      <c r="E14" s="40" t="s">
        <v>168</v>
      </c>
      <c r="F14" s="40"/>
      <c r="G14" s="40"/>
      <c r="H14" s="40"/>
      <c r="I14" s="40"/>
      <c r="J14" s="40" t="s">
        <v>168</v>
      </c>
      <c r="K14" s="40"/>
      <c r="L14" s="40" t="s">
        <v>168</v>
      </c>
      <c r="M14" s="40"/>
      <c r="N14" s="40"/>
      <c r="O14" s="40"/>
      <c r="P14" s="40" t="s">
        <v>168</v>
      </c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7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7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0"/>
      <c r="B30" s="40"/>
      <c r="C30" s="47"/>
      <c r="D30" s="47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4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0"/>
      <c r="B31" s="40"/>
      <c r="C31" s="47"/>
      <c r="D31" s="47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4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0"/>
      <c r="B32" s="40"/>
      <c r="C32" s="47"/>
      <c r="D32" s="47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4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36" customHeight="1" x14ac:dyDescent="0.25">
      <c r="A33" s="40"/>
      <c r="B33" s="40"/>
      <c r="C33" s="47"/>
      <c r="D33" s="47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4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36" customHeight="1" x14ac:dyDescent="0.25">
      <c r="A34" s="40"/>
      <c r="B34" s="40"/>
      <c r="C34" s="47"/>
      <c r="D34" s="47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4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36" customHeight="1" thickBot="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</row>
    <row r="37" spans="1:40" ht="19.2" x14ac:dyDescent="0.35">
      <c r="A37" s="4" t="s">
        <v>7</v>
      </c>
      <c r="B37" s="11" t="s">
        <v>2</v>
      </c>
      <c r="C37" s="5"/>
      <c r="D37" s="5"/>
      <c r="E37" s="94"/>
      <c r="F37" s="94"/>
    </row>
    <row r="38" spans="1:40" ht="19.2" x14ac:dyDescent="0.35">
      <c r="A38" s="4" t="s">
        <v>9</v>
      </c>
      <c r="B38" s="4" t="s">
        <v>10</v>
      </c>
      <c r="E38" s="4" t="s">
        <v>14</v>
      </c>
      <c r="F38" s="4"/>
      <c r="G38" s="4"/>
      <c r="I38" s="4" t="s">
        <v>5</v>
      </c>
      <c r="J38" s="4" t="s">
        <v>12</v>
      </c>
      <c r="K38" s="1"/>
      <c r="L38" s="1"/>
      <c r="M38" s="4" t="s">
        <v>16</v>
      </c>
      <c r="N38" s="4"/>
      <c r="O38" s="4"/>
    </row>
    <row r="39" spans="1:40" ht="19.2" x14ac:dyDescent="0.35">
      <c r="A39" s="4" t="s">
        <v>4</v>
      </c>
      <c r="B39" s="4" t="s">
        <v>11</v>
      </c>
      <c r="E39" s="4" t="s">
        <v>15</v>
      </c>
      <c r="F39" s="4"/>
      <c r="G39" s="4"/>
      <c r="I39" s="4" t="s">
        <v>6</v>
      </c>
      <c r="J39" s="4" t="s">
        <v>13</v>
      </c>
      <c r="K39" s="1"/>
      <c r="L39" s="1"/>
      <c r="M39" s="4" t="s">
        <v>17</v>
      </c>
      <c r="N39" s="4"/>
      <c r="O39" s="4"/>
    </row>
    <row r="40" spans="1:40" x14ac:dyDescent="0.25">
      <c r="E40" s="1"/>
      <c r="F40" s="1"/>
      <c r="G40" s="1"/>
    </row>
    <row r="41" spans="1:40" x14ac:dyDescent="0.25">
      <c r="E41" s="1"/>
      <c r="F41" s="1"/>
      <c r="G41" s="1"/>
    </row>
    <row r="44" spans="1:40" x14ac:dyDescent="0.25">
      <c r="E44" s="2" t="str">
        <f>IF(E7="X",(D7-C7),"0")</f>
        <v>0</v>
      </c>
      <c r="F44" s="2" t="str">
        <f>IF(F7="X",(D7-C7),"0")</f>
        <v>0</v>
      </c>
      <c r="G44" s="2">
        <f>IF(G7="X",(D7-C7),"0")</f>
        <v>6</v>
      </c>
      <c r="H44" s="2" t="str">
        <f>IF(H7="X",(D7-C7),"0")</f>
        <v>0</v>
      </c>
      <c r="I44" s="2" t="str">
        <f>IF(I7="X",(D7-C7),"0")</f>
        <v>0</v>
      </c>
      <c r="J44" s="2">
        <f>IF(J7="X",(D7-C7),"0")</f>
        <v>6</v>
      </c>
      <c r="K44" s="2" t="str">
        <f>IF(K7="X",(D7-C7),"0")</f>
        <v>0</v>
      </c>
      <c r="L44" s="2">
        <f>IF(L7="X",(D7-C7),"0")</f>
        <v>6</v>
      </c>
      <c r="M44" s="2" t="str">
        <f>IF(M7="X",(D7-C7),"0")</f>
        <v>0</v>
      </c>
      <c r="N44" s="2" t="str">
        <f>IF(N7="X",(D7-C7),"0")</f>
        <v>0</v>
      </c>
      <c r="O44" s="2" t="str">
        <f>IF(O7="X",(D7-C7),"0")</f>
        <v>0</v>
      </c>
      <c r="P44" s="2">
        <f>IF(P7="X",(D7-C7),"0")</f>
        <v>6</v>
      </c>
      <c r="Q44" s="2" t="str">
        <f>IF(Q7="X",(D7-C7),"0")</f>
        <v>0</v>
      </c>
      <c r="R44" s="2" t="str">
        <f>IF(R7="X",(D7-C7),"0")</f>
        <v>0</v>
      </c>
      <c r="S44" s="2">
        <f>IF(S7="X",(D7-C7),"0")</f>
        <v>6</v>
      </c>
      <c r="T44" s="2" t="str">
        <f>IF(T7="X",(D7-C7),"0")</f>
        <v>0</v>
      </c>
    </row>
    <row r="45" spans="1:40" x14ac:dyDescent="0.25">
      <c r="E45" s="2" t="str">
        <f t="shared" ref="E45:E108" si="0">IF(E8="X",(D8-C8),"0")</f>
        <v>0</v>
      </c>
      <c r="F45" s="2" t="str">
        <f t="shared" ref="F45:F108" si="1">IF(F8="X",(D8-C8),"0")</f>
        <v>0</v>
      </c>
      <c r="G45" s="2">
        <f t="shared" ref="G45:G108" si="2">IF(G8="X",(D8-C8),"0")</f>
        <v>6</v>
      </c>
      <c r="H45" s="2" t="str">
        <f t="shared" ref="H45:H108" si="3">IF(H8="X",(D8-C8),"0")</f>
        <v>0</v>
      </c>
      <c r="I45" s="2" t="str">
        <f t="shared" ref="I45:I108" si="4">IF(I8="X",(D8-C8),"0")</f>
        <v>0</v>
      </c>
      <c r="J45" s="2">
        <f t="shared" ref="J45:J108" si="5">IF(J8="X",(D8-C8),"0")</f>
        <v>6</v>
      </c>
      <c r="K45" s="2" t="str">
        <f t="shared" ref="K45:K108" si="6">IF(K8="X",(D8-C8),"0")</f>
        <v>0</v>
      </c>
      <c r="L45" s="2">
        <f t="shared" ref="L45:L108" si="7">IF(L8="X",(D8-C8),"0")</f>
        <v>6</v>
      </c>
      <c r="M45" s="2" t="str">
        <f t="shared" ref="M45:M108" si="8">IF(M8="X",(D8-C8),"0")</f>
        <v>0</v>
      </c>
      <c r="N45" s="2" t="str">
        <f t="shared" ref="N45:N108" si="9">IF(N8="X",(D8-C8),"0")</f>
        <v>0</v>
      </c>
      <c r="O45" s="2" t="str">
        <f t="shared" ref="O45:O108" si="10">IF(O8="X",(D8-C8),"0")</f>
        <v>0</v>
      </c>
      <c r="P45" s="2">
        <f t="shared" ref="P45:P108" si="11">IF(P8="X",(D8-C8),"0")</f>
        <v>6</v>
      </c>
      <c r="Q45" s="2" t="str">
        <f t="shared" ref="Q45:Q108" si="12">IF(Q8="X",(D8-C8),"0")</f>
        <v>0</v>
      </c>
      <c r="R45" s="2" t="str">
        <f t="shared" ref="R45:R108" si="13">IF(R8="X",(D8-C8),"0")</f>
        <v>0</v>
      </c>
      <c r="S45" s="2">
        <f t="shared" ref="S45:S108" si="14">IF(S8="X",(D8-C8),"0")</f>
        <v>6</v>
      </c>
      <c r="T45" s="2" t="str">
        <f t="shared" ref="T45:T108" si="15">IF(T8="X",(D8-C8),"0")</f>
        <v>0</v>
      </c>
    </row>
    <row r="46" spans="1:40" x14ac:dyDescent="0.25">
      <c r="E46" s="2" t="str">
        <f t="shared" si="0"/>
        <v>0</v>
      </c>
      <c r="F46" s="2" t="str">
        <f t="shared" si="1"/>
        <v>0</v>
      </c>
      <c r="G46" s="2">
        <f t="shared" si="2"/>
        <v>3.0500000000000007</v>
      </c>
      <c r="H46" s="2" t="str">
        <f t="shared" si="3"/>
        <v>0</v>
      </c>
      <c r="I46" s="2" t="str">
        <f t="shared" si="4"/>
        <v>0</v>
      </c>
      <c r="J46" s="2">
        <f t="shared" si="5"/>
        <v>3.0500000000000007</v>
      </c>
      <c r="K46" s="2" t="str">
        <f t="shared" si="6"/>
        <v>0</v>
      </c>
      <c r="L46" s="2">
        <f t="shared" si="7"/>
        <v>3.0500000000000007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>
        <f t="shared" si="11"/>
        <v>3.0500000000000007</v>
      </c>
      <c r="Q46" s="2" t="str">
        <f t="shared" si="12"/>
        <v>0</v>
      </c>
      <c r="R46" s="2" t="str">
        <f t="shared" si="13"/>
        <v>0</v>
      </c>
      <c r="S46" s="2">
        <f t="shared" si="14"/>
        <v>3.0500000000000007</v>
      </c>
      <c r="T46" s="2" t="str">
        <f t="shared" si="15"/>
        <v>0</v>
      </c>
    </row>
    <row r="47" spans="1:40" x14ac:dyDescent="0.25">
      <c r="E47" s="2" t="str">
        <f t="shared" si="0"/>
        <v>0</v>
      </c>
      <c r="F47" s="2" t="str">
        <f t="shared" si="1"/>
        <v>0</v>
      </c>
      <c r="G47" s="2">
        <f t="shared" si="2"/>
        <v>9</v>
      </c>
      <c r="H47" s="2" t="str">
        <f t="shared" si="3"/>
        <v>0</v>
      </c>
      <c r="I47" s="2" t="str">
        <f t="shared" si="4"/>
        <v>0</v>
      </c>
      <c r="J47" s="2">
        <f t="shared" si="5"/>
        <v>9</v>
      </c>
      <c r="K47" s="2" t="str">
        <f t="shared" si="6"/>
        <v>0</v>
      </c>
      <c r="L47" s="2">
        <f t="shared" si="7"/>
        <v>9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>
        <f t="shared" si="11"/>
        <v>9</v>
      </c>
      <c r="Q47" s="2" t="str">
        <f t="shared" si="12"/>
        <v>0</v>
      </c>
      <c r="R47" s="2" t="str">
        <f t="shared" si="13"/>
        <v>0</v>
      </c>
      <c r="S47" s="2">
        <f t="shared" si="14"/>
        <v>9</v>
      </c>
      <c r="T47" s="2" t="str">
        <f t="shared" si="15"/>
        <v>0</v>
      </c>
    </row>
    <row r="48" spans="1:40" x14ac:dyDescent="0.25">
      <c r="E48" s="2" t="str">
        <f t="shared" si="0"/>
        <v>0</v>
      </c>
      <c r="F48" s="2" t="str">
        <f t="shared" si="1"/>
        <v>0</v>
      </c>
      <c r="G48" s="2">
        <f t="shared" si="2"/>
        <v>4.2100000000000009</v>
      </c>
      <c r="H48" s="2" t="str">
        <f t="shared" si="3"/>
        <v>0</v>
      </c>
      <c r="I48" s="2" t="str">
        <f t="shared" si="4"/>
        <v>0</v>
      </c>
      <c r="J48" s="2">
        <f t="shared" si="5"/>
        <v>4.2100000000000009</v>
      </c>
      <c r="K48" s="2" t="str">
        <f t="shared" si="6"/>
        <v>0</v>
      </c>
      <c r="L48" s="2">
        <f t="shared" si="7"/>
        <v>4.2100000000000009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>
        <f t="shared" si="11"/>
        <v>4.2100000000000009</v>
      </c>
      <c r="Q48" s="2" t="str">
        <f t="shared" si="12"/>
        <v>0</v>
      </c>
      <c r="R48" s="2" t="str">
        <f t="shared" si="13"/>
        <v>0</v>
      </c>
      <c r="S48" s="2">
        <f t="shared" si="14"/>
        <v>4.2100000000000009</v>
      </c>
      <c r="T48" s="2" t="str">
        <f t="shared" si="15"/>
        <v>0</v>
      </c>
    </row>
    <row r="49" spans="5:20" x14ac:dyDescent="0.25">
      <c r="E49" s="2">
        <f t="shared" si="0"/>
        <v>4.0999999999999996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4.0999999999999996</v>
      </c>
      <c r="K49" s="2" t="str">
        <f t="shared" si="6"/>
        <v>0</v>
      </c>
      <c r="L49" s="2">
        <f t="shared" si="7"/>
        <v>4.0999999999999996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>
        <f t="shared" si="11"/>
        <v>4.0999999999999996</v>
      </c>
      <c r="Q49" s="2" t="str">
        <f t="shared" si="12"/>
        <v>0</v>
      </c>
      <c r="R49" s="2" t="str">
        <f t="shared" si="13"/>
        <v>0</v>
      </c>
      <c r="S49" s="2">
        <f t="shared" si="14"/>
        <v>4.0999999999999996</v>
      </c>
      <c r="T49" s="2" t="str">
        <f t="shared" si="15"/>
        <v>0</v>
      </c>
    </row>
    <row r="50" spans="5:20" x14ac:dyDescent="0.25">
      <c r="E50" s="2">
        <f t="shared" si="0"/>
        <v>2.9000000000000004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2.9000000000000004</v>
      </c>
      <c r="K50" s="2" t="str">
        <f t="shared" si="6"/>
        <v>0</v>
      </c>
      <c r="L50" s="2">
        <f t="shared" si="7"/>
        <v>2.9000000000000004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>
        <f t="shared" si="11"/>
        <v>2.9000000000000004</v>
      </c>
      <c r="Q50" s="2" t="str">
        <f t="shared" si="12"/>
        <v>0</v>
      </c>
      <c r="R50" s="2" t="str">
        <f t="shared" si="13"/>
        <v>0</v>
      </c>
      <c r="S50" s="2">
        <f t="shared" si="14"/>
        <v>2.9000000000000004</v>
      </c>
      <c r="T50" s="2" t="str">
        <f t="shared" si="15"/>
        <v>0</v>
      </c>
    </row>
    <row r="51" spans="5:20" x14ac:dyDescent="0.25">
      <c r="E51" s="2">
        <f t="shared" si="0"/>
        <v>1.6799999999999997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1.6799999999999997</v>
      </c>
      <c r="K51" s="2" t="str">
        <f t="shared" si="6"/>
        <v>0</v>
      </c>
      <c r="L51" s="2">
        <f t="shared" si="7"/>
        <v>1.6799999999999997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>
        <f t="shared" si="11"/>
        <v>1.6799999999999997</v>
      </c>
      <c r="Q51" s="2" t="str">
        <f t="shared" si="12"/>
        <v>0</v>
      </c>
      <c r="R51" s="2" t="str">
        <f t="shared" si="13"/>
        <v>0</v>
      </c>
      <c r="S51" s="2">
        <f t="shared" si="14"/>
        <v>1.6799999999999997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si="0"/>
        <v>0</v>
      </c>
      <c r="F104" s="2" t="str">
        <f t="shared" si="1"/>
        <v>0</v>
      </c>
      <c r="G104" s="2" t="str">
        <f t="shared" si="2"/>
        <v>0</v>
      </c>
      <c r="H104" s="2" t="str">
        <f t="shared" si="3"/>
        <v>0</v>
      </c>
      <c r="I104" s="2" t="str">
        <f t="shared" si="4"/>
        <v>0</v>
      </c>
      <c r="J104" s="2" t="str">
        <f t="shared" si="5"/>
        <v>0</v>
      </c>
      <c r="K104" s="2" t="str">
        <f t="shared" si="6"/>
        <v>0</v>
      </c>
      <c r="L104" s="2" t="str">
        <f t="shared" si="7"/>
        <v>0</v>
      </c>
      <c r="M104" s="2" t="str">
        <f t="shared" si="8"/>
        <v>0</v>
      </c>
      <c r="N104" s="2" t="str">
        <f t="shared" si="9"/>
        <v>0</v>
      </c>
      <c r="O104" s="2" t="str">
        <f t="shared" si="10"/>
        <v>0</v>
      </c>
      <c r="P104" s="2" t="str">
        <f t="shared" si="11"/>
        <v>0</v>
      </c>
      <c r="Q104" s="2" t="str">
        <f t="shared" si="12"/>
        <v>0</v>
      </c>
      <c r="R104" s="2" t="str">
        <f t="shared" si="13"/>
        <v>0</v>
      </c>
      <c r="S104" s="2" t="str">
        <f t="shared" si="14"/>
        <v>0</v>
      </c>
      <c r="T104" s="2" t="str">
        <f t="shared" si="15"/>
        <v>0</v>
      </c>
    </row>
    <row r="105" spans="5:20" x14ac:dyDescent="0.25">
      <c r="E105" s="2" t="str">
        <f t="shared" si="0"/>
        <v>0</v>
      </c>
      <c r="F105" s="2" t="str">
        <f t="shared" si="1"/>
        <v>0</v>
      </c>
      <c r="G105" s="2" t="str">
        <f t="shared" si="2"/>
        <v>0</v>
      </c>
      <c r="H105" s="2" t="str">
        <f t="shared" si="3"/>
        <v>0</v>
      </c>
      <c r="I105" s="2" t="str">
        <f t="shared" si="4"/>
        <v>0</v>
      </c>
      <c r="J105" s="2" t="str">
        <f t="shared" si="5"/>
        <v>0</v>
      </c>
      <c r="K105" s="2" t="str">
        <f t="shared" si="6"/>
        <v>0</v>
      </c>
      <c r="L105" s="2" t="str">
        <f t="shared" si="7"/>
        <v>0</v>
      </c>
      <c r="M105" s="2" t="str">
        <f t="shared" si="8"/>
        <v>0</v>
      </c>
      <c r="N105" s="2" t="str">
        <f t="shared" si="9"/>
        <v>0</v>
      </c>
      <c r="O105" s="2" t="str">
        <f t="shared" si="10"/>
        <v>0</v>
      </c>
      <c r="P105" s="2" t="str">
        <f t="shared" si="11"/>
        <v>0</v>
      </c>
      <c r="Q105" s="2" t="str">
        <f t="shared" si="12"/>
        <v>0</v>
      </c>
      <c r="R105" s="2" t="str">
        <f t="shared" si="13"/>
        <v>0</v>
      </c>
      <c r="S105" s="2" t="str">
        <f t="shared" si="14"/>
        <v>0</v>
      </c>
      <c r="T105" s="2" t="str">
        <f t="shared" si="15"/>
        <v>0</v>
      </c>
    </row>
    <row r="106" spans="5:20" x14ac:dyDescent="0.25">
      <c r="E106" s="2" t="str">
        <f t="shared" si="0"/>
        <v>0</v>
      </c>
      <c r="F106" s="2" t="str">
        <f t="shared" si="1"/>
        <v>0</v>
      </c>
      <c r="G106" s="2" t="str">
        <f t="shared" si="2"/>
        <v>0</v>
      </c>
      <c r="H106" s="2" t="str">
        <f t="shared" si="3"/>
        <v>0</v>
      </c>
      <c r="I106" s="2" t="str">
        <f t="shared" si="4"/>
        <v>0</v>
      </c>
      <c r="J106" s="2" t="str">
        <f t="shared" si="5"/>
        <v>0</v>
      </c>
      <c r="K106" s="2" t="str">
        <f t="shared" si="6"/>
        <v>0</v>
      </c>
      <c r="L106" s="2" t="str">
        <f t="shared" si="7"/>
        <v>0</v>
      </c>
      <c r="M106" s="2" t="str">
        <f t="shared" si="8"/>
        <v>0</v>
      </c>
      <c r="N106" s="2" t="str">
        <f t="shared" si="9"/>
        <v>0</v>
      </c>
      <c r="O106" s="2" t="str">
        <f t="shared" si="10"/>
        <v>0</v>
      </c>
      <c r="P106" s="2" t="str">
        <f t="shared" si="11"/>
        <v>0</v>
      </c>
      <c r="Q106" s="2" t="str">
        <f t="shared" si="12"/>
        <v>0</v>
      </c>
      <c r="R106" s="2" t="str">
        <f t="shared" si="13"/>
        <v>0</v>
      </c>
      <c r="S106" s="2" t="str">
        <f t="shared" si="14"/>
        <v>0</v>
      </c>
      <c r="T106" s="2" t="str">
        <f t="shared" si="15"/>
        <v>0</v>
      </c>
    </row>
    <row r="107" spans="5:20" x14ac:dyDescent="0.25">
      <c r="E107" s="2" t="str">
        <f t="shared" si="0"/>
        <v>0</v>
      </c>
      <c r="F107" s="2" t="str">
        <f t="shared" si="1"/>
        <v>0</v>
      </c>
      <c r="G107" s="2" t="str">
        <f t="shared" si="2"/>
        <v>0</v>
      </c>
      <c r="H107" s="2" t="str">
        <f t="shared" si="3"/>
        <v>0</v>
      </c>
      <c r="I107" s="2" t="str">
        <f t="shared" si="4"/>
        <v>0</v>
      </c>
      <c r="J107" s="2" t="str">
        <f t="shared" si="5"/>
        <v>0</v>
      </c>
      <c r="K107" s="2" t="str">
        <f t="shared" si="6"/>
        <v>0</v>
      </c>
      <c r="L107" s="2" t="str">
        <f t="shared" si="7"/>
        <v>0</v>
      </c>
      <c r="M107" s="2" t="str">
        <f t="shared" si="8"/>
        <v>0</v>
      </c>
      <c r="N107" s="2" t="str">
        <f t="shared" si="9"/>
        <v>0</v>
      </c>
      <c r="O107" s="2" t="str">
        <f t="shared" si="10"/>
        <v>0</v>
      </c>
      <c r="P107" s="2" t="str">
        <f t="shared" si="11"/>
        <v>0</v>
      </c>
      <c r="Q107" s="2" t="str">
        <f t="shared" si="12"/>
        <v>0</v>
      </c>
      <c r="R107" s="2" t="str">
        <f t="shared" si="13"/>
        <v>0</v>
      </c>
      <c r="S107" s="2" t="str">
        <f t="shared" si="14"/>
        <v>0</v>
      </c>
      <c r="T107" s="2" t="str">
        <f t="shared" si="15"/>
        <v>0</v>
      </c>
    </row>
    <row r="108" spans="5:20" x14ac:dyDescent="0.25">
      <c r="E108" s="2" t="str">
        <f t="shared" si="0"/>
        <v>0</v>
      </c>
      <c r="F108" s="2" t="str">
        <f t="shared" si="1"/>
        <v>0</v>
      </c>
      <c r="G108" s="2" t="str">
        <f t="shared" si="2"/>
        <v>0</v>
      </c>
      <c r="H108" s="2" t="str">
        <f t="shared" si="3"/>
        <v>0</v>
      </c>
      <c r="I108" s="2" t="str">
        <f t="shared" si="4"/>
        <v>0</v>
      </c>
      <c r="J108" s="2" t="str">
        <f t="shared" si="5"/>
        <v>0</v>
      </c>
      <c r="K108" s="2" t="str">
        <f t="shared" si="6"/>
        <v>0</v>
      </c>
      <c r="L108" s="2" t="str">
        <f t="shared" si="7"/>
        <v>0</v>
      </c>
      <c r="M108" s="2" t="str">
        <f t="shared" si="8"/>
        <v>0</v>
      </c>
      <c r="N108" s="2" t="str">
        <f t="shared" si="9"/>
        <v>0</v>
      </c>
      <c r="O108" s="2" t="str">
        <f t="shared" si="10"/>
        <v>0</v>
      </c>
      <c r="P108" s="2" t="str">
        <f t="shared" si="11"/>
        <v>0</v>
      </c>
      <c r="Q108" s="2" t="str">
        <f t="shared" si="12"/>
        <v>0</v>
      </c>
      <c r="R108" s="2" t="str">
        <f t="shared" si="13"/>
        <v>0</v>
      </c>
      <c r="S108" s="2" t="str">
        <f t="shared" si="14"/>
        <v>0</v>
      </c>
      <c r="T108" s="2" t="str">
        <f t="shared" si="15"/>
        <v>0</v>
      </c>
    </row>
    <row r="109" spans="5:20" x14ac:dyDescent="0.25">
      <c r="E109" s="2" t="str">
        <f t="shared" ref="E109:E131" si="16">IF(E72="X",(D72-C72),"0")</f>
        <v>0</v>
      </c>
      <c r="F109" s="2" t="str">
        <f t="shared" ref="F109:F131" si="17">IF(F72="X",(D72-C72),"0")</f>
        <v>0</v>
      </c>
      <c r="G109" s="2" t="str">
        <f t="shared" ref="G109:G131" si="18">IF(G72="X",(D72-C72),"0")</f>
        <v>0</v>
      </c>
      <c r="H109" s="2" t="str">
        <f t="shared" ref="H109:H131" si="19">IF(H72="X",(D72-C72),"0")</f>
        <v>0</v>
      </c>
      <c r="I109" s="2" t="str">
        <f t="shared" ref="I109:I131" si="20">IF(I72="X",(D72-C72),"0")</f>
        <v>0</v>
      </c>
      <c r="J109" s="2" t="str">
        <f t="shared" ref="J109:J131" si="21">IF(J72="X",(D72-C72),"0")</f>
        <v>0</v>
      </c>
      <c r="K109" s="2" t="str">
        <f t="shared" ref="K109:K131" si="22">IF(K72="X",(D72-C72),"0")</f>
        <v>0</v>
      </c>
      <c r="L109" s="2" t="str">
        <f t="shared" ref="L109:L131" si="23">IF(L72="X",(D72-C72),"0")</f>
        <v>0</v>
      </c>
      <c r="M109" s="2" t="str">
        <f t="shared" ref="M109:M131" si="24">IF(M72="X",(D72-C72),"0")</f>
        <v>0</v>
      </c>
      <c r="N109" s="2" t="str">
        <f t="shared" ref="N109:N131" si="25">IF(N72="X",(D72-C72),"0")</f>
        <v>0</v>
      </c>
      <c r="O109" s="2" t="str">
        <f t="shared" ref="O109:O131" si="26">IF(O72="X",(D72-C72),"0")</f>
        <v>0</v>
      </c>
      <c r="P109" s="2" t="str">
        <f t="shared" ref="P109:P131" si="27">IF(P72="X",(D72-C72),"0")</f>
        <v>0</v>
      </c>
      <c r="Q109" s="2" t="str">
        <f t="shared" ref="Q109:Q131" si="28">IF(Q72="X",(D72-C72),"0")</f>
        <v>0</v>
      </c>
      <c r="R109" s="2" t="str">
        <f t="shared" ref="R109:R131" si="29">IF(R72="X",(D72-C72),"0")</f>
        <v>0</v>
      </c>
      <c r="S109" s="2" t="str">
        <f t="shared" ref="S109:S131" si="30">IF(S72="X",(D72-C72),"0")</f>
        <v>0</v>
      </c>
      <c r="T109" s="2" t="str">
        <f t="shared" ref="T109:T131" si="31">IF(T72="X",(D72-C72),"0")</f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28" spans="5:20" x14ac:dyDescent="0.25">
      <c r="E128" s="2" t="str">
        <f t="shared" si="16"/>
        <v>0</v>
      </c>
      <c r="F128" s="2" t="str">
        <f t="shared" si="17"/>
        <v>0</v>
      </c>
      <c r="G128" s="2" t="str">
        <f t="shared" si="18"/>
        <v>0</v>
      </c>
      <c r="H128" s="2" t="str">
        <f t="shared" si="19"/>
        <v>0</v>
      </c>
      <c r="I128" s="2" t="str">
        <f t="shared" si="20"/>
        <v>0</v>
      </c>
      <c r="J128" s="2" t="str">
        <f t="shared" si="21"/>
        <v>0</v>
      </c>
      <c r="K128" s="2" t="str">
        <f t="shared" si="22"/>
        <v>0</v>
      </c>
      <c r="L128" s="2" t="str">
        <f t="shared" si="23"/>
        <v>0</v>
      </c>
      <c r="M128" s="2" t="str">
        <f t="shared" si="24"/>
        <v>0</v>
      </c>
      <c r="N128" s="2" t="str">
        <f t="shared" si="25"/>
        <v>0</v>
      </c>
      <c r="O128" s="2" t="str">
        <f t="shared" si="26"/>
        <v>0</v>
      </c>
      <c r="P128" s="2" t="str">
        <f t="shared" si="27"/>
        <v>0</v>
      </c>
      <c r="Q128" s="2" t="str">
        <f t="shared" si="28"/>
        <v>0</v>
      </c>
      <c r="R128" s="2" t="str">
        <f t="shared" si="29"/>
        <v>0</v>
      </c>
      <c r="S128" s="2" t="str">
        <f t="shared" si="30"/>
        <v>0</v>
      </c>
      <c r="T128" s="2" t="str">
        <f t="shared" si="31"/>
        <v>0</v>
      </c>
    </row>
    <row r="129" spans="5:20" x14ac:dyDescent="0.25">
      <c r="E129" s="2" t="str">
        <f t="shared" si="16"/>
        <v>0</v>
      </c>
      <c r="F129" s="2" t="str">
        <f t="shared" si="17"/>
        <v>0</v>
      </c>
      <c r="G129" s="2" t="str">
        <f t="shared" si="18"/>
        <v>0</v>
      </c>
      <c r="H129" s="2" t="str">
        <f t="shared" si="19"/>
        <v>0</v>
      </c>
      <c r="I129" s="2" t="str">
        <f t="shared" si="20"/>
        <v>0</v>
      </c>
      <c r="J129" s="2" t="str">
        <f t="shared" si="21"/>
        <v>0</v>
      </c>
      <c r="K129" s="2" t="str">
        <f t="shared" si="22"/>
        <v>0</v>
      </c>
      <c r="L129" s="2" t="str">
        <f t="shared" si="23"/>
        <v>0</v>
      </c>
      <c r="M129" s="2" t="str">
        <f t="shared" si="24"/>
        <v>0</v>
      </c>
      <c r="N129" s="2" t="str">
        <f t="shared" si="25"/>
        <v>0</v>
      </c>
      <c r="O129" s="2" t="str">
        <f t="shared" si="26"/>
        <v>0</v>
      </c>
      <c r="P129" s="2" t="str">
        <f t="shared" si="27"/>
        <v>0</v>
      </c>
      <c r="Q129" s="2" t="str">
        <f t="shared" si="28"/>
        <v>0</v>
      </c>
      <c r="R129" s="2" t="str">
        <f t="shared" si="29"/>
        <v>0</v>
      </c>
      <c r="S129" s="2" t="str">
        <f t="shared" si="30"/>
        <v>0</v>
      </c>
      <c r="T129" s="2" t="str">
        <f t="shared" si="31"/>
        <v>0</v>
      </c>
    </row>
    <row r="130" spans="5:20" x14ac:dyDescent="0.25">
      <c r="E130" s="2" t="str">
        <f t="shared" si="16"/>
        <v>0</v>
      </c>
      <c r="F130" s="2" t="str">
        <f t="shared" si="17"/>
        <v>0</v>
      </c>
      <c r="G130" s="2" t="str">
        <f t="shared" si="18"/>
        <v>0</v>
      </c>
      <c r="H130" s="2" t="str">
        <f t="shared" si="19"/>
        <v>0</v>
      </c>
      <c r="I130" s="2" t="str">
        <f t="shared" si="20"/>
        <v>0</v>
      </c>
      <c r="J130" s="2" t="str">
        <f t="shared" si="21"/>
        <v>0</v>
      </c>
      <c r="K130" s="2" t="str">
        <f t="shared" si="22"/>
        <v>0</v>
      </c>
      <c r="L130" s="2" t="str">
        <f t="shared" si="23"/>
        <v>0</v>
      </c>
      <c r="M130" s="2" t="str">
        <f t="shared" si="24"/>
        <v>0</v>
      </c>
      <c r="N130" s="2" t="str">
        <f t="shared" si="25"/>
        <v>0</v>
      </c>
      <c r="O130" s="2" t="str">
        <f t="shared" si="26"/>
        <v>0</v>
      </c>
      <c r="P130" s="2" t="str">
        <f t="shared" si="27"/>
        <v>0</v>
      </c>
      <c r="Q130" s="2" t="str">
        <f t="shared" si="28"/>
        <v>0</v>
      </c>
      <c r="R130" s="2" t="str">
        <f t="shared" si="29"/>
        <v>0</v>
      </c>
      <c r="S130" s="2" t="str">
        <f t="shared" si="30"/>
        <v>0</v>
      </c>
      <c r="T130" s="2" t="str">
        <f t="shared" si="31"/>
        <v>0</v>
      </c>
    </row>
    <row r="131" spans="5:20" x14ac:dyDescent="0.25">
      <c r="E131" s="2" t="str">
        <f t="shared" si="16"/>
        <v>0</v>
      </c>
      <c r="F131" s="2" t="str">
        <f t="shared" si="17"/>
        <v>0</v>
      </c>
      <c r="G131" s="2" t="str">
        <f t="shared" si="18"/>
        <v>0</v>
      </c>
      <c r="H131" s="2" t="str">
        <f t="shared" si="19"/>
        <v>0</v>
      </c>
      <c r="I131" s="2" t="str">
        <f t="shared" si="20"/>
        <v>0</v>
      </c>
      <c r="J131" s="2" t="str">
        <f t="shared" si="21"/>
        <v>0</v>
      </c>
      <c r="K131" s="2" t="str">
        <f t="shared" si="22"/>
        <v>0</v>
      </c>
      <c r="L131" s="2" t="str">
        <f t="shared" si="23"/>
        <v>0</v>
      </c>
      <c r="M131" s="2" t="str">
        <f t="shared" si="24"/>
        <v>0</v>
      </c>
      <c r="N131" s="2" t="str">
        <f t="shared" si="25"/>
        <v>0</v>
      </c>
      <c r="O131" s="2" t="str">
        <f t="shared" si="26"/>
        <v>0</v>
      </c>
      <c r="P131" s="2" t="str">
        <f t="shared" si="27"/>
        <v>0</v>
      </c>
      <c r="Q131" s="2" t="str">
        <f t="shared" si="28"/>
        <v>0</v>
      </c>
      <c r="R131" s="2" t="str">
        <f t="shared" si="29"/>
        <v>0</v>
      </c>
      <c r="S131" s="2" t="str">
        <f t="shared" si="30"/>
        <v>0</v>
      </c>
      <c r="T131" s="2" t="str">
        <f t="shared" si="31"/>
        <v>0</v>
      </c>
    </row>
    <row r="132" spans="5:20" x14ac:dyDescent="0.25">
      <c r="E132" s="16">
        <f>SUM(E44:E131)</f>
        <v>8.68</v>
      </c>
      <c r="F132" s="16">
        <f t="shared" ref="F132:T132" si="32">SUM(F44:F131)</f>
        <v>0</v>
      </c>
      <c r="G132" s="16">
        <f t="shared" si="32"/>
        <v>28.26</v>
      </c>
      <c r="H132" s="16">
        <f t="shared" si="32"/>
        <v>0</v>
      </c>
      <c r="I132" s="16">
        <f t="shared" si="32"/>
        <v>0</v>
      </c>
      <c r="J132" s="16">
        <f t="shared" si="32"/>
        <v>36.94</v>
      </c>
      <c r="K132" s="16">
        <f t="shared" si="32"/>
        <v>0</v>
      </c>
      <c r="L132" s="16">
        <f t="shared" si="32"/>
        <v>36.94</v>
      </c>
      <c r="M132" s="16">
        <f t="shared" si="32"/>
        <v>0</v>
      </c>
      <c r="N132" s="16">
        <f t="shared" si="32"/>
        <v>0</v>
      </c>
      <c r="O132" s="16">
        <f t="shared" si="32"/>
        <v>0</v>
      </c>
      <c r="P132" s="16">
        <f t="shared" si="32"/>
        <v>36.94</v>
      </c>
      <c r="Q132" s="16">
        <f t="shared" si="32"/>
        <v>0</v>
      </c>
      <c r="R132" s="16">
        <f t="shared" si="32"/>
        <v>0</v>
      </c>
      <c r="S132" s="16">
        <f t="shared" si="32"/>
        <v>36.94</v>
      </c>
      <c r="T132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7:F37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32D1-1268-42BA-BE8E-79D253E9FD3B}">
  <dimension ref="A1:AN127"/>
  <sheetViews>
    <sheetView view="pageBreakPreview" zoomScale="70" zoomScaleNormal="70" zoomScaleSheetLayoutView="70" workbookViewId="0">
      <pane ySplit="6" topLeftCell="A7" activePane="bottomLeft" state="frozen"/>
      <selection activeCell="J2" sqref="J2:K2"/>
      <selection pane="bottomLeft" activeCell="J9" sqref="J9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'T.T.'!C8</f>
        <v>RODOVIA TO-050 - TRECHO ARRAIAS - DIVISA TO-GO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99</v>
      </c>
      <c r="B7" s="40" t="s">
        <v>181</v>
      </c>
      <c r="C7" s="47">
        <v>0</v>
      </c>
      <c r="D7" s="47">
        <v>4.9800000000000004</v>
      </c>
      <c r="E7" s="40"/>
      <c r="F7" s="40" t="s">
        <v>168</v>
      </c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 t="s">
        <v>168</v>
      </c>
      <c r="Q7" s="40"/>
      <c r="R7" s="40" t="s">
        <v>168</v>
      </c>
      <c r="S7" s="40"/>
      <c r="T7" s="40"/>
      <c r="U7" s="47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 t="s">
        <v>101</v>
      </c>
      <c r="B8" s="40" t="s">
        <v>181</v>
      </c>
      <c r="C8" s="47">
        <v>0</v>
      </c>
      <c r="D8" s="47">
        <v>1.86</v>
      </c>
      <c r="E8" s="40" t="s">
        <v>168</v>
      </c>
      <c r="F8" s="40"/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 t="s">
        <v>168</v>
      </c>
      <c r="Q8" s="40"/>
      <c r="R8" s="40" t="s">
        <v>168</v>
      </c>
      <c r="S8" s="40"/>
      <c r="T8" s="40"/>
      <c r="U8" s="44"/>
    </row>
    <row r="9" spans="1:40" ht="36" customHeight="1" x14ac:dyDescent="0.25">
      <c r="A9" s="40" t="s">
        <v>103</v>
      </c>
      <c r="B9" s="40" t="s">
        <v>188</v>
      </c>
      <c r="C9" s="47">
        <v>0</v>
      </c>
      <c r="D9" s="47">
        <v>8.5</v>
      </c>
      <c r="E9" s="40"/>
      <c r="F9" s="40" t="s">
        <v>168</v>
      </c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 t="s">
        <v>168</v>
      </c>
      <c r="S9" s="40"/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/>
      <c r="D10" s="47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/>
      <c r="D11" s="47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/>
      <c r="D12" s="47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8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8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8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8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8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4.9800000000000004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4.9800000000000004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4.9800000000000004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4.9800000000000004</v>
      </c>
      <c r="Q39" s="2" t="str">
        <f>IF(Q7="X",(D7-C7),"0")</f>
        <v>0</v>
      </c>
      <c r="R39" s="2">
        <f>IF(R7="X",(D7-C7),"0")</f>
        <v>4.9800000000000004</v>
      </c>
      <c r="S39" s="2" t="str">
        <f>IF(S7="X",(D7-C7),"0")</f>
        <v>0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1.86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1.86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1.86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1.86</v>
      </c>
      <c r="Q40" s="2" t="str">
        <f t="shared" ref="Q40:Q103" si="12">IF(Q8="X",(D8-C8),"0")</f>
        <v>0</v>
      </c>
      <c r="R40" s="2">
        <f t="shared" ref="R40:R103" si="13">IF(R8="X",(D8-C8),"0")</f>
        <v>1.86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>
        <f t="shared" si="1"/>
        <v>8.5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8.5</v>
      </c>
      <c r="K41" s="2" t="str">
        <f t="shared" si="6"/>
        <v>0</v>
      </c>
      <c r="L41" s="2" t="str">
        <f t="shared" si="7"/>
        <v>0</v>
      </c>
      <c r="M41" s="2">
        <f t="shared" si="8"/>
        <v>8.5</v>
      </c>
      <c r="N41" s="2" t="str">
        <f t="shared" si="9"/>
        <v>0</v>
      </c>
      <c r="O41" s="2" t="str">
        <f t="shared" si="10"/>
        <v>0</v>
      </c>
      <c r="P41" s="2">
        <f t="shared" si="11"/>
        <v>8.5</v>
      </c>
      <c r="Q41" s="2" t="str">
        <f t="shared" si="12"/>
        <v>0</v>
      </c>
      <c r="R41" s="2">
        <f t="shared" si="13"/>
        <v>8.5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1.86</v>
      </c>
      <c r="F127" s="16">
        <f t="shared" ref="F127:T127" si="32">SUM(F39:F126)</f>
        <v>13.48</v>
      </c>
      <c r="G127" s="16">
        <f t="shared" si="32"/>
        <v>0</v>
      </c>
      <c r="H127" s="16">
        <f t="shared" si="32"/>
        <v>0</v>
      </c>
      <c r="I127" s="16">
        <f t="shared" si="32"/>
        <v>0</v>
      </c>
      <c r="J127" s="16">
        <f t="shared" si="32"/>
        <v>15.34</v>
      </c>
      <c r="K127" s="16">
        <f t="shared" si="32"/>
        <v>0</v>
      </c>
      <c r="L127" s="16">
        <f t="shared" si="32"/>
        <v>0</v>
      </c>
      <c r="M127" s="16">
        <f t="shared" si="32"/>
        <v>15.34</v>
      </c>
      <c r="N127" s="16">
        <f t="shared" si="32"/>
        <v>0</v>
      </c>
      <c r="O127" s="16">
        <f t="shared" si="32"/>
        <v>0</v>
      </c>
      <c r="P127" s="16">
        <f t="shared" si="32"/>
        <v>15.34</v>
      </c>
      <c r="Q127" s="16">
        <f t="shared" si="32"/>
        <v>0</v>
      </c>
      <c r="R127" s="16">
        <f t="shared" si="32"/>
        <v>15.34</v>
      </c>
      <c r="S127" s="16">
        <f t="shared" si="32"/>
        <v>0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honeticPr fontId="16" type="noConversion"/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67AB-F170-43FA-BADF-D642650BBE84}">
  <dimension ref="A1:AN127"/>
  <sheetViews>
    <sheetView view="pageBreakPreview" zoomScale="55" zoomScaleNormal="70" zoomScaleSheetLayoutView="55" workbookViewId="0">
      <pane ySplit="6" topLeftCell="A16" activePane="bottomLeft" state="frozen"/>
      <selection activeCell="J2" sqref="J2:K2"/>
      <selection pane="bottomLeft" activeCell="G29" sqref="G29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'T.T.'!C9</f>
        <v>RODOVIA TO-050 - TRECHO CONCEIÇÃO DO TOCANTINS - ARRAIAS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105</v>
      </c>
      <c r="B7" s="40" t="s">
        <v>181</v>
      </c>
      <c r="C7" s="47">
        <v>0</v>
      </c>
      <c r="D7" s="47">
        <v>10</v>
      </c>
      <c r="E7" s="40" t="s">
        <v>168</v>
      </c>
      <c r="F7" s="40"/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 t="s">
        <v>168</v>
      </c>
      <c r="Q7" s="40"/>
      <c r="R7" s="40"/>
      <c r="S7" s="40" t="s">
        <v>168</v>
      </c>
      <c r="T7" s="40"/>
      <c r="U7" s="47" t="s">
        <v>189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10</v>
      </c>
      <c r="D8" s="47">
        <v>11</v>
      </c>
      <c r="E8" s="40"/>
      <c r="F8" s="40" t="s">
        <v>168</v>
      </c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 t="s">
        <v>168</v>
      </c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v>11</v>
      </c>
      <c r="D9" s="47">
        <v>19</v>
      </c>
      <c r="E9" s="40" t="s">
        <v>168</v>
      </c>
      <c r="F9" s="40"/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19</v>
      </c>
      <c r="D10" s="47">
        <v>20</v>
      </c>
      <c r="E10" s="40"/>
      <c r="F10" s="40"/>
      <c r="G10" s="40" t="s">
        <v>168</v>
      </c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20</v>
      </c>
      <c r="D11" s="47">
        <v>30</v>
      </c>
      <c r="E11" s="40" t="s">
        <v>168</v>
      </c>
      <c r="F11" s="40"/>
      <c r="G11" s="40"/>
      <c r="H11" s="40"/>
      <c r="I11" s="40"/>
      <c r="J11" s="40" t="s">
        <v>168</v>
      </c>
      <c r="K11" s="40"/>
      <c r="L11" s="40"/>
      <c r="M11" s="40" t="s">
        <v>168</v>
      </c>
      <c r="N11" s="40"/>
      <c r="O11" s="40"/>
      <c r="P11" s="40" t="s">
        <v>168</v>
      </c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30</v>
      </c>
      <c r="D12" s="47">
        <v>33.950000000000003</v>
      </c>
      <c r="E12" s="40"/>
      <c r="F12" s="40" t="s">
        <v>168</v>
      </c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 t="s">
        <v>107</v>
      </c>
      <c r="B13" s="40" t="s">
        <v>181</v>
      </c>
      <c r="C13" s="47">
        <v>0</v>
      </c>
      <c r="D13" s="47">
        <v>15</v>
      </c>
      <c r="E13" s="40" t="s">
        <v>168</v>
      </c>
      <c r="F13" s="40"/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/>
      <c r="P13" s="40" t="s">
        <v>168</v>
      </c>
      <c r="Q13" s="40"/>
      <c r="R13" s="40"/>
      <c r="S13" s="40" t="s">
        <v>168</v>
      </c>
      <c r="T13" s="40"/>
      <c r="U13" s="44" t="s">
        <v>190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15</v>
      </c>
      <c r="D14" s="47">
        <v>23</v>
      </c>
      <c r="E14" s="40"/>
      <c r="F14" s="40" t="s">
        <v>168</v>
      </c>
      <c r="G14" s="40"/>
      <c r="H14" s="40"/>
      <c r="I14" s="40"/>
      <c r="J14" s="40" t="s">
        <v>168</v>
      </c>
      <c r="K14" s="40"/>
      <c r="L14" s="40"/>
      <c r="M14" s="40"/>
      <c r="N14" s="40" t="s">
        <v>168</v>
      </c>
      <c r="O14" s="40"/>
      <c r="P14" s="40" t="s">
        <v>168</v>
      </c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v>23</v>
      </c>
      <c r="D15" s="47">
        <v>26</v>
      </c>
      <c r="E15" s="40" t="s">
        <v>168</v>
      </c>
      <c r="F15" s="40"/>
      <c r="G15" s="40"/>
      <c r="H15" s="40"/>
      <c r="I15" s="40"/>
      <c r="J15" s="40" t="s">
        <v>168</v>
      </c>
      <c r="K15" s="40"/>
      <c r="L15" s="40"/>
      <c r="M15" s="40" t="s">
        <v>168</v>
      </c>
      <c r="N15" s="40"/>
      <c r="O15" s="40"/>
      <c r="P15" s="40" t="s">
        <v>168</v>
      </c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>
        <v>26</v>
      </c>
      <c r="D16" s="47">
        <v>42</v>
      </c>
      <c r="E16" s="40"/>
      <c r="F16" s="40"/>
      <c r="G16" s="40" t="s">
        <v>168</v>
      </c>
      <c r="H16" s="40"/>
      <c r="I16" s="40"/>
      <c r="J16" s="40" t="s">
        <v>168</v>
      </c>
      <c r="K16" s="40"/>
      <c r="L16" s="40"/>
      <c r="M16" s="40" t="s">
        <v>168</v>
      </c>
      <c r="N16" s="40"/>
      <c r="O16" s="40"/>
      <c r="P16" s="40" t="s">
        <v>168</v>
      </c>
      <c r="Q16" s="40"/>
      <c r="R16" s="40"/>
      <c r="S16" s="40" t="s">
        <v>168</v>
      </c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>
        <v>42</v>
      </c>
      <c r="D17" s="47">
        <v>47.95</v>
      </c>
      <c r="E17" s="40"/>
      <c r="F17" s="40" t="s">
        <v>168</v>
      </c>
      <c r="G17" s="40"/>
      <c r="H17" s="40"/>
      <c r="I17" s="40"/>
      <c r="J17" s="40" t="s">
        <v>168</v>
      </c>
      <c r="K17" s="40"/>
      <c r="L17" s="40"/>
      <c r="M17" s="40" t="s">
        <v>168</v>
      </c>
      <c r="N17" s="40"/>
      <c r="O17" s="40"/>
      <c r="P17" s="40" t="s">
        <v>168</v>
      </c>
      <c r="Q17" s="40"/>
      <c r="R17" s="40"/>
      <c r="S17" s="40" t="s">
        <v>168</v>
      </c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 t="s">
        <v>109</v>
      </c>
      <c r="B18" s="40" t="s">
        <v>181</v>
      </c>
      <c r="C18" s="47">
        <v>0</v>
      </c>
      <c r="D18" s="47">
        <v>3</v>
      </c>
      <c r="E18" s="40" t="s">
        <v>168</v>
      </c>
      <c r="F18" s="40"/>
      <c r="G18" s="40"/>
      <c r="H18" s="40"/>
      <c r="I18" s="40"/>
      <c r="J18" s="40" t="s">
        <v>168</v>
      </c>
      <c r="K18" s="40"/>
      <c r="L18" s="40"/>
      <c r="M18" s="40" t="s">
        <v>168</v>
      </c>
      <c r="N18" s="40"/>
      <c r="O18" s="40"/>
      <c r="P18" s="40" t="s">
        <v>168</v>
      </c>
      <c r="Q18" s="40"/>
      <c r="R18" s="40"/>
      <c r="S18" s="40" t="s">
        <v>168</v>
      </c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>
        <v>3</v>
      </c>
      <c r="D19" s="47">
        <v>5</v>
      </c>
      <c r="E19" s="40"/>
      <c r="F19" s="40" t="s">
        <v>168</v>
      </c>
      <c r="G19" s="40"/>
      <c r="H19" s="40"/>
      <c r="I19" s="40"/>
      <c r="J19" s="40" t="s">
        <v>168</v>
      </c>
      <c r="K19" s="40"/>
      <c r="L19" s="40"/>
      <c r="M19" s="40" t="s">
        <v>168</v>
      </c>
      <c r="N19" s="40"/>
      <c r="O19" s="40"/>
      <c r="P19" s="40" t="s">
        <v>168</v>
      </c>
      <c r="Q19" s="40"/>
      <c r="R19" s="40"/>
      <c r="S19" s="40" t="s">
        <v>168</v>
      </c>
      <c r="T19" s="40"/>
      <c r="U19" s="47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>
        <v>5</v>
      </c>
      <c r="D20" s="47">
        <v>7</v>
      </c>
      <c r="E20" s="40" t="s">
        <v>168</v>
      </c>
      <c r="F20" s="40"/>
      <c r="G20" s="40"/>
      <c r="H20" s="40"/>
      <c r="I20" s="40"/>
      <c r="J20" s="40" t="s">
        <v>168</v>
      </c>
      <c r="K20" s="40"/>
      <c r="L20" s="40"/>
      <c r="M20" s="40" t="s">
        <v>168</v>
      </c>
      <c r="N20" s="40"/>
      <c r="O20" s="40"/>
      <c r="P20" s="40" t="s">
        <v>168</v>
      </c>
      <c r="Q20" s="40"/>
      <c r="R20" s="40"/>
      <c r="S20" s="40" t="s">
        <v>168</v>
      </c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>
        <v>7</v>
      </c>
      <c r="D21" s="47">
        <v>10</v>
      </c>
      <c r="E21" s="40"/>
      <c r="F21" s="40"/>
      <c r="G21" s="40" t="s">
        <v>168</v>
      </c>
      <c r="H21" s="40"/>
      <c r="I21" s="40"/>
      <c r="J21" s="40" t="s">
        <v>168</v>
      </c>
      <c r="K21" s="40"/>
      <c r="L21" s="40"/>
      <c r="M21" s="40" t="s">
        <v>168</v>
      </c>
      <c r="N21" s="40"/>
      <c r="O21" s="40"/>
      <c r="P21" s="40" t="s">
        <v>168</v>
      </c>
      <c r="Q21" s="40"/>
      <c r="R21" s="40"/>
      <c r="S21" s="40" t="s">
        <v>168</v>
      </c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>
        <v>10</v>
      </c>
      <c r="D22" s="47">
        <v>15</v>
      </c>
      <c r="E22" s="40" t="s">
        <v>168</v>
      </c>
      <c r="F22" s="40"/>
      <c r="G22" s="40"/>
      <c r="H22" s="40"/>
      <c r="I22" s="40"/>
      <c r="J22" s="40" t="s">
        <v>168</v>
      </c>
      <c r="K22" s="40"/>
      <c r="L22" s="40"/>
      <c r="M22" s="40" t="s">
        <v>168</v>
      </c>
      <c r="N22" s="40"/>
      <c r="O22" s="40"/>
      <c r="P22" s="40" t="s">
        <v>168</v>
      </c>
      <c r="Q22" s="40"/>
      <c r="R22" s="40"/>
      <c r="S22" s="40" t="s">
        <v>168</v>
      </c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>
        <v>15</v>
      </c>
      <c r="D23" s="47">
        <v>18.96</v>
      </c>
      <c r="E23" s="40"/>
      <c r="F23" s="40" t="s">
        <v>168</v>
      </c>
      <c r="G23" s="40"/>
      <c r="H23" s="40"/>
      <c r="I23" s="40"/>
      <c r="J23" s="40" t="s">
        <v>168</v>
      </c>
      <c r="K23" s="40"/>
      <c r="L23" s="40"/>
      <c r="M23" s="40" t="s">
        <v>168</v>
      </c>
      <c r="N23" s="40"/>
      <c r="O23" s="40"/>
      <c r="P23" s="40" t="s">
        <v>168</v>
      </c>
      <c r="Q23" s="40"/>
      <c r="R23" s="40"/>
      <c r="S23" s="40" t="s">
        <v>168</v>
      </c>
      <c r="T23" s="40"/>
      <c r="U23" s="47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 t="s">
        <v>111</v>
      </c>
      <c r="B24" s="40" t="s">
        <v>181</v>
      </c>
      <c r="C24" s="47">
        <v>0</v>
      </c>
      <c r="D24" s="47">
        <v>3.65</v>
      </c>
      <c r="E24" s="40" t="s">
        <v>168</v>
      </c>
      <c r="F24" s="40"/>
      <c r="G24" s="40"/>
      <c r="H24" s="40"/>
      <c r="I24" s="40"/>
      <c r="J24" s="40" t="s">
        <v>168</v>
      </c>
      <c r="K24" s="40"/>
      <c r="L24" s="40" t="s">
        <v>168</v>
      </c>
      <c r="M24" s="40"/>
      <c r="N24" s="40"/>
      <c r="O24" s="40"/>
      <c r="P24" s="40" t="s">
        <v>168</v>
      </c>
      <c r="Q24" s="40"/>
      <c r="R24" s="40" t="s">
        <v>168</v>
      </c>
      <c r="S24" s="40"/>
      <c r="T24" s="40"/>
      <c r="U24" s="44" t="s">
        <v>191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7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10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10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10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10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10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>
        <f t="shared" ref="F40:F103" si="1">IF(F8="X",(D8-C8),"0")</f>
        <v>1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1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1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1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1</v>
      </c>
      <c r="T40" s="2" t="str">
        <f t="shared" ref="T40:T103" si="15">IF(T8="X",(D8-C8),"0")</f>
        <v>0</v>
      </c>
    </row>
    <row r="41" spans="1:20" x14ac:dyDescent="0.25">
      <c r="E41" s="2">
        <f t="shared" si="0"/>
        <v>8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8</v>
      </c>
      <c r="K41" s="2" t="str">
        <f t="shared" si="6"/>
        <v>0</v>
      </c>
      <c r="L41" s="2" t="str">
        <f t="shared" si="7"/>
        <v>0</v>
      </c>
      <c r="M41" s="2">
        <f t="shared" si="8"/>
        <v>8</v>
      </c>
      <c r="N41" s="2" t="str">
        <f t="shared" si="9"/>
        <v>0</v>
      </c>
      <c r="O41" s="2" t="str">
        <f t="shared" si="10"/>
        <v>0</v>
      </c>
      <c r="P41" s="2">
        <f t="shared" si="11"/>
        <v>8</v>
      </c>
      <c r="Q41" s="2" t="str">
        <f t="shared" si="12"/>
        <v>0</v>
      </c>
      <c r="R41" s="2" t="str">
        <f t="shared" si="13"/>
        <v>0</v>
      </c>
      <c r="S41" s="2">
        <f t="shared" si="14"/>
        <v>8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>
        <f t="shared" si="2"/>
        <v>1</v>
      </c>
      <c r="H42" s="2" t="str">
        <f t="shared" si="3"/>
        <v>0</v>
      </c>
      <c r="I42" s="2" t="str">
        <f t="shared" si="4"/>
        <v>0</v>
      </c>
      <c r="J42" s="2">
        <f t="shared" si="5"/>
        <v>1</v>
      </c>
      <c r="K42" s="2" t="str">
        <f t="shared" si="6"/>
        <v>0</v>
      </c>
      <c r="L42" s="2" t="str">
        <f t="shared" si="7"/>
        <v>0</v>
      </c>
      <c r="M42" s="2">
        <f t="shared" si="8"/>
        <v>1</v>
      </c>
      <c r="N42" s="2" t="str">
        <f t="shared" si="9"/>
        <v>0</v>
      </c>
      <c r="O42" s="2" t="str">
        <f t="shared" si="10"/>
        <v>0</v>
      </c>
      <c r="P42" s="2">
        <f t="shared" si="11"/>
        <v>1</v>
      </c>
      <c r="Q42" s="2" t="str">
        <f t="shared" si="12"/>
        <v>0</v>
      </c>
      <c r="R42" s="2" t="str">
        <f t="shared" si="13"/>
        <v>0</v>
      </c>
      <c r="S42" s="2">
        <f t="shared" si="14"/>
        <v>1</v>
      </c>
      <c r="T42" s="2" t="str">
        <f t="shared" si="15"/>
        <v>0</v>
      </c>
    </row>
    <row r="43" spans="1:20" x14ac:dyDescent="0.25">
      <c r="E43" s="2">
        <f t="shared" si="0"/>
        <v>10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10</v>
      </c>
      <c r="K43" s="2" t="str">
        <f t="shared" si="6"/>
        <v>0</v>
      </c>
      <c r="L43" s="2" t="str">
        <f t="shared" si="7"/>
        <v>0</v>
      </c>
      <c r="M43" s="2">
        <f t="shared" si="8"/>
        <v>10</v>
      </c>
      <c r="N43" s="2" t="str">
        <f t="shared" si="9"/>
        <v>0</v>
      </c>
      <c r="O43" s="2" t="str">
        <f t="shared" si="10"/>
        <v>0</v>
      </c>
      <c r="P43" s="2">
        <f t="shared" si="11"/>
        <v>10</v>
      </c>
      <c r="Q43" s="2" t="str">
        <f t="shared" si="12"/>
        <v>0</v>
      </c>
      <c r="R43" s="2" t="str">
        <f t="shared" si="13"/>
        <v>0</v>
      </c>
      <c r="S43" s="2">
        <f t="shared" si="14"/>
        <v>10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>
        <f t="shared" si="1"/>
        <v>3.9500000000000028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3.9500000000000028</v>
      </c>
      <c r="K44" s="2" t="str">
        <f t="shared" si="6"/>
        <v>0</v>
      </c>
      <c r="L44" s="2" t="str">
        <f t="shared" si="7"/>
        <v>0</v>
      </c>
      <c r="M44" s="2">
        <f t="shared" si="8"/>
        <v>3.9500000000000028</v>
      </c>
      <c r="N44" s="2" t="str">
        <f t="shared" si="9"/>
        <v>0</v>
      </c>
      <c r="O44" s="2" t="str">
        <f t="shared" si="10"/>
        <v>0</v>
      </c>
      <c r="P44" s="2">
        <f t="shared" si="11"/>
        <v>3.9500000000000028</v>
      </c>
      <c r="Q44" s="2" t="str">
        <f t="shared" si="12"/>
        <v>0</v>
      </c>
      <c r="R44" s="2" t="str">
        <f t="shared" si="13"/>
        <v>0</v>
      </c>
      <c r="S44" s="2">
        <f t="shared" si="14"/>
        <v>3.9500000000000028</v>
      </c>
      <c r="T44" s="2" t="str">
        <f t="shared" si="15"/>
        <v>0</v>
      </c>
    </row>
    <row r="45" spans="1:20" x14ac:dyDescent="0.25">
      <c r="E45" s="2">
        <f t="shared" si="0"/>
        <v>15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15</v>
      </c>
      <c r="K45" s="2" t="str">
        <f t="shared" si="6"/>
        <v>0</v>
      </c>
      <c r="L45" s="2" t="str">
        <f t="shared" si="7"/>
        <v>0</v>
      </c>
      <c r="M45" s="2">
        <f t="shared" si="8"/>
        <v>15</v>
      </c>
      <c r="N45" s="2" t="str">
        <f t="shared" si="9"/>
        <v>0</v>
      </c>
      <c r="O45" s="2" t="str">
        <f t="shared" si="10"/>
        <v>0</v>
      </c>
      <c r="P45" s="2">
        <f t="shared" si="11"/>
        <v>15</v>
      </c>
      <c r="Q45" s="2" t="str">
        <f t="shared" si="12"/>
        <v>0</v>
      </c>
      <c r="R45" s="2" t="str">
        <f t="shared" si="13"/>
        <v>0</v>
      </c>
      <c r="S45" s="2">
        <f t="shared" si="14"/>
        <v>15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>
        <f t="shared" si="1"/>
        <v>8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8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>
        <f t="shared" si="9"/>
        <v>8</v>
      </c>
      <c r="O46" s="2" t="str">
        <f t="shared" si="10"/>
        <v>0</v>
      </c>
      <c r="P46" s="2">
        <f t="shared" si="11"/>
        <v>8</v>
      </c>
      <c r="Q46" s="2" t="str">
        <f t="shared" si="12"/>
        <v>0</v>
      </c>
      <c r="R46" s="2" t="str">
        <f t="shared" si="13"/>
        <v>0</v>
      </c>
      <c r="S46" s="2">
        <f t="shared" si="14"/>
        <v>8</v>
      </c>
      <c r="T46" s="2" t="str">
        <f t="shared" si="15"/>
        <v>0</v>
      </c>
    </row>
    <row r="47" spans="1:20" x14ac:dyDescent="0.25">
      <c r="E47" s="2">
        <f t="shared" si="0"/>
        <v>3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>
        <f t="shared" si="5"/>
        <v>3</v>
      </c>
      <c r="K47" s="2" t="str">
        <f t="shared" si="6"/>
        <v>0</v>
      </c>
      <c r="L47" s="2" t="str">
        <f t="shared" si="7"/>
        <v>0</v>
      </c>
      <c r="M47" s="2">
        <f t="shared" si="8"/>
        <v>3</v>
      </c>
      <c r="N47" s="2" t="str">
        <f t="shared" si="9"/>
        <v>0</v>
      </c>
      <c r="O47" s="2" t="str">
        <f t="shared" si="10"/>
        <v>0</v>
      </c>
      <c r="P47" s="2">
        <f t="shared" si="11"/>
        <v>3</v>
      </c>
      <c r="Q47" s="2" t="str">
        <f t="shared" si="12"/>
        <v>0</v>
      </c>
      <c r="R47" s="2" t="str">
        <f t="shared" si="13"/>
        <v>0</v>
      </c>
      <c r="S47" s="2">
        <f t="shared" si="14"/>
        <v>3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>
        <f t="shared" si="2"/>
        <v>16</v>
      </c>
      <c r="H48" s="2" t="str">
        <f t="shared" si="3"/>
        <v>0</v>
      </c>
      <c r="I48" s="2" t="str">
        <f t="shared" si="4"/>
        <v>0</v>
      </c>
      <c r="J48" s="2">
        <f t="shared" si="5"/>
        <v>16</v>
      </c>
      <c r="K48" s="2" t="str">
        <f t="shared" si="6"/>
        <v>0</v>
      </c>
      <c r="L48" s="2" t="str">
        <f t="shared" si="7"/>
        <v>0</v>
      </c>
      <c r="M48" s="2">
        <f t="shared" si="8"/>
        <v>16</v>
      </c>
      <c r="N48" s="2" t="str">
        <f t="shared" si="9"/>
        <v>0</v>
      </c>
      <c r="O48" s="2" t="str">
        <f t="shared" si="10"/>
        <v>0</v>
      </c>
      <c r="P48" s="2">
        <f t="shared" si="11"/>
        <v>16</v>
      </c>
      <c r="Q48" s="2" t="str">
        <f t="shared" si="12"/>
        <v>0</v>
      </c>
      <c r="R48" s="2" t="str">
        <f t="shared" si="13"/>
        <v>0</v>
      </c>
      <c r="S48" s="2">
        <f t="shared" si="14"/>
        <v>16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>
        <f t="shared" si="1"/>
        <v>5.9500000000000028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5.9500000000000028</v>
      </c>
      <c r="K49" s="2" t="str">
        <f t="shared" si="6"/>
        <v>0</v>
      </c>
      <c r="L49" s="2" t="str">
        <f t="shared" si="7"/>
        <v>0</v>
      </c>
      <c r="M49" s="2">
        <f t="shared" si="8"/>
        <v>5.9500000000000028</v>
      </c>
      <c r="N49" s="2" t="str">
        <f t="shared" si="9"/>
        <v>0</v>
      </c>
      <c r="O49" s="2" t="str">
        <f t="shared" si="10"/>
        <v>0</v>
      </c>
      <c r="P49" s="2">
        <f t="shared" si="11"/>
        <v>5.9500000000000028</v>
      </c>
      <c r="Q49" s="2" t="str">
        <f t="shared" si="12"/>
        <v>0</v>
      </c>
      <c r="R49" s="2" t="str">
        <f t="shared" si="13"/>
        <v>0</v>
      </c>
      <c r="S49" s="2">
        <f t="shared" si="14"/>
        <v>5.9500000000000028</v>
      </c>
      <c r="T49" s="2" t="str">
        <f t="shared" si="15"/>
        <v>0</v>
      </c>
    </row>
    <row r="50" spans="5:20" x14ac:dyDescent="0.25">
      <c r="E50" s="2">
        <f t="shared" si="0"/>
        <v>3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3</v>
      </c>
      <c r="K50" s="2" t="str">
        <f t="shared" si="6"/>
        <v>0</v>
      </c>
      <c r="L50" s="2" t="str">
        <f t="shared" si="7"/>
        <v>0</v>
      </c>
      <c r="M50" s="2">
        <f t="shared" si="8"/>
        <v>3</v>
      </c>
      <c r="N50" s="2" t="str">
        <f t="shared" si="9"/>
        <v>0</v>
      </c>
      <c r="O50" s="2" t="str">
        <f t="shared" si="10"/>
        <v>0</v>
      </c>
      <c r="P50" s="2">
        <f t="shared" si="11"/>
        <v>3</v>
      </c>
      <c r="Q50" s="2" t="str">
        <f t="shared" si="12"/>
        <v>0</v>
      </c>
      <c r="R50" s="2" t="str">
        <f t="shared" si="13"/>
        <v>0</v>
      </c>
      <c r="S50" s="2">
        <f t="shared" si="14"/>
        <v>3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>
        <f t="shared" si="1"/>
        <v>2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2</v>
      </c>
      <c r="K51" s="2" t="str">
        <f t="shared" si="6"/>
        <v>0</v>
      </c>
      <c r="L51" s="2" t="str">
        <f t="shared" si="7"/>
        <v>0</v>
      </c>
      <c r="M51" s="2">
        <f t="shared" si="8"/>
        <v>2</v>
      </c>
      <c r="N51" s="2" t="str">
        <f t="shared" si="9"/>
        <v>0</v>
      </c>
      <c r="O51" s="2" t="str">
        <f t="shared" si="10"/>
        <v>0</v>
      </c>
      <c r="P51" s="2">
        <f t="shared" si="11"/>
        <v>2</v>
      </c>
      <c r="Q51" s="2" t="str">
        <f t="shared" si="12"/>
        <v>0</v>
      </c>
      <c r="R51" s="2" t="str">
        <f t="shared" si="13"/>
        <v>0</v>
      </c>
      <c r="S51" s="2">
        <f t="shared" si="14"/>
        <v>2</v>
      </c>
      <c r="T51" s="2" t="str">
        <f t="shared" si="15"/>
        <v>0</v>
      </c>
    </row>
    <row r="52" spans="5:20" x14ac:dyDescent="0.25">
      <c r="E52" s="2">
        <f t="shared" si="0"/>
        <v>2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>
        <f t="shared" si="5"/>
        <v>2</v>
      </c>
      <c r="K52" s="2" t="str">
        <f t="shared" si="6"/>
        <v>0</v>
      </c>
      <c r="L52" s="2" t="str">
        <f t="shared" si="7"/>
        <v>0</v>
      </c>
      <c r="M52" s="2">
        <f t="shared" si="8"/>
        <v>2</v>
      </c>
      <c r="N52" s="2" t="str">
        <f t="shared" si="9"/>
        <v>0</v>
      </c>
      <c r="O52" s="2" t="str">
        <f t="shared" si="10"/>
        <v>0</v>
      </c>
      <c r="P52" s="2">
        <f t="shared" si="11"/>
        <v>2</v>
      </c>
      <c r="Q52" s="2" t="str">
        <f t="shared" si="12"/>
        <v>0</v>
      </c>
      <c r="R52" s="2" t="str">
        <f t="shared" si="13"/>
        <v>0</v>
      </c>
      <c r="S52" s="2">
        <f t="shared" si="14"/>
        <v>2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>
        <f t="shared" si="2"/>
        <v>3</v>
      </c>
      <c r="H53" s="2" t="str">
        <f t="shared" si="3"/>
        <v>0</v>
      </c>
      <c r="I53" s="2" t="str">
        <f t="shared" si="4"/>
        <v>0</v>
      </c>
      <c r="J53" s="2">
        <f t="shared" si="5"/>
        <v>3</v>
      </c>
      <c r="K53" s="2" t="str">
        <f t="shared" si="6"/>
        <v>0</v>
      </c>
      <c r="L53" s="2" t="str">
        <f t="shared" si="7"/>
        <v>0</v>
      </c>
      <c r="M53" s="2">
        <f t="shared" si="8"/>
        <v>3</v>
      </c>
      <c r="N53" s="2" t="str">
        <f t="shared" si="9"/>
        <v>0</v>
      </c>
      <c r="O53" s="2" t="str">
        <f t="shared" si="10"/>
        <v>0</v>
      </c>
      <c r="P53" s="2">
        <f t="shared" si="11"/>
        <v>3</v>
      </c>
      <c r="Q53" s="2" t="str">
        <f t="shared" si="12"/>
        <v>0</v>
      </c>
      <c r="R53" s="2" t="str">
        <f t="shared" si="13"/>
        <v>0</v>
      </c>
      <c r="S53" s="2">
        <f t="shared" si="14"/>
        <v>3</v>
      </c>
      <c r="T53" s="2" t="str">
        <f t="shared" si="15"/>
        <v>0</v>
      </c>
    </row>
    <row r="54" spans="5:20" x14ac:dyDescent="0.25">
      <c r="E54" s="2">
        <f t="shared" si="0"/>
        <v>5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>
        <f t="shared" si="5"/>
        <v>5</v>
      </c>
      <c r="K54" s="2" t="str">
        <f t="shared" si="6"/>
        <v>0</v>
      </c>
      <c r="L54" s="2" t="str">
        <f t="shared" si="7"/>
        <v>0</v>
      </c>
      <c r="M54" s="2">
        <f t="shared" si="8"/>
        <v>5</v>
      </c>
      <c r="N54" s="2" t="str">
        <f t="shared" si="9"/>
        <v>0</v>
      </c>
      <c r="O54" s="2" t="str">
        <f t="shared" si="10"/>
        <v>0</v>
      </c>
      <c r="P54" s="2">
        <f t="shared" si="11"/>
        <v>5</v>
      </c>
      <c r="Q54" s="2" t="str">
        <f t="shared" si="12"/>
        <v>0</v>
      </c>
      <c r="R54" s="2" t="str">
        <f t="shared" si="13"/>
        <v>0</v>
      </c>
      <c r="S54" s="2">
        <f t="shared" si="14"/>
        <v>5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>
        <f t="shared" si="1"/>
        <v>3.9600000000000009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>
        <f t="shared" si="5"/>
        <v>3.9600000000000009</v>
      </c>
      <c r="K55" s="2" t="str">
        <f t="shared" si="6"/>
        <v>0</v>
      </c>
      <c r="L55" s="2" t="str">
        <f t="shared" si="7"/>
        <v>0</v>
      </c>
      <c r="M55" s="2">
        <f t="shared" si="8"/>
        <v>3.9600000000000009</v>
      </c>
      <c r="N55" s="2" t="str">
        <f t="shared" si="9"/>
        <v>0</v>
      </c>
      <c r="O55" s="2" t="str">
        <f t="shared" si="10"/>
        <v>0</v>
      </c>
      <c r="P55" s="2">
        <f t="shared" si="11"/>
        <v>3.9600000000000009</v>
      </c>
      <c r="Q55" s="2" t="str">
        <f t="shared" si="12"/>
        <v>0</v>
      </c>
      <c r="R55" s="2" t="str">
        <f t="shared" si="13"/>
        <v>0</v>
      </c>
      <c r="S55" s="2">
        <f t="shared" si="14"/>
        <v>3.9600000000000009</v>
      </c>
      <c r="T55" s="2" t="str">
        <f t="shared" si="15"/>
        <v>0</v>
      </c>
    </row>
    <row r="56" spans="5:20" x14ac:dyDescent="0.25">
      <c r="E56" s="2">
        <f t="shared" si="0"/>
        <v>3.65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>
        <f t="shared" si="5"/>
        <v>3.65</v>
      </c>
      <c r="K56" s="2" t="str">
        <f t="shared" si="6"/>
        <v>0</v>
      </c>
      <c r="L56" s="2">
        <f t="shared" si="7"/>
        <v>3.65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>
        <f t="shared" si="11"/>
        <v>3.65</v>
      </c>
      <c r="Q56" s="2" t="str">
        <f t="shared" si="12"/>
        <v>0</v>
      </c>
      <c r="R56" s="2">
        <f t="shared" si="13"/>
        <v>3.65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59.65</v>
      </c>
      <c r="F127" s="16">
        <f t="shared" ref="F127:T127" si="32">SUM(F39:F126)</f>
        <v>24.860000000000007</v>
      </c>
      <c r="G127" s="16">
        <f t="shared" si="32"/>
        <v>20</v>
      </c>
      <c r="H127" s="16">
        <f t="shared" si="32"/>
        <v>0</v>
      </c>
      <c r="I127" s="16">
        <f t="shared" si="32"/>
        <v>0</v>
      </c>
      <c r="J127" s="16">
        <f t="shared" si="32"/>
        <v>104.51000000000002</v>
      </c>
      <c r="K127" s="16">
        <f t="shared" si="32"/>
        <v>0</v>
      </c>
      <c r="L127" s="16">
        <f t="shared" si="32"/>
        <v>3.65</v>
      </c>
      <c r="M127" s="16">
        <f t="shared" si="32"/>
        <v>92.860000000000014</v>
      </c>
      <c r="N127" s="16">
        <f t="shared" si="32"/>
        <v>8</v>
      </c>
      <c r="O127" s="16">
        <f t="shared" si="32"/>
        <v>0</v>
      </c>
      <c r="P127" s="16">
        <f t="shared" si="32"/>
        <v>104.51000000000002</v>
      </c>
      <c r="Q127" s="16">
        <f t="shared" si="32"/>
        <v>0</v>
      </c>
      <c r="R127" s="16">
        <f t="shared" si="32"/>
        <v>3.65</v>
      </c>
      <c r="S127" s="16">
        <f t="shared" si="32"/>
        <v>100.86000000000001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0FED-B488-4978-9CC2-53EC33DE08DF}">
  <sheetPr>
    <tabColor theme="2"/>
  </sheetPr>
  <dimension ref="A1:AN127"/>
  <sheetViews>
    <sheetView view="pageBreakPreview" zoomScale="55" zoomScaleNormal="70" zoomScaleSheetLayoutView="55" workbookViewId="0">
      <pane ySplit="6" topLeftCell="A7" activePane="bottomLeft" state="frozen"/>
      <selection activeCell="J2" sqref="J2:K2"/>
      <selection pane="bottomLeft" activeCell="K7" sqref="K7:K1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'T.T.'!C10</f>
        <v>RODOVIA TO-050 - TRECHO ENTR. BR-010 (POVOADO PRÍNCIPE) - CONCEIÇÃO DO TOCANTINS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25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  <c r="AA5" s="1"/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116</v>
      </c>
      <c r="B7" s="40" t="s">
        <v>167</v>
      </c>
      <c r="C7" s="47">
        <v>0</v>
      </c>
      <c r="D7" s="47">
        <v>8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 t="s">
        <v>168</v>
      </c>
      <c r="M7" s="40"/>
      <c r="N7" s="40" t="s">
        <v>168</v>
      </c>
      <c r="O7" s="40"/>
      <c r="P7" s="40" t="s">
        <v>168</v>
      </c>
      <c r="Q7" s="40"/>
      <c r="R7" s="40"/>
      <c r="S7" s="40" t="s">
        <v>168</v>
      </c>
      <c r="T7" s="40"/>
      <c r="U7" s="4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f>D7</f>
        <v>8</v>
      </c>
      <c r="D8" s="47">
        <v>16</v>
      </c>
      <c r="E8" s="40"/>
      <c r="F8" s="40" t="s">
        <v>168</v>
      </c>
      <c r="G8" s="40"/>
      <c r="H8" s="40"/>
      <c r="I8" s="40"/>
      <c r="J8" s="40" t="s">
        <v>168</v>
      </c>
      <c r="K8" s="40"/>
      <c r="L8" s="40" t="s">
        <v>168</v>
      </c>
      <c r="M8" s="40"/>
      <c r="N8" s="40"/>
      <c r="O8" s="40"/>
      <c r="P8" s="40" t="s">
        <v>168</v>
      </c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f t="shared" ref="C9:C15" si="0">D8</f>
        <v>16</v>
      </c>
      <c r="D9" s="47">
        <v>19</v>
      </c>
      <c r="E9" s="40"/>
      <c r="F9" s="40"/>
      <c r="G9" s="40" t="s">
        <v>168</v>
      </c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f t="shared" si="0"/>
        <v>19</v>
      </c>
      <c r="D10" s="47">
        <v>25</v>
      </c>
      <c r="E10" s="40"/>
      <c r="F10" s="40"/>
      <c r="G10" s="40" t="s">
        <v>168</v>
      </c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7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f t="shared" si="0"/>
        <v>25</v>
      </c>
      <c r="D11" s="47">
        <v>26.4</v>
      </c>
      <c r="E11" s="40"/>
      <c r="F11" s="40"/>
      <c r="G11" s="40" t="s">
        <v>168</v>
      </c>
      <c r="H11" s="40"/>
      <c r="I11" s="40"/>
      <c r="J11" s="40" t="s">
        <v>168</v>
      </c>
      <c r="K11" s="40"/>
      <c r="L11" s="40"/>
      <c r="M11" s="40" t="s">
        <v>168</v>
      </c>
      <c r="N11" s="40"/>
      <c r="O11" s="40"/>
      <c r="P11" s="40" t="s">
        <v>168</v>
      </c>
      <c r="Q11" s="40"/>
      <c r="R11" s="40"/>
      <c r="S11" s="40" t="s">
        <v>168</v>
      </c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f t="shared" si="0"/>
        <v>26.4</v>
      </c>
      <c r="D12" s="47">
        <v>33.4</v>
      </c>
      <c r="E12" s="40"/>
      <c r="F12" s="40" t="s">
        <v>168</v>
      </c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f t="shared" si="0"/>
        <v>33.4</v>
      </c>
      <c r="D13" s="47">
        <v>34</v>
      </c>
      <c r="E13" s="40"/>
      <c r="F13" s="40"/>
      <c r="G13" s="40" t="s">
        <v>168</v>
      </c>
      <c r="H13" s="40"/>
      <c r="I13" s="40"/>
      <c r="J13" s="40" t="s">
        <v>168</v>
      </c>
      <c r="K13" s="40"/>
      <c r="L13" s="40"/>
      <c r="M13" s="40" t="s">
        <v>168</v>
      </c>
      <c r="N13" s="40"/>
      <c r="O13" s="40"/>
      <c r="P13" s="40" t="s">
        <v>168</v>
      </c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f t="shared" si="0"/>
        <v>34</v>
      </c>
      <c r="D14" s="47">
        <v>38</v>
      </c>
      <c r="E14" s="40"/>
      <c r="F14" s="40"/>
      <c r="G14" s="40" t="s">
        <v>168</v>
      </c>
      <c r="H14" s="40"/>
      <c r="I14" s="40"/>
      <c r="J14" s="40" t="s">
        <v>168</v>
      </c>
      <c r="K14" s="40"/>
      <c r="L14" s="40"/>
      <c r="M14" s="40" t="s">
        <v>168</v>
      </c>
      <c r="N14" s="40" t="s">
        <v>168</v>
      </c>
      <c r="O14" s="40"/>
      <c r="P14" s="40" t="s">
        <v>168</v>
      </c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f t="shared" si="0"/>
        <v>38</v>
      </c>
      <c r="D15" s="47">
        <v>45.75</v>
      </c>
      <c r="E15" s="40"/>
      <c r="F15" s="40" t="s">
        <v>168</v>
      </c>
      <c r="G15" s="40"/>
      <c r="H15" s="40"/>
      <c r="I15" s="40"/>
      <c r="J15" s="40" t="s">
        <v>168</v>
      </c>
      <c r="K15" s="40"/>
      <c r="L15" s="40"/>
      <c r="M15" s="40" t="s">
        <v>168</v>
      </c>
      <c r="N15" s="40" t="s">
        <v>168</v>
      </c>
      <c r="O15" s="40"/>
      <c r="P15" s="40" t="s">
        <v>168</v>
      </c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 t="s">
        <v>118</v>
      </c>
      <c r="B16" s="40" t="s">
        <v>181</v>
      </c>
      <c r="C16" s="47">
        <v>0</v>
      </c>
      <c r="D16" s="47">
        <v>5.52</v>
      </c>
      <c r="E16" s="40" t="s">
        <v>168</v>
      </c>
      <c r="F16" s="40"/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/>
      <c r="P16" s="40" t="s">
        <v>168</v>
      </c>
      <c r="Q16" s="40"/>
      <c r="R16" s="40"/>
      <c r="S16" s="40" t="s">
        <v>168</v>
      </c>
      <c r="T16" s="40"/>
      <c r="U16" s="47" t="s">
        <v>192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 t="s">
        <v>113</v>
      </c>
      <c r="B17" s="40" t="s">
        <v>181</v>
      </c>
      <c r="C17" s="47">
        <v>0</v>
      </c>
      <c r="D17" s="47">
        <v>1.4</v>
      </c>
      <c r="E17" s="40" t="s">
        <v>168</v>
      </c>
      <c r="F17" s="40"/>
      <c r="G17" s="40"/>
      <c r="H17" s="40"/>
      <c r="I17" s="40"/>
      <c r="J17" s="40" t="s">
        <v>168</v>
      </c>
      <c r="K17" s="40"/>
      <c r="L17" s="40" t="s">
        <v>168</v>
      </c>
      <c r="M17" s="40"/>
      <c r="N17" s="40"/>
      <c r="O17" s="40"/>
      <c r="P17" s="40" t="s">
        <v>168</v>
      </c>
      <c r="Q17" s="40"/>
      <c r="R17" s="40" t="s">
        <v>168</v>
      </c>
      <c r="S17" s="40"/>
      <c r="T17" s="40"/>
      <c r="U17" s="47" t="s">
        <v>193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7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7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7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7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8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8</v>
      </c>
      <c r="K39" s="2" t="str">
        <f>IF(K7="X",(D7-C7),"0")</f>
        <v>0</v>
      </c>
      <c r="L39" s="2">
        <f>IF(L7="X",(D7-C7),"0")</f>
        <v>8</v>
      </c>
      <c r="M39" s="2" t="str">
        <f>IF(M7="X",(D7-C7),"0")</f>
        <v>0</v>
      </c>
      <c r="N39" s="2">
        <f>IF(N7="X",(D7-C7),"0")</f>
        <v>8</v>
      </c>
      <c r="O39" s="2" t="str">
        <f>IF(O7="X",(D7-C7),"0")</f>
        <v>0</v>
      </c>
      <c r="P39" s="2">
        <f>IF(P7="X",(D7-C7),"0")</f>
        <v>8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8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>
        <f t="shared" ref="F40:F103" si="2">IF(F8="X",(D8-C8),"0")</f>
        <v>8</v>
      </c>
      <c r="G40" s="2" t="str">
        <f t="shared" ref="G40:G103" si="3">IF(G8="X",(D8-C8),"0")</f>
        <v>0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8</v>
      </c>
      <c r="K40" s="2" t="str">
        <f t="shared" ref="K40:K103" si="7">IF(K8="X",(D8-C8),"0")</f>
        <v>0</v>
      </c>
      <c r="L40" s="2">
        <f t="shared" ref="L40:L103" si="8">IF(L8="X",(D8-C8),"0")</f>
        <v>8</v>
      </c>
      <c r="M40" s="2" t="str">
        <f t="shared" ref="M40:M103" si="9">IF(M8="X",(D8-C8),"0")</f>
        <v>0</v>
      </c>
      <c r="N40" s="2" t="str">
        <f t="shared" ref="N40:N103" si="10">IF(N8="X",(D8-C8),"0")</f>
        <v>0</v>
      </c>
      <c r="O40" s="2" t="str">
        <f t="shared" ref="O40:O103" si="11">IF(O8="X",(D8-C8),"0")</f>
        <v>0</v>
      </c>
      <c r="P40" s="2">
        <f t="shared" ref="P40:P103" si="12">IF(P8="X",(D8-C8),"0")</f>
        <v>8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8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>
        <f t="shared" si="3"/>
        <v>3</v>
      </c>
      <c r="H41" s="2" t="str">
        <f t="shared" si="4"/>
        <v>0</v>
      </c>
      <c r="I41" s="2" t="str">
        <f t="shared" si="5"/>
        <v>0</v>
      </c>
      <c r="J41" s="2">
        <f t="shared" si="6"/>
        <v>3</v>
      </c>
      <c r="K41" s="2" t="str">
        <f t="shared" si="7"/>
        <v>0</v>
      </c>
      <c r="L41" s="2" t="str">
        <f t="shared" si="8"/>
        <v>0</v>
      </c>
      <c r="M41" s="2">
        <f t="shared" si="9"/>
        <v>3</v>
      </c>
      <c r="N41" s="2" t="str">
        <f t="shared" si="10"/>
        <v>0</v>
      </c>
      <c r="O41" s="2" t="str">
        <f t="shared" si="11"/>
        <v>0</v>
      </c>
      <c r="P41" s="2">
        <f t="shared" si="12"/>
        <v>3</v>
      </c>
      <c r="Q41" s="2" t="str">
        <f t="shared" si="13"/>
        <v>0</v>
      </c>
      <c r="R41" s="2" t="str">
        <f t="shared" si="14"/>
        <v>0</v>
      </c>
      <c r="S41" s="2">
        <f t="shared" si="15"/>
        <v>3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 t="str">
        <f t="shared" si="2"/>
        <v>0</v>
      </c>
      <c r="G42" s="2">
        <f t="shared" si="3"/>
        <v>6</v>
      </c>
      <c r="H42" s="2" t="str">
        <f t="shared" si="4"/>
        <v>0</v>
      </c>
      <c r="I42" s="2" t="str">
        <f t="shared" si="5"/>
        <v>0</v>
      </c>
      <c r="J42" s="2">
        <f t="shared" si="6"/>
        <v>6</v>
      </c>
      <c r="K42" s="2" t="str">
        <f t="shared" si="7"/>
        <v>0</v>
      </c>
      <c r="L42" s="2" t="str">
        <f t="shared" si="8"/>
        <v>0</v>
      </c>
      <c r="M42" s="2">
        <f t="shared" si="9"/>
        <v>6</v>
      </c>
      <c r="N42" s="2" t="str">
        <f t="shared" si="10"/>
        <v>0</v>
      </c>
      <c r="O42" s="2" t="str">
        <f t="shared" si="11"/>
        <v>0</v>
      </c>
      <c r="P42" s="2">
        <f t="shared" si="12"/>
        <v>6</v>
      </c>
      <c r="Q42" s="2" t="str">
        <f t="shared" si="13"/>
        <v>0</v>
      </c>
      <c r="R42" s="2" t="str">
        <f t="shared" si="14"/>
        <v>0</v>
      </c>
      <c r="S42" s="2">
        <f t="shared" si="15"/>
        <v>6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>
        <f t="shared" si="3"/>
        <v>1.3999999999999986</v>
      </c>
      <c r="H43" s="2" t="str">
        <f t="shared" si="4"/>
        <v>0</v>
      </c>
      <c r="I43" s="2" t="str">
        <f t="shared" si="5"/>
        <v>0</v>
      </c>
      <c r="J43" s="2">
        <f t="shared" si="6"/>
        <v>1.3999999999999986</v>
      </c>
      <c r="K43" s="2" t="str">
        <f t="shared" si="7"/>
        <v>0</v>
      </c>
      <c r="L43" s="2" t="str">
        <f t="shared" si="8"/>
        <v>0</v>
      </c>
      <c r="M43" s="2">
        <f t="shared" si="9"/>
        <v>1.3999999999999986</v>
      </c>
      <c r="N43" s="2" t="str">
        <f t="shared" si="10"/>
        <v>0</v>
      </c>
      <c r="O43" s="2" t="str">
        <f t="shared" si="11"/>
        <v>0</v>
      </c>
      <c r="P43" s="2">
        <f t="shared" si="12"/>
        <v>1.3999999999999986</v>
      </c>
      <c r="Q43" s="2" t="str">
        <f t="shared" si="13"/>
        <v>0</v>
      </c>
      <c r="R43" s="2" t="str">
        <f t="shared" si="14"/>
        <v>0</v>
      </c>
      <c r="S43" s="2">
        <f t="shared" si="15"/>
        <v>1.3999999999999986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>
        <f t="shared" si="2"/>
        <v>7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7</v>
      </c>
      <c r="K44" s="2" t="str">
        <f t="shared" si="7"/>
        <v>0</v>
      </c>
      <c r="L44" s="2" t="str">
        <f t="shared" si="8"/>
        <v>0</v>
      </c>
      <c r="M44" s="2">
        <f t="shared" si="9"/>
        <v>7</v>
      </c>
      <c r="N44" s="2" t="str">
        <f t="shared" si="10"/>
        <v>0</v>
      </c>
      <c r="O44" s="2" t="str">
        <f t="shared" si="11"/>
        <v>0</v>
      </c>
      <c r="P44" s="2">
        <f t="shared" si="12"/>
        <v>7</v>
      </c>
      <c r="Q44" s="2" t="str">
        <f t="shared" si="13"/>
        <v>0</v>
      </c>
      <c r="R44" s="2" t="str">
        <f t="shared" si="14"/>
        <v>0</v>
      </c>
      <c r="S44" s="2">
        <f t="shared" si="15"/>
        <v>7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>
        <f t="shared" si="3"/>
        <v>0.60000000000000142</v>
      </c>
      <c r="H45" s="2" t="str">
        <f t="shared" si="4"/>
        <v>0</v>
      </c>
      <c r="I45" s="2" t="str">
        <f t="shared" si="5"/>
        <v>0</v>
      </c>
      <c r="J45" s="2">
        <f t="shared" si="6"/>
        <v>0.60000000000000142</v>
      </c>
      <c r="K45" s="2" t="str">
        <f t="shared" si="7"/>
        <v>0</v>
      </c>
      <c r="L45" s="2" t="str">
        <f t="shared" si="8"/>
        <v>0</v>
      </c>
      <c r="M45" s="2">
        <f t="shared" si="9"/>
        <v>0.60000000000000142</v>
      </c>
      <c r="N45" s="2" t="str">
        <f t="shared" si="10"/>
        <v>0</v>
      </c>
      <c r="O45" s="2" t="str">
        <f t="shared" si="11"/>
        <v>0</v>
      </c>
      <c r="P45" s="2">
        <f t="shared" si="12"/>
        <v>0.60000000000000142</v>
      </c>
      <c r="Q45" s="2" t="str">
        <f t="shared" si="13"/>
        <v>0</v>
      </c>
      <c r="R45" s="2" t="str">
        <f t="shared" si="14"/>
        <v>0</v>
      </c>
      <c r="S45" s="2">
        <f t="shared" si="15"/>
        <v>0.60000000000000142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 t="str">
        <f t="shared" si="2"/>
        <v>0</v>
      </c>
      <c r="G46" s="2">
        <f t="shared" si="3"/>
        <v>4</v>
      </c>
      <c r="H46" s="2" t="str">
        <f t="shared" si="4"/>
        <v>0</v>
      </c>
      <c r="I46" s="2" t="str">
        <f t="shared" si="5"/>
        <v>0</v>
      </c>
      <c r="J46" s="2">
        <f t="shared" si="6"/>
        <v>4</v>
      </c>
      <c r="K46" s="2" t="str">
        <f t="shared" si="7"/>
        <v>0</v>
      </c>
      <c r="L46" s="2" t="str">
        <f t="shared" si="8"/>
        <v>0</v>
      </c>
      <c r="M46" s="2">
        <f t="shared" si="9"/>
        <v>4</v>
      </c>
      <c r="N46" s="2">
        <f t="shared" si="10"/>
        <v>4</v>
      </c>
      <c r="O46" s="2" t="str">
        <f t="shared" si="11"/>
        <v>0</v>
      </c>
      <c r="P46" s="2">
        <f t="shared" si="12"/>
        <v>4</v>
      </c>
      <c r="Q46" s="2" t="str">
        <f t="shared" si="13"/>
        <v>0</v>
      </c>
      <c r="R46" s="2" t="str">
        <f t="shared" si="14"/>
        <v>0</v>
      </c>
      <c r="S46" s="2">
        <f t="shared" si="15"/>
        <v>4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7.75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7.75</v>
      </c>
      <c r="K47" s="2" t="str">
        <f t="shared" si="7"/>
        <v>0</v>
      </c>
      <c r="L47" s="2" t="str">
        <f t="shared" si="8"/>
        <v>0</v>
      </c>
      <c r="M47" s="2">
        <f t="shared" si="9"/>
        <v>7.75</v>
      </c>
      <c r="N47" s="2">
        <f t="shared" si="10"/>
        <v>7.75</v>
      </c>
      <c r="O47" s="2" t="str">
        <f t="shared" si="11"/>
        <v>0</v>
      </c>
      <c r="P47" s="2">
        <f t="shared" si="12"/>
        <v>7.75</v>
      </c>
      <c r="Q47" s="2" t="str">
        <f t="shared" si="13"/>
        <v>0</v>
      </c>
      <c r="R47" s="2" t="str">
        <f t="shared" si="14"/>
        <v>0</v>
      </c>
      <c r="S47" s="2">
        <f t="shared" si="15"/>
        <v>7.75</v>
      </c>
      <c r="T47" s="2" t="str">
        <f t="shared" si="16"/>
        <v>0</v>
      </c>
    </row>
    <row r="48" spans="1:20" x14ac:dyDescent="0.25">
      <c r="E48" s="2">
        <f t="shared" si="1"/>
        <v>5.52</v>
      </c>
      <c r="F48" s="2" t="str">
        <f t="shared" si="2"/>
        <v>0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>
        <f t="shared" si="6"/>
        <v>5.52</v>
      </c>
      <c r="K48" s="2" t="str">
        <f t="shared" si="7"/>
        <v>0</v>
      </c>
      <c r="L48" s="2" t="str">
        <f t="shared" si="8"/>
        <v>0</v>
      </c>
      <c r="M48" s="2">
        <f t="shared" si="9"/>
        <v>5.52</v>
      </c>
      <c r="N48" s="2" t="str">
        <f t="shared" si="10"/>
        <v>0</v>
      </c>
      <c r="O48" s="2" t="str">
        <f t="shared" si="11"/>
        <v>0</v>
      </c>
      <c r="P48" s="2">
        <f t="shared" si="12"/>
        <v>5.52</v>
      </c>
      <c r="Q48" s="2" t="str">
        <f t="shared" si="13"/>
        <v>0</v>
      </c>
      <c r="R48" s="2" t="str">
        <f t="shared" si="14"/>
        <v>0</v>
      </c>
      <c r="S48" s="2">
        <f t="shared" si="15"/>
        <v>5.52</v>
      </c>
      <c r="T48" s="2" t="str">
        <f t="shared" si="16"/>
        <v>0</v>
      </c>
    </row>
    <row r="49" spans="5:20" x14ac:dyDescent="0.25">
      <c r="E49" s="2">
        <f t="shared" si="1"/>
        <v>1.4</v>
      </c>
      <c r="F49" s="2" t="str">
        <f t="shared" si="2"/>
        <v>0</v>
      </c>
      <c r="G49" s="2" t="str">
        <f t="shared" si="3"/>
        <v>0</v>
      </c>
      <c r="H49" s="2" t="str">
        <f t="shared" si="4"/>
        <v>0</v>
      </c>
      <c r="I49" s="2" t="str">
        <f t="shared" si="5"/>
        <v>0</v>
      </c>
      <c r="J49" s="2">
        <f t="shared" si="6"/>
        <v>1.4</v>
      </c>
      <c r="K49" s="2" t="str">
        <f t="shared" si="7"/>
        <v>0</v>
      </c>
      <c r="L49" s="2">
        <f t="shared" si="8"/>
        <v>1.4</v>
      </c>
      <c r="M49" s="2" t="str">
        <f t="shared" si="9"/>
        <v>0</v>
      </c>
      <c r="N49" s="2" t="str">
        <f t="shared" si="10"/>
        <v>0</v>
      </c>
      <c r="O49" s="2" t="str">
        <f t="shared" si="11"/>
        <v>0</v>
      </c>
      <c r="P49" s="2">
        <f t="shared" si="12"/>
        <v>1.4</v>
      </c>
      <c r="Q49" s="2" t="str">
        <f t="shared" si="13"/>
        <v>0</v>
      </c>
      <c r="R49" s="2">
        <f t="shared" si="14"/>
        <v>1.4</v>
      </c>
      <c r="S49" s="2" t="str">
        <f t="shared" si="15"/>
        <v>0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 t="str">
        <f t="shared" si="2"/>
        <v>0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 t="str">
        <f t="shared" si="6"/>
        <v>0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16">
        <f>SUM(E39:E126)</f>
        <v>6.92</v>
      </c>
      <c r="F127" s="16">
        <f t="shared" ref="F127:T127" si="33">SUM(F39:F126)</f>
        <v>22.75</v>
      </c>
      <c r="G127" s="16">
        <f t="shared" si="33"/>
        <v>23</v>
      </c>
      <c r="H127" s="16">
        <f t="shared" si="33"/>
        <v>0</v>
      </c>
      <c r="I127" s="16">
        <f t="shared" si="33"/>
        <v>0</v>
      </c>
      <c r="J127" s="16">
        <f t="shared" si="33"/>
        <v>52.669999999999995</v>
      </c>
      <c r="K127" s="16">
        <f t="shared" si="33"/>
        <v>0</v>
      </c>
      <c r="L127" s="16">
        <f t="shared" si="33"/>
        <v>17.399999999999999</v>
      </c>
      <c r="M127" s="16">
        <f t="shared" si="33"/>
        <v>35.269999999999996</v>
      </c>
      <c r="N127" s="16">
        <f t="shared" si="33"/>
        <v>19.75</v>
      </c>
      <c r="O127" s="16">
        <f t="shared" si="33"/>
        <v>0</v>
      </c>
      <c r="P127" s="16">
        <f t="shared" si="33"/>
        <v>52.669999999999995</v>
      </c>
      <c r="Q127" s="16">
        <f t="shared" si="33"/>
        <v>0</v>
      </c>
      <c r="R127" s="16">
        <f t="shared" si="33"/>
        <v>1.4</v>
      </c>
      <c r="S127" s="16">
        <f t="shared" si="33"/>
        <v>51.269999999999996</v>
      </c>
      <c r="T127" s="16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5A4-F3EE-4C2A-AC98-3D8117078B73}">
  <dimension ref="A1:AN127"/>
  <sheetViews>
    <sheetView view="pageBreakPreview" zoomScale="70" zoomScaleNormal="70" zoomScaleSheetLayoutView="70" workbookViewId="0">
      <pane ySplit="6" topLeftCell="A7" activePane="bottomLeft" state="frozen"/>
      <selection activeCell="J2" sqref="J2:K2"/>
      <selection pane="bottomLeft" activeCell="K7" sqref="K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'T.T.'!C11</f>
        <v>RODOVIA TO-110 - TRECHO AURORA DO TOCANTINS - LAVANDEIRA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120</v>
      </c>
      <c r="B7" s="40" t="s">
        <v>181</v>
      </c>
      <c r="C7" s="47">
        <v>0</v>
      </c>
      <c r="D7" s="47">
        <v>2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/>
      <c r="M7" s="40"/>
      <c r="N7" s="40" t="s">
        <v>168</v>
      </c>
      <c r="O7" s="40"/>
      <c r="P7" s="40"/>
      <c r="Q7" s="40" t="s">
        <v>168</v>
      </c>
      <c r="R7" s="40"/>
      <c r="S7" s="40" t="s">
        <v>168</v>
      </c>
      <c r="T7" s="40"/>
      <c r="U7" s="44" t="s">
        <v>183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2</v>
      </c>
      <c r="D8" s="47">
        <v>2.4</v>
      </c>
      <c r="E8" s="40"/>
      <c r="F8" s="40"/>
      <c r="G8" s="40" t="s">
        <v>168</v>
      </c>
      <c r="H8" s="40"/>
      <c r="I8" s="40"/>
      <c r="J8" s="40" t="s">
        <v>168</v>
      </c>
      <c r="K8" s="40"/>
      <c r="L8" s="40"/>
      <c r="M8" s="40"/>
      <c r="N8" s="40" t="s">
        <v>168</v>
      </c>
      <c r="O8" s="40"/>
      <c r="P8" s="40"/>
      <c r="Q8" s="40" t="s">
        <v>168</v>
      </c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v>2.4</v>
      </c>
      <c r="D9" s="47">
        <v>6</v>
      </c>
      <c r="E9" s="40" t="s">
        <v>168</v>
      </c>
      <c r="F9" s="40"/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 t="s">
        <v>168</v>
      </c>
      <c r="P9" s="40"/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6</v>
      </c>
      <c r="D10" s="47">
        <v>10</v>
      </c>
      <c r="E10" s="40" t="s">
        <v>168</v>
      </c>
      <c r="F10" s="40"/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 t="s">
        <v>168</v>
      </c>
      <c r="P10" s="40"/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10</v>
      </c>
      <c r="D11" s="47">
        <v>13</v>
      </c>
      <c r="E11" s="40" t="s">
        <v>168</v>
      </c>
      <c r="F11" s="40"/>
      <c r="G11" s="40"/>
      <c r="H11" s="40"/>
      <c r="I11" s="40"/>
      <c r="J11" s="40" t="s">
        <v>168</v>
      </c>
      <c r="K11" s="40"/>
      <c r="L11" s="40"/>
      <c r="M11" s="40" t="s">
        <v>168</v>
      </c>
      <c r="N11" s="40"/>
      <c r="O11" s="40" t="s">
        <v>168</v>
      </c>
      <c r="P11" s="40"/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13</v>
      </c>
      <c r="D12" s="47">
        <v>15.56</v>
      </c>
      <c r="E12" s="40" t="s">
        <v>168</v>
      </c>
      <c r="F12" s="40"/>
      <c r="G12" s="40"/>
      <c r="H12" s="40"/>
      <c r="I12" s="40"/>
      <c r="J12" s="40" t="s">
        <v>168</v>
      </c>
      <c r="K12" s="40"/>
      <c r="L12" s="40"/>
      <c r="M12" s="40"/>
      <c r="N12" s="40" t="s">
        <v>168</v>
      </c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2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2</v>
      </c>
      <c r="K39" s="2" t="str">
        <f>IF(K7="X",(D7-C7),"0")</f>
        <v>0</v>
      </c>
      <c r="L39" s="2" t="str">
        <f>IF(L7="X",(D7-C7),"0")</f>
        <v>0</v>
      </c>
      <c r="M39" s="2" t="str">
        <f>IF(M7="X",(D7-C7),"0")</f>
        <v>0</v>
      </c>
      <c r="N39" s="2">
        <f>IF(N7="X",(D7-C7),"0")</f>
        <v>2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2</v>
      </c>
      <c r="R39" s="2" t="str">
        <f>IF(R7="X",(D7-C7),"0")</f>
        <v>0</v>
      </c>
      <c r="S39" s="2">
        <f>IF(S7="X",(D7-C7),"0")</f>
        <v>2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>
        <f t="shared" ref="G40:G103" si="2">IF(G8="X",(D8-C8),"0")</f>
        <v>0.39999999999999991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0.39999999999999991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 t="str">
        <f t="shared" ref="M40:M103" si="8">IF(M8="X",(D8-C8),"0")</f>
        <v>0</v>
      </c>
      <c r="N40" s="2">
        <f t="shared" ref="N40:N103" si="9">IF(N8="X",(D8-C8),"0")</f>
        <v>0.39999999999999991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>
        <f t="shared" ref="Q40:Q103" si="12">IF(Q8="X",(D8-C8),"0")</f>
        <v>0.39999999999999991</v>
      </c>
      <c r="R40" s="2" t="str">
        <f t="shared" ref="R40:R103" si="13">IF(R8="X",(D8-C8),"0")</f>
        <v>0</v>
      </c>
      <c r="S40" s="2">
        <f t="shared" ref="S40:S103" si="14">IF(S8="X",(D8-C8),"0")</f>
        <v>0.39999999999999991</v>
      </c>
      <c r="T40" s="2" t="str">
        <f t="shared" ref="T40:T103" si="15">IF(T8="X",(D8-C8),"0")</f>
        <v>0</v>
      </c>
    </row>
    <row r="41" spans="1:20" x14ac:dyDescent="0.25">
      <c r="E41" s="2">
        <f t="shared" si="0"/>
        <v>3.6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3.6</v>
      </c>
      <c r="K41" s="2" t="str">
        <f t="shared" si="6"/>
        <v>0</v>
      </c>
      <c r="L41" s="2" t="str">
        <f t="shared" si="7"/>
        <v>0</v>
      </c>
      <c r="M41" s="2">
        <f t="shared" si="8"/>
        <v>3.6</v>
      </c>
      <c r="N41" s="2" t="str">
        <f t="shared" si="9"/>
        <v>0</v>
      </c>
      <c r="O41" s="2">
        <f t="shared" si="10"/>
        <v>3.6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>
        <f t="shared" si="14"/>
        <v>3.6</v>
      </c>
      <c r="T41" s="2" t="str">
        <f t="shared" si="15"/>
        <v>0</v>
      </c>
    </row>
    <row r="42" spans="1:20" x14ac:dyDescent="0.25">
      <c r="E42" s="2">
        <f t="shared" si="0"/>
        <v>4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4</v>
      </c>
      <c r="K42" s="2" t="str">
        <f t="shared" si="6"/>
        <v>0</v>
      </c>
      <c r="L42" s="2" t="str">
        <f t="shared" si="7"/>
        <v>0</v>
      </c>
      <c r="M42" s="2">
        <f t="shared" si="8"/>
        <v>4</v>
      </c>
      <c r="N42" s="2" t="str">
        <f t="shared" si="9"/>
        <v>0</v>
      </c>
      <c r="O42" s="2">
        <f t="shared" si="10"/>
        <v>4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>
        <f t="shared" si="14"/>
        <v>4</v>
      </c>
      <c r="T42" s="2" t="str">
        <f t="shared" si="15"/>
        <v>0</v>
      </c>
    </row>
    <row r="43" spans="1:20" x14ac:dyDescent="0.25">
      <c r="E43" s="2">
        <f t="shared" si="0"/>
        <v>3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3</v>
      </c>
      <c r="K43" s="2" t="str">
        <f t="shared" si="6"/>
        <v>0</v>
      </c>
      <c r="L43" s="2" t="str">
        <f t="shared" si="7"/>
        <v>0</v>
      </c>
      <c r="M43" s="2">
        <f t="shared" si="8"/>
        <v>3</v>
      </c>
      <c r="N43" s="2" t="str">
        <f t="shared" si="9"/>
        <v>0</v>
      </c>
      <c r="O43" s="2">
        <f t="shared" si="10"/>
        <v>3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>
        <f t="shared" si="14"/>
        <v>3</v>
      </c>
      <c r="T43" s="2" t="str">
        <f t="shared" si="15"/>
        <v>0</v>
      </c>
    </row>
    <row r="44" spans="1:20" x14ac:dyDescent="0.25">
      <c r="E44" s="2">
        <f t="shared" si="0"/>
        <v>2.5600000000000005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2.5600000000000005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>
        <f t="shared" si="9"/>
        <v>2.5600000000000005</v>
      </c>
      <c r="O44" s="2" t="str">
        <f t="shared" si="10"/>
        <v>0</v>
      </c>
      <c r="P44" s="2">
        <f t="shared" si="11"/>
        <v>2.5600000000000005</v>
      </c>
      <c r="Q44" s="2" t="str">
        <f t="shared" si="12"/>
        <v>0</v>
      </c>
      <c r="R44" s="2" t="str">
        <f t="shared" si="13"/>
        <v>0</v>
      </c>
      <c r="S44" s="2">
        <f t="shared" si="14"/>
        <v>2.5600000000000005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13.16</v>
      </c>
      <c r="F127" s="16">
        <f t="shared" ref="F127:T127" si="32">SUM(F39:F126)</f>
        <v>0</v>
      </c>
      <c r="G127" s="16">
        <f t="shared" si="32"/>
        <v>2.4</v>
      </c>
      <c r="H127" s="16">
        <f t="shared" si="32"/>
        <v>0</v>
      </c>
      <c r="I127" s="16">
        <f t="shared" si="32"/>
        <v>0</v>
      </c>
      <c r="J127" s="16">
        <f t="shared" si="32"/>
        <v>15.56</v>
      </c>
      <c r="K127" s="16">
        <f t="shared" si="32"/>
        <v>0</v>
      </c>
      <c r="L127" s="16">
        <f t="shared" si="32"/>
        <v>0</v>
      </c>
      <c r="M127" s="16">
        <f t="shared" si="32"/>
        <v>10.6</v>
      </c>
      <c r="N127" s="16">
        <f t="shared" si="32"/>
        <v>4.9600000000000009</v>
      </c>
      <c r="O127" s="16">
        <f t="shared" si="32"/>
        <v>10.6</v>
      </c>
      <c r="P127" s="16">
        <f t="shared" si="32"/>
        <v>2.5600000000000005</v>
      </c>
      <c r="Q127" s="16">
        <f t="shared" si="32"/>
        <v>2.4</v>
      </c>
      <c r="R127" s="16">
        <f t="shared" si="32"/>
        <v>0</v>
      </c>
      <c r="S127" s="16">
        <f t="shared" si="32"/>
        <v>15.56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B955-536C-4E85-BB93-1AD6AB0DCC61}">
  <dimension ref="A1:AN127"/>
  <sheetViews>
    <sheetView view="pageBreakPreview" zoomScale="70" zoomScaleNormal="70" zoomScaleSheetLayoutView="70" workbookViewId="0">
      <pane ySplit="6" topLeftCell="A10" activePane="bottomLeft" state="frozen"/>
      <selection activeCell="J2" sqref="J2:K2"/>
      <selection pane="bottomLeft" activeCell="K6" sqref="K6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'T.T.'!C12</f>
        <v>RODOVIA TO-110 - TRECHO COMBINADO - NOVO ALEGRE - DIVISA TO-GO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126</v>
      </c>
      <c r="B7" s="40" t="s">
        <v>181</v>
      </c>
      <c r="C7" s="47">
        <v>0</v>
      </c>
      <c r="D7" s="47">
        <v>3</v>
      </c>
      <c r="E7" s="40" t="s">
        <v>168</v>
      </c>
      <c r="F7" s="40"/>
      <c r="G7" s="40"/>
      <c r="H7" s="40"/>
      <c r="I7" s="40"/>
      <c r="J7" s="40"/>
      <c r="K7" s="40" t="s">
        <v>168</v>
      </c>
      <c r="L7" s="40"/>
      <c r="M7" s="40" t="s">
        <v>168</v>
      </c>
      <c r="N7" s="40"/>
      <c r="O7" s="40"/>
      <c r="P7" s="40" t="s">
        <v>168</v>
      </c>
      <c r="Q7" s="40"/>
      <c r="R7" s="40"/>
      <c r="S7" s="40" t="s">
        <v>168</v>
      </c>
      <c r="T7" s="40"/>
      <c r="U7" s="44" t="s">
        <v>185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3</v>
      </c>
      <c r="D8" s="47">
        <v>6.52</v>
      </c>
      <c r="E8" s="40" t="s">
        <v>168</v>
      </c>
      <c r="F8" s="40"/>
      <c r="G8" s="40"/>
      <c r="H8" s="40"/>
      <c r="I8" s="40"/>
      <c r="J8" s="40"/>
      <c r="K8" s="40" t="s">
        <v>168</v>
      </c>
      <c r="L8" s="40"/>
      <c r="M8" s="40" t="s">
        <v>168</v>
      </c>
      <c r="N8" s="40"/>
      <c r="O8" s="40"/>
      <c r="P8" s="40" t="s">
        <v>168</v>
      </c>
      <c r="Q8" s="40"/>
      <c r="R8" s="40"/>
      <c r="S8" s="40" t="s">
        <v>168</v>
      </c>
      <c r="T8" s="40"/>
      <c r="U8" s="44"/>
    </row>
    <row r="9" spans="1:40" ht="36" customHeight="1" x14ac:dyDescent="0.25">
      <c r="A9" s="40" t="s">
        <v>124</v>
      </c>
      <c r="B9" s="40" t="s">
        <v>181</v>
      </c>
      <c r="C9" s="47">
        <v>0</v>
      </c>
      <c r="D9" s="47">
        <v>1</v>
      </c>
      <c r="E9" s="40" t="s">
        <v>168</v>
      </c>
      <c r="F9" s="40"/>
      <c r="G9" s="40"/>
      <c r="H9" s="40"/>
      <c r="I9" s="40"/>
      <c r="J9" s="40"/>
      <c r="K9" s="40" t="s">
        <v>168</v>
      </c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4" t="s">
        <v>186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1</v>
      </c>
      <c r="D10" s="47">
        <v>3</v>
      </c>
      <c r="E10" s="40" t="s">
        <v>168</v>
      </c>
      <c r="F10" s="40"/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3</v>
      </c>
      <c r="D11" s="47">
        <v>5</v>
      </c>
      <c r="E11" s="40" t="s">
        <v>168</v>
      </c>
      <c r="F11" s="40"/>
      <c r="G11" s="40"/>
      <c r="H11" s="40"/>
      <c r="I11" s="40"/>
      <c r="J11" s="40" t="s">
        <v>168</v>
      </c>
      <c r="K11" s="40"/>
      <c r="L11" s="40"/>
      <c r="M11" s="40" t="s">
        <v>168</v>
      </c>
      <c r="N11" s="40"/>
      <c r="O11" s="40"/>
      <c r="P11" s="40" t="s">
        <v>168</v>
      </c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5</v>
      </c>
      <c r="D12" s="47">
        <v>7</v>
      </c>
      <c r="E12" s="40" t="s">
        <v>168</v>
      </c>
      <c r="F12" s="40"/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v>7</v>
      </c>
      <c r="D13" s="47">
        <v>9</v>
      </c>
      <c r="E13" s="40" t="s">
        <v>168</v>
      </c>
      <c r="F13" s="40"/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/>
      <c r="P13" s="40" t="s">
        <v>168</v>
      </c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9</v>
      </c>
      <c r="D14" s="47">
        <v>10.29</v>
      </c>
      <c r="E14" s="40"/>
      <c r="F14" s="40"/>
      <c r="G14" s="40" t="s">
        <v>168</v>
      </c>
      <c r="H14" s="40"/>
      <c r="I14" s="40"/>
      <c r="J14" s="40" t="s">
        <v>168</v>
      </c>
      <c r="K14" s="40"/>
      <c r="L14" s="40" t="s">
        <v>168</v>
      </c>
      <c r="M14" s="40"/>
      <c r="N14" s="40"/>
      <c r="O14" s="40" t="s">
        <v>168</v>
      </c>
      <c r="P14" s="40"/>
      <c r="Q14" s="40"/>
      <c r="R14" s="40"/>
      <c r="S14" s="40" t="s">
        <v>168</v>
      </c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 t="s">
        <v>122</v>
      </c>
      <c r="B15" s="40" t="s">
        <v>181</v>
      </c>
      <c r="C15" s="47">
        <v>0</v>
      </c>
      <c r="D15" s="47">
        <v>1.17</v>
      </c>
      <c r="E15" s="40"/>
      <c r="F15" s="40" t="s">
        <v>168</v>
      </c>
      <c r="G15" s="40"/>
      <c r="H15" s="40"/>
      <c r="I15" s="40"/>
      <c r="J15" s="40" t="s">
        <v>168</v>
      </c>
      <c r="K15" s="40"/>
      <c r="L15" s="40" t="s">
        <v>168</v>
      </c>
      <c r="M15" s="40"/>
      <c r="N15" s="40"/>
      <c r="O15" s="40"/>
      <c r="P15" s="40"/>
      <c r="Q15" s="40" t="s">
        <v>168</v>
      </c>
      <c r="R15" s="40"/>
      <c r="S15" s="40" t="s">
        <v>168</v>
      </c>
      <c r="T15" s="40"/>
      <c r="U15" s="44" t="s">
        <v>187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8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3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 t="str">
        <f>IF(J7="X",(D7-C7),"0")</f>
        <v>0</v>
      </c>
      <c r="K39" s="2">
        <f>IF(K7="X",(D7-C7),"0")</f>
        <v>3</v>
      </c>
      <c r="L39" s="2" t="str">
        <f>IF(L7="X",(D7-C7),"0")</f>
        <v>0</v>
      </c>
      <c r="M39" s="2">
        <f>IF(M7="X",(D7-C7),"0")</f>
        <v>3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3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3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3.5199999999999996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>
        <f t="shared" ref="K40:K103" si="6">IF(K8="X",(D8-C8),"0")</f>
        <v>3.5199999999999996</v>
      </c>
      <c r="L40" s="2" t="str">
        <f t="shared" ref="L40:L103" si="7">IF(L8="X",(D8-C8),"0")</f>
        <v>0</v>
      </c>
      <c r="M40" s="2">
        <f t="shared" ref="M40:M103" si="8">IF(M8="X",(D8-C8),"0")</f>
        <v>3.5199999999999996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3.5199999999999996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3.5199999999999996</v>
      </c>
      <c r="T40" s="2" t="str">
        <f t="shared" ref="T40:T103" si="15">IF(T8="X",(D8-C8),"0")</f>
        <v>0</v>
      </c>
    </row>
    <row r="41" spans="1:20" x14ac:dyDescent="0.25">
      <c r="E41" s="2">
        <f t="shared" si="0"/>
        <v>1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>
        <f t="shared" si="6"/>
        <v>1</v>
      </c>
      <c r="L41" s="2" t="str">
        <f t="shared" si="7"/>
        <v>0</v>
      </c>
      <c r="M41" s="2">
        <f t="shared" si="8"/>
        <v>1</v>
      </c>
      <c r="N41" s="2" t="str">
        <f t="shared" si="9"/>
        <v>0</v>
      </c>
      <c r="O41" s="2" t="str">
        <f t="shared" si="10"/>
        <v>0</v>
      </c>
      <c r="P41" s="2">
        <f t="shared" si="11"/>
        <v>1</v>
      </c>
      <c r="Q41" s="2" t="str">
        <f t="shared" si="12"/>
        <v>0</v>
      </c>
      <c r="R41" s="2" t="str">
        <f t="shared" si="13"/>
        <v>0</v>
      </c>
      <c r="S41" s="2">
        <f t="shared" si="14"/>
        <v>1</v>
      </c>
      <c r="T41" s="2" t="str">
        <f t="shared" si="15"/>
        <v>0</v>
      </c>
    </row>
    <row r="42" spans="1:20" x14ac:dyDescent="0.25">
      <c r="E42" s="2">
        <f t="shared" si="0"/>
        <v>2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2</v>
      </c>
      <c r="K42" s="2" t="str">
        <f t="shared" si="6"/>
        <v>0</v>
      </c>
      <c r="L42" s="2" t="str">
        <f t="shared" si="7"/>
        <v>0</v>
      </c>
      <c r="M42" s="2">
        <f t="shared" si="8"/>
        <v>2</v>
      </c>
      <c r="N42" s="2" t="str">
        <f t="shared" si="9"/>
        <v>0</v>
      </c>
      <c r="O42" s="2" t="str">
        <f t="shared" si="10"/>
        <v>0</v>
      </c>
      <c r="P42" s="2">
        <f t="shared" si="11"/>
        <v>2</v>
      </c>
      <c r="Q42" s="2" t="str">
        <f t="shared" si="12"/>
        <v>0</v>
      </c>
      <c r="R42" s="2" t="str">
        <f t="shared" si="13"/>
        <v>0</v>
      </c>
      <c r="S42" s="2">
        <f t="shared" si="14"/>
        <v>2</v>
      </c>
      <c r="T42" s="2" t="str">
        <f t="shared" si="15"/>
        <v>0</v>
      </c>
    </row>
    <row r="43" spans="1:20" x14ac:dyDescent="0.25">
      <c r="E43" s="2">
        <f t="shared" si="0"/>
        <v>2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2</v>
      </c>
      <c r="K43" s="2" t="str">
        <f t="shared" si="6"/>
        <v>0</v>
      </c>
      <c r="L43" s="2" t="str">
        <f t="shared" si="7"/>
        <v>0</v>
      </c>
      <c r="M43" s="2">
        <f t="shared" si="8"/>
        <v>2</v>
      </c>
      <c r="N43" s="2" t="str">
        <f t="shared" si="9"/>
        <v>0</v>
      </c>
      <c r="O43" s="2" t="str">
        <f t="shared" si="10"/>
        <v>0</v>
      </c>
      <c r="P43" s="2">
        <f t="shared" si="11"/>
        <v>2</v>
      </c>
      <c r="Q43" s="2" t="str">
        <f t="shared" si="12"/>
        <v>0</v>
      </c>
      <c r="R43" s="2" t="str">
        <f t="shared" si="13"/>
        <v>0</v>
      </c>
      <c r="S43" s="2">
        <f t="shared" si="14"/>
        <v>2</v>
      </c>
      <c r="T43" s="2" t="str">
        <f t="shared" si="15"/>
        <v>0</v>
      </c>
    </row>
    <row r="44" spans="1:20" x14ac:dyDescent="0.25">
      <c r="E44" s="2">
        <f t="shared" si="0"/>
        <v>2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>
        <f t="shared" si="5"/>
        <v>2</v>
      </c>
      <c r="K44" s="2" t="str">
        <f t="shared" si="6"/>
        <v>0</v>
      </c>
      <c r="L44" s="2" t="str">
        <f t="shared" si="7"/>
        <v>0</v>
      </c>
      <c r="M44" s="2">
        <f t="shared" si="8"/>
        <v>2</v>
      </c>
      <c r="N44" s="2" t="str">
        <f t="shared" si="9"/>
        <v>0</v>
      </c>
      <c r="O44" s="2" t="str">
        <f t="shared" si="10"/>
        <v>0</v>
      </c>
      <c r="P44" s="2">
        <f t="shared" si="11"/>
        <v>2</v>
      </c>
      <c r="Q44" s="2" t="str">
        <f t="shared" si="12"/>
        <v>0</v>
      </c>
      <c r="R44" s="2" t="str">
        <f t="shared" si="13"/>
        <v>0</v>
      </c>
      <c r="S44" s="2">
        <f t="shared" si="14"/>
        <v>2</v>
      </c>
      <c r="T44" s="2" t="str">
        <f t="shared" si="15"/>
        <v>0</v>
      </c>
    </row>
    <row r="45" spans="1:20" x14ac:dyDescent="0.25">
      <c r="E45" s="2">
        <f t="shared" si="0"/>
        <v>2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2</v>
      </c>
      <c r="K45" s="2" t="str">
        <f t="shared" si="6"/>
        <v>0</v>
      </c>
      <c r="L45" s="2" t="str">
        <f t="shared" si="7"/>
        <v>0</v>
      </c>
      <c r="M45" s="2">
        <f t="shared" si="8"/>
        <v>2</v>
      </c>
      <c r="N45" s="2" t="str">
        <f t="shared" si="9"/>
        <v>0</v>
      </c>
      <c r="O45" s="2" t="str">
        <f t="shared" si="10"/>
        <v>0</v>
      </c>
      <c r="P45" s="2">
        <f t="shared" si="11"/>
        <v>2</v>
      </c>
      <c r="Q45" s="2" t="str">
        <f t="shared" si="12"/>
        <v>0</v>
      </c>
      <c r="R45" s="2" t="str">
        <f t="shared" si="13"/>
        <v>0</v>
      </c>
      <c r="S45" s="2">
        <f t="shared" si="14"/>
        <v>2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>
        <f t="shared" si="2"/>
        <v>1.2899999999999991</v>
      </c>
      <c r="H46" s="2" t="str">
        <f t="shared" si="3"/>
        <v>0</v>
      </c>
      <c r="I46" s="2" t="str">
        <f t="shared" si="4"/>
        <v>0</v>
      </c>
      <c r="J46" s="2">
        <f t="shared" si="5"/>
        <v>1.2899999999999991</v>
      </c>
      <c r="K46" s="2" t="str">
        <f t="shared" si="6"/>
        <v>0</v>
      </c>
      <c r="L46" s="2">
        <f t="shared" si="7"/>
        <v>1.2899999999999991</v>
      </c>
      <c r="M46" s="2" t="str">
        <f t="shared" si="8"/>
        <v>0</v>
      </c>
      <c r="N46" s="2" t="str">
        <f t="shared" si="9"/>
        <v>0</v>
      </c>
      <c r="O46" s="2">
        <f t="shared" si="10"/>
        <v>1.2899999999999991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>
        <f t="shared" si="14"/>
        <v>1.2899999999999991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>
        <f t="shared" si="1"/>
        <v>1.17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>
        <f t="shared" si="5"/>
        <v>1.17</v>
      </c>
      <c r="K47" s="2" t="str">
        <f t="shared" si="6"/>
        <v>0</v>
      </c>
      <c r="L47" s="2">
        <f t="shared" si="7"/>
        <v>1.17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>
        <f t="shared" si="12"/>
        <v>1.17</v>
      </c>
      <c r="R47" s="2" t="str">
        <f t="shared" si="13"/>
        <v>0</v>
      </c>
      <c r="S47" s="2">
        <f t="shared" si="14"/>
        <v>1.17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15.52</v>
      </c>
      <c r="F127" s="16">
        <f t="shared" ref="F127:T127" si="32">SUM(F39:F126)</f>
        <v>1.17</v>
      </c>
      <c r="G127" s="16">
        <f t="shared" si="32"/>
        <v>1.2899999999999991</v>
      </c>
      <c r="H127" s="16">
        <f t="shared" si="32"/>
        <v>0</v>
      </c>
      <c r="I127" s="16">
        <f t="shared" si="32"/>
        <v>0</v>
      </c>
      <c r="J127" s="16">
        <f t="shared" si="32"/>
        <v>10.459999999999999</v>
      </c>
      <c r="K127" s="16">
        <f t="shared" si="32"/>
        <v>7.52</v>
      </c>
      <c r="L127" s="16">
        <f t="shared" si="32"/>
        <v>2.4599999999999991</v>
      </c>
      <c r="M127" s="16">
        <f t="shared" si="32"/>
        <v>15.52</v>
      </c>
      <c r="N127" s="16">
        <f t="shared" si="32"/>
        <v>0</v>
      </c>
      <c r="O127" s="16">
        <f t="shared" si="32"/>
        <v>1.2899999999999991</v>
      </c>
      <c r="P127" s="16">
        <f t="shared" si="32"/>
        <v>15.52</v>
      </c>
      <c r="Q127" s="16">
        <f t="shared" si="32"/>
        <v>1.17</v>
      </c>
      <c r="R127" s="16">
        <f t="shared" si="32"/>
        <v>0</v>
      </c>
      <c r="S127" s="16">
        <f t="shared" si="32"/>
        <v>17.979999999999997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7FE-8B5C-4F73-B670-51A44E0D4E58}">
  <sheetPr>
    <tabColor theme="2"/>
  </sheetPr>
  <dimension ref="A1:AN127"/>
  <sheetViews>
    <sheetView view="pageBreakPreview" zoomScale="55" zoomScaleNormal="70" zoomScaleSheetLayoutView="55" workbookViewId="0">
      <pane ySplit="6" topLeftCell="A7" activePane="bottomLeft" state="frozen"/>
      <selection activeCell="J2" sqref="J2:K2"/>
      <selection pane="bottomLeft" activeCell="M20" sqref="M20"/>
    </sheetView>
  </sheetViews>
  <sheetFormatPr defaultColWidth="8.88671875" defaultRowHeight="13.8" x14ac:dyDescent="0.25"/>
  <cols>
    <col min="1" max="1" width="32.44140625" style="1" customWidth="1"/>
    <col min="2" max="2" width="17.88671875" style="1" customWidth="1"/>
    <col min="3" max="3" width="13.109375" style="1" customWidth="1"/>
    <col min="4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'T.T.'!C13</f>
        <v>RODOVIA TO-110 - TRECHO ENTR. TO-040 (DIANÓPOLIS) - DIVISA TO-BA (GARGANTA)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128</v>
      </c>
      <c r="B7" s="40" t="s">
        <v>167</v>
      </c>
      <c r="C7" s="47">
        <v>0</v>
      </c>
      <c r="D7" s="47">
        <v>4</v>
      </c>
      <c r="E7" s="40"/>
      <c r="F7" s="40" t="s">
        <v>168</v>
      </c>
      <c r="G7" s="40"/>
      <c r="H7" s="40"/>
      <c r="I7" s="40"/>
      <c r="J7" s="40" t="s">
        <v>168</v>
      </c>
      <c r="K7" s="40"/>
      <c r="L7" s="40" t="s">
        <v>168</v>
      </c>
      <c r="M7" s="40"/>
      <c r="N7" s="40"/>
      <c r="O7" s="40" t="s">
        <v>168</v>
      </c>
      <c r="P7" s="40"/>
      <c r="Q7" s="40"/>
      <c r="R7" s="40"/>
      <c r="S7" s="40" t="s">
        <v>168</v>
      </c>
      <c r="T7" s="40"/>
      <c r="U7" s="4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f>D7</f>
        <v>4</v>
      </c>
      <c r="D8" s="47">
        <v>7</v>
      </c>
      <c r="E8" s="40"/>
      <c r="F8" s="40"/>
      <c r="G8" s="40" t="s">
        <v>168</v>
      </c>
      <c r="H8" s="40"/>
      <c r="I8" s="40"/>
      <c r="J8" s="40" t="s">
        <v>168</v>
      </c>
      <c r="K8" s="40"/>
      <c r="L8" s="40" t="s">
        <v>168</v>
      </c>
      <c r="M8" s="40"/>
      <c r="N8" s="40"/>
      <c r="O8" s="40" t="s">
        <v>168</v>
      </c>
      <c r="P8" s="40"/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f t="shared" ref="C9:C18" si="0">D8</f>
        <v>7</v>
      </c>
      <c r="D9" s="47">
        <v>8</v>
      </c>
      <c r="E9" s="40"/>
      <c r="F9" s="40" t="s">
        <v>168</v>
      </c>
      <c r="G9" s="40"/>
      <c r="H9" s="40"/>
      <c r="I9" s="40"/>
      <c r="J9" s="40" t="s">
        <v>168</v>
      </c>
      <c r="K9" s="40"/>
      <c r="L9" s="40" t="s">
        <v>168</v>
      </c>
      <c r="M9" s="40"/>
      <c r="N9" s="40"/>
      <c r="O9" s="40" t="s">
        <v>168</v>
      </c>
      <c r="P9" s="40"/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f t="shared" si="0"/>
        <v>8</v>
      </c>
      <c r="D10" s="47">
        <v>12</v>
      </c>
      <c r="E10" s="40"/>
      <c r="F10" s="40" t="s">
        <v>168</v>
      </c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 t="s">
        <v>168</v>
      </c>
      <c r="P10" s="40"/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f t="shared" si="0"/>
        <v>12</v>
      </c>
      <c r="D11" s="47">
        <v>14</v>
      </c>
      <c r="E11" s="40"/>
      <c r="F11" s="40" t="s">
        <v>168</v>
      </c>
      <c r="G11" s="40"/>
      <c r="H11" s="40"/>
      <c r="I11" s="40"/>
      <c r="J11" s="40" t="s">
        <v>168</v>
      </c>
      <c r="K11" s="40"/>
      <c r="L11" s="40"/>
      <c r="M11" s="40" t="s">
        <v>168</v>
      </c>
      <c r="N11" s="40"/>
      <c r="O11" s="40" t="s">
        <v>168</v>
      </c>
      <c r="P11" s="40"/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f t="shared" si="0"/>
        <v>14</v>
      </c>
      <c r="D12" s="47">
        <v>16</v>
      </c>
      <c r="E12" s="40"/>
      <c r="F12" s="40"/>
      <c r="G12" s="40" t="s">
        <v>168</v>
      </c>
      <c r="H12" s="40"/>
      <c r="I12" s="40"/>
      <c r="J12" s="40" t="s">
        <v>168</v>
      </c>
      <c r="K12" s="40"/>
      <c r="L12" s="40"/>
      <c r="M12" s="40" t="s">
        <v>168</v>
      </c>
      <c r="N12" s="40"/>
      <c r="O12" s="40" t="s">
        <v>168</v>
      </c>
      <c r="P12" s="40"/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f t="shared" si="0"/>
        <v>16</v>
      </c>
      <c r="D13" s="47">
        <v>25</v>
      </c>
      <c r="E13" s="40"/>
      <c r="F13" s="40" t="s">
        <v>168</v>
      </c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 t="s">
        <v>168</v>
      </c>
      <c r="P13" s="40"/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f t="shared" si="0"/>
        <v>25</v>
      </c>
      <c r="D14" s="47">
        <v>32</v>
      </c>
      <c r="E14" s="40"/>
      <c r="F14" s="40" t="s">
        <v>168</v>
      </c>
      <c r="G14" s="40"/>
      <c r="H14" s="40"/>
      <c r="I14" s="40"/>
      <c r="J14" s="40" t="s">
        <v>168</v>
      </c>
      <c r="K14" s="40"/>
      <c r="L14" s="40"/>
      <c r="M14" s="40" t="s">
        <v>168</v>
      </c>
      <c r="N14" s="40"/>
      <c r="O14" s="40" t="s">
        <v>168</v>
      </c>
      <c r="P14" s="40"/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f t="shared" si="0"/>
        <v>32</v>
      </c>
      <c r="D15" s="47">
        <v>42</v>
      </c>
      <c r="E15" s="40"/>
      <c r="F15" s="40" t="s">
        <v>168</v>
      </c>
      <c r="G15" s="40"/>
      <c r="H15" s="40"/>
      <c r="I15" s="40"/>
      <c r="J15" s="40" t="s">
        <v>168</v>
      </c>
      <c r="K15" s="40"/>
      <c r="L15" s="40"/>
      <c r="M15" s="40" t="s">
        <v>168</v>
      </c>
      <c r="N15" s="40"/>
      <c r="O15" s="40" t="s">
        <v>168</v>
      </c>
      <c r="P15" s="40"/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>
        <f t="shared" si="0"/>
        <v>42</v>
      </c>
      <c r="D16" s="47">
        <v>52</v>
      </c>
      <c r="E16" s="40" t="s">
        <v>168</v>
      </c>
      <c r="F16" s="40"/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 t="s">
        <v>168</v>
      </c>
      <c r="P16" s="40"/>
      <c r="Q16" s="40"/>
      <c r="R16" s="40"/>
      <c r="S16" s="40" t="s">
        <v>168</v>
      </c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>
        <f t="shared" si="0"/>
        <v>52</v>
      </c>
      <c r="D17" s="47">
        <v>55</v>
      </c>
      <c r="E17" s="40"/>
      <c r="F17" s="40" t="s">
        <v>168</v>
      </c>
      <c r="G17" s="40"/>
      <c r="H17" s="40"/>
      <c r="I17" s="40"/>
      <c r="J17" s="40" t="s">
        <v>168</v>
      </c>
      <c r="K17" s="40"/>
      <c r="L17" s="40"/>
      <c r="M17" s="40" t="s">
        <v>168</v>
      </c>
      <c r="N17" s="40" t="s">
        <v>168</v>
      </c>
      <c r="O17" s="40" t="s">
        <v>168</v>
      </c>
      <c r="P17" s="40"/>
      <c r="Q17" s="40"/>
      <c r="R17" s="40"/>
      <c r="S17" s="40" t="s">
        <v>168</v>
      </c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>
        <f t="shared" si="0"/>
        <v>55</v>
      </c>
      <c r="D18" s="47">
        <v>57.45</v>
      </c>
      <c r="E18" s="40"/>
      <c r="F18" s="40" t="s">
        <v>168</v>
      </c>
      <c r="G18" s="40"/>
      <c r="H18" s="40"/>
      <c r="I18" s="40"/>
      <c r="J18" s="40" t="s">
        <v>168</v>
      </c>
      <c r="K18" s="40"/>
      <c r="L18" s="40"/>
      <c r="M18" s="40" t="s">
        <v>168</v>
      </c>
      <c r="N18" s="40"/>
      <c r="O18" s="40" t="s">
        <v>168</v>
      </c>
      <c r="P18" s="40"/>
      <c r="Q18" s="40"/>
      <c r="R18" s="40"/>
      <c r="S18" s="40" t="s">
        <v>168</v>
      </c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7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4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4</v>
      </c>
      <c r="K39" s="2" t="str">
        <f>IF(K7="X",(D7-C7),"0")</f>
        <v>0</v>
      </c>
      <c r="L39" s="2">
        <f>IF(L7="X",(D7-C7),"0")</f>
        <v>4</v>
      </c>
      <c r="M39" s="2" t="str">
        <f>IF(M7="X",(D7-C7),"0")</f>
        <v>0</v>
      </c>
      <c r="N39" s="2" t="str">
        <f>IF(N7="X",(D7-C7),"0")</f>
        <v>0</v>
      </c>
      <c r="O39" s="2">
        <f>IF(O7="X",(D7-C7),"0")</f>
        <v>4</v>
      </c>
      <c r="P39" s="2" t="str">
        <f>IF(P7="X",(D7-C7),"0")</f>
        <v>0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4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 t="str">
        <f t="shared" ref="F40:F103" si="2">IF(F8="X",(D8-C8),"0")</f>
        <v>0</v>
      </c>
      <c r="G40" s="2">
        <f t="shared" ref="G40:G103" si="3">IF(G8="X",(D8-C8),"0")</f>
        <v>3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3</v>
      </c>
      <c r="K40" s="2" t="str">
        <f t="shared" ref="K40:K103" si="7">IF(K8="X",(D8-C8),"0")</f>
        <v>0</v>
      </c>
      <c r="L40" s="2">
        <f t="shared" ref="L40:L103" si="8">IF(L8="X",(D8-C8),"0")</f>
        <v>3</v>
      </c>
      <c r="M40" s="2" t="str">
        <f t="shared" ref="M40:M103" si="9">IF(M8="X",(D8-C8),"0")</f>
        <v>0</v>
      </c>
      <c r="N40" s="2" t="str">
        <f t="shared" ref="N40:N103" si="10">IF(N8="X",(D8-C8),"0")</f>
        <v>0</v>
      </c>
      <c r="O40" s="2">
        <f t="shared" ref="O40:O103" si="11">IF(O8="X",(D8-C8),"0")</f>
        <v>3</v>
      </c>
      <c r="P40" s="2" t="str">
        <f t="shared" ref="P40:P103" si="12">IF(P8="X",(D8-C8),"0")</f>
        <v>0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3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>
        <f t="shared" si="2"/>
        <v>1</v>
      </c>
      <c r="G41" s="2" t="str">
        <f t="shared" si="3"/>
        <v>0</v>
      </c>
      <c r="H41" s="2" t="str">
        <f t="shared" si="4"/>
        <v>0</v>
      </c>
      <c r="I41" s="2" t="str">
        <f t="shared" si="5"/>
        <v>0</v>
      </c>
      <c r="J41" s="2">
        <f t="shared" si="6"/>
        <v>1</v>
      </c>
      <c r="K41" s="2" t="str">
        <f t="shared" si="7"/>
        <v>0</v>
      </c>
      <c r="L41" s="2">
        <f t="shared" si="8"/>
        <v>1</v>
      </c>
      <c r="M41" s="2" t="str">
        <f t="shared" si="9"/>
        <v>0</v>
      </c>
      <c r="N41" s="2" t="str">
        <f t="shared" si="10"/>
        <v>0</v>
      </c>
      <c r="O41" s="2">
        <f t="shared" si="11"/>
        <v>1</v>
      </c>
      <c r="P41" s="2" t="str">
        <f t="shared" si="12"/>
        <v>0</v>
      </c>
      <c r="Q41" s="2" t="str">
        <f t="shared" si="13"/>
        <v>0</v>
      </c>
      <c r="R41" s="2" t="str">
        <f t="shared" si="14"/>
        <v>0</v>
      </c>
      <c r="S41" s="2">
        <f t="shared" si="15"/>
        <v>1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>
        <f t="shared" si="2"/>
        <v>4</v>
      </c>
      <c r="G42" s="2" t="str">
        <f t="shared" si="3"/>
        <v>0</v>
      </c>
      <c r="H42" s="2" t="str">
        <f t="shared" si="4"/>
        <v>0</v>
      </c>
      <c r="I42" s="2" t="str">
        <f t="shared" si="5"/>
        <v>0</v>
      </c>
      <c r="J42" s="2">
        <f t="shared" si="6"/>
        <v>4</v>
      </c>
      <c r="K42" s="2" t="str">
        <f t="shared" si="7"/>
        <v>0</v>
      </c>
      <c r="L42" s="2" t="str">
        <f t="shared" si="8"/>
        <v>0</v>
      </c>
      <c r="M42" s="2">
        <f t="shared" si="9"/>
        <v>4</v>
      </c>
      <c r="N42" s="2" t="str">
        <f t="shared" si="10"/>
        <v>0</v>
      </c>
      <c r="O42" s="2">
        <f t="shared" si="11"/>
        <v>4</v>
      </c>
      <c r="P42" s="2" t="str">
        <f t="shared" si="12"/>
        <v>0</v>
      </c>
      <c r="Q42" s="2" t="str">
        <f t="shared" si="13"/>
        <v>0</v>
      </c>
      <c r="R42" s="2" t="str">
        <f t="shared" si="14"/>
        <v>0</v>
      </c>
      <c r="S42" s="2">
        <f t="shared" si="15"/>
        <v>4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>
        <f t="shared" si="2"/>
        <v>2</v>
      </c>
      <c r="G43" s="2" t="str">
        <f t="shared" si="3"/>
        <v>0</v>
      </c>
      <c r="H43" s="2" t="str">
        <f t="shared" si="4"/>
        <v>0</v>
      </c>
      <c r="I43" s="2" t="str">
        <f t="shared" si="5"/>
        <v>0</v>
      </c>
      <c r="J43" s="2">
        <f t="shared" si="6"/>
        <v>2</v>
      </c>
      <c r="K43" s="2" t="str">
        <f t="shared" si="7"/>
        <v>0</v>
      </c>
      <c r="L43" s="2" t="str">
        <f t="shared" si="8"/>
        <v>0</v>
      </c>
      <c r="M43" s="2">
        <f t="shared" si="9"/>
        <v>2</v>
      </c>
      <c r="N43" s="2" t="str">
        <f t="shared" si="10"/>
        <v>0</v>
      </c>
      <c r="O43" s="2">
        <f t="shared" si="11"/>
        <v>2</v>
      </c>
      <c r="P43" s="2" t="str">
        <f t="shared" si="12"/>
        <v>0</v>
      </c>
      <c r="Q43" s="2" t="str">
        <f t="shared" si="13"/>
        <v>0</v>
      </c>
      <c r="R43" s="2" t="str">
        <f t="shared" si="14"/>
        <v>0</v>
      </c>
      <c r="S43" s="2">
        <f t="shared" si="15"/>
        <v>2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 t="str">
        <f t="shared" si="2"/>
        <v>0</v>
      </c>
      <c r="G44" s="2">
        <f t="shared" si="3"/>
        <v>2</v>
      </c>
      <c r="H44" s="2" t="str">
        <f t="shared" si="4"/>
        <v>0</v>
      </c>
      <c r="I44" s="2" t="str">
        <f t="shared" si="5"/>
        <v>0</v>
      </c>
      <c r="J44" s="2">
        <f t="shared" si="6"/>
        <v>2</v>
      </c>
      <c r="K44" s="2" t="str">
        <f t="shared" si="7"/>
        <v>0</v>
      </c>
      <c r="L44" s="2" t="str">
        <f t="shared" si="8"/>
        <v>0</v>
      </c>
      <c r="M44" s="2">
        <f t="shared" si="9"/>
        <v>2</v>
      </c>
      <c r="N44" s="2" t="str">
        <f t="shared" si="10"/>
        <v>0</v>
      </c>
      <c r="O44" s="2">
        <f t="shared" si="11"/>
        <v>2</v>
      </c>
      <c r="P44" s="2" t="str">
        <f t="shared" si="12"/>
        <v>0</v>
      </c>
      <c r="Q44" s="2" t="str">
        <f t="shared" si="13"/>
        <v>0</v>
      </c>
      <c r="R44" s="2" t="str">
        <f t="shared" si="14"/>
        <v>0</v>
      </c>
      <c r="S44" s="2">
        <f t="shared" si="15"/>
        <v>2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>
        <f t="shared" si="2"/>
        <v>9</v>
      </c>
      <c r="G45" s="2" t="str">
        <f t="shared" si="3"/>
        <v>0</v>
      </c>
      <c r="H45" s="2" t="str">
        <f t="shared" si="4"/>
        <v>0</v>
      </c>
      <c r="I45" s="2" t="str">
        <f t="shared" si="5"/>
        <v>0</v>
      </c>
      <c r="J45" s="2">
        <f t="shared" si="6"/>
        <v>9</v>
      </c>
      <c r="K45" s="2" t="str">
        <f t="shared" si="7"/>
        <v>0</v>
      </c>
      <c r="L45" s="2" t="str">
        <f t="shared" si="8"/>
        <v>0</v>
      </c>
      <c r="M45" s="2">
        <f t="shared" si="9"/>
        <v>9</v>
      </c>
      <c r="N45" s="2" t="str">
        <f t="shared" si="10"/>
        <v>0</v>
      </c>
      <c r="O45" s="2">
        <f t="shared" si="11"/>
        <v>9</v>
      </c>
      <c r="P45" s="2" t="str">
        <f t="shared" si="12"/>
        <v>0</v>
      </c>
      <c r="Q45" s="2" t="str">
        <f t="shared" si="13"/>
        <v>0</v>
      </c>
      <c r="R45" s="2" t="str">
        <f t="shared" si="14"/>
        <v>0</v>
      </c>
      <c r="S45" s="2">
        <f t="shared" si="15"/>
        <v>9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7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>
        <f t="shared" si="6"/>
        <v>7</v>
      </c>
      <c r="K46" s="2" t="str">
        <f t="shared" si="7"/>
        <v>0</v>
      </c>
      <c r="L46" s="2" t="str">
        <f t="shared" si="8"/>
        <v>0</v>
      </c>
      <c r="M46" s="2">
        <f t="shared" si="9"/>
        <v>7</v>
      </c>
      <c r="N46" s="2" t="str">
        <f t="shared" si="10"/>
        <v>0</v>
      </c>
      <c r="O46" s="2">
        <f t="shared" si="11"/>
        <v>7</v>
      </c>
      <c r="P46" s="2" t="str">
        <f t="shared" si="12"/>
        <v>0</v>
      </c>
      <c r="Q46" s="2" t="str">
        <f t="shared" si="13"/>
        <v>0</v>
      </c>
      <c r="R46" s="2" t="str">
        <f t="shared" si="14"/>
        <v>0</v>
      </c>
      <c r="S46" s="2">
        <f t="shared" si="15"/>
        <v>7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10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10</v>
      </c>
      <c r="K47" s="2" t="str">
        <f t="shared" si="7"/>
        <v>0</v>
      </c>
      <c r="L47" s="2" t="str">
        <f t="shared" si="8"/>
        <v>0</v>
      </c>
      <c r="M47" s="2">
        <f t="shared" si="9"/>
        <v>10</v>
      </c>
      <c r="N47" s="2" t="str">
        <f t="shared" si="10"/>
        <v>0</v>
      </c>
      <c r="O47" s="2">
        <f t="shared" si="11"/>
        <v>10</v>
      </c>
      <c r="P47" s="2" t="str">
        <f t="shared" si="12"/>
        <v>0</v>
      </c>
      <c r="Q47" s="2" t="str">
        <f t="shared" si="13"/>
        <v>0</v>
      </c>
      <c r="R47" s="2" t="str">
        <f t="shared" si="14"/>
        <v>0</v>
      </c>
      <c r="S47" s="2">
        <f t="shared" si="15"/>
        <v>10</v>
      </c>
      <c r="T47" s="2" t="str">
        <f t="shared" si="16"/>
        <v>0</v>
      </c>
    </row>
    <row r="48" spans="1:20" x14ac:dyDescent="0.25">
      <c r="E48" s="2">
        <f t="shared" si="1"/>
        <v>10</v>
      </c>
      <c r="F48" s="2" t="str">
        <f t="shared" si="2"/>
        <v>0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>
        <f t="shared" si="6"/>
        <v>10</v>
      </c>
      <c r="K48" s="2" t="str">
        <f t="shared" si="7"/>
        <v>0</v>
      </c>
      <c r="L48" s="2" t="str">
        <f t="shared" si="8"/>
        <v>0</v>
      </c>
      <c r="M48" s="2">
        <f t="shared" si="9"/>
        <v>10</v>
      </c>
      <c r="N48" s="2" t="str">
        <f t="shared" si="10"/>
        <v>0</v>
      </c>
      <c r="O48" s="2">
        <f t="shared" si="11"/>
        <v>10</v>
      </c>
      <c r="P48" s="2" t="str">
        <f t="shared" si="12"/>
        <v>0</v>
      </c>
      <c r="Q48" s="2" t="str">
        <f t="shared" si="13"/>
        <v>0</v>
      </c>
      <c r="R48" s="2" t="str">
        <f t="shared" si="14"/>
        <v>0</v>
      </c>
      <c r="S48" s="2">
        <f t="shared" si="15"/>
        <v>10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>
        <f t="shared" si="2"/>
        <v>3</v>
      </c>
      <c r="G49" s="2" t="str">
        <f t="shared" si="3"/>
        <v>0</v>
      </c>
      <c r="H49" s="2" t="str">
        <f t="shared" si="4"/>
        <v>0</v>
      </c>
      <c r="I49" s="2" t="str">
        <f t="shared" si="5"/>
        <v>0</v>
      </c>
      <c r="J49" s="2">
        <f t="shared" si="6"/>
        <v>3</v>
      </c>
      <c r="K49" s="2" t="str">
        <f t="shared" si="7"/>
        <v>0</v>
      </c>
      <c r="L49" s="2" t="str">
        <f t="shared" si="8"/>
        <v>0</v>
      </c>
      <c r="M49" s="2">
        <f t="shared" si="9"/>
        <v>3</v>
      </c>
      <c r="N49" s="2">
        <f t="shared" si="10"/>
        <v>3</v>
      </c>
      <c r="O49" s="2">
        <f t="shared" si="11"/>
        <v>3</v>
      </c>
      <c r="P49" s="2" t="str">
        <f t="shared" si="12"/>
        <v>0</v>
      </c>
      <c r="Q49" s="2" t="str">
        <f t="shared" si="13"/>
        <v>0</v>
      </c>
      <c r="R49" s="2" t="str">
        <f t="shared" si="14"/>
        <v>0</v>
      </c>
      <c r="S49" s="2">
        <f t="shared" si="15"/>
        <v>3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>
        <f t="shared" si="2"/>
        <v>2.4500000000000028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>
        <f t="shared" si="6"/>
        <v>2.4500000000000028</v>
      </c>
      <c r="K50" s="2" t="str">
        <f t="shared" si="7"/>
        <v>0</v>
      </c>
      <c r="L50" s="2" t="str">
        <f t="shared" si="8"/>
        <v>0</v>
      </c>
      <c r="M50" s="2">
        <f t="shared" si="9"/>
        <v>2.4500000000000028</v>
      </c>
      <c r="N50" s="2" t="str">
        <f t="shared" si="10"/>
        <v>0</v>
      </c>
      <c r="O50" s="2">
        <f t="shared" si="11"/>
        <v>2.4500000000000028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>
        <f t="shared" si="15"/>
        <v>2.4500000000000028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16">
        <f>SUM(E39:E126)</f>
        <v>10</v>
      </c>
      <c r="F127" s="16">
        <f t="shared" ref="F127:T127" si="33">SUM(F39:F126)</f>
        <v>42.45</v>
      </c>
      <c r="G127" s="16">
        <f t="shared" si="33"/>
        <v>5</v>
      </c>
      <c r="H127" s="16">
        <f t="shared" si="33"/>
        <v>0</v>
      </c>
      <c r="I127" s="16">
        <f t="shared" si="33"/>
        <v>0</v>
      </c>
      <c r="J127" s="16">
        <f t="shared" si="33"/>
        <v>57.45</v>
      </c>
      <c r="K127" s="16">
        <f t="shared" si="33"/>
        <v>0</v>
      </c>
      <c r="L127" s="16">
        <f t="shared" si="33"/>
        <v>8</v>
      </c>
      <c r="M127" s="16">
        <f t="shared" si="33"/>
        <v>49.45</v>
      </c>
      <c r="N127" s="16">
        <f t="shared" si="33"/>
        <v>3</v>
      </c>
      <c r="O127" s="16">
        <f t="shared" si="33"/>
        <v>57.45</v>
      </c>
      <c r="P127" s="16">
        <f t="shared" si="33"/>
        <v>0</v>
      </c>
      <c r="Q127" s="16">
        <f t="shared" si="33"/>
        <v>0</v>
      </c>
      <c r="R127" s="16">
        <f t="shared" si="33"/>
        <v>0</v>
      </c>
      <c r="S127" s="16">
        <f t="shared" si="33"/>
        <v>57.45</v>
      </c>
      <c r="T127" s="16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5D9C-A7CE-4EDB-B202-61A4AE826CE8}">
  <dimension ref="A1:AN127"/>
  <sheetViews>
    <sheetView view="pageBreakPreview" zoomScale="55" zoomScaleNormal="70" zoomScaleSheetLayoutView="55" workbookViewId="0">
      <pane ySplit="6" topLeftCell="A13" activePane="bottomLeft" state="frozen"/>
      <selection activeCell="J2" sqref="J2:K2"/>
      <selection pane="bottomLeft" activeCell="K14" sqref="K14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'T.T.'!C14</f>
        <v>RODOVIA TO-110 - TRECHO ENTR. TO-040 - PONTE ALTA DO BOM JESUS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138</v>
      </c>
      <c r="B7" s="40" t="s">
        <v>181</v>
      </c>
      <c r="C7" s="47">
        <v>0</v>
      </c>
      <c r="D7" s="47">
        <v>3.92</v>
      </c>
      <c r="E7" s="40"/>
      <c r="F7" s="40"/>
      <c r="G7" s="40" t="s">
        <v>168</v>
      </c>
      <c r="H7" s="40"/>
      <c r="I7" s="40"/>
      <c r="J7" s="40" t="s">
        <v>168</v>
      </c>
      <c r="K7" s="40"/>
      <c r="L7" s="40"/>
      <c r="M7" s="40"/>
      <c r="N7" s="40" t="s">
        <v>168</v>
      </c>
      <c r="O7" s="40" t="s">
        <v>168</v>
      </c>
      <c r="P7" s="40"/>
      <c r="Q7" s="40"/>
      <c r="R7" s="40"/>
      <c r="S7" s="40" t="s">
        <v>168</v>
      </c>
      <c r="T7" s="40"/>
      <c r="U7" s="47" t="s">
        <v>173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 t="s">
        <v>136</v>
      </c>
      <c r="B8" s="40" t="s">
        <v>181</v>
      </c>
      <c r="C8" s="47">
        <v>0</v>
      </c>
      <c r="D8" s="47">
        <v>2</v>
      </c>
      <c r="E8" s="40"/>
      <c r="F8" s="40"/>
      <c r="G8" s="40"/>
      <c r="H8" s="40" t="s">
        <v>168</v>
      </c>
      <c r="I8" s="40"/>
      <c r="J8" s="40"/>
      <c r="K8" s="40" t="s">
        <v>168</v>
      </c>
      <c r="L8" s="40"/>
      <c r="M8" s="40" t="s">
        <v>168</v>
      </c>
      <c r="N8" s="40"/>
      <c r="O8" s="40" t="s">
        <v>168</v>
      </c>
      <c r="P8" s="40"/>
      <c r="Q8" s="40"/>
      <c r="R8" s="40"/>
      <c r="S8" s="40" t="s">
        <v>168</v>
      </c>
      <c r="T8" s="40"/>
      <c r="U8" s="44" t="s">
        <v>174</v>
      </c>
    </row>
    <row r="9" spans="1:40" ht="36" customHeight="1" x14ac:dyDescent="0.25">
      <c r="A9" s="40"/>
      <c r="B9" s="40"/>
      <c r="C9" s="47">
        <v>2</v>
      </c>
      <c r="D9" s="47">
        <v>3</v>
      </c>
      <c r="E9" s="40"/>
      <c r="F9" s="40"/>
      <c r="G9" s="40"/>
      <c r="H9" s="40" t="s">
        <v>168</v>
      </c>
      <c r="I9" s="40"/>
      <c r="J9" s="40"/>
      <c r="K9" s="40" t="s">
        <v>168</v>
      </c>
      <c r="L9" s="40"/>
      <c r="M9" s="40" t="s">
        <v>168</v>
      </c>
      <c r="N9" s="40"/>
      <c r="O9" s="40" t="s">
        <v>168</v>
      </c>
      <c r="P9" s="40"/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3</v>
      </c>
      <c r="D10" s="47">
        <v>7</v>
      </c>
      <c r="E10" s="40"/>
      <c r="F10" s="40"/>
      <c r="G10" s="40"/>
      <c r="H10" s="40" t="s">
        <v>168</v>
      </c>
      <c r="I10" s="40"/>
      <c r="J10" s="40"/>
      <c r="K10" s="40" t="s">
        <v>168</v>
      </c>
      <c r="L10" s="40"/>
      <c r="M10" s="40" t="s">
        <v>168</v>
      </c>
      <c r="N10" s="40"/>
      <c r="O10" s="40" t="s">
        <v>168</v>
      </c>
      <c r="P10" s="40"/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7</v>
      </c>
      <c r="D11" s="47">
        <v>9.1999999999999993</v>
      </c>
      <c r="E11" s="40"/>
      <c r="F11" s="40"/>
      <c r="G11" s="40"/>
      <c r="H11" s="40" t="s">
        <v>168</v>
      </c>
      <c r="I11" s="40"/>
      <c r="J11" s="40"/>
      <c r="K11" s="40" t="s">
        <v>168</v>
      </c>
      <c r="L11" s="40"/>
      <c r="M11" s="40" t="s">
        <v>168</v>
      </c>
      <c r="N11" s="40"/>
      <c r="O11" s="40" t="s">
        <v>168</v>
      </c>
      <c r="P11" s="40"/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9.1999999999999993</v>
      </c>
      <c r="D12" s="47">
        <v>10</v>
      </c>
      <c r="E12" s="40"/>
      <c r="F12" s="40"/>
      <c r="G12" s="40"/>
      <c r="H12" s="40" t="s">
        <v>168</v>
      </c>
      <c r="I12" s="40"/>
      <c r="J12" s="40"/>
      <c r="K12" s="40" t="s">
        <v>168</v>
      </c>
      <c r="L12" s="40"/>
      <c r="M12" s="40" t="s">
        <v>168</v>
      </c>
      <c r="N12" s="40"/>
      <c r="O12" s="40" t="s">
        <v>168</v>
      </c>
      <c r="P12" s="40"/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v>10</v>
      </c>
      <c r="D13" s="47">
        <v>11</v>
      </c>
      <c r="E13" s="40" t="s">
        <v>168</v>
      </c>
      <c r="F13" s="40" t="s">
        <v>168</v>
      </c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 t="s">
        <v>168</v>
      </c>
      <c r="P13" s="40"/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11</v>
      </c>
      <c r="D14" s="47">
        <v>17</v>
      </c>
      <c r="E14" s="40" t="s">
        <v>168</v>
      </c>
      <c r="F14" s="40"/>
      <c r="G14" s="40"/>
      <c r="H14" s="40"/>
      <c r="I14" s="40"/>
      <c r="J14" s="40" t="s">
        <v>168</v>
      </c>
      <c r="K14" s="40"/>
      <c r="L14" s="40"/>
      <c r="M14" s="40" t="s">
        <v>168</v>
      </c>
      <c r="N14" s="40"/>
      <c r="O14" s="40" t="s">
        <v>168</v>
      </c>
      <c r="P14" s="40"/>
      <c r="Q14" s="40"/>
      <c r="R14" s="40"/>
      <c r="S14" s="40" t="s">
        <v>168</v>
      </c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v>17</v>
      </c>
      <c r="D15" s="47">
        <v>19.87</v>
      </c>
      <c r="E15" s="40"/>
      <c r="F15" s="40" t="s">
        <v>168</v>
      </c>
      <c r="G15" s="40"/>
      <c r="H15" s="40"/>
      <c r="I15" s="40"/>
      <c r="J15" s="40" t="s">
        <v>168</v>
      </c>
      <c r="K15" s="40"/>
      <c r="L15" s="40"/>
      <c r="M15" s="40" t="s">
        <v>168</v>
      </c>
      <c r="N15" s="40"/>
      <c r="O15" s="40" t="s">
        <v>168</v>
      </c>
      <c r="P15" s="40"/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 t="s">
        <v>134</v>
      </c>
      <c r="B16" s="40" t="s">
        <v>181</v>
      </c>
      <c r="C16" s="47">
        <v>0</v>
      </c>
      <c r="D16" s="47">
        <v>1</v>
      </c>
      <c r="E16" s="40"/>
      <c r="F16" s="40" t="s">
        <v>168</v>
      </c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 t="s">
        <v>168</v>
      </c>
      <c r="P16" s="40"/>
      <c r="Q16" s="40"/>
      <c r="R16" s="40"/>
      <c r="S16" s="40" t="s">
        <v>168</v>
      </c>
      <c r="T16" s="40"/>
      <c r="U16" s="44" t="s">
        <v>175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>
        <v>1</v>
      </c>
      <c r="D17" s="47">
        <v>2</v>
      </c>
      <c r="E17" s="40"/>
      <c r="F17" s="40" t="s">
        <v>168</v>
      </c>
      <c r="G17" s="40"/>
      <c r="H17" s="40"/>
      <c r="I17" s="40"/>
      <c r="J17" s="40" t="s">
        <v>168</v>
      </c>
      <c r="K17" s="40"/>
      <c r="L17" s="40"/>
      <c r="M17" s="40" t="s">
        <v>168</v>
      </c>
      <c r="N17" s="40"/>
      <c r="O17" s="40" t="s">
        <v>168</v>
      </c>
      <c r="P17" s="40"/>
      <c r="Q17" s="40"/>
      <c r="R17" s="40"/>
      <c r="S17" s="40" t="s">
        <v>168</v>
      </c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>
        <v>2</v>
      </c>
      <c r="D18" s="47">
        <v>4</v>
      </c>
      <c r="E18" s="40"/>
      <c r="F18" s="40" t="s">
        <v>168</v>
      </c>
      <c r="G18" s="40"/>
      <c r="H18" s="40"/>
      <c r="I18" s="40"/>
      <c r="J18" s="40" t="s">
        <v>168</v>
      </c>
      <c r="K18" s="40"/>
      <c r="L18" s="40"/>
      <c r="M18" s="40" t="s">
        <v>168</v>
      </c>
      <c r="N18" s="40"/>
      <c r="O18" s="40" t="s">
        <v>168</v>
      </c>
      <c r="P18" s="40"/>
      <c r="Q18" s="40"/>
      <c r="R18" s="40"/>
      <c r="S18" s="40" t="s">
        <v>168</v>
      </c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>
        <v>4</v>
      </c>
      <c r="D19" s="47">
        <v>5.36</v>
      </c>
      <c r="E19" s="40"/>
      <c r="F19" s="40" t="s">
        <v>168</v>
      </c>
      <c r="G19" s="40"/>
      <c r="H19" s="40"/>
      <c r="I19" s="40"/>
      <c r="J19" s="40" t="s">
        <v>168</v>
      </c>
      <c r="K19" s="40"/>
      <c r="L19" s="40"/>
      <c r="M19" s="40" t="s">
        <v>168</v>
      </c>
      <c r="N19" s="40"/>
      <c r="O19" s="40" t="s">
        <v>168</v>
      </c>
      <c r="P19" s="40"/>
      <c r="Q19" s="40"/>
      <c r="R19" s="40"/>
      <c r="S19" s="40" t="s">
        <v>168</v>
      </c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 t="s">
        <v>132</v>
      </c>
      <c r="B20" s="40" t="s">
        <v>181</v>
      </c>
      <c r="C20" s="47">
        <v>0</v>
      </c>
      <c r="D20" s="47">
        <v>1.1000000000000001</v>
      </c>
      <c r="E20" s="40"/>
      <c r="F20" s="40"/>
      <c r="G20" s="40" t="s">
        <v>168</v>
      </c>
      <c r="H20" s="40"/>
      <c r="I20" s="40"/>
      <c r="J20" s="40" t="s">
        <v>168</v>
      </c>
      <c r="K20" s="40"/>
      <c r="L20" s="40"/>
      <c r="M20" s="40" t="s">
        <v>168</v>
      </c>
      <c r="N20" s="40"/>
      <c r="O20" s="40" t="s">
        <v>168</v>
      </c>
      <c r="P20" s="40"/>
      <c r="Q20" s="40"/>
      <c r="R20" s="40"/>
      <c r="S20" s="40" t="s">
        <v>168</v>
      </c>
      <c r="T20" s="40"/>
      <c r="U20" s="44" t="s">
        <v>176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>
        <v>3.77</v>
      </c>
      <c r="E21" s="40" t="s">
        <v>168</v>
      </c>
      <c r="F21" s="40"/>
      <c r="G21" s="40"/>
      <c r="H21" s="40"/>
      <c r="I21" s="40"/>
      <c r="J21" s="40" t="s">
        <v>168</v>
      </c>
      <c r="K21" s="40"/>
      <c r="L21" s="40"/>
      <c r="M21" s="40" t="s">
        <v>168</v>
      </c>
      <c r="N21" s="40"/>
      <c r="O21" s="40" t="s">
        <v>168</v>
      </c>
      <c r="P21" s="40"/>
      <c r="Q21" s="40"/>
      <c r="R21" s="40"/>
      <c r="S21" s="40" t="s">
        <v>168</v>
      </c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 t="s">
        <v>130</v>
      </c>
      <c r="B22" s="40" t="s">
        <v>181</v>
      </c>
      <c r="C22" s="47">
        <v>0</v>
      </c>
      <c r="D22" s="47">
        <v>4</v>
      </c>
      <c r="E22" s="40" t="s">
        <v>168</v>
      </c>
      <c r="F22" s="40"/>
      <c r="G22" s="40"/>
      <c r="H22" s="40"/>
      <c r="I22" s="40"/>
      <c r="J22" s="40" t="s">
        <v>168</v>
      </c>
      <c r="K22" s="40"/>
      <c r="L22" s="40"/>
      <c r="M22" s="40" t="s">
        <v>168</v>
      </c>
      <c r="N22" s="40"/>
      <c r="O22" s="40" t="s">
        <v>168</v>
      </c>
      <c r="P22" s="40"/>
      <c r="Q22" s="40"/>
      <c r="R22" s="40"/>
      <c r="S22" s="40" t="s">
        <v>168</v>
      </c>
      <c r="T22" s="40"/>
      <c r="U22" s="47" t="s">
        <v>177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>
        <v>4</v>
      </c>
      <c r="D23" s="47">
        <v>5.08</v>
      </c>
      <c r="E23" s="40"/>
      <c r="F23" s="40"/>
      <c r="G23" s="40" t="s">
        <v>168</v>
      </c>
      <c r="H23" s="40"/>
      <c r="I23" s="40"/>
      <c r="J23" s="40" t="s">
        <v>168</v>
      </c>
      <c r="K23" s="40"/>
      <c r="L23" s="40"/>
      <c r="M23" s="40" t="s">
        <v>168</v>
      </c>
      <c r="N23" s="40"/>
      <c r="O23" s="40" t="s">
        <v>168</v>
      </c>
      <c r="P23" s="40"/>
      <c r="Q23" s="40"/>
      <c r="R23" s="40"/>
      <c r="S23" s="40" t="s">
        <v>168</v>
      </c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45"/>
      <c r="B30" s="45"/>
      <c r="C30" s="47"/>
      <c r="D30" s="47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6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3.92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3.92</v>
      </c>
      <c r="K39" s="2" t="str">
        <f>IF(K7="X",(D7-C7),"0")</f>
        <v>0</v>
      </c>
      <c r="L39" s="2" t="str">
        <f>IF(L7="X",(D7-C7),"0")</f>
        <v>0</v>
      </c>
      <c r="M39" s="2" t="str">
        <f>IF(M7="X",(D7-C7),"0")</f>
        <v>0</v>
      </c>
      <c r="N39" s="2">
        <f>IF(N7="X",(D7-C7),"0")</f>
        <v>3.92</v>
      </c>
      <c r="O39" s="2">
        <f>IF(O7="X",(D7-C7),"0")</f>
        <v>3.92</v>
      </c>
      <c r="P39" s="2" t="str">
        <f>IF(P7="X",(D7-C7),"0")</f>
        <v>0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3.92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>
        <f t="shared" ref="H40:H103" si="3">IF(H8="X",(D8-C8),"0")</f>
        <v>2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>
        <f t="shared" ref="K40:K103" si="6">IF(K8="X",(D8-C8),"0")</f>
        <v>2</v>
      </c>
      <c r="L40" s="2" t="str">
        <f t="shared" ref="L40:L103" si="7">IF(L8="X",(D8-C8),"0")</f>
        <v>0</v>
      </c>
      <c r="M40" s="2">
        <f t="shared" ref="M40:M103" si="8">IF(M8="X",(D8-C8),"0")</f>
        <v>2</v>
      </c>
      <c r="N40" s="2" t="str">
        <f t="shared" ref="N40:N103" si="9">IF(N8="X",(D8-C8),"0")</f>
        <v>0</v>
      </c>
      <c r="O40" s="2">
        <f t="shared" ref="O40:O103" si="10">IF(O8="X",(D8-C8),"0")</f>
        <v>2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2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>
        <f t="shared" si="3"/>
        <v>1</v>
      </c>
      <c r="I41" s="2" t="str">
        <f t="shared" si="4"/>
        <v>0</v>
      </c>
      <c r="J41" s="2" t="str">
        <f t="shared" si="5"/>
        <v>0</v>
      </c>
      <c r="K41" s="2">
        <f t="shared" si="6"/>
        <v>1</v>
      </c>
      <c r="L41" s="2" t="str">
        <f t="shared" si="7"/>
        <v>0</v>
      </c>
      <c r="M41" s="2">
        <f t="shared" si="8"/>
        <v>1</v>
      </c>
      <c r="N41" s="2" t="str">
        <f t="shared" si="9"/>
        <v>0</v>
      </c>
      <c r="O41" s="2">
        <f t="shared" si="10"/>
        <v>1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>
        <f t="shared" si="14"/>
        <v>1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>
        <f t="shared" si="3"/>
        <v>4</v>
      </c>
      <c r="I42" s="2" t="str">
        <f t="shared" si="4"/>
        <v>0</v>
      </c>
      <c r="J42" s="2" t="str">
        <f t="shared" si="5"/>
        <v>0</v>
      </c>
      <c r="K42" s="2">
        <f t="shared" si="6"/>
        <v>4</v>
      </c>
      <c r="L42" s="2" t="str">
        <f t="shared" si="7"/>
        <v>0</v>
      </c>
      <c r="M42" s="2">
        <f t="shared" si="8"/>
        <v>4</v>
      </c>
      <c r="N42" s="2" t="str">
        <f t="shared" si="9"/>
        <v>0</v>
      </c>
      <c r="O42" s="2">
        <f t="shared" si="10"/>
        <v>4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>
        <f t="shared" si="14"/>
        <v>4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>
        <f t="shared" si="3"/>
        <v>2.1999999999999993</v>
      </c>
      <c r="I43" s="2" t="str">
        <f t="shared" si="4"/>
        <v>0</v>
      </c>
      <c r="J43" s="2" t="str">
        <f t="shared" si="5"/>
        <v>0</v>
      </c>
      <c r="K43" s="2">
        <f t="shared" si="6"/>
        <v>2.1999999999999993</v>
      </c>
      <c r="L43" s="2" t="str">
        <f t="shared" si="7"/>
        <v>0</v>
      </c>
      <c r="M43" s="2">
        <f t="shared" si="8"/>
        <v>2.1999999999999993</v>
      </c>
      <c r="N43" s="2" t="str">
        <f t="shared" si="9"/>
        <v>0</v>
      </c>
      <c r="O43" s="2">
        <f t="shared" si="10"/>
        <v>2.1999999999999993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>
        <f t="shared" si="14"/>
        <v>2.1999999999999993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>
        <f t="shared" si="3"/>
        <v>0.80000000000000071</v>
      </c>
      <c r="I44" s="2" t="str">
        <f t="shared" si="4"/>
        <v>0</v>
      </c>
      <c r="J44" s="2" t="str">
        <f t="shared" si="5"/>
        <v>0</v>
      </c>
      <c r="K44" s="2">
        <f t="shared" si="6"/>
        <v>0.80000000000000071</v>
      </c>
      <c r="L44" s="2" t="str">
        <f t="shared" si="7"/>
        <v>0</v>
      </c>
      <c r="M44" s="2">
        <f t="shared" si="8"/>
        <v>0.80000000000000071</v>
      </c>
      <c r="N44" s="2" t="str">
        <f t="shared" si="9"/>
        <v>0</v>
      </c>
      <c r="O44" s="2">
        <f t="shared" si="10"/>
        <v>0.80000000000000071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>
        <f t="shared" si="14"/>
        <v>0.80000000000000071</v>
      </c>
      <c r="T44" s="2" t="str">
        <f t="shared" si="15"/>
        <v>0</v>
      </c>
    </row>
    <row r="45" spans="1:20" x14ac:dyDescent="0.25">
      <c r="E45" s="2">
        <f t="shared" si="0"/>
        <v>1</v>
      </c>
      <c r="F45" s="2">
        <f t="shared" si="1"/>
        <v>1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1</v>
      </c>
      <c r="K45" s="2" t="str">
        <f t="shared" si="6"/>
        <v>0</v>
      </c>
      <c r="L45" s="2" t="str">
        <f t="shared" si="7"/>
        <v>0</v>
      </c>
      <c r="M45" s="2">
        <f t="shared" si="8"/>
        <v>1</v>
      </c>
      <c r="N45" s="2" t="str">
        <f t="shared" si="9"/>
        <v>0</v>
      </c>
      <c r="O45" s="2">
        <f t="shared" si="10"/>
        <v>1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>
        <f t="shared" si="14"/>
        <v>1</v>
      </c>
      <c r="T45" s="2" t="str">
        <f t="shared" si="15"/>
        <v>0</v>
      </c>
    </row>
    <row r="46" spans="1:20" x14ac:dyDescent="0.25">
      <c r="E46" s="2">
        <f t="shared" si="0"/>
        <v>6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6</v>
      </c>
      <c r="K46" s="2" t="str">
        <f t="shared" si="6"/>
        <v>0</v>
      </c>
      <c r="L46" s="2" t="str">
        <f t="shared" si="7"/>
        <v>0</v>
      </c>
      <c r="M46" s="2">
        <f t="shared" si="8"/>
        <v>6</v>
      </c>
      <c r="N46" s="2" t="str">
        <f t="shared" si="9"/>
        <v>0</v>
      </c>
      <c r="O46" s="2">
        <f t="shared" si="10"/>
        <v>6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>
        <f t="shared" si="14"/>
        <v>6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>
        <f t="shared" si="1"/>
        <v>2.870000000000001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>
        <f t="shared" si="5"/>
        <v>2.870000000000001</v>
      </c>
      <c r="K47" s="2" t="str">
        <f t="shared" si="6"/>
        <v>0</v>
      </c>
      <c r="L47" s="2" t="str">
        <f t="shared" si="7"/>
        <v>0</v>
      </c>
      <c r="M47" s="2">
        <f t="shared" si="8"/>
        <v>2.870000000000001</v>
      </c>
      <c r="N47" s="2" t="str">
        <f t="shared" si="9"/>
        <v>0</v>
      </c>
      <c r="O47" s="2">
        <f t="shared" si="10"/>
        <v>2.870000000000001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>
        <f t="shared" si="14"/>
        <v>2.870000000000001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>
        <f t="shared" si="1"/>
        <v>1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1</v>
      </c>
      <c r="K48" s="2" t="str">
        <f t="shared" si="6"/>
        <v>0</v>
      </c>
      <c r="L48" s="2" t="str">
        <f t="shared" si="7"/>
        <v>0</v>
      </c>
      <c r="M48" s="2">
        <f t="shared" si="8"/>
        <v>1</v>
      </c>
      <c r="N48" s="2" t="str">
        <f t="shared" si="9"/>
        <v>0</v>
      </c>
      <c r="O48" s="2">
        <f t="shared" si="10"/>
        <v>1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>
        <f t="shared" si="14"/>
        <v>1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>
        <f t="shared" si="1"/>
        <v>1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1</v>
      </c>
      <c r="K49" s="2" t="str">
        <f t="shared" si="6"/>
        <v>0</v>
      </c>
      <c r="L49" s="2" t="str">
        <f t="shared" si="7"/>
        <v>0</v>
      </c>
      <c r="M49" s="2">
        <f t="shared" si="8"/>
        <v>1</v>
      </c>
      <c r="N49" s="2" t="str">
        <f t="shared" si="9"/>
        <v>0</v>
      </c>
      <c r="O49" s="2">
        <f t="shared" si="10"/>
        <v>1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>
        <f t="shared" si="14"/>
        <v>1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>
        <f t="shared" si="1"/>
        <v>2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2</v>
      </c>
      <c r="K50" s="2" t="str">
        <f t="shared" si="6"/>
        <v>0</v>
      </c>
      <c r="L50" s="2" t="str">
        <f t="shared" si="7"/>
        <v>0</v>
      </c>
      <c r="M50" s="2">
        <f t="shared" si="8"/>
        <v>2</v>
      </c>
      <c r="N50" s="2" t="str">
        <f t="shared" si="9"/>
        <v>0</v>
      </c>
      <c r="O50" s="2">
        <f t="shared" si="10"/>
        <v>2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>
        <f t="shared" si="14"/>
        <v>2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>
        <f t="shared" si="1"/>
        <v>1.3600000000000003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1.3600000000000003</v>
      </c>
      <c r="K51" s="2" t="str">
        <f t="shared" si="6"/>
        <v>0</v>
      </c>
      <c r="L51" s="2" t="str">
        <f t="shared" si="7"/>
        <v>0</v>
      </c>
      <c r="M51" s="2">
        <f t="shared" si="8"/>
        <v>1.3600000000000003</v>
      </c>
      <c r="N51" s="2" t="str">
        <f t="shared" si="9"/>
        <v>0</v>
      </c>
      <c r="O51" s="2">
        <f t="shared" si="10"/>
        <v>1.3600000000000003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>
        <f t="shared" si="14"/>
        <v>1.3600000000000003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>
        <f t="shared" si="2"/>
        <v>1.1000000000000001</v>
      </c>
      <c r="H52" s="2" t="str">
        <f t="shared" si="3"/>
        <v>0</v>
      </c>
      <c r="I52" s="2" t="str">
        <f t="shared" si="4"/>
        <v>0</v>
      </c>
      <c r="J52" s="2">
        <f t="shared" si="5"/>
        <v>1.1000000000000001</v>
      </c>
      <c r="K52" s="2" t="str">
        <f t="shared" si="6"/>
        <v>0</v>
      </c>
      <c r="L52" s="2" t="str">
        <f t="shared" si="7"/>
        <v>0</v>
      </c>
      <c r="M52" s="2">
        <f t="shared" si="8"/>
        <v>1.1000000000000001</v>
      </c>
      <c r="N52" s="2" t="str">
        <f t="shared" si="9"/>
        <v>0</v>
      </c>
      <c r="O52" s="2">
        <f t="shared" si="10"/>
        <v>1.1000000000000001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>
        <f t="shared" si="14"/>
        <v>1.1000000000000001</v>
      </c>
      <c r="T52" s="2" t="str">
        <f t="shared" si="15"/>
        <v>0</v>
      </c>
    </row>
    <row r="53" spans="5:20" x14ac:dyDescent="0.25">
      <c r="E53" s="2">
        <f t="shared" si="0"/>
        <v>3.77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>
        <f t="shared" si="5"/>
        <v>3.77</v>
      </c>
      <c r="K53" s="2" t="str">
        <f t="shared" si="6"/>
        <v>0</v>
      </c>
      <c r="L53" s="2" t="str">
        <f t="shared" si="7"/>
        <v>0</v>
      </c>
      <c r="M53" s="2">
        <f t="shared" si="8"/>
        <v>3.77</v>
      </c>
      <c r="N53" s="2" t="str">
        <f t="shared" si="9"/>
        <v>0</v>
      </c>
      <c r="O53" s="2">
        <f t="shared" si="10"/>
        <v>3.77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>
        <f t="shared" si="14"/>
        <v>3.77</v>
      </c>
      <c r="T53" s="2" t="str">
        <f t="shared" si="15"/>
        <v>0</v>
      </c>
    </row>
    <row r="54" spans="5:20" x14ac:dyDescent="0.25">
      <c r="E54" s="2">
        <f t="shared" si="0"/>
        <v>4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>
        <f t="shared" si="5"/>
        <v>4</v>
      </c>
      <c r="K54" s="2" t="str">
        <f t="shared" si="6"/>
        <v>0</v>
      </c>
      <c r="L54" s="2" t="str">
        <f t="shared" si="7"/>
        <v>0</v>
      </c>
      <c r="M54" s="2">
        <f t="shared" si="8"/>
        <v>4</v>
      </c>
      <c r="N54" s="2" t="str">
        <f t="shared" si="9"/>
        <v>0</v>
      </c>
      <c r="O54" s="2">
        <f t="shared" si="10"/>
        <v>4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>
        <f t="shared" si="14"/>
        <v>4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>
        <f t="shared" si="2"/>
        <v>1.08</v>
      </c>
      <c r="H55" s="2" t="str">
        <f t="shared" si="3"/>
        <v>0</v>
      </c>
      <c r="I55" s="2" t="str">
        <f t="shared" si="4"/>
        <v>0</v>
      </c>
      <c r="J55" s="2">
        <f t="shared" si="5"/>
        <v>1.08</v>
      </c>
      <c r="K55" s="2" t="str">
        <f t="shared" si="6"/>
        <v>0</v>
      </c>
      <c r="L55" s="2" t="str">
        <f t="shared" si="7"/>
        <v>0</v>
      </c>
      <c r="M55" s="2">
        <f t="shared" si="8"/>
        <v>1.08</v>
      </c>
      <c r="N55" s="2" t="str">
        <f t="shared" si="9"/>
        <v>0</v>
      </c>
      <c r="O55" s="2">
        <f t="shared" si="10"/>
        <v>1.08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>
        <f t="shared" si="14"/>
        <v>1.08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14.77</v>
      </c>
      <c r="F127" s="16">
        <f t="shared" ref="F127:T127" si="32">SUM(F39:F126)</f>
        <v>9.23</v>
      </c>
      <c r="G127" s="16">
        <f t="shared" si="32"/>
        <v>6.1</v>
      </c>
      <c r="H127" s="16">
        <f t="shared" si="32"/>
        <v>10</v>
      </c>
      <c r="I127" s="16">
        <f t="shared" si="32"/>
        <v>0</v>
      </c>
      <c r="J127" s="16">
        <f t="shared" si="32"/>
        <v>29.1</v>
      </c>
      <c r="K127" s="16">
        <f t="shared" si="32"/>
        <v>10</v>
      </c>
      <c r="L127" s="16">
        <f t="shared" si="32"/>
        <v>0</v>
      </c>
      <c r="M127" s="16">
        <f t="shared" si="32"/>
        <v>35.18</v>
      </c>
      <c r="N127" s="16">
        <f t="shared" si="32"/>
        <v>3.92</v>
      </c>
      <c r="O127" s="16">
        <f t="shared" si="32"/>
        <v>39.1</v>
      </c>
      <c r="P127" s="16">
        <f t="shared" si="32"/>
        <v>0</v>
      </c>
      <c r="Q127" s="16">
        <f t="shared" si="32"/>
        <v>0</v>
      </c>
      <c r="R127" s="16">
        <f t="shared" si="32"/>
        <v>0</v>
      </c>
      <c r="S127" s="16">
        <f t="shared" si="32"/>
        <v>39.1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14D2-FD69-458B-BDD8-4B26CC2A32E0}">
  <dimension ref="A1:AN127"/>
  <sheetViews>
    <sheetView view="pageBreakPreview" zoomScale="55" zoomScaleNormal="70" zoomScaleSheetLayoutView="55" workbookViewId="0">
      <pane ySplit="6" topLeftCell="A7" activePane="bottomLeft" state="frozen"/>
      <selection activeCell="J2" sqref="J2:K2"/>
      <selection pane="bottomLeft" activeCell="K7" sqref="K7:K8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'T.T.'!C15</f>
        <v>RODOVIA TO-110 - TRECHO LAVANDEIRA - COMBINADO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140</v>
      </c>
      <c r="B7" s="40" t="s">
        <v>181</v>
      </c>
      <c r="C7" s="47">
        <v>0</v>
      </c>
      <c r="D7" s="47">
        <v>0.7</v>
      </c>
      <c r="E7" s="40" t="s">
        <v>168</v>
      </c>
      <c r="F7" s="40"/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/>
      <c r="P7" s="40"/>
      <c r="Q7" s="40" t="s">
        <v>168</v>
      </c>
      <c r="R7" s="40"/>
      <c r="S7" s="40" t="s">
        <v>168</v>
      </c>
      <c r="T7" s="40"/>
      <c r="U7" s="47" t="s">
        <v>184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0.7</v>
      </c>
      <c r="D8" s="47">
        <v>1.3</v>
      </c>
      <c r="E8" s="40" t="s">
        <v>168</v>
      </c>
      <c r="F8" s="40"/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/>
      <c r="P8" s="40"/>
      <c r="Q8" s="40" t="s">
        <v>168</v>
      </c>
      <c r="R8" s="40"/>
      <c r="S8" s="40" t="s">
        <v>168</v>
      </c>
      <c r="T8" s="40"/>
      <c r="U8" s="47"/>
    </row>
    <row r="9" spans="1:40" ht="36" customHeight="1" x14ac:dyDescent="0.25">
      <c r="A9" s="40"/>
      <c r="B9" s="40"/>
      <c r="C9" s="47">
        <v>1.3</v>
      </c>
      <c r="D9" s="47">
        <v>2</v>
      </c>
      <c r="E9" s="40"/>
      <c r="F9" s="40" t="s">
        <v>168</v>
      </c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/>
      <c r="P9" s="40" t="s">
        <v>168</v>
      </c>
      <c r="Q9" s="40"/>
      <c r="R9" s="40"/>
      <c r="S9" s="40" t="s">
        <v>168</v>
      </c>
      <c r="T9" s="40"/>
      <c r="U9" s="4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2</v>
      </c>
      <c r="D10" s="47">
        <v>5</v>
      </c>
      <c r="E10" s="40" t="s">
        <v>168</v>
      </c>
      <c r="F10" s="40"/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/>
      <c r="P10" s="40" t="s">
        <v>168</v>
      </c>
      <c r="Q10" s="40"/>
      <c r="R10" s="40"/>
      <c r="S10" s="40" t="s">
        <v>168</v>
      </c>
      <c r="T10" s="40"/>
      <c r="U10" s="47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5</v>
      </c>
      <c r="D11" s="47">
        <v>6.38</v>
      </c>
      <c r="E11" s="40"/>
      <c r="F11" s="40" t="s">
        <v>168</v>
      </c>
      <c r="G11" s="40"/>
      <c r="H11" s="40"/>
      <c r="I11" s="40"/>
      <c r="J11" s="40" t="s">
        <v>168</v>
      </c>
      <c r="K11" s="40"/>
      <c r="L11" s="40" t="s">
        <v>168</v>
      </c>
      <c r="M11" s="40"/>
      <c r="N11" s="40"/>
      <c r="O11" s="40"/>
      <c r="P11" s="40"/>
      <c r="Q11" s="40" t="s">
        <v>168</v>
      </c>
      <c r="R11" s="40"/>
      <c r="S11" s="40" t="s">
        <v>168</v>
      </c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/>
      <c r="D12" s="47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7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7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7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7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7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7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7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7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7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7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7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7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7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7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7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7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7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7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0.7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0.7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0.7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0.7</v>
      </c>
      <c r="R39" s="2" t="str">
        <f>IF(R7="X",(D7-C7),"0")</f>
        <v>0</v>
      </c>
      <c r="S39" s="2">
        <f>IF(S7="X",(D7-C7),"0")</f>
        <v>0.7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0.60000000000000009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0.60000000000000009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0.60000000000000009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>
        <f t="shared" ref="Q40:Q103" si="12">IF(Q8="X",(D8-C8),"0")</f>
        <v>0.60000000000000009</v>
      </c>
      <c r="R40" s="2" t="str">
        <f t="shared" ref="R40:R103" si="13">IF(R8="X",(D8-C8),"0")</f>
        <v>0</v>
      </c>
      <c r="S40" s="2">
        <f t="shared" ref="S40:S103" si="14">IF(S8="X",(D8-C8),"0")</f>
        <v>0.60000000000000009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>
        <f t="shared" si="1"/>
        <v>0.7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0.7</v>
      </c>
      <c r="K41" s="2" t="str">
        <f t="shared" si="6"/>
        <v>0</v>
      </c>
      <c r="L41" s="2" t="str">
        <f t="shared" si="7"/>
        <v>0</v>
      </c>
      <c r="M41" s="2">
        <f t="shared" si="8"/>
        <v>0.7</v>
      </c>
      <c r="N41" s="2" t="str">
        <f t="shared" si="9"/>
        <v>0</v>
      </c>
      <c r="O41" s="2" t="str">
        <f t="shared" si="10"/>
        <v>0</v>
      </c>
      <c r="P41" s="2">
        <f t="shared" si="11"/>
        <v>0.7</v>
      </c>
      <c r="Q41" s="2" t="str">
        <f t="shared" si="12"/>
        <v>0</v>
      </c>
      <c r="R41" s="2" t="str">
        <f t="shared" si="13"/>
        <v>0</v>
      </c>
      <c r="S41" s="2">
        <f t="shared" si="14"/>
        <v>0.7</v>
      </c>
      <c r="T41" s="2" t="str">
        <f t="shared" si="15"/>
        <v>0</v>
      </c>
    </row>
    <row r="42" spans="1:20" x14ac:dyDescent="0.25">
      <c r="E42" s="2">
        <f t="shared" si="0"/>
        <v>3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3</v>
      </c>
      <c r="K42" s="2" t="str">
        <f t="shared" si="6"/>
        <v>0</v>
      </c>
      <c r="L42" s="2" t="str">
        <f t="shared" si="7"/>
        <v>0</v>
      </c>
      <c r="M42" s="2">
        <f t="shared" si="8"/>
        <v>3</v>
      </c>
      <c r="N42" s="2" t="str">
        <f t="shared" si="9"/>
        <v>0</v>
      </c>
      <c r="O42" s="2" t="str">
        <f t="shared" si="10"/>
        <v>0</v>
      </c>
      <c r="P42" s="2">
        <f t="shared" si="11"/>
        <v>3</v>
      </c>
      <c r="Q42" s="2" t="str">
        <f t="shared" si="12"/>
        <v>0</v>
      </c>
      <c r="R42" s="2" t="str">
        <f t="shared" si="13"/>
        <v>0</v>
      </c>
      <c r="S42" s="2">
        <f t="shared" si="14"/>
        <v>3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>
        <f t="shared" si="1"/>
        <v>1.38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1.38</v>
      </c>
      <c r="K43" s="2" t="str">
        <f t="shared" si="6"/>
        <v>0</v>
      </c>
      <c r="L43" s="2">
        <f t="shared" si="7"/>
        <v>1.38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>
        <f t="shared" si="12"/>
        <v>1.38</v>
      </c>
      <c r="R43" s="2" t="str">
        <f t="shared" si="13"/>
        <v>0</v>
      </c>
      <c r="S43" s="2">
        <f t="shared" si="14"/>
        <v>1.38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4.3</v>
      </c>
      <c r="F127" s="16">
        <f t="shared" ref="F127:T127" si="32">SUM(F39:F126)</f>
        <v>2.08</v>
      </c>
      <c r="G127" s="16">
        <f t="shared" si="32"/>
        <v>0</v>
      </c>
      <c r="H127" s="16">
        <f t="shared" si="32"/>
        <v>0</v>
      </c>
      <c r="I127" s="16">
        <f t="shared" si="32"/>
        <v>0</v>
      </c>
      <c r="J127" s="16">
        <f t="shared" si="32"/>
        <v>6.38</v>
      </c>
      <c r="K127" s="16">
        <f t="shared" si="32"/>
        <v>0</v>
      </c>
      <c r="L127" s="16">
        <f t="shared" si="32"/>
        <v>1.38</v>
      </c>
      <c r="M127" s="16">
        <f t="shared" si="32"/>
        <v>5</v>
      </c>
      <c r="N127" s="16">
        <f t="shared" si="32"/>
        <v>0</v>
      </c>
      <c r="O127" s="16">
        <f t="shared" si="32"/>
        <v>0</v>
      </c>
      <c r="P127" s="16">
        <f t="shared" si="32"/>
        <v>3.7</v>
      </c>
      <c r="Q127" s="16">
        <f t="shared" si="32"/>
        <v>2.6799999999999997</v>
      </c>
      <c r="R127" s="16">
        <f t="shared" si="32"/>
        <v>0</v>
      </c>
      <c r="S127" s="16">
        <f t="shared" si="32"/>
        <v>6.38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194A-E7A7-43BC-B595-1D920EF693E4}">
  <sheetPr>
    <tabColor theme="2"/>
  </sheetPr>
  <dimension ref="A1:AN130"/>
  <sheetViews>
    <sheetView view="pageBreakPreview" zoomScale="55" zoomScaleNormal="70" zoomScaleSheetLayoutView="55" workbookViewId="0">
      <pane ySplit="6" topLeftCell="A15" activePane="bottomLeft" state="frozen"/>
      <selection activeCell="J2" sqref="J2:K2"/>
      <selection pane="bottomLeft" activeCell="K17" sqref="K1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'T.T.'!C16</f>
        <v>RODOVIA TO-110 - TRECHO PONTE ALTA DO BOM JESUS - ENTR. BR-242(TAGUATINGA)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146</v>
      </c>
      <c r="B7" s="40" t="s">
        <v>181</v>
      </c>
      <c r="C7" s="47">
        <v>0</v>
      </c>
      <c r="D7" s="47">
        <v>1.1000000000000001</v>
      </c>
      <c r="E7" s="40" t="s">
        <v>168</v>
      </c>
      <c r="F7" s="40" t="s">
        <v>168</v>
      </c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 t="s">
        <v>168</v>
      </c>
      <c r="P7" s="40"/>
      <c r="Q7" s="40"/>
      <c r="R7" s="40"/>
      <c r="S7" s="40" t="s">
        <v>168</v>
      </c>
      <c r="T7" s="40"/>
      <c r="U7" s="44" t="s">
        <v>178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>
        <v>1.1000000000000001</v>
      </c>
      <c r="D8" s="47">
        <v>4</v>
      </c>
      <c r="E8" s="40" t="s">
        <v>168</v>
      </c>
      <c r="F8" s="40"/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 t="s">
        <v>168</v>
      </c>
      <c r="P8" s="40"/>
      <c r="Q8" s="40"/>
      <c r="R8" s="40"/>
      <c r="S8" s="40" t="s">
        <v>168</v>
      </c>
      <c r="T8" s="40"/>
      <c r="U8" s="44"/>
    </row>
    <row r="9" spans="1:40" ht="36" customHeight="1" x14ac:dyDescent="0.25">
      <c r="A9" s="40"/>
      <c r="B9" s="40"/>
      <c r="C9" s="47">
        <v>4</v>
      </c>
      <c r="D9" s="47">
        <v>5</v>
      </c>
      <c r="E9" s="40"/>
      <c r="F9" s="40"/>
      <c r="G9" s="40" t="s">
        <v>168</v>
      </c>
      <c r="H9" s="40"/>
      <c r="I9" s="40"/>
      <c r="J9" s="40" t="s">
        <v>168</v>
      </c>
      <c r="K9" s="40"/>
      <c r="L9" s="40"/>
      <c r="M9" s="40" t="s">
        <v>168</v>
      </c>
      <c r="N9" s="40"/>
      <c r="O9" s="40" t="s">
        <v>168</v>
      </c>
      <c r="P9" s="40"/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>
        <v>5</v>
      </c>
      <c r="D10" s="47">
        <v>12</v>
      </c>
      <c r="E10" s="40" t="s">
        <v>168</v>
      </c>
      <c r="F10" s="40"/>
      <c r="G10" s="40"/>
      <c r="H10" s="40"/>
      <c r="I10" s="40"/>
      <c r="J10" s="40"/>
      <c r="K10" s="40"/>
      <c r="L10" s="40"/>
      <c r="M10" s="40" t="s">
        <v>168</v>
      </c>
      <c r="N10" s="40"/>
      <c r="O10" s="40" t="s">
        <v>168</v>
      </c>
      <c r="P10" s="40"/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v>12</v>
      </c>
      <c r="D11" s="47">
        <v>13</v>
      </c>
      <c r="E11" s="40"/>
      <c r="F11" s="40"/>
      <c r="G11" s="40"/>
      <c r="H11" s="40"/>
      <c r="I11" s="40" t="s">
        <v>168</v>
      </c>
      <c r="J11" s="40"/>
      <c r="K11" s="40"/>
      <c r="L11" s="40"/>
      <c r="M11" s="40" t="s">
        <v>168</v>
      </c>
      <c r="N11" s="40"/>
      <c r="O11" s="40" t="s">
        <v>168</v>
      </c>
      <c r="P11" s="40"/>
      <c r="Q11" s="40"/>
      <c r="R11" s="40"/>
      <c r="S11" s="40" t="s">
        <v>168</v>
      </c>
      <c r="T11" s="40"/>
      <c r="U11" s="44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v>13</v>
      </c>
      <c r="D12" s="47">
        <v>13.1</v>
      </c>
      <c r="E12" s="40"/>
      <c r="F12" s="40"/>
      <c r="G12" s="40"/>
      <c r="H12" s="40"/>
      <c r="I12" s="40" t="s">
        <v>168</v>
      </c>
      <c r="J12" s="40"/>
      <c r="K12" s="40"/>
      <c r="L12" s="40"/>
      <c r="M12" s="40" t="s">
        <v>168</v>
      </c>
      <c r="N12" s="40"/>
      <c r="O12" s="40" t="s">
        <v>168</v>
      </c>
      <c r="P12" s="40"/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>
        <v>13.1</v>
      </c>
      <c r="D13" s="47">
        <v>14</v>
      </c>
      <c r="E13" s="40"/>
      <c r="F13" s="40"/>
      <c r="G13" s="40"/>
      <c r="H13" s="40"/>
      <c r="I13" s="40" t="s">
        <v>168</v>
      </c>
      <c r="J13" s="40"/>
      <c r="K13" s="40"/>
      <c r="L13" s="40"/>
      <c r="M13" s="40" t="s">
        <v>168</v>
      </c>
      <c r="N13" s="40"/>
      <c r="O13" s="40" t="s">
        <v>168</v>
      </c>
      <c r="P13" s="40"/>
      <c r="Q13" s="40"/>
      <c r="R13" s="40"/>
      <c r="S13" s="40" t="s">
        <v>168</v>
      </c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>
        <v>14</v>
      </c>
      <c r="D14" s="47">
        <v>15</v>
      </c>
      <c r="E14" s="40" t="s">
        <v>168</v>
      </c>
      <c r="F14" s="40"/>
      <c r="G14" s="40"/>
      <c r="H14" s="40"/>
      <c r="I14" s="40"/>
      <c r="J14" s="40"/>
      <c r="K14" s="40"/>
      <c r="L14" s="40"/>
      <c r="M14" s="40" t="s">
        <v>168</v>
      </c>
      <c r="N14" s="40"/>
      <c r="O14" s="40" t="s">
        <v>168</v>
      </c>
      <c r="P14" s="40"/>
      <c r="Q14" s="40"/>
      <c r="R14" s="40"/>
      <c r="S14" s="40" t="s">
        <v>168</v>
      </c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>
        <v>15</v>
      </c>
      <c r="D15" s="47">
        <v>16</v>
      </c>
      <c r="E15" s="40"/>
      <c r="F15" s="40"/>
      <c r="G15" s="40" t="s">
        <v>168</v>
      </c>
      <c r="H15" s="40"/>
      <c r="I15" s="40"/>
      <c r="J15" s="40" t="s">
        <v>168</v>
      </c>
      <c r="K15" s="40"/>
      <c r="L15" s="40"/>
      <c r="M15" s="40" t="s">
        <v>168</v>
      </c>
      <c r="N15" s="40"/>
      <c r="O15" s="40" t="s">
        <v>168</v>
      </c>
      <c r="P15" s="40"/>
      <c r="Q15" s="40"/>
      <c r="R15" s="40"/>
      <c r="S15" s="40" t="s">
        <v>168</v>
      </c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>
        <v>16</v>
      </c>
      <c r="D16" s="47">
        <v>17.399999999999999</v>
      </c>
      <c r="E16" s="40" t="s">
        <v>168</v>
      </c>
      <c r="F16" s="40"/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 t="s">
        <v>168</v>
      </c>
      <c r="P16" s="40"/>
      <c r="Q16" s="40"/>
      <c r="R16" s="40"/>
      <c r="S16" s="40" t="s">
        <v>168</v>
      </c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>
        <v>17.399999999999999</v>
      </c>
      <c r="D17" s="47">
        <v>19.02</v>
      </c>
      <c r="E17" s="40"/>
      <c r="F17" s="40" t="s">
        <v>168</v>
      </c>
      <c r="G17" s="40"/>
      <c r="H17" s="40"/>
      <c r="I17" s="40"/>
      <c r="J17" s="40" t="s">
        <v>168</v>
      </c>
      <c r="K17" s="40"/>
      <c r="L17" s="40"/>
      <c r="M17" s="40" t="s">
        <v>168</v>
      </c>
      <c r="N17" s="40"/>
      <c r="O17" s="40" t="s">
        <v>168</v>
      </c>
      <c r="P17" s="40"/>
      <c r="Q17" s="40"/>
      <c r="R17" s="40"/>
      <c r="S17" s="40" t="s">
        <v>168</v>
      </c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s="54" customFormat="1" ht="36" customHeight="1" x14ac:dyDescent="0.25">
      <c r="A18" s="51" t="s">
        <v>144</v>
      </c>
      <c r="B18" s="51" t="s">
        <v>181</v>
      </c>
      <c r="C18" s="52">
        <v>0</v>
      </c>
      <c r="D18" s="52">
        <v>0.2</v>
      </c>
      <c r="E18" s="51"/>
      <c r="F18" s="51"/>
      <c r="G18" s="51" t="s">
        <v>168</v>
      </c>
      <c r="H18" s="51"/>
      <c r="I18" s="51"/>
      <c r="J18" s="51" t="s">
        <v>168</v>
      </c>
      <c r="K18" s="40"/>
      <c r="L18" s="51"/>
      <c r="M18" s="51"/>
      <c r="N18" s="51" t="s">
        <v>168</v>
      </c>
      <c r="O18" s="40" t="s">
        <v>168</v>
      </c>
      <c r="P18" s="51"/>
      <c r="Q18" s="51"/>
      <c r="R18" s="51"/>
      <c r="S18" s="40" t="s">
        <v>168</v>
      </c>
      <c r="T18" s="51"/>
      <c r="U18" s="53" t="s">
        <v>179</v>
      </c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</row>
    <row r="19" spans="1:40" ht="36" customHeight="1" x14ac:dyDescent="0.25">
      <c r="A19" s="40"/>
      <c r="B19" s="40"/>
      <c r="C19" s="47">
        <v>0.2</v>
      </c>
      <c r="D19" s="47">
        <v>1</v>
      </c>
      <c r="E19" s="40" t="s">
        <v>168</v>
      </c>
      <c r="F19" s="40"/>
      <c r="G19" s="40"/>
      <c r="H19" s="40"/>
      <c r="I19" s="40"/>
      <c r="J19" s="40" t="s">
        <v>168</v>
      </c>
      <c r="K19" s="40"/>
      <c r="L19" s="40"/>
      <c r="M19" s="40" t="s">
        <v>168</v>
      </c>
      <c r="N19" s="40"/>
      <c r="O19" s="40" t="s">
        <v>168</v>
      </c>
      <c r="P19" s="40"/>
      <c r="Q19" s="40"/>
      <c r="R19" s="40"/>
      <c r="S19" s="40" t="s">
        <v>168</v>
      </c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>
        <v>1</v>
      </c>
      <c r="D20" s="47">
        <v>2.2000000000000002</v>
      </c>
      <c r="E20" s="40" t="s">
        <v>168</v>
      </c>
      <c r="F20" s="40"/>
      <c r="G20" s="40"/>
      <c r="H20" s="40"/>
      <c r="I20" s="40"/>
      <c r="J20" s="40" t="s">
        <v>168</v>
      </c>
      <c r="K20" s="40"/>
      <c r="L20" s="40"/>
      <c r="M20" s="40" t="s">
        <v>168</v>
      </c>
      <c r="N20" s="40"/>
      <c r="O20" s="40" t="s">
        <v>168</v>
      </c>
      <c r="P20" s="40"/>
      <c r="Q20" s="40"/>
      <c r="R20" s="40"/>
      <c r="S20" s="40" t="s">
        <v>168</v>
      </c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>
        <v>2.2000000000000002</v>
      </c>
      <c r="D21" s="47">
        <v>4</v>
      </c>
      <c r="E21" s="40"/>
      <c r="F21" s="40"/>
      <c r="G21" s="40"/>
      <c r="H21" s="40"/>
      <c r="I21" s="40"/>
      <c r="J21" s="40" t="s">
        <v>168</v>
      </c>
      <c r="K21" s="40"/>
      <c r="L21" s="40"/>
      <c r="M21" s="40" t="s">
        <v>168</v>
      </c>
      <c r="N21" s="40"/>
      <c r="O21" s="40" t="s">
        <v>168</v>
      </c>
      <c r="P21" s="40"/>
      <c r="Q21" s="40"/>
      <c r="R21" s="40"/>
      <c r="S21" s="40" t="s">
        <v>168</v>
      </c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>
        <v>4</v>
      </c>
      <c r="D22" s="47">
        <v>6</v>
      </c>
      <c r="E22" s="40" t="s">
        <v>168</v>
      </c>
      <c r="F22" s="40"/>
      <c r="G22" s="40"/>
      <c r="H22" s="40"/>
      <c r="I22" s="40"/>
      <c r="J22" s="40" t="s">
        <v>168</v>
      </c>
      <c r="K22" s="40"/>
      <c r="L22" s="40"/>
      <c r="M22" s="40" t="s">
        <v>168</v>
      </c>
      <c r="N22" s="40"/>
      <c r="O22" s="40" t="s">
        <v>168</v>
      </c>
      <c r="P22" s="40"/>
      <c r="Q22" s="40"/>
      <c r="R22" s="40"/>
      <c r="S22" s="40" t="s">
        <v>168</v>
      </c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>
        <v>6</v>
      </c>
      <c r="D23" s="47">
        <v>7</v>
      </c>
      <c r="E23" s="40" t="s">
        <v>168</v>
      </c>
      <c r="F23" s="40"/>
      <c r="G23" s="40"/>
      <c r="H23" s="40"/>
      <c r="I23" s="40"/>
      <c r="J23" s="40" t="s">
        <v>168</v>
      </c>
      <c r="K23" s="40"/>
      <c r="L23" s="40"/>
      <c r="M23" s="40" t="s">
        <v>168</v>
      </c>
      <c r="N23" s="40"/>
      <c r="O23" s="40" t="s">
        <v>168</v>
      </c>
      <c r="P23" s="40"/>
      <c r="Q23" s="40"/>
      <c r="R23" s="40"/>
      <c r="S23" s="40" t="s">
        <v>168</v>
      </c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>
        <v>7</v>
      </c>
      <c r="D24" s="47">
        <v>8</v>
      </c>
      <c r="E24" s="40"/>
      <c r="F24" s="40"/>
      <c r="G24" s="40" t="s">
        <v>168</v>
      </c>
      <c r="H24" s="40"/>
      <c r="I24" s="40"/>
      <c r="J24" s="40" t="s">
        <v>168</v>
      </c>
      <c r="K24" s="40"/>
      <c r="L24" s="40"/>
      <c r="M24" s="40" t="s">
        <v>168</v>
      </c>
      <c r="N24" s="40"/>
      <c r="O24" s="40" t="s">
        <v>168</v>
      </c>
      <c r="P24" s="40"/>
      <c r="Q24" s="40"/>
      <c r="R24" s="40"/>
      <c r="S24" s="40" t="s">
        <v>168</v>
      </c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>
        <v>8</v>
      </c>
      <c r="D25" s="47">
        <v>9.17</v>
      </c>
      <c r="E25" s="40"/>
      <c r="F25" s="40"/>
      <c r="G25" s="40" t="s">
        <v>168</v>
      </c>
      <c r="H25" s="40"/>
      <c r="I25" s="40"/>
      <c r="J25" s="40" t="s">
        <v>168</v>
      </c>
      <c r="K25" s="40"/>
      <c r="L25" s="40"/>
      <c r="M25" s="40" t="s">
        <v>168</v>
      </c>
      <c r="N25" s="40"/>
      <c r="O25" s="40" t="s">
        <v>168</v>
      </c>
      <c r="P25" s="40"/>
      <c r="Q25" s="40"/>
      <c r="R25" s="40"/>
      <c r="S25" s="40" t="s">
        <v>168</v>
      </c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 t="s">
        <v>142</v>
      </c>
      <c r="B26" s="40" t="s">
        <v>181</v>
      </c>
      <c r="C26" s="47">
        <v>0</v>
      </c>
      <c r="D26" s="47">
        <v>1</v>
      </c>
      <c r="E26" s="40" t="s">
        <v>168</v>
      </c>
      <c r="F26" s="40"/>
      <c r="G26" s="40"/>
      <c r="H26" s="40"/>
      <c r="I26" s="40"/>
      <c r="J26" s="40" t="s">
        <v>168</v>
      </c>
      <c r="K26" s="40"/>
      <c r="L26" s="40"/>
      <c r="M26" s="40" t="s">
        <v>168</v>
      </c>
      <c r="N26" s="40"/>
      <c r="O26" s="40" t="s">
        <v>168</v>
      </c>
      <c r="P26" s="40"/>
      <c r="Q26" s="40"/>
      <c r="R26" s="40"/>
      <c r="S26" s="40" t="s">
        <v>168</v>
      </c>
      <c r="T26" s="40"/>
      <c r="U26" s="44" t="s">
        <v>180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>
        <v>1</v>
      </c>
      <c r="D27" s="47">
        <v>2</v>
      </c>
      <c r="E27" s="40" t="s">
        <v>168</v>
      </c>
      <c r="F27" s="40"/>
      <c r="G27" s="40"/>
      <c r="H27" s="40"/>
      <c r="I27" s="40"/>
      <c r="J27" s="40" t="s">
        <v>168</v>
      </c>
      <c r="K27" s="40"/>
      <c r="L27" s="40"/>
      <c r="M27" s="40" t="s">
        <v>168</v>
      </c>
      <c r="N27" s="40"/>
      <c r="O27" s="40" t="s">
        <v>168</v>
      </c>
      <c r="P27" s="40"/>
      <c r="Q27" s="40"/>
      <c r="R27" s="40"/>
      <c r="S27" s="40" t="s">
        <v>168</v>
      </c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>
        <v>2</v>
      </c>
      <c r="D28" s="47">
        <v>3.2</v>
      </c>
      <c r="E28" s="40"/>
      <c r="F28" s="40"/>
      <c r="G28" s="40"/>
      <c r="H28" s="40" t="s">
        <v>168</v>
      </c>
      <c r="I28" s="40"/>
      <c r="J28" s="40" t="s">
        <v>168</v>
      </c>
      <c r="K28" s="40"/>
      <c r="L28" s="40"/>
      <c r="M28" s="40" t="s">
        <v>168</v>
      </c>
      <c r="N28" s="40"/>
      <c r="O28" s="40" t="s">
        <v>168</v>
      </c>
      <c r="P28" s="40"/>
      <c r="Q28" s="40"/>
      <c r="R28" s="40"/>
      <c r="S28" s="40" t="s">
        <v>168</v>
      </c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>
        <v>3.2</v>
      </c>
      <c r="D29" s="47">
        <v>6</v>
      </c>
      <c r="E29" s="40" t="s">
        <v>168</v>
      </c>
      <c r="F29" s="40"/>
      <c r="G29" s="40"/>
      <c r="H29" s="40"/>
      <c r="I29" s="40"/>
      <c r="J29" s="40" t="s">
        <v>168</v>
      </c>
      <c r="K29" s="40"/>
      <c r="L29" s="40"/>
      <c r="M29" s="40" t="s">
        <v>168</v>
      </c>
      <c r="N29" s="40"/>
      <c r="O29" s="40" t="s">
        <v>168</v>
      </c>
      <c r="P29" s="40"/>
      <c r="Q29" s="40"/>
      <c r="R29" s="40"/>
      <c r="S29" s="40" t="s">
        <v>168</v>
      </c>
      <c r="T29" s="40"/>
      <c r="U29" s="44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0"/>
      <c r="B30" s="40"/>
      <c r="C30" s="47">
        <v>6</v>
      </c>
      <c r="D30" s="47">
        <v>7.31</v>
      </c>
      <c r="E30" s="40"/>
      <c r="F30" s="40"/>
      <c r="G30" s="40" t="s">
        <v>168</v>
      </c>
      <c r="H30" s="40"/>
      <c r="I30" s="40"/>
      <c r="J30" s="40" t="s">
        <v>168</v>
      </c>
      <c r="K30" s="40"/>
      <c r="L30" s="40"/>
      <c r="M30" s="40"/>
      <c r="N30" s="40" t="s">
        <v>168</v>
      </c>
      <c r="O30" s="40" t="s">
        <v>168</v>
      </c>
      <c r="P30" s="40"/>
      <c r="Q30" s="40"/>
      <c r="R30" s="40"/>
      <c r="S30" s="40" t="s">
        <v>168</v>
      </c>
      <c r="T30" s="40"/>
      <c r="U30" s="44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0"/>
      <c r="B31" s="40"/>
      <c r="C31" s="47"/>
      <c r="D31" s="47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4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0"/>
      <c r="B32" s="40"/>
      <c r="C32" s="47"/>
      <c r="D32" s="47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4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21" ht="36" customHeight="1" thickBot="1" x14ac:dyDescent="0.3">
      <c r="A33" s="45"/>
      <c r="B33" s="45"/>
      <c r="C33" s="47"/>
      <c r="D33" s="47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6"/>
    </row>
    <row r="35" spans="1:21" ht="19.2" x14ac:dyDescent="0.35">
      <c r="A35" s="4" t="s">
        <v>7</v>
      </c>
      <c r="B35" s="11" t="s">
        <v>2</v>
      </c>
      <c r="C35" s="5"/>
      <c r="D35" s="5"/>
      <c r="E35" s="94"/>
      <c r="F35" s="94"/>
    </row>
    <row r="36" spans="1:21" ht="19.2" x14ac:dyDescent="0.35">
      <c r="A36" s="4" t="s">
        <v>9</v>
      </c>
      <c r="B36" s="4" t="s">
        <v>10</v>
      </c>
      <c r="E36" s="4" t="s">
        <v>14</v>
      </c>
      <c r="F36" s="4"/>
      <c r="G36" s="4"/>
      <c r="I36" s="4" t="s">
        <v>5</v>
      </c>
      <c r="J36" s="4" t="s">
        <v>12</v>
      </c>
      <c r="K36" s="1"/>
      <c r="L36" s="1"/>
      <c r="M36" s="4" t="s">
        <v>16</v>
      </c>
      <c r="N36" s="4"/>
      <c r="O36" s="4"/>
    </row>
    <row r="37" spans="1:21" ht="19.2" x14ac:dyDescent="0.35">
      <c r="A37" s="4" t="s">
        <v>4</v>
      </c>
      <c r="B37" s="4" t="s">
        <v>11</v>
      </c>
      <c r="E37" s="4" t="s">
        <v>15</v>
      </c>
      <c r="F37" s="4"/>
      <c r="G37" s="4"/>
      <c r="I37" s="4" t="s">
        <v>6</v>
      </c>
      <c r="J37" s="4" t="s">
        <v>13</v>
      </c>
      <c r="K37" s="1"/>
      <c r="L37" s="1"/>
      <c r="M37" s="4" t="s">
        <v>17</v>
      </c>
      <c r="N37" s="4"/>
      <c r="O37" s="4"/>
    </row>
    <row r="38" spans="1:21" x14ac:dyDescent="0.25">
      <c r="E38" s="1"/>
      <c r="F38" s="1"/>
      <c r="G38" s="1"/>
    </row>
    <row r="39" spans="1:21" x14ac:dyDescent="0.25">
      <c r="E39" s="1"/>
      <c r="F39" s="1"/>
      <c r="G39" s="1"/>
    </row>
    <row r="42" spans="1:21" x14ac:dyDescent="0.25">
      <c r="E42" s="2">
        <f>IF(E7="X",(D7-C7),"0")</f>
        <v>1.1000000000000001</v>
      </c>
      <c r="F42" s="2">
        <f>IF(F7="X",(D7-C7),"0")</f>
        <v>1.1000000000000001</v>
      </c>
      <c r="G42" s="2" t="str">
        <f>IF(G7="X",(D7-C7),"0")</f>
        <v>0</v>
      </c>
      <c r="H42" s="2" t="str">
        <f>IF(H7="X",(D7-C7),"0")</f>
        <v>0</v>
      </c>
      <c r="I42" s="2" t="str">
        <f>IF(I7="X",(D7-C7),"0")</f>
        <v>0</v>
      </c>
      <c r="J42" s="2">
        <f>IF(J7="X",(D7-C7),"0")</f>
        <v>1.1000000000000001</v>
      </c>
      <c r="K42" s="2" t="str">
        <f>IF(K7="X",(D7-C7),"0")</f>
        <v>0</v>
      </c>
      <c r="L42" s="2" t="str">
        <f>IF(L7="X",(D7-C7),"0")</f>
        <v>0</v>
      </c>
      <c r="M42" s="2">
        <f>IF(M7="X",(D7-C7),"0")</f>
        <v>1.1000000000000001</v>
      </c>
      <c r="N42" s="2" t="str">
        <f>IF(N7="X",(D7-C7),"0")</f>
        <v>0</v>
      </c>
      <c r="O42" s="2">
        <f>IF(O7="X",(D7-C7),"0")</f>
        <v>1.1000000000000001</v>
      </c>
      <c r="P42" s="2" t="str">
        <f>IF(P7="X",(D7-C7),"0")</f>
        <v>0</v>
      </c>
      <c r="Q42" s="2" t="str">
        <f>IF(Q7="X",(D7-C7),"0")</f>
        <v>0</v>
      </c>
      <c r="R42" s="2" t="str">
        <f>IF(R7="X",(D7-C7),"0")</f>
        <v>0</v>
      </c>
      <c r="S42" s="2">
        <f>IF(S7="X",(D7-C7),"0")</f>
        <v>1.1000000000000001</v>
      </c>
      <c r="T42" s="2" t="str">
        <f>IF(T7="X",(D7-C7),"0")</f>
        <v>0</v>
      </c>
    </row>
    <row r="43" spans="1:21" x14ac:dyDescent="0.25">
      <c r="E43" s="2">
        <f t="shared" ref="E43:E106" si="0">IF(E8="X",(D8-C8),"0")</f>
        <v>2.9</v>
      </c>
      <c r="F43" s="2" t="str">
        <f t="shared" ref="F43:F106" si="1">IF(F8="X",(D8-C8),"0")</f>
        <v>0</v>
      </c>
      <c r="G43" s="2" t="str">
        <f t="shared" ref="G43:G106" si="2">IF(G8="X",(D8-C8),"0")</f>
        <v>0</v>
      </c>
      <c r="H43" s="2" t="str">
        <f t="shared" ref="H43:H106" si="3">IF(H8="X",(D8-C8),"0")</f>
        <v>0</v>
      </c>
      <c r="I43" s="2" t="str">
        <f t="shared" ref="I43:I106" si="4">IF(I8="X",(D8-C8),"0")</f>
        <v>0</v>
      </c>
      <c r="J43" s="2">
        <f t="shared" ref="J43:J106" si="5">IF(J8="X",(D8-C8),"0")</f>
        <v>2.9</v>
      </c>
      <c r="K43" s="2" t="str">
        <f t="shared" ref="K43:K106" si="6">IF(K8="X",(D8-C8),"0")</f>
        <v>0</v>
      </c>
      <c r="L43" s="2" t="str">
        <f t="shared" ref="L43:L106" si="7">IF(L8="X",(D8-C8),"0")</f>
        <v>0</v>
      </c>
      <c r="M43" s="2">
        <f t="shared" ref="M43:M106" si="8">IF(M8="X",(D8-C8),"0")</f>
        <v>2.9</v>
      </c>
      <c r="N43" s="2" t="str">
        <f t="shared" ref="N43:N106" si="9">IF(N8="X",(D8-C8),"0")</f>
        <v>0</v>
      </c>
      <c r="O43" s="2">
        <f t="shared" ref="O43:O106" si="10">IF(O8="X",(D8-C8),"0")</f>
        <v>2.9</v>
      </c>
      <c r="P43" s="2" t="str">
        <f t="shared" ref="P43:P106" si="11">IF(P8="X",(D8-C8),"0")</f>
        <v>0</v>
      </c>
      <c r="Q43" s="2" t="str">
        <f t="shared" ref="Q43:Q106" si="12">IF(Q8="X",(D8-C8),"0")</f>
        <v>0</v>
      </c>
      <c r="R43" s="2" t="str">
        <f t="shared" ref="R43:R106" si="13">IF(R8="X",(D8-C8),"0")</f>
        <v>0</v>
      </c>
      <c r="S43" s="2">
        <f t="shared" ref="S43:S106" si="14">IF(S8="X",(D8-C8),"0")</f>
        <v>2.9</v>
      </c>
      <c r="T43" s="2" t="str">
        <f t="shared" ref="T43:T106" si="15">IF(T8="X",(D8-C8),"0")</f>
        <v>0</v>
      </c>
    </row>
    <row r="44" spans="1:21" x14ac:dyDescent="0.25">
      <c r="E44" s="2" t="str">
        <f t="shared" si="0"/>
        <v>0</v>
      </c>
      <c r="F44" s="2" t="str">
        <f t="shared" si="1"/>
        <v>0</v>
      </c>
      <c r="G44" s="2">
        <f t="shared" si="2"/>
        <v>1</v>
      </c>
      <c r="H44" s="2" t="str">
        <f t="shared" si="3"/>
        <v>0</v>
      </c>
      <c r="I44" s="2" t="str">
        <f t="shared" si="4"/>
        <v>0</v>
      </c>
      <c r="J44" s="2">
        <f t="shared" si="5"/>
        <v>1</v>
      </c>
      <c r="K44" s="2" t="str">
        <f t="shared" si="6"/>
        <v>0</v>
      </c>
      <c r="L44" s="2" t="str">
        <f t="shared" si="7"/>
        <v>0</v>
      </c>
      <c r="M44" s="2">
        <f t="shared" si="8"/>
        <v>1</v>
      </c>
      <c r="N44" s="2" t="str">
        <f t="shared" si="9"/>
        <v>0</v>
      </c>
      <c r="O44" s="2">
        <f t="shared" si="10"/>
        <v>1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>
        <f t="shared" si="14"/>
        <v>1</v>
      </c>
      <c r="T44" s="2" t="str">
        <f t="shared" si="15"/>
        <v>0</v>
      </c>
    </row>
    <row r="45" spans="1:21" x14ac:dyDescent="0.25">
      <c r="E45" s="2">
        <f t="shared" si="0"/>
        <v>7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>
        <f t="shared" si="8"/>
        <v>7</v>
      </c>
      <c r="N45" s="2" t="str">
        <f t="shared" si="9"/>
        <v>0</v>
      </c>
      <c r="O45" s="2">
        <f t="shared" si="10"/>
        <v>7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>
        <f t="shared" si="14"/>
        <v>7</v>
      </c>
      <c r="T45" s="2" t="str">
        <f t="shared" si="15"/>
        <v>0</v>
      </c>
    </row>
    <row r="46" spans="1:21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>
        <f t="shared" si="4"/>
        <v>1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>
        <f t="shared" si="8"/>
        <v>1</v>
      </c>
      <c r="N46" s="2" t="str">
        <f t="shared" si="9"/>
        <v>0</v>
      </c>
      <c r="O46" s="2">
        <f t="shared" si="10"/>
        <v>1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>
        <f t="shared" si="14"/>
        <v>1</v>
      </c>
      <c r="T46" s="2" t="str">
        <f t="shared" si="15"/>
        <v>0</v>
      </c>
    </row>
    <row r="47" spans="1:21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>
        <f t="shared" si="4"/>
        <v>9.9999999999999645E-2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>
        <f t="shared" si="8"/>
        <v>9.9999999999999645E-2</v>
      </c>
      <c r="N47" s="2" t="str">
        <f t="shared" si="9"/>
        <v>0</v>
      </c>
      <c r="O47" s="2">
        <f t="shared" si="10"/>
        <v>9.9999999999999645E-2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>
        <f t="shared" si="14"/>
        <v>9.9999999999999645E-2</v>
      </c>
      <c r="T47" s="2" t="str">
        <f t="shared" si="15"/>
        <v>0</v>
      </c>
    </row>
    <row r="48" spans="1:21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>
        <f t="shared" si="4"/>
        <v>0.90000000000000036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>
        <f t="shared" si="8"/>
        <v>0.90000000000000036</v>
      </c>
      <c r="N48" s="2" t="str">
        <f t="shared" si="9"/>
        <v>0</v>
      </c>
      <c r="O48" s="2">
        <f t="shared" si="10"/>
        <v>0.90000000000000036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>
        <f t="shared" si="14"/>
        <v>0.90000000000000036</v>
      </c>
      <c r="T48" s="2" t="str">
        <f t="shared" si="15"/>
        <v>0</v>
      </c>
    </row>
    <row r="49" spans="5:20" x14ac:dyDescent="0.25">
      <c r="E49" s="2">
        <f t="shared" si="0"/>
        <v>1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>
        <f t="shared" si="8"/>
        <v>1</v>
      </c>
      <c r="N49" s="2" t="str">
        <f t="shared" si="9"/>
        <v>0</v>
      </c>
      <c r="O49" s="2">
        <f t="shared" si="10"/>
        <v>1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>
        <f t="shared" si="14"/>
        <v>1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>
        <f t="shared" si="2"/>
        <v>1</v>
      </c>
      <c r="H50" s="2" t="str">
        <f t="shared" si="3"/>
        <v>0</v>
      </c>
      <c r="I50" s="2" t="str">
        <f t="shared" si="4"/>
        <v>0</v>
      </c>
      <c r="J50" s="2">
        <f t="shared" si="5"/>
        <v>1</v>
      </c>
      <c r="K50" s="2" t="str">
        <f t="shared" si="6"/>
        <v>0</v>
      </c>
      <c r="L50" s="2" t="str">
        <f t="shared" si="7"/>
        <v>0</v>
      </c>
      <c r="M50" s="2">
        <f t="shared" si="8"/>
        <v>1</v>
      </c>
      <c r="N50" s="2" t="str">
        <f t="shared" si="9"/>
        <v>0</v>
      </c>
      <c r="O50" s="2">
        <f t="shared" si="10"/>
        <v>1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>
        <f t="shared" si="14"/>
        <v>1</v>
      </c>
      <c r="T50" s="2" t="str">
        <f t="shared" si="15"/>
        <v>0</v>
      </c>
    </row>
    <row r="51" spans="5:20" x14ac:dyDescent="0.25">
      <c r="E51" s="2">
        <f t="shared" si="0"/>
        <v>1.3999999999999986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1.3999999999999986</v>
      </c>
      <c r="K51" s="2" t="str">
        <f t="shared" si="6"/>
        <v>0</v>
      </c>
      <c r="L51" s="2" t="str">
        <f t="shared" si="7"/>
        <v>0</v>
      </c>
      <c r="M51" s="2">
        <f t="shared" si="8"/>
        <v>1.3999999999999986</v>
      </c>
      <c r="N51" s="2" t="str">
        <f t="shared" si="9"/>
        <v>0</v>
      </c>
      <c r="O51" s="2">
        <f t="shared" si="10"/>
        <v>1.3999999999999986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>
        <f t="shared" si="14"/>
        <v>1.3999999999999986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>
        <f t="shared" si="1"/>
        <v>1.620000000000001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>
        <f t="shared" si="5"/>
        <v>1.620000000000001</v>
      </c>
      <c r="K52" s="2" t="str">
        <f t="shared" si="6"/>
        <v>0</v>
      </c>
      <c r="L52" s="2" t="str">
        <f t="shared" si="7"/>
        <v>0</v>
      </c>
      <c r="M52" s="2">
        <f t="shared" si="8"/>
        <v>1.620000000000001</v>
      </c>
      <c r="N52" s="2" t="str">
        <f t="shared" si="9"/>
        <v>0</v>
      </c>
      <c r="O52" s="2">
        <f t="shared" si="10"/>
        <v>1.620000000000001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>
        <f t="shared" si="14"/>
        <v>1.620000000000001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>
        <f t="shared" si="2"/>
        <v>0.2</v>
      </c>
      <c r="H53" s="2" t="str">
        <f t="shared" si="3"/>
        <v>0</v>
      </c>
      <c r="I53" s="2" t="str">
        <f t="shared" si="4"/>
        <v>0</v>
      </c>
      <c r="J53" s="2">
        <f t="shared" si="5"/>
        <v>0.2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>
        <f t="shared" si="9"/>
        <v>0.2</v>
      </c>
      <c r="O53" s="2">
        <f t="shared" si="10"/>
        <v>0.2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>
        <f t="shared" si="14"/>
        <v>0.2</v>
      </c>
      <c r="T53" s="2" t="str">
        <f t="shared" si="15"/>
        <v>0</v>
      </c>
    </row>
    <row r="54" spans="5:20" x14ac:dyDescent="0.25">
      <c r="E54" s="2">
        <f t="shared" si="0"/>
        <v>0.8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>
        <f t="shared" si="5"/>
        <v>0.8</v>
      </c>
      <c r="K54" s="2" t="str">
        <f t="shared" si="6"/>
        <v>0</v>
      </c>
      <c r="L54" s="2" t="str">
        <f t="shared" si="7"/>
        <v>0</v>
      </c>
      <c r="M54" s="2">
        <f t="shared" si="8"/>
        <v>0.8</v>
      </c>
      <c r="N54" s="2" t="str">
        <f t="shared" si="9"/>
        <v>0</v>
      </c>
      <c r="O54" s="2">
        <f t="shared" si="10"/>
        <v>0.8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>
        <f t="shared" si="14"/>
        <v>0.8</v>
      </c>
      <c r="T54" s="2" t="str">
        <f t="shared" si="15"/>
        <v>0</v>
      </c>
    </row>
    <row r="55" spans="5:20" x14ac:dyDescent="0.25">
      <c r="E55" s="2">
        <f t="shared" si="0"/>
        <v>1.2000000000000002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>
        <f t="shared" si="5"/>
        <v>1.2000000000000002</v>
      </c>
      <c r="K55" s="2" t="str">
        <f t="shared" si="6"/>
        <v>0</v>
      </c>
      <c r="L55" s="2" t="str">
        <f t="shared" si="7"/>
        <v>0</v>
      </c>
      <c r="M55" s="2">
        <f t="shared" si="8"/>
        <v>1.2000000000000002</v>
      </c>
      <c r="N55" s="2" t="str">
        <f t="shared" si="9"/>
        <v>0</v>
      </c>
      <c r="O55" s="2">
        <f t="shared" si="10"/>
        <v>1.2000000000000002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>
        <f t="shared" si="14"/>
        <v>1.2000000000000002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>
        <f t="shared" si="5"/>
        <v>1.7999999999999998</v>
      </c>
      <c r="K56" s="2" t="str">
        <f t="shared" si="6"/>
        <v>0</v>
      </c>
      <c r="L56" s="2" t="str">
        <f t="shared" si="7"/>
        <v>0</v>
      </c>
      <c r="M56" s="2">
        <f t="shared" si="8"/>
        <v>1.7999999999999998</v>
      </c>
      <c r="N56" s="2" t="str">
        <f t="shared" si="9"/>
        <v>0</v>
      </c>
      <c r="O56" s="2">
        <f t="shared" si="10"/>
        <v>1.7999999999999998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>
        <f t="shared" si="14"/>
        <v>1.7999999999999998</v>
      </c>
      <c r="T56" s="2" t="str">
        <f t="shared" si="15"/>
        <v>0</v>
      </c>
    </row>
    <row r="57" spans="5:20" x14ac:dyDescent="0.25">
      <c r="E57" s="2">
        <f t="shared" si="0"/>
        <v>2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>
        <f t="shared" si="5"/>
        <v>2</v>
      </c>
      <c r="K57" s="2" t="str">
        <f t="shared" si="6"/>
        <v>0</v>
      </c>
      <c r="L57" s="2" t="str">
        <f t="shared" si="7"/>
        <v>0</v>
      </c>
      <c r="M57" s="2">
        <f t="shared" si="8"/>
        <v>2</v>
      </c>
      <c r="N57" s="2" t="str">
        <f t="shared" si="9"/>
        <v>0</v>
      </c>
      <c r="O57" s="2">
        <f t="shared" si="10"/>
        <v>2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>
        <f t="shared" si="14"/>
        <v>2</v>
      </c>
      <c r="T57" s="2" t="str">
        <f t="shared" si="15"/>
        <v>0</v>
      </c>
    </row>
    <row r="58" spans="5:20" x14ac:dyDescent="0.25">
      <c r="E58" s="2">
        <f t="shared" si="0"/>
        <v>1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>
        <f t="shared" si="5"/>
        <v>1</v>
      </c>
      <c r="K58" s="2" t="str">
        <f t="shared" si="6"/>
        <v>0</v>
      </c>
      <c r="L58" s="2" t="str">
        <f t="shared" si="7"/>
        <v>0</v>
      </c>
      <c r="M58" s="2">
        <f t="shared" si="8"/>
        <v>1</v>
      </c>
      <c r="N58" s="2" t="str">
        <f t="shared" si="9"/>
        <v>0</v>
      </c>
      <c r="O58" s="2">
        <f t="shared" si="10"/>
        <v>1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>
        <f t="shared" si="14"/>
        <v>1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>
        <f t="shared" si="2"/>
        <v>1</v>
      </c>
      <c r="H59" s="2" t="str">
        <f t="shared" si="3"/>
        <v>0</v>
      </c>
      <c r="I59" s="2" t="str">
        <f t="shared" si="4"/>
        <v>0</v>
      </c>
      <c r="J59" s="2">
        <f t="shared" si="5"/>
        <v>1</v>
      </c>
      <c r="K59" s="2" t="str">
        <f t="shared" si="6"/>
        <v>0</v>
      </c>
      <c r="L59" s="2" t="str">
        <f t="shared" si="7"/>
        <v>0</v>
      </c>
      <c r="M59" s="2">
        <f t="shared" si="8"/>
        <v>1</v>
      </c>
      <c r="N59" s="2" t="str">
        <f t="shared" si="9"/>
        <v>0</v>
      </c>
      <c r="O59" s="2">
        <f t="shared" si="10"/>
        <v>1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>
        <f t="shared" si="14"/>
        <v>1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>
        <f t="shared" si="2"/>
        <v>1.17</v>
      </c>
      <c r="H60" s="2" t="str">
        <f t="shared" si="3"/>
        <v>0</v>
      </c>
      <c r="I60" s="2" t="str">
        <f t="shared" si="4"/>
        <v>0</v>
      </c>
      <c r="J60" s="2">
        <f t="shared" si="5"/>
        <v>1.17</v>
      </c>
      <c r="K60" s="2" t="str">
        <f t="shared" si="6"/>
        <v>0</v>
      </c>
      <c r="L60" s="2" t="str">
        <f t="shared" si="7"/>
        <v>0</v>
      </c>
      <c r="M60" s="2">
        <f t="shared" si="8"/>
        <v>1.17</v>
      </c>
      <c r="N60" s="2" t="str">
        <f t="shared" si="9"/>
        <v>0</v>
      </c>
      <c r="O60" s="2">
        <f t="shared" si="10"/>
        <v>1.17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>
        <f t="shared" si="14"/>
        <v>1.17</v>
      </c>
      <c r="T60" s="2" t="str">
        <f t="shared" si="15"/>
        <v>0</v>
      </c>
    </row>
    <row r="61" spans="5:20" x14ac:dyDescent="0.25">
      <c r="E61" s="2">
        <f t="shared" si="0"/>
        <v>1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>
        <f t="shared" si="5"/>
        <v>1</v>
      </c>
      <c r="K61" s="2" t="str">
        <f t="shared" si="6"/>
        <v>0</v>
      </c>
      <c r="L61" s="2" t="str">
        <f t="shared" si="7"/>
        <v>0</v>
      </c>
      <c r="M61" s="2">
        <f t="shared" si="8"/>
        <v>1</v>
      </c>
      <c r="N61" s="2" t="str">
        <f t="shared" si="9"/>
        <v>0</v>
      </c>
      <c r="O61" s="2">
        <f t="shared" si="10"/>
        <v>1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>
        <f t="shared" si="14"/>
        <v>1</v>
      </c>
      <c r="T61" s="2" t="str">
        <f t="shared" si="15"/>
        <v>0</v>
      </c>
    </row>
    <row r="62" spans="5:20" x14ac:dyDescent="0.25">
      <c r="E62" s="2">
        <f t="shared" si="0"/>
        <v>1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>
        <f t="shared" si="5"/>
        <v>1</v>
      </c>
      <c r="K62" s="2" t="str">
        <f t="shared" si="6"/>
        <v>0</v>
      </c>
      <c r="L62" s="2" t="str">
        <f t="shared" si="7"/>
        <v>0</v>
      </c>
      <c r="M62" s="2">
        <f t="shared" si="8"/>
        <v>1</v>
      </c>
      <c r="N62" s="2" t="str">
        <f t="shared" si="9"/>
        <v>0</v>
      </c>
      <c r="O62" s="2">
        <f t="shared" si="10"/>
        <v>1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>
        <f t="shared" si="14"/>
        <v>1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>
        <f t="shared" si="3"/>
        <v>1.2000000000000002</v>
      </c>
      <c r="I63" s="2" t="str">
        <f t="shared" si="4"/>
        <v>0</v>
      </c>
      <c r="J63" s="2">
        <f t="shared" si="5"/>
        <v>1.2000000000000002</v>
      </c>
      <c r="K63" s="2" t="str">
        <f t="shared" si="6"/>
        <v>0</v>
      </c>
      <c r="L63" s="2" t="str">
        <f t="shared" si="7"/>
        <v>0</v>
      </c>
      <c r="M63" s="2">
        <f t="shared" si="8"/>
        <v>1.2000000000000002</v>
      </c>
      <c r="N63" s="2" t="str">
        <f t="shared" si="9"/>
        <v>0</v>
      </c>
      <c r="O63" s="2">
        <f t="shared" si="10"/>
        <v>1.2000000000000002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>
        <f t="shared" si="14"/>
        <v>1.2000000000000002</v>
      </c>
      <c r="T63" s="2" t="str">
        <f t="shared" si="15"/>
        <v>0</v>
      </c>
    </row>
    <row r="64" spans="5:20" x14ac:dyDescent="0.25">
      <c r="E64" s="2">
        <f t="shared" si="0"/>
        <v>2.8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>
        <f t="shared" si="5"/>
        <v>2.8</v>
      </c>
      <c r="K64" s="2" t="str">
        <f t="shared" si="6"/>
        <v>0</v>
      </c>
      <c r="L64" s="2" t="str">
        <f t="shared" si="7"/>
        <v>0</v>
      </c>
      <c r="M64" s="2">
        <f t="shared" si="8"/>
        <v>2.8</v>
      </c>
      <c r="N64" s="2" t="str">
        <f t="shared" si="9"/>
        <v>0</v>
      </c>
      <c r="O64" s="2">
        <f t="shared" si="10"/>
        <v>2.8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>
        <f t="shared" si="14"/>
        <v>2.8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>
        <f t="shared" si="2"/>
        <v>1.3099999999999996</v>
      </c>
      <c r="H65" s="2" t="str">
        <f t="shared" si="3"/>
        <v>0</v>
      </c>
      <c r="I65" s="2" t="str">
        <f t="shared" si="4"/>
        <v>0</v>
      </c>
      <c r="J65" s="2">
        <f t="shared" si="5"/>
        <v>1.3099999999999996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>
        <f t="shared" si="9"/>
        <v>1.3099999999999996</v>
      </c>
      <c r="O65" s="2">
        <f t="shared" si="10"/>
        <v>1.3099999999999996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>
        <f t="shared" si="14"/>
        <v>1.3099999999999996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si="0"/>
        <v>0</v>
      </c>
      <c r="F104" s="2" t="str">
        <f t="shared" si="1"/>
        <v>0</v>
      </c>
      <c r="G104" s="2" t="str">
        <f t="shared" si="2"/>
        <v>0</v>
      </c>
      <c r="H104" s="2" t="str">
        <f t="shared" si="3"/>
        <v>0</v>
      </c>
      <c r="I104" s="2" t="str">
        <f t="shared" si="4"/>
        <v>0</v>
      </c>
      <c r="J104" s="2" t="str">
        <f t="shared" si="5"/>
        <v>0</v>
      </c>
      <c r="K104" s="2" t="str">
        <f t="shared" si="6"/>
        <v>0</v>
      </c>
      <c r="L104" s="2" t="str">
        <f t="shared" si="7"/>
        <v>0</v>
      </c>
      <c r="M104" s="2" t="str">
        <f t="shared" si="8"/>
        <v>0</v>
      </c>
      <c r="N104" s="2" t="str">
        <f t="shared" si="9"/>
        <v>0</v>
      </c>
      <c r="O104" s="2" t="str">
        <f t="shared" si="10"/>
        <v>0</v>
      </c>
      <c r="P104" s="2" t="str">
        <f t="shared" si="11"/>
        <v>0</v>
      </c>
      <c r="Q104" s="2" t="str">
        <f t="shared" si="12"/>
        <v>0</v>
      </c>
      <c r="R104" s="2" t="str">
        <f t="shared" si="13"/>
        <v>0</v>
      </c>
      <c r="S104" s="2" t="str">
        <f t="shared" si="14"/>
        <v>0</v>
      </c>
      <c r="T104" s="2" t="str">
        <f t="shared" si="15"/>
        <v>0</v>
      </c>
    </row>
    <row r="105" spans="5:20" x14ac:dyDescent="0.25">
      <c r="E105" s="2" t="str">
        <f t="shared" si="0"/>
        <v>0</v>
      </c>
      <c r="F105" s="2" t="str">
        <f t="shared" si="1"/>
        <v>0</v>
      </c>
      <c r="G105" s="2" t="str">
        <f t="shared" si="2"/>
        <v>0</v>
      </c>
      <c r="H105" s="2" t="str">
        <f t="shared" si="3"/>
        <v>0</v>
      </c>
      <c r="I105" s="2" t="str">
        <f t="shared" si="4"/>
        <v>0</v>
      </c>
      <c r="J105" s="2" t="str">
        <f t="shared" si="5"/>
        <v>0</v>
      </c>
      <c r="K105" s="2" t="str">
        <f t="shared" si="6"/>
        <v>0</v>
      </c>
      <c r="L105" s="2" t="str">
        <f t="shared" si="7"/>
        <v>0</v>
      </c>
      <c r="M105" s="2" t="str">
        <f t="shared" si="8"/>
        <v>0</v>
      </c>
      <c r="N105" s="2" t="str">
        <f t="shared" si="9"/>
        <v>0</v>
      </c>
      <c r="O105" s="2" t="str">
        <f t="shared" si="10"/>
        <v>0</v>
      </c>
      <c r="P105" s="2" t="str">
        <f t="shared" si="11"/>
        <v>0</v>
      </c>
      <c r="Q105" s="2" t="str">
        <f t="shared" si="12"/>
        <v>0</v>
      </c>
      <c r="R105" s="2" t="str">
        <f t="shared" si="13"/>
        <v>0</v>
      </c>
      <c r="S105" s="2" t="str">
        <f t="shared" si="14"/>
        <v>0</v>
      </c>
      <c r="T105" s="2" t="str">
        <f t="shared" si="15"/>
        <v>0</v>
      </c>
    </row>
    <row r="106" spans="5:20" x14ac:dyDescent="0.25">
      <c r="E106" s="2" t="str">
        <f t="shared" si="0"/>
        <v>0</v>
      </c>
      <c r="F106" s="2" t="str">
        <f t="shared" si="1"/>
        <v>0</v>
      </c>
      <c r="G106" s="2" t="str">
        <f t="shared" si="2"/>
        <v>0</v>
      </c>
      <c r="H106" s="2" t="str">
        <f t="shared" si="3"/>
        <v>0</v>
      </c>
      <c r="I106" s="2" t="str">
        <f t="shared" si="4"/>
        <v>0</v>
      </c>
      <c r="J106" s="2" t="str">
        <f t="shared" si="5"/>
        <v>0</v>
      </c>
      <c r="K106" s="2" t="str">
        <f t="shared" si="6"/>
        <v>0</v>
      </c>
      <c r="L106" s="2" t="str">
        <f t="shared" si="7"/>
        <v>0</v>
      </c>
      <c r="M106" s="2" t="str">
        <f t="shared" si="8"/>
        <v>0</v>
      </c>
      <c r="N106" s="2" t="str">
        <f t="shared" si="9"/>
        <v>0</v>
      </c>
      <c r="O106" s="2" t="str">
        <f t="shared" si="10"/>
        <v>0</v>
      </c>
      <c r="P106" s="2" t="str">
        <f t="shared" si="11"/>
        <v>0</v>
      </c>
      <c r="Q106" s="2" t="str">
        <f t="shared" si="12"/>
        <v>0</v>
      </c>
      <c r="R106" s="2" t="str">
        <f t="shared" si="13"/>
        <v>0</v>
      </c>
      <c r="S106" s="2" t="str">
        <f t="shared" si="14"/>
        <v>0</v>
      </c>
      <c r="T106" s="2" t="str">
        <f t="shared" si="15"/>
        <v>0</v>
      </c>
    </row>
    <row r="107" spans="5:20" x14ac:dyDescent="0.25">
      <c r="E107" s="2" t="str">
        <f t="shared" ref="E107:E129" si="16">IF(E72="X",(D72-C72),"0")</f>
        <v>0</v>
      </c>
      <c r="F107" s="2" t="str">
        <f t="shared" ref="F107:F129" si="17">IF(F72="X",(D72-C72),"0")</f>
        <v>0</v>
      </c>
      <c r="G107" s="2" t="str">
        <f t="shared" ref="G107:G129" si="18">IF(G72="X",(D72-C72),"0")</f>
        <v>0</v>
      </c>
      <c r="H107" s="2" t="str">
        <f t="shared" ref="H107:H129" si="19">IF(H72="X",(D72-C72),"0")</f>
        <v>0</v>
      </c>
      <c r="I107" s="2" t="str">
        <f t="shared" ref="I107:I129" si="20">IF(I72="X",(D72-C72),"0")</f>
        <v>0</v>
      </c>
      <c r="J107" s="2" t="str">
        <f t="shared" ref="J107:J129" si="21">IF(J72="X",(D72-C72),"0")</f>
        <v>0</v>
      </c>
      <c r="K107" s="2" t="str">
        <f t="shared" ref="K107:K129" si="22">IF(K72="X",(D72-C72),"0")</f>
        <v>0</v>
      </c>
      <c r="L107" s="2" t="str">
        <f t="shared" ref="L107:L129" si="23">IF(L72="X",(D72-C72),"0")</f>
        <v>0</v>
      </c>
      <c r="M107" s="2" t="str">
        <f t="shared" ref="M107:M129" si="24">IF(M72="X",(D72-C72),"0")</f>
        <v>0</v>
      </c>
      <c r="N107" s="2" t="str">
        <f t="shared" ref="N107:N129" si="25">IF(N72="X",(D72-C72),"0")</f>
        <v>0</v>
      </c>
      <c r="O107" s="2" t="str">
        <f t="shared" ref="O107:O129" si="26">IF(O72="X",(D72-C72),"0")</f>
        <v>0</v>
      </c>
      <c r="P107" s="2" t="str">
        <f t="shared" ref="P107:P129" si="27">IF(P72="X",(D72-C72),"0")</f>
        <v>0</v>
      </c>
      <c r="Q107" s="2" t="str">
        <f t="shared" ref="Q107:Q129" si="28">IF(Q72="X",(D72-C72),"0")</f>
        <v>0</v>
      </c>
      <c r="R107" s="2" t="str">
        <f t="shared" ref="R107:R129" si="29">IF(R72="X",(D72-C72),"0")</f>
        <v>0</v>
      </c>
      <c r="S107" s="2" t="str">
        <f t="shared" ref="S107:S129" si="30">IF(S72="X",(D72-C72),"0")</f>
        <v>0</v>
      </c>
      <c r="T107" s="2" t="str">
        <f t="shared" ref="T107:T129" si="31">IF(T72="X",(D72-C72),"0")</f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28" spans="5:20" x14ac:dyDescent="0.25">
      <c r="E128" s="2" t="str">
        <f t="shared" si="16"/>
        <v>0</v>
      </c>
      <c r="F128" s="2" t="str">
        <f t="shared" si="17"/>
        <v>0</v>
      </c>
      <c r="G128" s="2" t="str">
        <f t="shared" si="18"/>
        <v>0</v>
      </c>
      <c r="H128" s="2" t="str">
        <f t="shared" si="19"/>
        <v>0</v>
      </c>
      <c r="I128" s="2" t="str">
        <f t="shared" si="20"/>
        <v>0</v>
      </c>
      <c r="J128" s="2" t="str">
        <f t="shared" si="21"/>
        <v>0</v>
      </c>
      <c r="K128" s="2" t="str">
        <f t="shared" si="22"/>
        <v>0</v>
      </c>
      <c r="L128" s="2" t="str">
        <f t="shared" si="23"/>
        <v>0</v>
      </c>
      <c r="M128" s="2" t="str">
        <f t="shared" si="24"/>
        <v>0</v>
      </c>
      <c r="N128" s="2" t="str">
        <f t="shared" si="25"/>
        <v>0</v>
      </c>
      <c r="O128" s="2" t="str">
        <f t="shared" si="26"/>
        <v>0</v>
      </c>
      <c r="P128" s="2" t="str">
        <f t="shared" si="27"/>
        <v>0</v>
      </c>
      <c r="Q128" s="2" t="str">
        <f t="shared" si="28"/>
        <v>0</v>
      </c>
      <c r="R128" s="2" t="str">
        <f t="shared" si="29"/>
        <v>0</v>
      </c>
      <c r="S128" s="2" t="str">
        <f t="shared" si="30"/>
        <v>0</v>
      </c>
      <c r="T128" s="2" t="str">
        <f t="shared" si="31"/>
        <v>0</v>
      </c>
    </row>
    <row r="129" spans="5:20" x14ac:dyDescent="0.25">
      <c r="E129" s="2" t="str">
        <f t="shared" si="16"/>
        <v>0</v>
      </c>
      <c r="F129" s="2" t="str">
        <f t="shared" si="17"/>
        <v>0</v>
      </c>
      <c r="G129" s="2" t="str">
        <f t="shared" si="18"/>
        <v>0</v>
      </c>
      <c r="H129" s="2" t="str">
        <f t="shared" si="19"/>
        <v>0</v>
      </c>
      <c r="I129" s="2" t="str">
        <f t="shared" si="20"/>
        <v>0</v>
      </c>
      <c r="J129" s="2" t="str">
        <f t="shared" si="21"/>
        <v>0</v>
      </c>
      <c r="K129" s="2" t="str">
        <f t="shared" si="22"/>
        <v>0</v>
      </c>
      <c r="L129" s="2" t="str">
        <f t="shared" si="23"/>
        <v>0</v>
      </c>
      <c r="M129" s="2" t="str">
        <f t="shared" si="24"/>
        <v>0</v>
      </c>
      <c r="N129" s="2" t="str">
        <f t="shared" si="25"/>
        <v>0</v>
      </c>
      <c r="O129" s="2" t="str">
        <f t="shared" si="26"/>
        <v>0</v>
      </c>
      <c r="P129" s="2" t="str">
        <f t="shared" si="27"/>
        <v>0</v>
      </c>
      <c r="Q129" s="2" t="str">
        <f t="shared" si="28"/>
        <v>0</v>
      </c>
      <c r="R129" s="2" t="str">
        <f t="shared" si="29"/>
        <v>0</v>
      </c>
      <c r="S129" s="2" t="str">
        <f t="shared" si="30"/>
        <v>0</v>
      </c>
      <c r="T129" s="2" t="str">
        <f t="shared" si="31"/>
        <v>0</v>
      </c>
    </row>
    <row r="130" spans="5:20" x14ac:dyDescent="0.25">
      <c r="E130" s="16">
        <f>SUM(E42:E129)</f>
        <v>23.2</v>
      </c>
      <c r="F130" s="16">
        <f t="shared" ref="F130:T130" si="32">SUM(F42:F129)</f>
        <v>2.7200000000000011</v>
      </c>
      <c r="G130" s="16">
        <f t="shared" si="32"/>
        <v>5.68</v>
      </c>
      <c r="H130" s="16">
        <f t="shared" si="32"/>
        <v>1.2000000000000002</v>
      </c>
      <c r="I130" s="16">
        <f t="shared" si="32"/>
        <v>2</v>
      </c>
      <c r="J130" s="16">
        <f t="shared" si="32"/>
        <v>25.499999999999996</v>
      </c>
      <c r="K130" s="16">
        <f t="shared" si="32"/>
        <v>0</v>
      </c>
      <c r="L130" s="16">
        <f t="shared" si="32"/>
        <v>0</v>
      </c>
      <c r="M130" s="16">
        <f t="shared" si="32"/>
        <v>33.99</v>
      </c>
      <c r="N130" s="16">
        <f t="shared" si="32"/>
        <v>1.5099999999999996</v>
      </c>
      <c r="O130" s="16">
        <f t="shared" si="32"/>
        <v>35.5</v>
      </c>
      <c r="P130" s="16">
        <f t="shared" si="32"/>
        <v>0</v>
      </c>
      <c r="Q130" s="16">
        <f t="shared" si="32"/>
        <v>0</v>
      </c>
      <c r="R130" s="16">
        <f t="shared" si="32"/>
        <v>0</v>
      </c>
      <c r="S130" s="16">
        <f t="shared" si="32"/>
        <v>35.5</v>
      </c>
      <c r="T130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5:F35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C9F6-1A8E-4F01-B1F3-03815A2BCF15}">
  <dimension ref="A1:AN134"/>
  <sheetViews>
    <sheetView view="pageBreakPreview" zoomScale="55" zoomScaleNormal="70" zoomScaleSheetLayoutView="55" workbookViewId="0">
      <pane ySplit="6" topLeftCell="A28" activePane="bottomLeft" state="frozen"/>
      <selection activeCell="J2" sqref="J2:K2"/>
      <selection pane="bottomLeft" activeCell="K31" sqref="K31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'T.T.'!C17</f>
        <v>RODOVIA TO-110 - TRECHO TAGUATINGA - AURORA DO TOCANTINS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41" customFormat="1" ht="39" customHeight="1" x14ac:dyDescent="0.4">
      <c r="A5" s="95" t="s">
        <v>1</v>
      </c>
      <c r="B5" s="95" t="s">
        <v>33</v>
      </c>
      <c r="C5" s="99" t="s">
        <v>29</v>
      </c>
      <c r="D5" s="99" t="s">
        <v>30</v>
      </c>
      <c r="E5" s="95" t="s">
        <v>2</v>
      </c>
      <c r="F5" s="95"/>
      <c r="G5" s="95"/>
      <c r="H5" s="95"/>
      <c r="I5" s="95"/>
      <c r="J5" s="95" t="s">
        <v>18</v>
      </c>
      <c r="K5" s="95"/>
      <c r="L5" s="95" t="s">
        <v>32</v>
      </c>
      <c r="M5" s="95"/>
      <c r="N5" s="95"/>
      <c r="O5" s="95" t="s">
        <v>22</v>
      </c>
      <c r="P5" s="95"/>
      <c r="Q5" s="95"/>
      <c r="R5" s="95" t="s">
        <v>25</v>
      </c>
      <c r="S5" s="95"/>
      <c r="T5" s="95"/>
      <c r="U5" s="96" t="s">
        <v>34</v>
      </c>
    </row>
    <row r="6" spans="1:40" s="43" customFormat="1" ht="39" customHeight="1" x14ac:dyDescent="0.4">
      <c r="A6" s="98"/>
      <c r="B6" s="98"/>
      <c r="C6" s="98"/>
      <c r="D6" s="98"/>
      <c r="E6" s="42" t="s">
        <v>3</v>
      </c>
      <c r="F6" s="42" t="s">
        <v>8</v>
      </c>
      <c r="G6" s="42" t="s">
        <v>4</v>
      </c>
      <c r="H6" s="42" t="s">
        <v>5</v>
      </c>
      <c r="I6" s="42" t="s">
        <v>6</v>
      </c>
      <c r="J6" s="42" t="s">
        <v>19</v>
      </c>
      <c r="K6" s="42" t="s">
        <v>35</v>
      </c>
      <c r="L6" s="42" t="s">
        <v>20</v>
      </c>
      <c r="M6" s="42" t="s">
        <v>21</v>
      </c>
      <c r="N6" s="42" t="s">
        <v>31</v>
      </c>
      <c r="O6" s="42" t="s">
        <v>3</v>
      </c>
      <c r="P6" s="42" t="s">
        <v>23</v>
      </c>
      <c r="Q6" s="42" t="s">
        <v>24</v>
      </c>
      <c r="R6" s="42" t="s">
        <v>3</v>
      </c>
      <c r="S6" s="42" t="s">
        <v>26</v>
      </c>
      <c r="T6" s="42" t="s">
        <v>24</v>
      </c>
      <c r="U6" s="97"/>
    </row>
    <row r="7" spans="1:40" ht="36" customHeight="1" x14ac:dyDescent="0.4">
      <c r="A7" s="40" t="s">
        <v>154</v>
      </c>
      <c r="B7" s="40" t="s">
        <v>181</v>
      </c>
      <c r="C7" s="47">
        <v>0</v>
      </c>
      <c r="D7" s="47">
        <v>1</v>
      </c>
      <c r="E7" s="40" t="s">
        <v>168</v>
      </c>
      <c r="F7" s="40"/>
      <c r="G7" s="40"/>
      <c r="H7" s="40"/>
      <c r="I7" s="40"/>
      <c r="J7" s="40" t="s">
        <v>168</v>
      </c>
      <c r="K7" s="40"/>
      <c r="L7" s="40"/>
      <c r="M7" s="40" t="s">
        <v>168</v>
      </c>
      <c r="N7" s="40"/>
      <c r="O7" s="40" t="s">
        <v>168</v>
      </c>
      <c r="P7" s="40"/>
      <c r="Q7" s="40"/>
      <c r="R7" s="40"/>
      <c r="S7" s="40" t="s">
        <v>168</v>
      </c>
      <c r="T7" s="40"/>
      <c r="U7" s="44" t="s">
        <v>170</v>
      </c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</row>
    <row r="8" spans="1:40" ht="36" customHeight="1" x14ac:dyDescent="0.25">
      <c r="A8" s="40"/>
      <c r="B8" s="40"/>
      <c r="C8" s="47">
        <v>1</v>
      </c>
      <c r="D8" s="47">
        <v>2</v>
      </c>
      <c r="E8" s="40"/>
      <c r="F8" s="40" t="s">
        <v>168</v>
      </c>
      <c r="G8" s="40"/>
      <c r="H8" s="40"/>
      <c r="I8" s="40"/>
      <c r="J8" s="40" t="s">
        <v>168</v>
      </c>
      <c r="K8" s="40"/>
      <c r="L8" s="40"/>
      <c r="M8" s="40" t="s">
        <v>168</v>
      </c>
      <c r="N8" s="40"/>
      <c r="O8" s="40" t="s">
        <v>168</v>
      </c>
      <c r="P8" s="40"/>
      <c r="Q8" s="40"/>
      <c r="R8" s="40"/>
      <c r="S8" s="40" t="s">
        <v>168</v>
      </c>
      <c r="T8" s="40"/>
      <c r="U8" s="44"/>
    </row>
    <row r="9" spans="1:40" ht="36" customHeight="1" x14ac:dyDescent="0.4">
      <c r="A9" s="40"/>
      <c r="B9" s="40"/>
      <c r="C9" s="47">
        <v>2</v>
      </c>
      <c r="D9" s="47">
        <v>2.6</v>
      </c>
      <c r="E9" s="40"/>
      <c r="F9" s="40" t="s">
        <v>168</v>
      </c>
      <c r="G9" s="40"/>
      <c r="H9" s="40"/>
      <c r="I9" s="40"/>
      <c r="J9" s="40" t="s">
        <v>168</v>
      </c>
      <c r="K9" s="40"/>
      <c r="L9" s="40"/>
      <c r="M9" s="40" t="s">
        <v>168</v>
      </c>
      <c r="N9" s="40"/>
      <c r="O9" s="40" t="s">
        <v>168</v>
      </c>
      <c r="P9" s="40"/>
      <c r="Q9" s="40"/>
      <c r="R9" s="40"/>
      <c r="S9" s="40" t="s">
        <v>168</v>
      </c>
      <c r="T9" s="40"/>
      <c r="U9" s="44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</row>
    <row r="10" spans="1:40" ht="36" customHeight="1" x14ac:dyDescent="0.4">
      <c r="A10" s="40"/>
      <c r="B10" s="40"/>
      <c r="C10" s="40">
        <v>2.6</v>
      </c>
      <c r="D10" s="47">
        <v>5</v>
      </c>
      <c r="E10" s="40"/>
      <c r="F10" s="40" t="s">
        <v>168</v>
      </c>
      <c r="G10" s="40"/>
      <c r="H10" s="40"/>
      <c r="I10" s="40"/>
      <c r="J10" s="40" t="s">
        <v>168</v>
      </c>
      <c r="K10" s="40"/>
      <c r="L10" s="40"/>
      <c r="M10" s="40" t="s">
        <v>168</v>
      </c>
      <c r="N10" s="40"/>
      <c r="O10" s="40" t="s">
        <v>168</v>
      </c>
      <c r="P10" s="40"/>
      <c r="Q10" s="40"/>
      <c r="R10" s="40"/>
      <c r="S10" s="40" t="s">
        <v>168</v>
      </c>
      <c r="T10" s="40"/>
      <c r="U10" s="44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</row>
    <row r="11" spans="1:40" ht="36" customHeight="1" x14ac:dyDescent="0.35">
      <c r="A11" s="40"/>
      <c r="B11" s="40"/>
      <c r="C11" s="47">
        <v>5</v>
      </c>
      <c r="D11" s="47">
        <v>10</v>
      </c>
      <c r="E11" s="40"/>
      <c r="F11" s="40" t="s">
        <v>168</v>
      </c>
      <c r="G11" s="40"/>
      <c r="H11" s="40"/>
      <c r="I11" s="40"/>
      <c r="J11" s="40" t="s">
        <v>168</v>
      </c>
      <c r="K11" s="40"/>
      <c r="L11" s="40"/>
      <c r="M11" s="40" t="s">
        <v>168</v>
      </c>
      <c r="N11" s="40"/>
      <c r="O11" s="40" t="s">
        <v>168</v>
      </c>
      <c r="P11" s="40"/>
      <c r="Q11" s="40"/>
      <c r="R11" s="40"/>
      <c r="S11" s="40" t="s">
        <v>168</v>
      </c>
      <c r="T11" s="40"/>
      <c r="U11" s="44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36" customHeight="1" x14ac:dyDescent="0.35">
      <c r="A12" s="40"/>
      <c r="B12" s="40"/>
      <c r="C12" s="47">
        <v>10</v>
      </c>
      <c r="D12" s="47">
        <v>12</v>
      </c>
      <c r="E12" s="40" t="s">
        <v>168</v>
      </c>
      <c r="F12" s="40"/>
      <c r="G12" s="40"/>
      <c r="H12" s="40"/>
      <c r="I12" s="40"/>
      <c r="J12" s="40" t="s">
        <v>168</v>
      </c>
      <c r="K12" s="40"/>
      <c r="L12" s="40"/>
      <c r="M12" s="40" t="s">
        <v>168</v>
      </c>
      <c r="N12" s="40"/>
      <c r="O12" s="40" t="s">
        <v>168</v>
      </c>
      <c r="P12" s="40"/>
      <c r="Q12" s="40"/>
      <c r="R12" s="40"/>
      <c r="S12" s="40" t="s">
        <v>168</v>
      </c>
      <c r="T12" s="40"/>
      <c r="U12" s="44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36" customHeight="1" x14ac:dyDescent="0.35">
      <c r="A13" s="40"/>
      <c r="B13" s="40"/>
      <c r="C13" s="47">
        <v>12</v>
      </c>
      <c r="D13" s="47">
        <v>17.899999999999999</v>
      </c>
      <c r="E13" s="40" t="s">
        <v>168</v>
      </c>
      <c r="F13" s="40"/>
      <c r="G13" s="40"/>
      <c r="H13" s="40"/>
      <c r="I13" s="40"/>
      <c r="J13" s="40" t="s">
        <v>168</v>
      </c>
      <c r="K13" s="40"/>
      <c r="L13" s="40"/>
      <c r="M13" s="40" t="s">
        <v>168</v>
      </c>
      <c r="N13" s="40"/>
      <c r="O13" s="40" t="s">
        <v>168</v>
      </c>
      <c r="P13" s="40"/>
      <c r="Q13" s="40"/>
      <c r="R13" s="40"/>
      <c r="S13" s="40" t="s">
        <v>168</v>
      </c>
      <c r="T13" s="40"/>
      <c r="U13" s="44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36" customHeight="1" x14ac:dyDescent="0.35">
      <c r="A14" s="40"/>
      <c r="B14" s="40"/>
      <c r="C14" s="47">
        <v>17.899999999999999</v>
      </c>
      <c r="D14" s="47">
        <v>18.899999999999999</v>
      </c>
      <c r="E14" s="40"/>
      <c r="F14" s="40"/>
      <c r="G14" s="40"/>
      <c r="H14" s="40" t="s">
        <v>168</v>
      </c>
      <c r="I14" s="40"/>
      <c r="J14" s="40" t="s">
        <v>168</v>
      </c>
      <c r="K14" s="40"/>
      <c r="L14" s="40"/>
      <c r="M14" s="40" t="s">
        <v>168</v>
      </c>
      <c r="N14" s="40"/>
      <c r="O14" s="40" t="s">
        <v>168</v>
      </c>
      <c r="P14" s="40"/>
      <c r="Q14" s="40"/>
      <c r="R14" s="40"/>
      <c r="S14" s="40" t="s">
        <v>168</v>
      </c>
      <c r="T14" s="40"/>
      <c r="U14" s="47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36" customHeight="1" x14ac:dyDescent="0.35">
      <c r="A15" s="40"/>
      <c r="B15" s="40"/>
      <c r="C15" s="47">
        <v>18.899999999999999</v>
      </c>
      <c r="D15" s="47">
        <v>19.23</v>
      </c>
      <c r="E15" s="40" t="s">
        <v>168</v>
      </c>
      <c r="F15" s="40"/>
      <c r="G15" s="40"/>
      <c r="H15" s="40"/>
      <c r="I15" s="40"/>
      <c r="J15" s="40" t="s">
        <v>168</v>
      </c>
      <c r="K15" s="40"/>
      <c r="L15" s="40"/>
      <c r="M15" s="40" t="s">
        <v>168</v>
      </c>
      <c r="N15" s="40"/>
      <c r="O15" s="40" t="s">
        <v>168</v>
      </c>
      <c r="P15" s="40"/>
      <c r="Q15" s="40"/>
      <c r="R15" s="40"/>
      <c r="S15" s="40" t="s">
        <v>168</v>
      </c>
      <c r="T15" s="40"/>
      <c r="U15" s="4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36" customHeight="1" x14ac:dyDescent="0.35">
      <c r="A16" s="40" t="s">
        <v>152</v>
      </c>
      <c r="B16" s="40" t="s">
        <v>181</v>
      </c>
      <c r="C16" s="47">
        <v>0</v>
      </c>
      <c r="D16" s="47">
        <v>4</v>
      </c>
      <c r="E16" s="40" t="s">
        <v>168</v>
      </c>
      <c r="F16" s="40"/>
      <c r="G16" s="40"/>
      <c r="H16" s="40"/>
      <c r="I16" s="40"/>
      <c r="J16" s="40" t="s">
        <v>168</v>
      </c>
      <c r="K16" s="40"/>
      <c r="L16" s="40"/>
      <c r="M16" s="40" t="s">
        <v>168</v>
      </c>
      <c r="N16" s="40"/>
      <c r="O16" s="40" t="s">
        <v>168</v>
      </c>
      <c r="P16" s="40"/>
      <c r="Q16" s="40"/>
      <c r="R16" s="40"/>
      <c r="S16" s="40" t="s">
        <v>168</v>
      </c>
      <c r="T16" s="40"/>
      <c r="U16" s="44" t="s">
        <v>169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36" customHeight="1" x14ac:dyDescent="0.35">
      <c r="A17" s="40"/>
      <c r="B17" s="40"/>
      <c r="C17" s="47">
        <v>4</v>
      </c>
      <c r="D17" s="47">
        <v>5.41</v>
      </c>
      <c r="E17" s="40" t="s">
        <v>168</v>
      </c>
      <c r="F17" s="40"/>
      <c r="G17" s="40"/>
      <c r="H17" s="40"/>
      <c r="I17" s="40"/>
      <c r="J17" s="40" t="s">
        <v>168</v>
      </c>
      <c r="K17" s="40"/>
      <c r="L17" s="40"/>
      <c r="M17" s="40" t="s">
        <v>168</v>
      </c>
      <c r="N17" s="40"/>
      <c r="O17" s="40" t="s">
        <v>168</v>
      </c>
      <c r="P17" s="40"/>
      <c r="Q17" s="40"/>
      <c r="R17" s="40"/>
      <c r="S17" s="40" t="s">
        <v>168</v>
      </c>
      <c r="T17" s="40"/>
      <c r="U17" s="4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36" customHeight="1" x14ac:dyDescent="0.35">
      <c r="A18" s="40" t="s">
        <v>150</v>
      </c>
      <c r="B18" s="40" t="s">
        <v>181</v>
      </c>
      <c r="C18" s="47">
        <v>0</v>
      </c>
      <c r="D18" s="47">
        <v>1</v>
      </c>
      <c r="E18" s="40"/>
      <c r="F18" s="40"/>
      <c r="G18" s="40"/>
      <c r="H18" s="40" t="s">
        <v>168</v>
      </c>
      <c r="I18" s="40"/>
      <c r="J18" s="40" t="s">
        <v>168</v>
      </c>
      <c r="K18" s="40"/>
      <c r="L18" s="40"/>
      <c r="M18" s="40" t="s">
        <v>168</v>
      </c>
      <c r="N18" s="40"/>
      <c r="O18" s="40" t="s">
        <v>168</v>
      </c>
      <c r="P18" s="40"/>
      <c r="Q18" s="40"/>
      <c r="R18" s="40"/>
      <c r="S18" s="40" t="s">
        <v>168</v>
      </c>
      <c r="T18" s="40"/>
      <c r="U18" s="47" t="s">
        <v>171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36" customHeight="1" x14ac:dyDescent="0.35">
      <c r="A19" s="40"/>
      <c r="B19" s="40"/>
      <c r="C19" s="47">
        <v>1</v>
      </c>
      <c r="D19" s="47">
        <v>3</v>
      </c>
      <c r="E19" s="40"/>
      <c r="F19" s="40"/>
      <c r="G19" s="40"/>
      <c r="H19" s="40"/>
      <c r="I19" s="40" t="s">
        <v>168</v>
      </c>
      <c r="J19" s="40" t="s">
        <v>168</v>
      </c>
      <c r="K19" s="40"/>
      <c r="L19" s="40"/>
      <c r="M19" s="40" t="s">
        <v>168</v>
      </c>
      <c r="N19" s="40"/>
      <c r="O19" s="40" t="s">
        <v>168</v>
      </c>
      <c r="P19" s="40"/>
      <c r="Q19" s="40"/>
      <c r="R19" s="40"/>
      <c r="S19" s="40" t="s">
        <v>168</v>
      </c>
      <c r="T19" s="40"/>
      <c r="U19" s="4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36" customHeight="1" x14ac:dyDescent="0.35">
      <c r="A20" s="40"/>
      <c r="B20" s="40"/>
      <c r="C20" s="47">
        <v>3</v>
      </c>
      <c r="D20" s="47">
        <v>4.7</v>
      </c>
      <c r="E20" s="40" t="s">
        <v>168</v>
      </c>
      <c r="F20" s="40"/>
      <c r="G20" s="40"/>
      <c r="H20" s="40"/>
      <c r="I20" s="40"/>
      <c r="J20" s="40" t="s">
        <v>168</v>
      </c>
      <c r="K20" s="40"/>
      <c r="L20" s="40"/>
      <c r="M20" s="40" t="s">
        <v>168</v>
      </c>
      <c r="N20" s="40"/>
      <c r="O20" s="40" t="s">
        <v>168</v>
      </c>
      <c r="P20" s="40"/>
      <c r="Q20" s="40"/>
      <c r="R20" s="40"/>
      <c r="S20" s="40" t="s">
        <v>168</v>
      </c>
      <c r="T20" s="40"/>
      <c r="U20" s="44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ht="36" customHeight="1" x14ac:dyDescent="0.35">
      <c r="A21" s="40"/>
      <c r="B21" s="40"/>
      <c r="C21" s="47">
        <v>4.7</v>
      </c>
      <c r="D21" s="47">
        <v>4.8</v>
      </c>
      <c r="E21" s="40"/>
      <c r="F21" s="40"/>
      <c r="G21" s="40"/>
      <c r="H21" s="40"/>
      <c r="I21" s="40" t="s">
        <v>168</v>
      </c>
      <c r="J21" s="40" t="s">
        <v>168</v>
      </c>
      <c r="K21" s="40"/>
      <c r="L21" s="40"/>
      <c r="M21" s="40" t="s">
        <v>168</v>
      </c>
      <c r="N21" s="40"/>
      <c r="O21" s="40" t="s">
        <v>168</v>
      </c>
      <c r="P21" s="40"/>
      <c r="Q21" s="40"/>
      <c r="R21" s="40"/>
      <c r="S21" s="40" t="s">
        <v>168</v>
      </c>
      <c r="T21" s="40"/>
      <c r="U21" s="44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36" customHeight="1" x14ac:dyDescent="0.35">
      <c r="A22" s="40"/>
      <c r="B22" s="40"/>
      <c r="C22" s="47">
        <v>4.8</v>
      </c>
      <c r="D22" s="47">
        <v>6</v>
      </c>
      <c r="E22" s="40"/>
      <c r="F22" s="40"/>
      <c r="G22" s="40"/>
      <c r="H22" s="40" t="s">
        <v>168</v>
      </c>
      <c r="I22" s="40"/>
      <c r="J22" s="40" t="s">
        <v>168</v>
      </c>
      <c r="K22" s="40"/>
      <c r="L22" s="40"/>
      <c r="M22" s="40" t="s">
        <v>168</v>
      </c>
      <c r="N22" s="40"/>
      <c r="O22" s="40" t="s">
        <v>168</v>
      </c>
      <c r="P22" s="40"/>
      <c r="Q22" s="40"/>
      <c r="R22" s="40"/>
      <c r="S22" s="40" t="s">
        <v>168</v>
      </c>
      <c r="T22" s="40"/>
      <c r="U22" s="44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36" customHeight="1" x14ac:dyDescent="0.35">
      <c r="A23" s="40"/>
      <c r="B23" s="40"/>
      <c r="C23" s="47">
        <v>6</v>
      </c>
      <c r="D23" s="47">
        <v>7</v>
      </c>
      <c r="E23" s="40"/>
      <c r="F23" s="40"/>
      <c r="G23" s="40"/>
      <c r="H23" s="40" t="s">
        <v>168</v>
      </c>
      <c r="I23" s="40"/>
      <c r="J23" s="40" t="s">
        <v>168</v>
      </c>
      <c r="K23" s="40"/>
      <c r="L23" s="40"/>
      <c r="M23" s="40" t="s">
        <v>168</v>
      </c>
      <c r="N23" s="40"/>
      <c r="O23" s="40" t="s">
        <v>168</v>
      </c>
      <c r="P23" s="40"/>
      <c r="Q23" s="40"/>
      <c r="R23" s="40"/>
      <c r="S23" s="40" t="s">
        <v>168</v>
      </c>
      <c r="T23" s="40"/>
      <c r="U23" s="44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36" customHeight="1" x14ac:dyDescent="0.35">
      <c r="A24" s="40"/>
      <c r="B24" s="40"/>
      <c r="C24" s="47">
        <v>7</v>
      </c>
      <c r="D24" s="47">
        <v>8</v>
      </c>
      <c r="E24" s="40"/>
      <c r="F24" s="40"/>
      <c r="G24" s="40"/>
      <c r="H24" s="40" t="s">
        <v>168</v>
      </c>
      <c r="I24" s="40"/>
      <c r="J24" s="40" t="s">
        <v>168</v>
      </c>
      <c r="K24" s="40"/>
      <c r="L24" s="40"/>
      <c r="M24" s="40" t="s">
        <v>168</v>
      </c>
      <c r="N24" s="40"/>
      <c r="O24" s="40" t="s">
        <v>168</v>
      </c>
      <c r="P24" s="40"/>
      <c r="Q24" s="40"/>
      <c r="R24" s="40"/>
      <c r="S24" s="40" t="s">
        <v>168</v>
      </c>
      <c r="T24" s="40"/>
      <c r="U24" s="44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36" customHeight="1" x14ac:dyDescent="0.35">
      <c r="A25" s="40"/>
      <c r="B25" s="40"/>
      <c r="C25" s="47">
        <v>8</v>
      </c>
      <c r="D25" s="47">
        <v>10</v>
      </c>
      <c r="E25" s="40"/>
      <c r="F25" s="40" t="s">
        <v>168</v>
      </c>
      <c r="G25" s="40"/>
      <c r="H25" s="40"/>
      <c r="I25" s="40"/>
      <c r="J25" s="40" t="s">
        <v>168</v>
      </c>
      <c r="K25" s="40"/>
      <c r="L25" s="40"/>
      <c r="M25" s="40" t="s">
        <v>168</v>
      </c>
      <c r="N25" s="40"/>
      <c r="O25" s="40" t="s">
        <v>168</v>
      </c>
      <c r="P25" s="40"/>
      <c r="Q25" s="40"/>
      <c r="R25" s="40"/>
      <c r="S25" s="40" t="s">
        <v>168</v>
      </c>
      <c r="T25" s="40"/>
      <c r="U25" s="44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36" customHeight="1" x14ac:dyDescent="0.35">
      <c r="A26" s="40"/>
      <c r="B26" s="40"/>
      <c r="C26" s="47">
        <v>10</v>
      </c>
      <c r="D26" s="47">
        <v>14.7</v>
      </c>
      <c r="E26" s="40" t="s">
        <v>168</v>
      </c>
      <c r="F26" s="40"/>
      <c r="G26" s="40"/>
      <c r="H26" s="40"/>
      <c r="I26" s="40"/>
      <c r="J26" s="40" t="s">
        <v>168</v>
      </c>
      <c r="K26" s="40"/>
      <c r="L26" s="40"/>
      <c r="M26" s="40" t="s">
        <v>168</v>
      </c>
      <c r="N26" s="40"/>
      <c r="O26" s="40" t="s">
        <v>168</v>
      </c>
      <c r="P26" s="40"/>
      <c r="Q26" s="40"/>
      <c r="R26" s="40"/>
      <c r="S26" s="40" t="s">
        <v>168</v>
      </c>
      <c r="T26" s="40"/>
      <c r="U26" s="44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36" customHeight="1" x14ac:dyDescent="0.35">
      <c r="A27" s="40"/>
      <c r="B27" s="40"/>
      <c r="C27" s="47">
        <v>14.7</v>
      </c>
      <c r="D27" s="47">
        <v>19.010000000000002</v>
      </c>
      <c r="E27" s="40" t="s">
        <v>168</v>
      </c>
      <c r="F27" s="40"/>
      <c r="G27" s="40"/>
      <c r="H27" s="40"/>
      <c r="I27" s="40"/>
      <c r="J27" s="40" t="s">
        <v>168</v>
      </c>
      <c r="K27" s="40"/>
      <c r="L27" s="40"/>
      <c r="M27" s="40" t="s">
        <v>168</v>
      </c>
      <c r="N27" s="40"/>
      <c r="O27" s="40" t="s">
        <v>168</v>
      </c>
      <c r="P27" s="40"/>
      <c r="Q27" s="40"/>
      <c r="R27" s="40"/>
      <c r="S27" s="40" t="s">
        <v>168</v>
      </c>
      <c r="T27" s="40"/>
      <c r="U27" s="44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36" customHeight="1" x14ac:dyDescent="0.35">
      <c r="A28" s="40" t="s">
        <v>148</v>
      </c>
      <c r="B28" s="40" t="s">
        <v>181</v>
      </c>
      <c r="C28" s="47">
        <v>0</v>
      </c>
      <c r="D28" s="47">
        <v>0.1</v>
      </c>
      <c r="E28" s="40"/>
      <c r="F28" s="40" t="s">
        <v>168</v>
      </c>
      <c r="G28" s="40"/>
      <c r="H28" s="40"/>
      <c r="I28" s="40"/>
      <c r="J28" s="40" t="s">
        <v>168</v>
      </c>
      <c r="K28" s="40"/>
      <c r="L28" s="40"/>
      <c r="M28" s="40"/>
      <c r="N28" s="40" t="s">
        <v>168</v>
      </c>
      <c r="O28" s="40"/>
      <c r="P28" s="40"/>
      <c r="Q28" s="40" t="s">
        <v>168</v>
      </c>
      <c r="R28" s="40"/>
      <c r="S28" s="40" t="s">
        <v>168</v>
      </c>
      <c r="T28" s="40"/>
      <c r="U28" s="44" t="s">
        <v>172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36" customHeight="1" x14ac:dyDescent="0.35">
      <c r="A29" s="40"/>
      <c r="B29" s="40"/>
      <c r="C29" s="47">
        <v>0.1</v>
      </c>
      <c r="D29" s="47">
        <v>1</v>
      </c>
      <c r="E29" s="40"/>
      <c r="F29" s="40"/>
      <c r="G29" s="40" t="s">
        <v>168</v>
      </c>
      <c r="H29" s="40"/>
      <c r="I29" s="40"/>
      <c r="J29" s="40" t="s">
        <v>168</v>
      </c>
      <c r="K29" s="40"/>
      <c r="L29" s="40"/>
      <c r="M29" s="40"/>
      <c r="N29" s="40" t="s">
        <v>168</v>
      </c>
      <c r="O29" s="40"/>
      <c r="P29" s="40"/>
      <c r="Q29" s="40" t="s">
        <v>168</v>
      </c>
      <c r="R29" s="40"/>
      <c r="S29" s="40" t="s">
        <v>168</v>
      </c>
      <c r="T29" s="40"/>
      <c r="U29" s="44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36" customHeight="1" x14ac:dyDescent="0.35">
      <c r="A30" s="40"/>
      <c r="B30" s="40"/>
      <c r="C30" s="47">
        <v>1</v>
      </c>
      <c r="D30" s="47">
        <v>2</v>
      </c>
      <c r="E30" s="40"/>
      <c r="F30" s="40"/>
      <c r="G30" s="40" t="s">
        <v>168</v>
      </c>
      <c r="H30" s="40"/>
      <c r="I30" s="40"/>
      <c r="J30" s="40" t="s">
        <v>168</v>
      </c>
      <c r="K30" s="40"/>
      <c r="L30" s="40"/>
      <c r="M30" s="40"/>
      <c r="N30" s="40" t="s">
        <v>168</v>
      </c>
      <c r="O30" s="40"/>
      <c r="P30" s="40"/>
      <c r="Q30" s="40" t="s">
        <v>168</v>
      </c>
      <c r="R30" s="40"/>
      <c r="S30" s="40" t="s">
        <v>168</v>
      </c>
      <c r="T30" s="40"/>
      <c r="U30" s="44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36" customHeight="1" x14ac:dyDescent="0.35">
      <c r="A31" s="40"/>
      <c r="B31" s="40"/>
      <c r="C31" s="47">
        <v>2</v>
      </c>
      <c r="D31" s="47">
        <v>3</v>
      </c>
      <c r="E31" s="40"/>
      <c r="F31" s="40"/>
      <c r="G31" s="40" t="s">
        <v>168</v>
      </c>
      <c r="H31" s="40"/>
      <c r="I31" s="40"/>
      <c r="J31" s="40" t="s">
        <v>168</v>
      </c>
      <c r="K31" s="40"/>
      <c r="L31" s="40"/>
      <c r="M31" s="40"/>
      <c r="N31" s="40" t="s">
        <v>168</v>
      </c>
      <c r="O31" s="40"/>
      <c r="P31" s="40"/>
      <c r="Q31" s="40" t="s">
        <v>168</v>
      </c>
      <c r="R31" s="40"/>
      <c r="S31" s="40" t="s">
        <v>168</v>
      </c>
      <c r="T31" s="40"/>
      <c r="U31" s="44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36" customHeight="1" x14ac:dyDescent="0.35">
      <c r="A32" s="40"/>
      <c r="B32" s="40"/>
      <c r="C32" s="47">
        <v>3</v>
      </c>
      <c r="D32" s="47">
        <v>3.63</v>
      </c>
      <c r="E32" s="40"/>
      <c r="F32" s="40" t="s">
        <v>168</v>
      </c>
      <c r="G32" s="40"/>
      <c r="H32" s="40"/>
      <c r="I32" s="40"/>
      <c r="J32" s="40" t="s">
        <v>168</v>
      </c>
      <c r="K32" s="40"/>
      <c r="L32" s="40"/>
      <c r="M32" s="40"/>
      <c r="N32" s="40" t="s">
        <v>168</v>
      </c>
      <c r="O32" s="40"/>
      <c r="P32" s="40"/>
      <c r="Q32" s="40" t="s">
        <v>168</v>
      </c>
      <c r="R32" s="40"/>
      <c r="S32" s="40" t="s">
        <v>168</v>
      </c>
      <c r="T32" s="40"/>
      <c r="U32" s="44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36" customHeight="1" x14ac:dyDescent="0.35">
      <c r="A33" s="40" t="s">
        <v>194</v>
      </c>
      <c r="B33" s="40" t="s">
        <v>181</v>
      </c>
      <c r="C33" s="47">
        <v>0</v>
      </c>
      <c r="D33" s="47">
        <v>1.0900000000000001</v>
      </c>
      <c r="E33" s="40" t="s">
        <v>168</v>
      </c>
      <c r="F33" s="40"/>
      <c r="G33" s="40"/>
      <c r="H33" s="40"/>
      <c r="I33" s="40"/>
      <c r="J33" s="40" t="s">
        <v>168</v>
      </c>
      <c r="K33" s="40"/>
      <c r="L33" s="40"/>
      <c r="M33" s="40" t="s">
        <v>168</v>
      </c>
      <c r="N33" s="40"/>
      <c r="O33" s="40"/>
      <c r="P33" s="40"/>
      <c r="Q33" s="40" t="s">
        <v>168</v>
      </c>
      <c r="R33" s="40"/>
      <c r="S33" s="40" t="s">
        <v>168</v>
      </c>
      <c r="T33" s="40"/>
      <c r="U33" s="44" t="s">
        <v>195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36" customHeight="1" x14ac:dyDescent="0.25">
      <c r="A34" s="40"/>
      <c r="B34" s="40"/>
      <c r="C34" s="47"/>
      <c r="D34" s="47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4"/>
    </row>
    <row r="35" spans="1:40" ht="35.25" customHeight="1" x14ac:dyDescent="0.25">
      <c r="A35" s="40"/>
      <c r="B35" s="40"/>
      <c r="C35" s="47"/>
      <c r="D35" s="47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4"/>
    </row>
    <row r="36" spans="1:40" ht="35.25" customHeight="1" x14ac:dyDescent="0.25">
      <c r="A36" s="40"/>
      <c r="B36" s="40"/>
      <c r="C36" s="47"/>
      <c r="D36" s="47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4"/>
    </row>
    <row r="37" spans="1:40" ht="35.25" customHeight="1" thickBot="1" x14ac:dyDescent="0.3">
      <c r="A37" s="45"/>
      <c r="B37" s="45"/>
      <c r="C37" s="47"/>
      <c r="D37" s="47"/>
      <c r="E37" s="40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6"/>
    </row>
    <row r="39" spans="1:40" ht="19.2" x14ac:dyDescent="0.35">
      <c r="A39" s="4" t="s">
        <v>7</v>
      </c>
      <c r="B39" s="11" t="s">
        <v>2</v>
      </c>
      <c r="C39" s="5"/>
      <c r="D39" s="5"/>
      <c r="E39" s="94"/>
      <c r="F39" s="94"/>
    </row>
    <row r="40" spans="1:40" ht="19.2" x14ac:dyDescent="0.35">
      <c r="A40" s="4" t="s">
        <v>9</v>
      </c>
      <c r="B40" s="4" t="s">
        <v>10</v>
      </c>
      <c r="E40" s="4" t="s">
        <v>14</v>
      </c>
      <c r="F40" s="4"/>
      <c r="G40" s="4"/>
      <c r="I40" s="4" t="s">
        <v>5</v>
      </c>
      <c r="J40" s="4" t="s">
        <v>12</v>
      </c>
      <c r="K40" s="1"/>
      <c r="L40" s="1"/>
      <c r="M40" s="4" t="s">
        <v>16</v>
      </c>
      <c r="N40" s="4"/>
      <c r="O40" s="4"/>
    </row>
    <row r="41" spans="1:40" ht="19.2" x14ac:dyDescent="0.35">
      <c r="A41" s="4" t="s">
        <v>4</v>
      </c>
      <c r="B41" s="4" t="s">
        <v>11</v>
      </c>
      <c r="E41" s="4" t="s">
        <v>15</v>
      </c>
      <c r="F41" s="4"/>
      <c r="G41" s="4"/>
      <c r="I41" s="4" t="s">
        <v>6</v>
      </c>
      <c r="J41" s="4" t="s">
        <v>13</v>
      </c>
      <c r="K41" s="1"/>
      <c r="L41" s="1"/>
      <c r="M41" s="4" t="s">
        <v>17</v>
      </c>
      <c r="N41" s="4"/>
      <c r="O41" s="4"/>
    </row>
    <row r="42" spans="1:40" x14ac:dyDescent="0.25">
      <c r="E42" s="1"/>
      <c r="F42" s="1"/>
      <c r="G42" s="1"/>
    </row>
    <row r="43" spans="1:40" x14ac:dyDescent="0.25">
      <c r="E43" s="1"/>
      <c r="F43" s="1"/>
      <c r="G43" s="1"/>
    </row>
    <row r="46" spans="1:40" x14ac:dyDescent="0.25">
      <c r="E46" s="2">
        <f>IF(E7="X",(D7-C7),"0")</f>
        <v>1</v>
      </c>
      <c r="F46" s="2" t="str">
        <f>IF(F7="X",(D7-C7),"0")</f>
        <v>0</v>
      </c>
      <c r="G46" s="2" t="str">
        <f>IF(G7="X",(D7-C7),"0")</f>
        <v>0</v>
      </c>
      <c r="H46" s="2" t="str">
        <f>IF(H7="X",(D7-C7),"0")</f>
        <v>0</v>
      </c>
      <c r="I46" s="2" t="str">
        <f>IF(I7="X",(D7-C7),"0")</f>
        <v>0</v>
      </c>
      <c r="J46" s="2">
        <f>IF(J7="X",(D7-C7),"0")</f>
        <v>1</v>
      </c>
      <c r="K46" s="2" t="str">
        <f>IF(K7="X",(D7-C7),"0")</f>
        <v>0</v>
      </c>
      <c r="L46" s="2" t="str">
        <f>IF(L7="X",(D7-C7),"0")</f>
        <v>0</v>
      </c>
      <c r="M46" s="2">
        <f>IF(M7="X",(D7-C7),"0")</f>
        <v>1</v>
      </c>
      <c r="N46" s="2" t="str">
        <f>IF(N7="X",(D7-C7),"0")</f>
        <v>0</v>
      </c>
      <c r="O46" s="2">
        <f>IF(O7="X",(D7-C7),"0")</f>
        <v>1</v>
      </c>
      <c r="P46" s="2" t="str">
        <f>IF(P7="X",(D7-C7),"0")</f>
        <v>0</v>
      </c>
      <c r="Q46" s="2" t="str">
        <f>IF(Q7="X",(D7-C7),"0")</f>
        <v>0</v>
      </c>
      <c r="R46" s="2" t="str">
        <f>IF(R7="X",(D7-C7),"0")</f>
        <v>0</v>
      </c>
      <c r="S46" s="2">
        <f>IF(S7="X",(D7-C7),"0")</f>
        <v>1</v>
      </c>
      <c r="T46" s="2" t="str">
        <f>IF(T7="X",(D7-C7),"0")</f>
        <v>0</v>
      </c>
    </row>
    <row r="47" spans="1:40" x14ac:dyDescent="0.25">
      <c r="E47" s="2" t="str">
        <f t="shared" ref="E47:E110" si="0">IF(E8="X",(D8-C8),"0")</f>
        <v>0</v>
      </c>
      <c r="F47" s="2">
        <f t="shared" ref="F47:F110" si="1">IF(F8="X",(D8-C8),"0")</f>
        <v>1</v>
      </c>
      <c r="G47" s="2" t="str">
        <f t="shared" ref="G47:G110" si="2">IF(G8="X",(D8-C8),"0")</f>
        <v>0</v>
      </c>
      <c r="H47" s="2" t="str">
        <f t="shared" ref="H47:H110" si="3">IF(H8="X",(D8-C8),"0")</f>
        <v>0</v>
      </c>
      <c r="I47" s="2" t="str">
        <f t="shared" ref="I47:I110" si="4">IF(I8="X",(D8-C8),"0")</f>
        <v>0</v>
      </c>
      <c r="J47" s="2">
        <f t="shared" ref="J47:J110" si="5">IF(J8="X",(D8-C8),"0")</f>
        <v>1</v>
      </c>
      <c r="K47" s="2" t="str">
        <f t="shared" ref="K47:K110" si="6">IF(K8="X",(D8-C8),"0")</f>
        <v>0</v>
      </c>
      <c r="L47" s="2" t="str">
        <f t="shared" ref="L47:L110" si="7">IF(L8="X",(D8-C8),"0")</f>
        <v>0</v>
      </c>
      <c r="M47" s="2">
        <f t="shared" ref="M47:M110" si="8">IF(M8="X",(D8-C8),"0")</f>
        <v>1</v>
      </c>
      <c r="N47" s="2" t="str">
        <f t="shared" ref="N47:N110" si="9">IF(N8="X",(D8-C8),"0")</f>
        <v>0</v>
      </c>
      <c r="O47" s="2">
        <f t="shared" ref="O47:O110" si="10">IF(O8="X",(D8-C8),"0")</f>
        <v>1</v>
      </c>
      <c r="P47" s="2" t="str">
        <f t="shared" ref="P47:P110" si="11">IF(P8="X",(D8-C8),"0")</f>
        <v>0</v>
      </c>
      <c r="Q47" s="2" t="str">
        <f t="shared" ref="Q47:Q110" si="12">IF(Q8="X",(D8-C8),"0")</f>
        <v>0</v>
      </c>
      <c r="R47" s="2" t="str">
        <f t="shared" ref="R47:R110" si="13">IF(R8="X",(D8-C8),"0")</f>
        <v>0</v>
      </c>
      <c r="S47" s="2">
        <f t="shared" ref="S47:S110" si="14">IF(S8="X",(D8-C8),"0")</f>
        <v>1</v>
      </c>
      <c r="T47" s="2" t="str">
        <f t="shared" ref="T47:T110" si="15">IF(T8="X",(D8-C8),"0")</f>
        <v>0</v>
      </c>
    </row>
    <row r="48" spans="1:40" x14ac:dyDescent="0.25">
      <c r="E48" s="2" t="str">
        <f t="shared" si="0"/>
        <v>0</v>
      </c>
      <c r="F48" s="2">
        <f t="shared" si="1"/>
        <v>0.60000000000000009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0.60000000000000009</v>
      </c>
      <c r="K48" s="2" t="str">
        <f t="shared" si="6"/>
        <v>0</v>
      </c>
      <c r="L48" s="2" t="str">
        <f t="shared" si="7"/>
        <v>0</v>
      </c>
      <c r="M48" s="2">
        <f t="shared" si="8"/>
        <v>0.60000000000000009</v>
      </c>
      <c r="N48" s="2" t="str">
        <f t="shared" si="9"/>
        <v>0</v>
      </c>
      <c r="O48" s="2">
        <f t="shared" si="10"/>
        <v>0.60000000000000009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>
        <f t="shared" si="14"/>
        <v>0.60000000000000009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>
        <f t="shared" si="1"/>
        <v>2.4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>
        <f t="shared" si="5"/>
        <v>2.4</v>
      </c>
      <c r="K49" s="2" t="str">
        <f t="shared" si="6"/>
        <v>0</v>
      </c>
      <c r="L49" s="2" t="str">
        <f t="shared" si="7"/>
        <v>0</v>
      </c>
      <c r="M49" s="2">
        <f t="shared" si="8"/>
        <v>2.4</v>
      </c>
      <c r="N49" s="2" t="str">
        <f t="shared" si="9"/>
        <v>0</v>
      </c>
      <c r="O49" s="2">
        <f t="shared" si="10"/>
        <v>2.4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>
        <f t="shared" si="14"/>
        <v>2.4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>
        <f t="shared" si="1"/>
        <v>5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>
        <f t="shared" si="5"/>
        <v>5</v>
      </c>
      <c r="K50" s="2" t="str">
        <f t="shared" si="6"/>
        <v>0</v>
      </c>
      <c r="L50" s="2" t="str">
        <f t="shared" si="7"/>
        <v>0</v>
      </c>
      <c r="M50" s="2">
        <f t="shared" si="8"/>
        <v>5</v>
      </c>
      <c r="N50" s="2" t="str">
        <f t="shared" si="9"/>
        <v>0</v>
      </c>
      <c r="O50" s="2">
        <f t="shared" si="10"/>
        <v>5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>
        <f t="shared" si="14"/>
        <v>5</v>
      </c>
      <c r="T50" s="2" t="str">
        <f t="shared" si="15"/>
        <v>0</v>
      </c>
    </row>
    <row r="51" spans="5:20" x14ac:dyDescent="0.25">
      <c r="E51" s="2">
        <f t="shared" si="0"/>
        <v>2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>
        <f t="shared" si="5"/>
        <v>2</v>
      </c>
      <c r="K51" s="2" t="str">
        <f t="shared" si="6"/>
        <v>0</v>
      </c>
      <c r="L51" s="2" t="str">
        <f t="shared" si="7"/>
        <v>0</v>
      </c>
      <c r="M51" s="2">
        <f t="shared" si="8"/>
        <v>2</v>
      </c>
      <c r="N51" s="2" t="str">
        <f t="shared" si="9"/>
        <v>0</v>
      </c>
      <c r="O51" s="2">
        <f t="shared" si="10"/>
        <v>2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>
        <f t="shared" si="14"/>
        <v>2</v>
      </c>
      <c r="T51" s="2" t="str">
        <f t="shared" si="15"/>
        <v>0</v>
      </c>
    </row>
    <row r="52" spans="5:20" x14ac:dyDescent="0.25">
      <c r="E52" s="2">
        <f t="shared" si="0"/>
        <v>5.8999999999999986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>
        <f t="shared" si="5"/>
        <v>5.8999999999999986</v>
      </c>
      <c r="K52" s="2" t="str">
        <f t="shared" si="6"/>
        <v>0</v>
      </c>
      <c r="L52" s="2" t="str">
        <f t="shared" si="7"/>
        <v>0</v>
      </c>
      <c r="M52" s="2">
        <f t="shared" si="8"/>
        <v>5.8999999999999986</v>
      </c>
      <c r="N52" s="2" t="str">
        <f t="shared" si="9"/>
        <v>0</v>
      </c>
      <c r="O52" s="2">
        <f t="shared" si="10"/>
        <v>5.8999999999999986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>
        <f t="shared" si="14"/>
        <v>5.8999999999999986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>
        <f t="shared" si="3"/>
        <v>1</v>
      </c>
      <c r="I53" s="2" t="str">
        <f t="shared" si="4"/>
        <v>0</v>
      </c>
      <c r="J53" s="2">
        <f t="shared" si="5"/>
        <v>1</v>
      </c>
      <c r="K53" s="2" t="str">
        <f t="shared" si="6"/>
        <v>0</v>
      </c>
      <c r="L53" s="2" t="str">
        <f t="shared" si="7"/>
        <v>0</v>
      </c>
      <c r="M53" s="2">
        <f t="shared" si="8"/>
        <v>1</v>
      </c>
      <c r="N53" s="2" t="str">
        <f t="shared" si="9"/>
        <v>0</v>
      </c>
      <c r="O53" s="2">
        <f t="shared" si="10"/>
        <v>1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>
        <f t="shared" si="14"/>
        <v>1</v>
      </c>
      <c r="T53" s="2" t="str">
        <f t="shared" si="15"/>
        <v>0</v>
      </c>
    </row>
    <row r="54" spans="5:20" x14ac:dyDescent="0.25">
      <c r="E54" s="2">
        <f t="shared" si="0"/>
        <v>0.33000000000000185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>
        <f t="shared" si="5"/>
        <v>0.33000000000000185</v>
      </c>
      <c r="K54" s="2" t="str">
        <f t="shared" si="6"/>
        <v>0</v>
      </c>
      <c r="L54" s="2" t="str">
        <f t="shared" si="7"/>
        <v>0</v>
      </c>
      <c r="M54" s="2">
        <f t="shared" si="8"/>
        <v>0.33000000000000185</v>
      </c>
      <c r="N54" s="2" t="str">
        <f t="shared" si="9"/>
        <v>0</v>
      </c>
      <c r="O54" s="2">
        <f t="shared" si="10"/>
        <v>0.33000000000000185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>
        <f t="shared" si="14"/>
        <v>0.33000000000000185</v>
      </c>
      <c r="T54" s="2" t="str">
        <f t="shared" si="15"/>
        <v>0</v>
      </c>
    </row>
    <row r="55" spans="5:20" x14ac:dyDescent="0.25">
      <c r="E55" s="2">
        <f t="shared" si="0"/>
        <v>4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>
        <f t="shared" si="5"/>
        <v>4</v>
      </c>
      <c r="K55" s="2" t="str">
        <f t="shared" si="6"/>
        <v>0</v>
      </c>
      <c r="L55" s="2" t="str">
        <f t="shared" si="7"/>
        <v>0</v>
      </c>
      <c r="M55" s="2">
        <f t="shared" si="8"/>
        <v>4</v>
      </c>
      <c r="N55" s="2" t="str">
        <f t="shared" si="9"/>
        <v>0</v>
      </c>
      <c r="O55" s="2">
        <f t="shared" si="10"/>
        <v>4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>
        <f t="shared" si="14"/>
        <v>4</v>
      </c>
      <c r="T55" s="2" t="str">
        <f t="shared" si="15"/>
        <v>0</v>
      </c>
    </row>
    <row r="56" spans="5:20" x14ac:dyDescent="0.25">
      <c r="E56" s="2">
        <f t="shared" si="0"/>
        <v>1.4100000000000001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>
        <f t="shared" si="5"/>
        <v>1.4100000000000001</v>
      </c>
      <c r="K56" s="2" t="str">
        <f t="shared" si="6"/>
        <v>0</v>
      </c>
      <c r="L56" s="2" t="str">
        <f t="shared" si="7"/>
        <v>0</v>
      </c>
      <c r="M56" s="2">
        <f t="shared" si="8"/>
        <v>1.4100000000000001</v>
      </c>
      <c r="N56" s="2" t="str">
        <f t="shared" si="9"/>
        <v>0</v>
      </c>
      <c r="O56" s="2">
        <f t="shared" si="10"/>
        <v>1.4100000000000001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>
        <f t="shared" si="14"/>
        <v>1.4100000000000001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>
        <f t="shared" si="3"/>
        <v>1</v>
      </c>
      <c r="I57" s="2" t="str">
        <f t="shared" si="4"/>
        <v>0</v>
      </c>
      <c r="J57" s="2">
        <f t="shared" si="5"/>
        <v>1</v>
      </c>
      <c r="K57" s="2" t="str">
        <f t="shared" si="6"/>
        <v>0</v>
      </c>
      <c r="L57" s="2" t="str">
        <f t="shared" si="7"/>
        <v>0</v>
      </c>
      <c r="M57" s="2">
        <f t="shared" si="8"/>
        <v>1</v>
      </c>
      <c r="N57" s="2" t="str">
        <f t="shared" si="9"/>
        <v>0</v>
      </c>
      <c r="O57" s="2">
        <f t="shared" si="10"/>
        <v>1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>
        <f t="shared" si="14"/>
        <v>1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>
        <f t="shared" si="4"/>
        <v>2</v>
      </c>
      <c r="J58" s="2">
        <f t="shared" si="5"/>
        <v>2</v>
      </c>
      <c r="K58" s="2" t="str">
        <f t="shared" si="6"/>
        <v>0</v>
      </c>
      <c r="L58" s="2" t="str">
        <f t="shared" si="7"/>
        <v>0</v>
      </c>
      <c r="M58" s="2">
        <f t="shared" si="8"/>
        <v>2</v>
      </c>
      <c r="N58" s="2" t="str">
        <f t="shared" si="9"/>
        <v>0</v>
      </c>
      <c r="O58" s="2">
        <f t="shared" si="10"/>
        <v>2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>
        <f t="shared" si="14"/>
        <v>2</v>
      </c>
      <c r="T58" s="2" t="str">
        <f t="shared" si="15"/>
        <v>0</v>
      </c>
    </row>
    <row r="59" spans="5:20" x14ac:dyDescent="0.25">
      <c r="E59" s="2">
        <f t="shared" si="0"/>
        <v>1.7000000000000002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>
        <f t="shared" si="5"/>
        <v>1.7000000000000002</v>
      </c>
      <c r="K59" s="2" t="str">
        <f t="shared" si="6"/>
        <v>0</v>
      </c>
      <c r="L59" s="2" t="str">
        <f t="shared" si="7"/>
        <v>0</v>
      </c>
      <c r="M59" s="2">
        <f t="shared" si="8"/>
        <v>1.7000000000000002</v>
      </c>
      <c r="N59" s="2" t="str">
        <f t="shared" si="9"/>
        <v>0</v>
      </c>
      <c r="O59" s="2">
        <f t="shared" si="10"/>
        <v>1.7000000000000002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>
        <f t="shared" si="14"/>
        <v>1.7000000000000002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>
        <f t="shared" si="4"/>
        <v>9.9999999999999645E-2</v>
      </c>
      <c r="J60" s="2">
        <f t="shared" si="5"/>
        <v>9.9999999999999645E-2</v>
      </c>
      <c r="K60" s="2" t="str">
        <f t="shared" si="6"/>
        <v>0</v>
      </c>
      <c r="L60" s="2" t="str">
        <f t="shared" si="7"/>
        <v>0</v>
      </c>
      <c r="M60" s="2">
        <f t="shared" si="8"/>
        <v>9.9999999999999645E-2</v>
      </c>
      <c r="N60" s="2" t="str">
        <f t="shared" si="9"/>
        <v>0</v>
      </c>
      <c r="O60" s="2">
        <f t="shared" si="10"/>
        <v>9.9999999999999645E-2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>
        <f t="shared" si="14"/>
        <v>9.9999999999999645E-2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>
        <f t="shared" si="3"/>
        <v>1.2000000000000002</v>
      </c>
      <c r="I61" s="2" t="str">
        <f t="shared" si="4"/>
        <v>0</v>
      </c>
      <c r="J61" s="2">
        <f t="shared" si="5"/>
        <v>1.2000000000000002</v>
      </c>
      <c r="K61" s="2" t="str">
        <f t="shared" si="6"/>
        <v>0</v>
      </c>
      <c r="L61" s="2" t="str">
        <f t="shared" si="7"/>
        <v>0</v>
      </c>
      <c r="M61" s="2">
        <f t="shared" si="8"/>
        <v>1.2000000000000002</v>
      </c>
      <c r="N61" s="2" t="str">
        <f t="shared" si="9"/>
        <v>0</v>
      </c>
      <c r="O61" s="2">
        <f t="shared" si="10"/>
        <v>1.2000000000000002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>
        <f t="shared" si="14"/>
        <v>1.2000000000000002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>
        <f t="shared" si="3"/>
        <v>1</v>
      </c>
      <c r="I62" s="2" t="str">
        <f t="shared" si="4"/>
        <v>0</v>
      </c>
      <c r="J62" s="2">
        <f t="shared" si="5"/>
        <v>1</v>
      </c>
      <c r="K62" s="2" t="str">
        <f t="shared" si="6"/>
        <v>0</v>
      </c>
      <c r="L62" s="2" t="str">
        <f t="shared" si="7"/>
        <v>0</v>
      </c>
      <c r="M62" s="2">
        <f t="shared" si="8"/>
        <v>1</v>
      </c>
      <c r="N62" s="2" t="str">
        <f t="shared" si="9"/>
        <v>0</v>
      </c>
      <c r="O62" s="2">
        <f t="shared" si="10"/>
        <v>1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>
        <f t="shared" si="14"/>
        <v>1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>
        <f t="shared" si="3"/>
        <v>1</v>
      </c>
      <c r="I63" s="2" t="str">
        <f t="shared" si="4"/>
        <v>0</v>
      </c>
      <c r="J63" s="2">
        <f t="shared" si="5"/>
        <v>1</v>
      </c>
      <c r="K63" s="2" t="str">
        <f t="shared" si="6"/>
        <v>0</v>
      </c>
      <c r="L63" s="2" t="str">
        <f t="shared" si="7"/>
        <v>0</v>
      </c>
      <c r="M63" s="2">
        <f t="shared" si="8"/>
        <v>1</v>
      </c>
      <c r="N63" s="2" t="str">
        <f t="shared" si="9"/>
        <v>0</v>
      </c>
      <c r="O63" s="2">
        <f t="shared" si="10"/>
        <v>1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>
        <f t="shared" si="14"/>
        <v>1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>
        <f t="shared" si="1"/>
        <v>2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>
        <f t="shared" si="5"/>
        <v>2</v>
      </c>
      <c r="K64" s="2" t="str">
        <f t="shared" si="6"/>
        <v>0</v>
      </c>
      <c r="L64" s="2" t="str">
        <f t="shared" si="7"/>
        <v>0</v>
      </c>
      <c r="M64" s="2">
        <f t="shared" si="8"/>
        <v>2</v>
      </c>
      <c r="N64" s="2" t="str">
        <f t="shared" si="9"/>
        <v>0</v>
      </c>
      <c r="O64" s="2">
        <f t="shared" si="10"/>
        <v>2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>
        <f t="shared" si="14"/>
        <v>2</v>
      </c>
      <c r="T64" s="2" t="str">
        <f t="shared" si="15"/>
        <v>0</v>
      </c>
    </row>
    <row r="65" spans="5:20" x14ac:dyDescent="0.25">
      <c r="E65" s="2">
        <f t="shared" si="0"/>
        <v>4.6999999999999993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>
        <f t="shared" si="5"/>
        <v>4.6999999999999993</v>
      </c>
      <c r="K65" s="2" t="str">
        <f t="shared" si="6"/>
        <v>0</v>
      </c>
      <c r="L65" s="2" t="str">
        <f t="shared" si="7"/>
        <v>0</v>
      </c>
      <c r="M65" s="2">
        <f t="shared" si="8"/>
        <v>4.6999999999999993</v>
      </c>
      <c r="N65" s="2" t="str">
        <f t="shared" si="9"/>
        <v>0</v>
      </c>
      <c r="O65" s="2">
        <f t="shared" si="10"/>
        <v>4.6999999999999993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>
        <f t="shared" si="14"/>
        <v>4.6999999999999993</v>
      </c>
      <c r="T65" s="2" t="str">
        <f t="shared" si="15"/>
        <v>0</v>
      </c>
    </row>
    <row r="66" spans="5:20" x14ac:dyDescent="0.25">
      <c r="E66" s="2">
        <f t="shared" si="0"/>
        <v>4.3100000000000023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>
        <f t="shared" si="5"/>
        <v>4.3100000000000023</v>
      </c>
      <c r="K66" s="2" t="str">
        <f t="shared" si="6"/>
        <v>0</v>
      </c>
      <c r="L66" s="2" t="str">
        <f t="shared" si="7"/>
        <v>0</v>
      </c>
      <c r="M66" s="2">
        <f t="shared" si="8"/>
        <v>4.3100000000000023</v>
      </c>
      <c r="N66" s="2" t="str">
        <f t="shared" si="9"/>
        <v>0</v>
      </c>
      <c r="O66" s="2">
        <f t="shared" si="10"/>
        <v>4.3100000000000023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>
        <f t="shared" si="14"/>
        <v>4.3100000000000023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>
        <f t="shared" si="1"/>
        <v>0.1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>
        <f t="shared" si="5"/>
        <v>0.1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>
        <f t="shared" si="9"/>
        <v>0.1</v>
      </c>
      <c r="O67" s="2" t="str">
        <f t="shared" si="10"/>
        <v>0</v>
      </c>
      <c r="P67" s="2" t="str">
        <f t="shared" si="11"/>
        <v>0</v>
      </c>
      <c r="Q67" s="2">
        <f t="shared" si="12"/>
        <v>0.1</v>
      </c>
      <c r="R67" s="2" t="str">
        <f t="shared" si="13"/>
        <v>0</v>
      </c>
      <c r="S67" s="2">
        <f t="shared" si="14"/>
        <v>0.1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>
        <f t="shared" si="2"/>
        <v>0.9</v>
      </c>
      <c r="H68" s="2" t="str">
        <f t="shared" si="3"/>
        <v>0</v>
      </c>
      <c r="I68" s="2" t="str">
        <f t="shared" si="4"/>
        <v>0</v>
      </c>
      <c r="J68" s="2">
        <f t="shared" si="5"/>
        <v>0.9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>
        <f t="shared" si="9"/>
        <v>0.9</v>
      </c>
      <c r="O68" s="2" t="str">
        <f t="shared" si="10"/>
        <v>0</v>
      </c>
      <c r="P68" s="2" t="str">
        <f t="shared" si="11"/>
        <v>0</v>
      </c>
      <c r="Q68" s="2">
        <f t="shared" si="12"/>
        <v>0.9</v>
      </c>
      <c r="R68" s="2" t="str">
        <f t="shared" si="13"/>
        <v>0</v>
      </c>
      <c r="S68" s="2">
        <f t="shared" si="14"/>
        <v>0.9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>
        <f t="shared" si="2"/>
        <v>1</v>
      </c>
      <c r="H69" s="2" t="str">
        <f t="shared" si="3"/>
        <v>0</v>
      </c>
      <c r="I69" s="2" t="str">
        <f t="shared" si="4"/>
        <v>0</v>
      </c>
      <c r="J69" s="2">
        <f t="shared" si="5"/>
        <v>1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>
        <f t="shared" si="9"/>
        <v>1</v>
      </c>
      <c r="O69" s="2" t="str">
        <f t="shared" si="10"/>
        <v>0</v>
      </c>
      <c r="P69" s="2" t="str">
        <f t="shared" si="11"/>
        <v>0</v>
      </c>
      <c r="Q69" s="2">
        <f t="shared" si="12"/>
        <v>1</v>
      </c>
      <c r="R69" s="2" t="str">
        <f t="shared" si="13"/>
        <v>0</v>
      </c>
      <c r="S69" s="2">
        <f t="shared" si="14"/>
        <v>1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>
        <f t="shared" si="2"/>
        <v>1</v>
      </c>
      <c r="H70" s="2" t="str">
        <f t="shared" si="3"/>
        <v>0</v>
      </c>
      <c r="I70" s="2" t="str">
        <f t="shared" si="4"/>
        <v>0</v>
      </c>
      <c r="J70" s="2">
        <f t="shared" si="5"/>
        <v>1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>
        <f t="shared" si="9"/>
        <v>1</v>
      </c>
      <c r="O70" s="2" t="str">
        <f t="shared" si="10"/>
        <v>0</v>
      </c>
      <c r="P70" s="2" t="str">
        <f t="shared" si="11"/>
        <v>0</v>
      </c>
      <c r="Q70" s="2">
        <f t="shared" si="12"/>
        <v>1</v>
      </c>
      <c r="R70" s="2" t="str">
        <f t="shared" si="13"/>
        <v>0</v>
      </c>
      <c r="S70" s="2">
        <f t="shared" si="14"/>
        <v>1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>
        <f t="shared" si="1"/>
        <v>0.62999999999999989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>
        <f t="shared" si="5"/>
        <v>0.62999999999999989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>
        <f t="shared" si="9"/>
        <v>0.62999999999999989</v>
      </c>
      <c r="O71" s="2" t="str">
        <f t="shared" si="10"/>
        <v>0</v>
      </c>
      <c r="P71" s="2" t="str">
        <f t="shared" si="11"/>
        <v>0</v>
      </c>
      <c r="Q71" s="2">
        <f t="shared" si="12"/>
        <v>0.62999999999999989</v>
      </c>
      <c r="R71" s="2" t="str">
        <f t="shared" si="13"/>
        <v>0</v>
      </c>
      <c r="S71" s="2">
        <f t="shared" si="14"/>
        <v>0.62999999999999989</v>
      </c>
      <c r="T71" s="2" t="str">
        <f t="shared" si="15"/>
        <v>0</v>
      </c>
    </row>
    <row r="72" spans="5:20" x14ac:dyDescent="0.25">
      <c r="E72" s="2">
        <f t="shared" si="0"/>
        <v>1.0900000000000001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>
        <f t="shared" si="5"/>
        <v>1.0900000000000001</v>
      </c>
      <c r="K72" s="2" t="str">
        <f t="shared" si="6"/>
        <v>0</v>
      </c>
      <c r="L72" s="2" t="str">
        <f t="shared" si="7"/>
        <v>0</v>
      </c>
      <c r="M72" s="2">
        <f t="shared" si="8"/>
        <v>1.0900000000000001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>
        <f t="shared" si="12"/>
        <v>1.0900000000000001</v>
      </c>
      <c r="R72" s="2" t="str">
        <f t="shared" si="13"/>
        <v>0</v>
      </c>
      <c r="S72" s="2">
        <f t="shared" si="14"/>
        <v>1.0900000000000001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si="0"/>
        <v>0</v>
      </c>
      <c r="F104" s="2" t="str">
        <f t="shared" si="1"/>
        <v>0</v>
      </c>
      <c r="G104" s="2" t="str">
        <f t="shared" si="2"/>
        <v>0</v>
      </c>
      <c r="H104" s="2" t="str">
        <f t="shared" si="3"/>
        <v>0</v>
      </c>
      <c r="I104" s="2" t="str">
        <f t="shared" si="4"/>
        <v>0</v>
      </c>
      <c r="J104" s="2" t="str">
        <f t="shared" si="5"/>
        <v>0</v>
      </c>
      <c r="K104" s="2" t="str">
        <f t="shared" si="6"/>
        <v>0</v>
      </c>
      <c r="L104" s="2" t="str">
        <f t="shared" si="7"/>
        <v>0</v>
      </c>
      <c r="M104" s="2" t="str">
        <f t="shared" si="8"/>
        <v>0</v>
      </c>
      <c r="N104" s="2" t="str">
        <f t="shared" si="9"/>
        <v>0</v>
      </c>
      <c r="O104" s="2" t="str">
        <f t="shared" si="10"/>
        <v>0</v>
      </c>
      <c r="P104" s="2" t="str">
        <f t="shared" si="11"/>
        <v>0</v>
      </c>
      <c r="Q104" s="2" t="str">
        <f t="shared" si="12"/>
        <v>0</v>
      </c>
      <c r="R104" s="2" t="str">
        <f t="shared" si="13"/>
        <v>0</v>
      </c>
      <c r="S104" s="2" t="str">
        <f t="shared" si="14"/>
        <v>0</v>
      </c>
      <c r="T104" s="2" t="str">
        <f t="shared" si="15"/>
        <v>0</v>
      </c>
    </row>
    <row r="105" spans="5:20" x14ac:dyDescent="0.25">
      <c r="E105" s="2" t="str">
        <f t="shared" si="0"/>
        <v>0</v>
      </c>
      <c r="F105" s="2" t="str">
        <f t="shared" si="1"/>
        <v>0</v>
      </c>
      <c r="G105" s="2" t="str">
        <f t="shared" si="2"/>
        <v>0</v>
      </c>
      <c r="H105" s="2" t="str">
        <f t="shared" si="3"/>
        <v>0</v>
      </c>
      <c r="I105" s="2" t="str">
        <f t="shared" si="4"/>
        <v>0</v>
      </c>
      <c r="J105" s="2" t="str">
        <f t="shared" si="5"/>
        <v>0</v>
      </c>
      <c r="K105" s="2" t="str">
        <f t="shared" si="6"/>
        <v>0</v>
      </c>
      <c r="L105" s="2" t="str">
        <f t="shared" si="7"/>
        <v>0</v>
      </c>
      <c r="M105" s="2" t="str">
        <f t="shared" si="8"/>
        <v>0</v>
      </c>
      <c r="N105" s="2" t="str">
        <f t="shared" si="9"/>
        <v>0</v>
      </c>
      <c r="O105" s="2" t="str">
        <f t="shared" si="10"/>
        <v>0</v>
      </c>
      <c r="P105" s="2" t="str">
        <f t="shared" si="11"/>
        <v>0</v>
      </c>
      <c r="Q105" s="2" t="str">
        <f t="shared" si="12"/>
        <v>0</v>
      </c>
      <c r="R105" s="2" t="str">
        <f t="shared" si="13"/>
        <v>0</v>
      </c>
      <c r="S105" s="2" t="str">
        <f t="shared" si="14"/>
        <v>0</v>
      </c>
      <c r="T105" s="2" t="str">
        <f t="shared" si="15"/>
        <v>0</v>
      </c>
    </row>
    <row r="106" spans="5:20" x14ac:dyDescent="0.25">
      <c r="E106" s="2" t="str">
        <f t="shared" si="0"/>
        <v>0</v>
      </c>
      <c r="F106" s="2" t="str">
        <f t="shared" si="1"/>
        <v>0</v>
      </c>
      <c r="G106" s="2" t="str">
        <f t="shared" si="2"/>
        <v>0</v>
      </c>
      <c r="H106" s="2" t="str">
        <f t="shared" si="3"/>
        <v>0</v>
      </c>
      <c r="I106" s="2" t="str">
        <f t="shared" si="4"/>
        <v>0</v>
      </c>
      <c r="J106" s="2" t="str">
        <f t="shared" si="5"/>
        <v>0</v>
      </c>
      <c r="K106" s="2" t="str">
        <f t="shared" si="6"/>
        <v>0</v>
      </c>
      <c r="L106" s="2" t="str">
        <f t="shared" si="7"/>
        <v>0</v>
      </c>
      <c r="M106" s="2" t="str">
        <f t="shared" si="8"/>
        <v>0</v>
      </c>
      <c r="N106" s="2" t="str">
        <f t="shared" si="9"/>
        <v>0</v>
      </c>
      <c r="O106" s="2" t="str">
        <f t="shared" si="10"/>
        <v>0</v>
      </c>
      <c r="P106" s="2" t="str">
        <f t="shared" si="11"/>
        <v>0</v>
      </c>
      <c r="Q106" s="2" t="str">
        <f t="shared" si="12"/>
        <v>0</v>
      </c>
      <c r="R106" s="2" t="str">
        <f t="shared" si="13"/>
        <v>0</v>
      </c>
      <c r="S106" s="2" t="str">
        <f t="shared" si="14"/>
        <v>0</v>
      </c>
      <c r="T106" s="2" t="str">
        <f t="shared" si="15"/>
        <v>0</v>
      </c>
    </row>
    <row r="107" spans="5:20" x14ac:dyDescent="0.25">
      <c r="E107" s="2" t="str">
        <f t="shared" si="0"/>
        <v>0</v>
      </c>
      <c r="F107" s="2" t="str">
        <f t="shared" si="1"/>
        <v>0</v>
      </c>
      <c r="G107" s="2" t="str">
        <f t="shared" si="2"/>
        <v>0</v>
      </c>
      <c r="H107" s="2" t="str">
        <f t="shared" si="3"/>
        <v>0</v>
      </c>
      <c r="I107" s="2" t="str">
        <f t="shared" si="4"/>
        <v>0</v>
      </c>
      <c r="J107" s="2" t="str">
        <f t="shared" si="5"/>
        <v>0</v>
      </c>
      <c r="K107" s="2" t="str">
        <f t="shared" si="6"/>
        <v>0</v>
      </c>
      <c r="L107" s="2" t="str">
        <f t="shared" si="7"/>
        <v>0</v>
      </c>
      <c r="M107" s="2" t="str">
        <f t="shared" si="8"/>
        <v>0</v>
      </c>
      <c r="N107" s="2" t="str">
        <f t="shared" si="9"/>
        <v>0</v>
      </c>
      <c r="O107" s="2" t="str">
        <f t="shared" si="10"/>
        <v>0</v>
      </c>
      <c r="P107" s="2" t="str">
        <f t="shared" si="11"/>
        <v>0</v>
      </c>
      <c r="Q107" s="2" t="str">
        <f t="shared" si="12"/>
        <v>0</v>
      </c>
      <c r="R107" s="2" t="str">
        <f t="shared" si="13"/>
        <v>0</v>
      </c>
      <c r="S107" s="2" t="str">
        <f t="shared" si="14"/>
        <v>0</v>
      </c>
      <c r="T107" s="2" t="str">
        <f t="shared" si="15"/>
        <v>0</v>
      </c>
    </row>
    <row r="108" spans="5:20" x14ac:dyDescent="0.25">
      <c r="E108" s="2" t="str">
        <f t="shared" si="0"/>
        <v>0</v>
      </c>
      <c r="F108" s="2" t="str">
        <f t="shared" si="1"/>
        <v>0</v>
      </c>
      <c r="G108" s="2" t="str">
        <f t="shared" si="2"/>
        <v>0</v>
      </c>
      <c r="H108" s="2" t="str">
        <f t="shared" si="3"/>
        <v>0</v>
      </c>
      <c r="I108" s="2" t="str">
        <f t="shared" si="4"/>
        <v>0</v>
      </c>
      <c r="J108" s="2" t="str">
        <f t="shared" si="5"/>
        <v>0</v>
      </c>
      <c r="K108" s="2" t="str">
        <f t="shared" si="6"/>
        <v>0</v>
      </c>
      <c r="L108" s="2" t="str">
        <f t="shared" si="7"/>
        <v>0</v>
      </c>
      <c r="M108" s="2" t="str">
        <f t="shared" si="8"/>
        <v>0</v>
      </c>
      <c r="N108" s="2" t="str">
        <f t="shared" si="9"/>
        <v>0</v>
      </c>
      <c r="O108" s="2" t="str">
        <f t="shared" si="10"/>
        <v>0</v>
      </c>
      <c r="P108" s="2" t="str">
        <f t="shared" si="11"/>
        <v>0</v>
      </c>
      <c r="Q108" s="2" t="str">
        <f t="shared" si="12"/>
        <v>0</v>
      </c>
      <c r="R108" s="2" t="str">
        <f t="shared" si="13"/>
        <v>0</v>
      </c>
      <c r="S108" s="2" t="str">
        <f t="shared" si="14"/>
        <v>0</v>
      </c>
      <c r="T108" s="2" t="str">
        <f t="shared" si="15"/>
        <v>0</v>
      </c>
    </row>
    <row r="109" spans="5:20" x14ac:dyDescent="0.25">
      <c r="E109" s="2" t="str">
        <f t="shared" si="0"/>
        <v>0</v>
      </c>
      <c r="F109" s="2" t="str">
        <f t="shared" si="1"/>
        <v>0</v>
      </c>
      <c r="G109" s="2" t="str">
        <f t="shared" si="2"/>
        <v>0</v>
      </c>
      <c r="H109" s="2" t="str">
        <f t="shared" si="3"/>
        <v>0</v>
      </c>
      <c r="I109" s="2" t="str">
        <f t="shared" si="4"/>
        <v>0</v>
      </c>
      <c r="J109" s="2" t="str">
        <f t="shared" si="5"/>
        <v>0</v>
      </c>
      <c r="K109" s="2" t="str">
        <f t="shared" si="6"/>
        <v>0</v>
      </c>
      <c r="L109" s="2" t="str">
        <f t="shared" si="7"/>
        <v>0</v>
      </c>
      <c r="M109" s="2" t="str">
        <f t="shared" si="8"/>
        <v>0</v>
      </c>
      <c r="N109" s="2" t="str">
        <f t="shared" si="9"/>
        <v>0</v>
      </c>
      <c r="O109" s="2" t="str">
        <f t="shared" si="10"/>
        <v>0</v>
      </c>
      <c r="P109" s="2" t="str">
        <f t="shared" si="11"/>
        <v>0</v>
      </c>
      <c r="Q109" s="2" t="str">
        <f t="shared" si="12"/>
        <v>0</v>
      </c>
      <c r="R109" s="2" t="str">
        <f t="shared" si="13"/>
        <v>0</v>
      </c>
      <c r="S109" s="2" t="str">
        <f t="shared" si="14"/>
        <v>0</v>
      </c>
      <c r="T109" s="2" t="str">
        <f t="shared" si="15"/>
        <v>0</v>
      </c>
    </row>
    <row r="110" spans="5:20" x14ac:dyDescent="0.25">
      <c r="E110" s="2" t="str">
        <f t="shared" si="0"/>
        <v>0</v>
      </c>
      <c r="F110" s="2" t="str">
        <f t="shared" si="1"/>
        <v>0</v>
      </c>
      <c r="G110" s="2" t="str">
        <f t="shared" si="2"/>
        <v>0</v>
      </c>
      <c r="H110" s="2" t="str">
        <f t="shared" si="3"/>
        <v>0</v>
      </c>
      <c r="I110" s="2" t="str">
        <f t="shared" si="4"/>
        <v>0</v>
      </c>
      <c r="J110" s="2" t="str">
        <f t="shared" si="5"/>
        <v>0</v>
      </c>
      <c r="K110" s="2" t="str">
        <f t="shared" si="6"/>
        <v>0</v>
      </c>
      <c r="L110" s="2" t="str">
        <f t="shared" si="7"/>
        <v>0</v>
      </c>
      <c r="M110" s="2" t="str">
        <f t="shared" si="8"/>
        <v>0</v>
      </c>
      <c r="N110" s="2" t="str">
        <f t="shared" si="9"/>
        <v>0</v>
      </c>
      <c r="O110" s="2" t="str">
        <f t="shared" si="10"/>
        <v>0</v>
      </c>
      <c r="P110" s="2" t="str">
        <f t="shared" si="11"/>
        <v>0</v>
      </c>
      <c r="Q110" s="2" t="str">
        <f t="shared" si="12"/>
        <v>0</v>
      </c>
      <c r="R110" s="2" t="str">
        <f t="shared" si="13"/>
        <v>0</v>
      </c>
      <c r="S110" s="2" t="str">
        <f t="shared" si="14"/>
        <v>0</v>
      </c>
      <c r="T110" s="2" t="str">
        <f t="shared" si="15"/>
        <v>0</v>
      </c>
    </row>
    <row r="111" spans="5:20" x14ac:dyDescent="0.25">
      <c r="E111" s="2" t="str">
        <f t="shared" ref="E111:E133" si="16">IF(E72="X",(D72-C72),"0")</f>
        <v>0</v>
      </c>
      <c r="F111" s="2" t="str">
        <f t="shared" ref="F111:F133" si="17">IF(F72="X",(D72-C72),"0")</f>
        <v>0</v>
      </c>
      <c r="G111" s="2" t="str">
        <f t="shared" ref="G111:G133" si="18">IF(G72="X",(D72-C72),"0")</f>
        <v>0</v>
      </c>
      <c r="H111" s="2" t="str">
        <f t="shared" ref="H111:H133" si="19">IF(H72="X",(D72-C72),"0")</f>
        <v>0</v>
      </c>
      <c r="I111" s="2" t="str">
        <f t="shared" ref="I111:I133" si="20">IF(I72="X",(D72-C72),"0")</f>
        <v>0</v>
      </c>
      <c r="J111" s="2" t="str">
        <f t="shared" ref="J111:J133" si="21">IF(J72="X",(D72-C72),"0")</f>
        <v>0</v>
      </c>
      <c r="K111" s="2" t="str">
        <f t="shared" ref="K111:K133" si="22">IF(K72="X",(D72-C72),"0")</f>
        <v>0</v>
      </c>
      <c r="L111" s="2" t="str">
        <f t="shared" ref="L111:L133" si="23">IF(L72="X",(D72-C72),"0")</f>
        <v>0</v>
      </c>
      <c r="M111" s="2" t="str">
        <f t="shared" ref="M111:M133" si="24">IF(M72="X",(D72-C72),"0")</f>
        <v>0</v>
      </c>
      <c r="N111" s="2" t="str">
        <f t="shared" ref="N111:N133" si="25">IF(N72="X",(D72-C72),"0")</f>
        <v>0</v>
      </c>
      <c r="O111" s="2" t="str">
        <f t="shared" ref="O111:O133" si="26">IF(O72="X",(D72-C72),"0")</f>
        <v>0</v>
      </c>
      <c r="P111" s="2" t="str">
        <f t="shared" ref="P111:P133" si="27">IF(P72="X",(D72-C72),"0")</f>
        <v>0</v>
      </c>
      <c r="Q111" s="2" t="str">
        <f t="shared" ref="Q111:Q133" si="28">IF(Q72="X",(D72-C72),"0")</f>
        <v>0</v>
      </c>
      <c r="R111" s="2" t="str">
        <f t="shared" ref="R111:R133" si="29">IF(R72="X",(D72-C72),"0")</f>
        <v>0</v>
      </c>
      <c r="S111" s="2" t="str">
        <f t="shared" ref="S111:S133" si="30">IF(S72="X",(D72-C72),"0")</f>
        <v>0</v>
      </c>
      <c r="T111" s="2" t="str">
        <f t="shared" ref="T111:T133" si="31">IF(T72="X",(D72-C72),"0")</f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28" spans="5:20" x14ac:dyDescent="0.25">
      <c r="E128" s="2" t="str">
        <f t="shared" si="16"/>
        <v>0</v>
      </c>
      <c r="F128" s="2" t="str">
        <f t="shared" si="17"/>
        <v>0</v>
      </c>
      <c r="G128" s="2" t="str">
        <f t="shared" si="18"/>
        <v>0</v>
      </c>
      <c r="H128" s="2" t="str">
        <f t="shared" si="19"/>
        <v>0</v>
      </c>
      <c r="I128" s="2" t="str">
        <f t="shared" si="20"/>
        <v>0</v>
      </c>
      <c r="J128" s="2" t="str">
        <f t="shared" si="21"/>
        <v>0</v>
      </c>
      <c r="K128" s="2" t="str">
        <f t="shared" si="22"/>
        <v>0</v>
      </c>
      <c r="L128" s="2" t="str">
        <f t="shared" si="23"/>
        <v>0</v>
      </c>
      <c r="M128" s="2" t="str">
        <f t="shared" si="24"/>
        <v>0</v>
      </c>
      <c r="N128" s="2" t="str">
        <f t="shared" si="25"/>
        <v>0</v>
      </c>
      <c r="O128" s="2" t="str">
        <f t="shared" si="26"/>
        <v>0</v>
      </c>
      <c r="P128" s="2" t="str">
        <f t="shared" si="27"/>
        <v>0</v>
      </c>
      <c r="Q128" s="2" t="str">
        <f t="shared" si="28"/>
        <v>0</v>
      </c>
      <c r="R128" s="2" t="str">
        <f t="shared" si="29"/>
        <v>0</v>
      </c>
      <c r="S128" s="2" t="str">
        <f t="shared" si="30"/>
        <v>0</v>
      </c>
      <c r="T128" s="2" t="str">
        <f t="shared" si="31"/>
        <v>0</v>
      </c>
    </row>
    <row r="129" spans="5:20" x14ac:dyDescent="0.25">
      <c r="E129" s="2" t="str">
        <f t="shared" si="16"/>
        <v>0</v>
      </c>
      <c r="F129" s="2" t="str">
        <f t="shared" si="17"/>
        <v>0</v>
      </c>
      <c r="G129" s="2" t="str">
        <f t="shared" si="18"/>
        <v>0</v>
      </c>
      <c r="H129" s="2" t="str">
        <f t="shared" si="19"/>
        <v>0</v>
      </c>
      <c r="I129" s="2" t="str">
        <f t="shared" si="20"/>
        <v>0</v>
      </c>
      <c r="J129" s="2" t="str">
        <f t="shared" si="21"/>
        <v>0</v>
      </c>
      <c r="K129" s="2" t="str">
        <f t="shared" si="22"/>
        <v>0</v>
      </c>
      <c r="L129" s="2" t="str">
        <f t="shared" si="23"/>
        <v>0</v>
      </c>
      <c r="M129" s="2" t="str">
        <f t="shared" si="24"/>
        <v>0</v>
      </c>
      <c r="N129" s="2" t="str">
        <f t="shared" si="25"/>
        <v>0</v>
      </c>
      <c r="O129" s="2" t="str">
        <f t="shared" si="26"/>
        <v>0</v>
      </c>
      <c r="P129" s="2" t="str">
        <f t="shared" si="27"/>
        <v>0</v>
      </c>
      <c r="Q129" s="2" t="str">
        <f t="shared" si="28"/>
        <v>0</v>
      </c>
      <c r="R129" s="2" t="str">
        <f t="shared" si="29"/>
        <v>0</v>
      </c>
      <c r="S129" s="2" t="str">
        <f t="shared" si="30"/>
        <v>0</v>
      </c>
      <c r="T129" s="2" t="str">
        <f t="shared" si="31"/>
        <v>0</v>
      </c>
    </row>
    <row r="130" spans="5:20" x14ac:dyDescent="0.25">
      <c r="E130" s="2" t="str">
        <f t="shared" si="16"/>
        <v>0</v>
      </c>
      <c r="F130" s="2" t="str">
        <f t="shared" si="17"/>
        <v>0</v>
      </c>
      <c r="G130" s="2" t="str">
        <f t="shared" si="18"/>
        <v>0</v>
      </c>
      <c r="H130" s="2" t="str">
        <f t="shared" si="19"/>
        <v>0</v>
      </c>
      <c r="I130" s="2" t="str">
        <f t="shared" si="20"/>
        <v>0</v>
      </c>
      <c r="J130" s="2" t="str">
        <f t="shared" si="21"/>
        <v>0</v>
      </c>
      <c r="K130" s="2" t="str">
        <f t="shared" si="22"/>
        <v>0</v>
      </c>
      <c r="L130" s="2" t="str">
        <f t="shared" si="23"/>
        <v>0</v>
      </c>
      <c r="M130" s="2" t="str">
        <f t="shared" si="24"/>
        <v>0</v>
      </c>
      <c r="N130" s="2" t="str">
        <f t="shared" si="25"/>
        <v>0</v>
      </c>
      <c r="O130" s="2" t="str">
        <f t="shared" si="26"/>
        <v>0</v>
      </c>
      <c r="P130" s="2" t="str">
        <f t="shared" si="27"/>
        <v>0</v>
      </c>
      <c r="Q130" s="2" t="str">
        <f t="shared" si="28"/>
        <v>0</v>
      </c>
      <c r="R130" s="2" t="str">
        <f t="shared" si="29"/>
        <v>0</v>
      </c>
      <c r="S130" s="2" t="str">
        <f t="shared" si="30"/>
        <v>0</v>
      </c>
      <c r="T130" s="2" t="str">
        <f t="shared" si="31"/>
        <v>0</v>
      </c>
    </row>
    <row r="131" spans="5:20" x14ac:dyDescent="0.25">
      <c r="E131" s="2" t="str">
        <f t="shared" si="16"/>
        <v>0</v>
      </c>
      <c r="F131" s="2" t="str">
        <f t="shared" si="17"/>
        <v>0</v>
      </c>
      <c r="G131" s="2" t="str">
        <f t="shared" si="18"/>
        <v>0</v>
      </c>
      <c r="H131" s="2" t="str">
        <f t="shared" si="19"/>
        <v>0</v>
      </c>
      <c r="I131" s="2" t="str">
        <f t="shared" si="20"/>
        <v>0</v>
      </c>
      <c r="J131" s="2" t="str">
        <f t="shared" si="21"/>
        <v>0</v>
      </c>
      <c r="K131" s="2" t="str">
        <f t="shared" si="22"/>
        <v>0</v>
      </c>
      <c r="L131" s="2" t="str">
        <f t="shared" si="23"/>
        <v>0</v>
      </c>
      <c r="M131" s="2" t="str">
        <f t="shared" si="24"/>
        <v>0</v>
      </c>
      <c r="N131" s="2" t="str">
        <f t="shared" si="25"/>
        <v>0</v>
      </c>
      <c r="O131" s="2" t="str">
        <f t="shared" si="26"/>
        <v>0</v>
      </c>
      <c r="P131" s="2" t="str">
        <f t="shared" si="27"/>
        <v>0</v>
      </c>
      <c r="Q131" s="2" t="str">
        <f t="shared" si="28"/>
        <v>0</v>
      </c>
      <c r="R131" s="2" t="str">
        <f t="shared" si="29"/>
        <v>0</v>
      </c>
      <c r="S131" s="2" t="str">
        <f t="shared" si="30"/>
        <v>0</v>
      </c>
      <c r="T131" s="2" t="str">
        <f t="shared" si="31"/>
        <v>0</v>
      </c>
    </row>
    <row r="132" spans="5:20" x14ac:dyDescent="0.25">
      <c r="E132" s="2" t="str">
        <f t="shared" si="16"/>
        <v>0</v>
      </c>
      <c r="F132" s="2" t="str">
        <f t="shared" si="17"/>
        <v>0</v>
      </c>
      <c r="G132" s="2" t="str">
        <f t="shared" si="18"/>
        <v>0</v>
      </c>
      <c r="H132" s="2" t="str">
        <f t="shared" si="19"/>
        <v>0</v>
      </c>
      <c r="I132" s="2" t="str">
        <f t="shared" si="20"/>
        <v>0</v>
      </c>
      <c r="J132" s="2" t="str">
        <f t="shared" si="21"/>
        <v>0</v>
      </c>
      <c r="K132" s="2" t="str">
        <f t="shared" si="22"/>
        <v>0</v>
      </c>
      <c r="L132" s="2" t="str">
        <f t="shared" si="23"/>
        <v>0</v>
      </c>
      <c r="M132" s="2" t="str">
        <f t="shared" si="24"/>
        <v>0</v>
      </c>
      <c r="N132" s="2" t="str">
        <f t="shared" si="25"/>
        <v>0</v>
      </c>
      <c r="O132" s="2" t="str">
        <f t="shared" si="26"/>
        <v>0</v>
      </c>
      <c r="P132" s="2" t="str">
        <f t="shared" si="27"/>
        <v>0</v>
      </c>
      <c r="Q132" s="2" t="str">
        <f t="shared" si="28"/>
        <v>0</v>
      </c>
      <c r="R132" s="2" t="str">
        <f t="shared" si="29"/>
        <v>0</v>
      </c>
      <c r="S132" s="2" t="str">
        <f t="shared" si="30"/>
        <v>0</v>
      </c>
      <c r="T132" s="2" t="str">
        <f t="shared" si="31"/>
        <v>0</v>
      </c>
    </row>
    <row r="133" spans="5:20" x14ac:dyDescent="0.25">
      <c r="E133" s="2" t="str">
        <f t="shared" si="16"/>
        <v>0</v>
      </c>
      <c r="F133" s="2" t="str">
        <f t="shared" si="17"/>
        <v>0</v>
      </c>
      <c r="G133" s="2" t="str">
        <f t="shared" si="18"/>
        <v>0</v>
      </c>
      <c r="H133" s="2" t="str">
        <f t="shared" si="19"/>
        <v>0</v>
      </c>
      <c r="I133" s="2" t="str">
        <f t="shared" si="20"/>
        <v>0</v>
      </c>
      <c r="J133" s="2" t="str">
        <f t="shared" si="21"/>
        <v>0</v>
      </c>
      <c r="K133" s="2" t="str">
        <f t="shared" si="22"/>
        <v>0</v>
      </c>
      <c r="L133" s="2" t="str">
        <f t="shared" si="23"/>
        <v>0</v>
      </c>
      <c r="M133" s="2" t="str">
        <f t="shared" si="24"/>
        <v>0</v>
      </c>
      <c r="N133" s="2" t="str">
        <f t="shared" si="25"/>
        <v>0</v>
      </c>
      <c r="O133" s="2" t="str">
        <f t="shared" si="26"/>
        <v>0</v>
      </c>
      <c r="P133" s="2" t="str">
        <f t="shared" si="27"/>
        <v>0</v>
      </c>
      <c r="Q133" s="2" t="str">
        <f t="shared" si="28"/>
        <v>0</v>
      </c>
      <c r="R133" s="2" t="str">
        <f t="shared" si="29"/>
        <v>0</v>
      </c>
      <c r="S133" s="2" t="str">
        <f t="shared" si="30"/>
        <v>0</v>
      </c>
      <c r="T133" s="2" t="str">
        <f t="shared" si="31"/>
        <v>0</v>
      </c>
    </row>
    <row r="134" spans="5:20" x14ac:dyDescent="0.25">
      <c r="E134" s="16">
        <f>SUM(E46:E133)</f>
        <v>26.44</v>
      </c>
      <c r="F134" s="16">
        <f t="shared" ref="F134:T134" si="32">SUM(F46:F133)</f>
        <v>11.73</v>
      </c>
      <c r="G134" s="16">
        <f t="shared" si="32"/>
        <v>2.9</v>
      </c>
      <c r="H134" s="16">
        <f t="shared" si="32"/>
        <v>5.2</v>
      </c>
      <c r="I134" s="16">
        <f t="shared" si="32"/>
        <v>2.0999999999999996</v>
      </c>
      <c r="J134" s="16">
        <f t="shared" si="32"/>
        <v>48.370000000000012</v>
      </c>
      <c r="K134" s="16">
        <f t="shared" si="32"/>
        <v>0</v>
      </c>
      <c r="L134" s="16">
        <f t="shared" si="32"/>
        <v>0</v>
      </c>
      <c r="M134" s="16">
        <f t="shared" si="32"/>
        <v>44.740000000000009</v>
      </c>
      <c r="N134" s="16">
        <f t="shared" si="32"/>
        <v>3.63</v>
      </c>
      <c r="O134" s="16">
        <f t="shared" si="32"/>
        <v>43.650000000000006</v>
      </c>
      <c r="P134" s="16">
        <f t="shared" si="32"/>
        <v>0</v>
      </c>
      <c r="Q134" s="16">
        <f t="shared" si="32"/>
        <v>4.72</v>
      </c>
      <c r="R134" s="16">
        <f t="shared" si="32"/>
        <v>0</v>
      </c>
      <c r="S134" s="16">
        <f t="shared" si="32"/>
        <v>48.370000000000012</v>
      </c>
      <c r="T134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9:F39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E498-8166-4A4C-9888-7608EBDC52B7}">
  <dimension ref="A1:AN127"/>
  <sheetViews>
    <sheetView view="pageBreakPreview" zoomScale="70" zoomScaleNormal="70" zoomScaleSheetLayoutView="70" workbookViewId="0">
      <pane ySplit="6" topLeftCell="A7" activePane="bottomLeft" state="frozen"/>
      <selection activeCell="J2" sqref="J2:K2"/>
      <selection pane="bottomLeft" activeCell="J7" sqref="J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'T.T.'!C18</f>
        <v>RODOVIA TO-387 - TRECHO ENTR. TO-040 - TAIPAS DO TOCANTINS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157</v>
      </c>
      <c r="B7" s="40" t="s">
        <v>181</v>
      </c>
      <c r="C7" s="47">
        <v>0</v>
      </c>
      <c r="D7" s="47">
        <v>1.0900000000000001</v>
      </c>
      <c r="E7" s="40"/>
      <c r="F7" s="40" t="s">
        <v>168</v>
      </c>
      <c r="G7" s="40"/>
      <c r="H7" s="40"/>
      <c r="I7" s="40"/>
      <c r="J7" s="40" t="s">
        <v>196</v>
      </c>
      <c r="K7" s="40"/>
      <c r="L7" s="40" t="s">
        <v>168</v>
      </c>
      <c r="M7" s="40"/>
      <c r="N7" s="40"/>
      <c r="O7" s="40"/>
      <c r="P7" s="40" t="s">
        <v>168</v>
      </c>
      <c r="Q7" s="40"/>
      <c r="R7" s="40"/>
      <c r="S7" s="40" t="s">
        <v>168</v>
      </c>
      <c r="T7" s="40"/>
      <c r="U7" s="4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0"/>
      <c r="B8" s="40"/>
      <c r="C8" s="47"/>
      <c r="D8" s="47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4"/>
    </row>
    <row r="9" spans="1:40" ht="36" customHeight="1" x14ac:dyDescent="0.25">
      <c r="A9" s="40"/>
      <c r="B9" s="40"/>
      <c r="C9" s="47"/>
      <c r="D9" s="47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/>
      <c r="B10" s="40"/>
      <c r="C10" s="47"/>
      <c r="D10" s="47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/>
      <c r="D11" s="47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/>
      <c r="D12" s="47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7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50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50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50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1.0900000000000001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1.0900000000000001</v>
      </c>
      <c r="K39" s="2" t="str">
        <f>IF(K7="X",(D7-C7),"0")</f>
        <v>0</v>
      </c>
      <c r="L39" s="2">
        <f>IF(L7="X",(D7-C7),"0")</f>
        <v>1.0900000000000001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1.0900000000000001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1.0900000000000001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0</v>
      </c>
      <c r="F127" s="16">
        <f t="shared" ref="F127:T127" si="32">SUM(F39:F126)</f>
        <v>1.0900000000000001</v>
      </c>
      <c r="G127" s="16">
        <f t="shared" si="32"/>
        <v>0</v>
      </c>
      <c r="H127" s="16">
        <f t="shared" si="32"/>
        <v>0</v>
      </c>
      <c r="I127" s="16">
        <f t="shared" si="32"/>
        <v>0</v>
      </c>
      <c r="J127" s="16">
        <f t="shared" si="32"/>
        <v>1.0900000000000001</v>
      </c>
      <c r="K127" s="16">
        <f t="shared" si="32"/>
        <v>0</v>
      </c>
      <c r="L127" s="16">
        <f t="shared" si="32"/>
        <v>1.0900000000000001</v>
      </c>
      <c r="M127" s="16">
        <f t="shared" si="32"/>
        <v>0</v>
      </c>
      <c r="N127" s="16">
        <f t="shared" si="32"/>
        <v>0</v>
      </c>
      <c r="O127" s="16">
        <f t="shared" si="32"/>
        <v>0</v>
      </c>
      <c r="P127" s="16">
        <f t="shared" si="32"/>
        <v>1.0900000000000001</v>
      </c>
      <c r="Q127" s="16">
        <f t="shared" si="32"/>
        <v>0</v>
      </c>
      <c r="R127" s="16">
        <f t="shared" si="32"/>
        <v>0</v>
      </c>
      <c r="S127" s="16">
        <f t="shared" si="32"/>
        <v>1.0900000000000001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9ECA-52A9-4618-A88D-B315DFB25019}">
  <dimension ref="A1:AN127"/>
  <sheetViews>
    <sheetView view="pageBreakPreview" topLeftCell="C1" zoomScale="70" zoomScaleNormal="70" zoomScaleSheetLayoutView="70" workbookViewId="0">
      <selection activeCell="L8" sqref="L8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5" width="15.6640625" style="1" customWidth="1"/>
    <col min="16" max="16" width="12.6640625" style="1" customWidth="1"/>
    <col min="17" max="17" width="13.6640625" style="1" customWidth="1"/>
    <col min="18" max="20" width="14.5546875" style="1" customWidth="1"/>
    <col min="21" max="21" width="42.5546875" style="1" customWidth="1"/>
    <col min="22" max="16384" width="8.88671875" style="1"/>
  </cols>
  <sheetData>
    <row r="1" spans="1:40" ht="19.2" x14ac:dyDescent="0.35">
      <c r="A1" s="3" t="s">
        <v>0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0" ht="19.8" thickBot="1" x14ac:dyDescent="0.4">
      <c r="A2" s="3"/>
      <c r="B2" s="4"/>
      <c r="C2" s="4"/>
      <c r="D2" s="3" t="s">
        <v>36</v>
      </c>
      <c r="E2" s="5"/>
      <c r="F2" s="5"/>
      <c r="G2" s="5"/>
      <c r="H2" s="5"/>
      <c r="I2" s="6" t="s">
        <v>27</v>
      </c>
      <c r="J2" s="87">
        <v>46204</v>
      </c>
      <c r="K2" s="87"/>
      <c r="L2" s="7"/>
      <c r="M2" s="6"/>
      <c r="N2" s="12" t="s">
        <v>28</v>
      </c>
      <c r="O2" s="88" t="str">
        <f>'247'!O2</f>
        <v>ENG. THIAGO TORQUATO</v>
      </c>
      <c r="P2" s="88"/>
      <c r="Q2" s="88"/>
      <c r="R2" s="88"/>
      <c r="S2" s="88"/>
      <c r="T2" s="4"/>
      <c r="U2" s="4"/>
    </row>
    <row r="3" spans="1:40" ht="24.6" x14ac:dyDescent="0.4">
      <c r="A3" s="3" t="s">
        <v>39</v>
      </c>
      <c r="B3" s="38" t="str">
        <f>'T.T.'!C19</f>
        <v>RODOVIA TO-476 - TRECHO RIO DA CONCEIÇÃO - DIANÓPOLIS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39" t="s">
        <v>166</v>
      </c>
      <c r="P3" s="39">
        <v>13</v>
      </c>
      <c r="Q3" s="4"/>
      <c r="R3" s="4"/>
      <c r="S3" s="4"/>
      <c r="T3" s="4"/>
      <c r="U3" s="4"/>
    </row>
    <row r="4" spans="1:40" ht="19.8" thickBot="1" x14ac:dyDescent="0.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0" s="8" customFormat="1" ht="39" customHeight="1" x14ac:dyDescent="0.3">
      <c r="A5" s="91" t="s">
        <v>1</v>
      </c>
      <c r="B5" s="91" t="s">
        <v>33</v>
      </c>
      <c r="C5" s="89" t="s">
        <v>29</v>
      </c>
      <c r="D5" s="89" t="s">
        <v>30</v>
      </c>
      <c r="E5" s="91" t="s">
        <v>2</v>
      </c>
      <c r="F5" s="91"/>
      <c r="G5" s="91"/>
      <c r="H5" s="91"/>
      <c r="I5" s="91"/>
      <c r="J5" s="91" t="s">
        <v>18</v>
      </c>
      <c r="K5" s="91"/>
      <c r="L5" s="91" t="s">
        <v>32</v>
      </c>
      <c r="M5" s="91"/>
      <c r="N5" s="91"/>
      <c r="O5" s="91" t="s">
        <v>22</v>
      </c>
      <c r="P5" s="91"/>
      <c r="Q5" s="91"/>
      <c r="R5" s="91" t="s">
        <v>25</v>
      </c>
      <c r="S5" s="91"/>
      <c r="T5" s="91"/>
      <c r="U5" s="92" t="s">
        <v>34</v>
      </c>
    </row>
    <row r="6" spans="1:40" s="10" customFormat="1" ht="39" customHeight="1" x14ac:dyDescent="0.3">
      <c r="A6" s="90"/>
      <c r="B6" s="90"/>
      <c r="C6" s="90"/>
      <c r="D6" s="90"/>
      <c r="E6" s="9" t="s">
        <v>3</v>
      </c>
      <c r="F6" s="9" t="s">
        <v>8</v>
      </c>
      <c r="G6" s="9" t="s">
        <v>4</v>
      </c>
      <c r="H6" s="9" t="s">
        <v>5</v>
      </c>
      <c r="I6" s="9" t="s">
        <v>6</v>
      </c>
      <c r="J6" s="9" t="s">
        <v>19</v>
      </c>
      <c r="K6" s="9" t="s">
        <v>35</v>
      </c>
      <c r="L6" s="9" t="s">
        <v>20</v>
      </c>
      <c r="M6" s="9" t="s">
        <v>21</v>
      </c>
      <c r="N6" s="9" t="s">
        <v>31</v>
      </c>
      <c r="O6" s="9" t="s">
        <v>3</v>
      </c>
      <c r="P6" s="9" t="s">
        <v>23</v>
      </c>
      <c r="Q6" s="9" t="s">
        <v>24</v>
      </c>
      <c r="R6" s="9" t="s">
        <v>3</v>
      </c>
      <c r="S6" s="9" t="s">
        <v>26</v>
      </c>
      <c r="T6" s="9" t="s">
        <v>24</v>
      </c>
      <c r="U6" s="93"/>
    </row>
    <row r="7" spans="1:40" ht="36" customHeight="1" x14ac:dyDescent="0.25">
      <c r="A7" s="40" t="s">
        <v>161</v>
      </c>
      <c r="B7" s="40" t="s">
        <v>167</v>
      </c>
      <c r="C7" s="47">
        <v>0</v>
      </c>
      <c r="D7" s="47">
        <v>1</v>
      </c>
      <c r="E7" s="40"/>
      <c r="F7" s="40" t="s">
        <v>168</v>
      </c>
      <c r="G7" s="40"/>
      <c r="H7" s="40"/>
      <c r="I7" s="40"/>
      <c r="J7" s="40"/>
      <c r="K7" s="40" t="s">
        <v>168</v>
      </c>
      <c r="L7" s="40" t="s">
        <v>168</v>
      </c>
      <c r="M7" s="40"/>
      <c r="N7" s="40"/>
      <c r="O7" s="40"/>
      <c r="P7" s="40" t="s">
        <v>168</v>
      </c>
      <c r="Q7" s="40"/>
      <c r="R7" s="40"/>
      <c r="S7" s="40" t="s">
        <v>168</v>
      </c>
      <c r="T7" s="40"/>
      <c r="U7" s="47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36" customHeight="1" x14ac:dyDescent="0.25">
      <c r="A8" s="49"/>
      <c r="B8" s="40"/>
      <c r="C8" s="47">
        <f>D7</f>
        <v>1</v>
      </c>
      <c r="D8" s="47">
        <v>3</v>
      </c>
      <c r="E8" s="40"/>
      <c r="F8" s="40"/>
      <c r="G8" s="40" t="s">
        <v>168</v>
      </c>
      <c r="H8" s="40"/>
      <c r="I8" s="40"/>
      <c r="J8" s="40"/>
      <c r="K8" s="40" t="s">
        <v>168</v>
      </c>
      <c r="L8" s="40" t="s">
        <v>168</v>
      </c>
      <c r="M8" s="40"/>
      <c r="N8" s="40"/>
      <c r="O8" s="40"/>
      <c r="P8" s="40" t="s">
        <v>168</v>
      </c>
      <c r="Q8" s="40"/>
      <c r="R8" s="40"/>
      <c r="S8" s="40" t="s">
        <v>168</v>
      </c>
      <c r="T8" s="40"/>
      <c r="U8" s="47"/>
    </row>
    <row r="9" spans="1:40" ht="36" customHeight="1" x14ac:dyDescent="0.25">
      <c r="A9" s="40"/>
      <c r="B9" s="40"/>
      <c r="C9" s="47">
        <f>D8</f>
        <v>3</v>
      </c>
      <c r="D9" s="47">
        <v>19.760000000000002</v>
      </c>
      <c r="E9" s="40"/>
      <c r="F9" s="40" t="s">
        <v>168</v>
      </c>
      <c r="G9" s="40"/>
      <c r="H9" s="40"/>
      <c r="I9" s="40"/>
      <c r="J9" s="40"/>
      <c r="K9" s="40" t="s">
        <v>168</v>
      </c>
      <c r="L9" s="40" t="s">
        <v>168</v>
      </c>
      <c r="M9" s="40"/>
      <c r="N9" s="40" t="s">
        <v>168</v>
      </c>
      <c r="O9" s="40"/>
      <c r="P9" s="40" t="s">
        <v>168</v>
      </c>
      <c r="Q9" s="40"/>
      <c r="R9" s="40"/>
      <c r="S9" s="40" t="s">
        <v>168</v>
      </c>
      <c r="T9" s="40"/>
      <c r="U9" s="44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36" customHeight="1" x14ac:dyDescent="0.25">
      <c r="A10" s="40" t="s">
        <v>159</v>
      </c>
      <c r="B10" s="40" t="s">
        <v>167</v>
      </c>
      <c r="C10" s="47">
        <v>0</v>
      </c>
      <c r="D10" s="47">
        <v>0.1</v>
      </c>
      <c r="E10" s="40"/>
      <c r="F10" s="40"/>
      <c r="G10" s="40" t="s">
        <v>168</v>
      </c>
      <c r="H10" s="40"/>
      <c r="I10" s="40"/>
      <c r="J10" s="40"/>
      <c r="K10" s="40" t="s">
        <v>168</v>
      </c>
      <c r="L10" s="40" t="s">
        <v>168</v>
      </c>
      <c r="M10" s="40"/>
      <c r="N10" s="40" t="s">
        <v>168</v>
      </c>
      <c r="O10" s="40"/>
      <c r="P10" s="40" t="s">
        <v>168</v>
      </c>
      <c r="Q10" s="40"/>
      <c r="R10" s="40"/>
      <c r="S10" s="40" t="s">
        <v>168</v>
      </c>
      <c r="T10" s="40"/>
      <c r="U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36" customHeight="1" x14ac:dyDescent="0.25">
      <c r="A11" s="40"/>
      <c r="B11" s="40"/>
      <c r="C11" s="47">
        <f>D10</f>
        <v>0.1</v>
      </c>
      <c r="D11" s="47">
        <v>6</v>
      </c>
      <c r="E11" s="40"/>
      <c r="F11" s="40" t="s">
        <v>168</v>
      </c>
      <c r="G11" s="40"/>
      <c r="H11" s="40"/>
      <c r="I11" s="40"/>
      <c r="J11" s="40"/>
      <c r="K11" s="40" t="s">
        <v>168</v>
      </c>
      <c r="L11" s="40" t="s">
        <v>168</v>
      </c>
      <c r="M11" s="40"/>
      <c r="N11" s="40" t="s">
        <v>168</v>
      </c>
      <c r="O11" s="40"/>
      <c r="P11" s="40" t="s">
        <v>168</v>
      </c>
      <c r="Q11" s="40"/>
      <c r="R11" s="40"/>
      <c r="S11" s="40" t="s">
        <v>168</v>
      </c>
      <c r="T11" s="40"/>
      <c r="U11" s="4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36" customHeight="1" x14ac:dyDescent="0.25">
      <c r="A12" s="40"/>
      <c r="B12" s="40"/>
      <c r="C12" s="47">
        <f>D11</f>
        <v>6</v>
      </c>
      <c r="D12" s="47">
        <v>6.98</v>
      </c>
      <c r="E12" s="40"/>
      <c r="F12" s="40"/>
      <c r="G12" s="40" t="s">
        <v>168</v>
      </c>
      <c r="H12" s="40"/>
      <c r="I12" s="40"/>
      <c r="J12" s="40"/>
      <c r="K12" s="40" t="s">
        <v>168</v>
      </c>
      <c r="L12" s="40" t="s">
        <v>168</v>
      </c>
      <c r="M12" s="40"/>
      <c r="N12" s="40"/>
      <c r="O12" s="40"/>
      <c r="P12" s="40" t="s">
        <v>168</v>
      </c>
      <c r="Q12" s="40"/>
      <c r="R12" s="40"/>
      <c r="S12" s="40" t="s">
        <v>168</v>
      </c>
      <c r="T12" s="40"/>
      <c r="U12" s="44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36" customHeight="1" x14ac:dyDescent="0.25">
      <c r="A13" s="40"/>
      <c r="B13" s="40"/>
      <c r="C13" s="47"/>
      <c r="D13" s="47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36" customHeight="1" x14ac:dyDescent="0.25">
      <c r="A14" s="40"/>
      <c r="B14" s="40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36" customHeight="1" x14ac:dyDescent="0.25">
      <c r="A15" s="40"/>
      <c r="B15" s="40"/>
      <c r="C15" s="47"/>
      <c r="D15" s="47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36" customHeight="1" x14ac:dyDescent="0.25">
      <c r="A16" s="40"/>
      <c r="B16" s="40"/>
      <c r="C16" s="47"/>
      <c r="D16" s="47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40"/>
      <c r="B17" s="40"/>
      <c r="C17" s="47"/>
      <c r="D17" s="47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40"/>
      <c r="B18" s="40"/>
      <c r="C18" s="47"/>
      <c r="D18" s="47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40"/>
      <c r="B19" s="40"/>
      <c r="C19" s="47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40"/>
      <c r="B20" s="40"/>
      <c r="C20" s="47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7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40"/>
      <c r="B21" s="40"/>
      <c r="C21" s="47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40"/>
      <c r="B22" s="40"/>
      <c r="C22" s="47"/>
      <c r="D22" s="47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40"/>
      <c r="B23" s="40"/>
      <c r="C23" s="47"/>
      <c r="D23" s="47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40"/>
      <c r="B24" s="40"/>
      <c r="C24" s="47"/>
      <c r="D24" s="47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40"/>
      <c r="B25" s="40"/>
      <c r="C25" s="47"/>
      <c r="D25" s="47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40"/>
      <c r="B26" s="40"/>
      <c r="C26" s="47"/>
      <c r="D26" s="47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40"/>
      <c r="B27" s="40"/>
      <c r="C27" s="47"/>
      <c r="D27" s="47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4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40"/>
      <c r="B28" s="40"/>
      <c r="C28" s="47"/>
      <c r="D28" s="47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40"/>
      <c r="B29" s="40"/>
      <c r="C29" s="47"/>
      <c r="D29" s="47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7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  <row r="32" spans="1:40" ht="19.2" x14ac:dyDescent="0.35">
      <c r="A32" s="4" t="s">
        <v>7</v>
      </c>
      <c r="B32" s="11" t="s">
        <v>2</v>
      </c>
      <c r="C32" s="5"/>
      <c r="D32" s="5"/>
      <c r="E32" s="94"/>
      <c r="F32" s="94"/>
    </row>
    <row r="33" spans="1:20" ht="19.2" x14ac:dyDescent="0.35">
      <c r="A33" s="4" t="s">
        <v>9</v>
      </c>
      <c r="B33" s="4" t="s">
        <v>10</v>
      </c>
      <c r="E33" s="4" t="s">
        <v>14</v>
      </c>
      <c r="F33" s="4"/>
      <c r="G33" s="4"/>
      <c r="I33" s="4" t="s">
        <v>5</v>
      </c>
      <c r="J33" s="4" t="s">
        <v>12</v>
      </c>
      <c r="K33" s="1"/>
      <c r="L33" s="1"/>
      <c r="M33" s="4" t="s">
        <v>16</v>
      </c>
      <c r="N33" s="4"/>
      <c r="O33" s="4"/>
    </row>
    <row r="34" spans="1:20" ht="19.2" x14ac:dyDescent="0.35">
      <c r="A34" s="4" t="s">
        <v>4</v>
      </c>
      <c r="B34" s="4" t="s">
        <v>11</v>
      </c>
      <c r="E34" s="4" t="s">
        <v>15</v>
      </c>
      <c r="F34" s="4"/>
      <c r="G34" s="4"/>
      <c r="I34" s="4" t="s">
        <v>6</v>
      </c>
      <c r="J34" s="4" t="s">
        <v>13</v>
      </c>
      <c r="K34" s="1"/>
      <c r="L34" s="1"/>
      <c r="M34" s="4" t="s">
        <v>17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1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 t="str">
        <f>IF(J7="X",(D7-C7),"0")</f>
        <v>0</v>
      </c>
      <c r="K39" s="2">
        <f>IF(K7="X",(D7-C7),"0")</f>
        <v>1</v>
      </c>
      <c r="L39" s="2">
        <f>IF(L7="X",(D7-C7),"0")</f>
        <v>1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>
        <f t="shared" ref="G40:G103" si="2">IF(G8="X",(D8-C8),"0")</f>
        <v>2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>
        <f t="shared" ref="K40:K103" si="6">IF(K8="X",(D8-C8),"0")</f>
        <v>2</v>
      </c>
      <c r="L40" s="2">
        <f t="shared" ref="L40:L103" si="7">IF(L8="X",(D8-C8),"0")</f>
        <v>2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2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2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>
        <f t="shared" si="1"/>
        <v>16.760000000000002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>
        <f t="shared" si="6"/>
        <v>16.760000000000002</v>
      </c>
      <c r="L41" s="2">
        <f t="shared" si="7"/>
        <v>16.760000000000002</v>
      </c>
      <c r="M41" s="2" t="str">
        <f t="shared" si="8"/>
        <v>0</v>
      </c>
      <c r="N41" s="2">
        <f t="shared" si="9"/>
        <v>16.760000000000002</v>
      </c>
      <c r="O41" s="2" t="str">
        <f t="shared" si="10"/>
        <v>0</v>
      </c>
      <c r="P41" s="2">
        <f t="shared" si="11"/>
        <v>16.760000000000002</v>
      </c>
      <c r="Q41" s="2" t="str">
        <f t="shared" si="12"/>
        <v>0</v>
      </c>
      <c r="R41" s="2" t="str">
        <f t="shared" si="13"/>
        <v>0</v>
      </c>
      <c r="S41" s="2">
        <f t="shared" si="14"/>
        <v>16.760000000000002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>
        <f t="shared" si="2"/>
        <v>0.1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>
        <f t="shared" si="6"/>
        <v>0.1</v>
      </c>
      <c r="L42" s="2">
        <f t="shared" si="7"/>
        <v>0.1</v>
      </c>
      <c r="M42" s="2" t="str">
        <f t="shared" si="8"/>
        <v>0</v>
      </c>
      <c r="N42" s="2">
        <f t="shared" si="9"/>
        <v>0.1</v>
      </c>
      <c r="O42" s="2" t="str">
        <f t="shared" si="10"/>
        <v>0</v>
      </c>
      <c r="P42" s="2">
        <f t="shared" si="11"/>
        <v>0.1</v>
      </c>
      <c r="Q42" s="2" t="str">
        <f t="shared" si="12"/>
        <v>0</v>
      </c>
      <c r="R42" s="2" t="str">
        <f t="shared" si="13"/>
        <v>0</v>
      </c>
      <c r="S42" s="2">
        <f t="shared" si="14"/>
        <v>0.1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>
        <f t="shared" si="1"/>
        <v>5.9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>
        <f t="shared" si="6"/>
        <v>5.9</v>
      </c>
      <c r="L43" s="2">
        <f t="shared" si="7"/>
        <v>5.9</v>
      </c>
      <c r="M43" s="2" t="str">
        <f t="shared" si="8"/>
        <v>0</v>
      </c>
      <c r="N43" s="2">
        <f t="shared" si="9"/>
        <v>5.9</v>
      </c>
      <c r="O43" s="2" t="str">
        <f t="shared" si="10"/>
        <v>0</v>
      </c>
      <c r="P43" s="2">
        <f t="shared" si="11"/>
        <v>5.9</v>
      </c>
      <c r="Q43" s="2" t="str">
        <f t="shared" si="12"/>
        <v>0</v>
      </c>
      <c r="R43" s="2" t="str">
        <f t="shared" si="13"/>
        <v>0</v>
      </c>
      <c r="S43" s="2">
        <f t="shared" si="14"/>
        <v>5.9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>
        <f t="shared" si="2"/>
        <v>0.98000000000000043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>
        <f t="shared" si="6"/>
        <v>0.98000000000000043</v>
      </c>
      <c r="L44" s="2">
        <f t="shared" si="7"/>
        <v>0.98000000000000043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>
        <f t="shared" si="11"/>
        <v>0.98000000000000043</v>
      </c>
      <c r="Q44" s="2" t="str">
        <f t="shared" si="12"/>
        <v>0</v>
      </c>
      <c r="R44" s="2" t="str">
        <f t="shared" si="13"/>
        <v>0</v>
      </c>
      <c r="S44" s="2">
        <f t="shared" si="14"/>
        <v>0.98000000000000043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16">
        <f>SUM(E39:E126)</f>
        <v>0</v>
      </c>
      <c r="F127" s="16">
        <f t="shared" ref="F127:T127" si="32">SUM(F39:F126)</f>
        <v>23.660000000000004</v>
      </c>
      <c r="G127" s="16">
        <f t="shared" si="32"/>
        <v>3.0800000000000005</v>
      </c>
      <c r="H127" s="16">
        <f t="shared" si="32"/>
        <v>0</v>
      </c>
      <c r="I127" s="16">
        <f t="shared" si="32"/>
        <v>0</v>
      </c>
      <c r="J127" s="16">
        <f t="shared" si="32"/>
        <v>0</v>
      </c>
      <c r="K127" s="16">
        <f t="shared" si="32"/>
        <v>26.740000000000006</v>
      </c>
      <c r="L127" s="16">
        <f t="shared" si="32"/>
        <v>26.740000000000006</v>
      </c>
      <c r="M127" s="16">
        <f t="shared" si="32"/>
        <v>0</v>
      </c>
      <c r="N127" s="16">
        <f t="shared" si="32"/>
        <v>22.760000000000005</v>
      </c>
      <c r="O127" s="16">
        <f t="shared" si="32"/>
        <v>0</v>
      </c>
      <c r="P127" s="16">
        <f t="shared" si="32"/>
        <v>26.740000000000006</v>
      </c>
      <c r="Q127" s="16">
        <f t="shared" si="32"/>
        <v>0</v>
      </c>
      <c r="R127" s="16">
        <f t="shared" si="32"/>
        <v>0</v>
      </c>
      <c r="S127" s="16">
        <f t="shared" si="32"/>
        <v>26.740000000000006</v>
      </c>
      <c r="T127" s="16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E8D5-260B-4EFB-B075-2F47FFE620FA}">
  <sheetPr>
    <pageSetUpPr fitToPage="1"/>
  </sheetPr>
  <dimension ref="B1:AK29"/>
  <sheetViews>
    <sheetView view="pageBreakPreview" topLeftCell="V3" zoomScale="55" zoomScaleNormal="40" zoomScaleSheetLayoutView="55" workbookViewId="0">
      <selection activeCell="P17" sqref="P17"/>
    </sheetView>
  </sheetViews>
  <sheetFormatPr defaultRowHeight="14.4" x14ac:dyDescent="0.3"/>
  <cols>
    <col min="2" max="2" width="27" bestFit="1" customWidth="1"/>
    <col min="3" max="3" width="95.88671875" customWidth="1"/>
    <col min="4" max="7" width="11.5546875" customWidth="1"/>
    <col min="8" max="8" width="15" customWidth="1"/>
    <col min="9" max="9" width="13.5546875" customWidth="1"/>
    <col min="10" max="10" width="14" bestFit="1" customWidth="1"/>
    <col min="11" max="12" width="12.5546875" customWidth="1"/>
    <col min="13" max="13" width="10.33203125" customWidth="1"/>
    <col min="14" max="16" width="13.6640625" customWidth="1"/>
    <col min="17" max="19" width="14.5546875" customWidth="1"/>
  </cols>
  <sheetData>
    <row r="1" spans="2:37" ht="15" thickBot="1" x14ac:dyDescent="0.35"/>
    <row r="2" spans="2:37" ht="20.399999999999999" x14ac:dyDescent="0.3">
      <c r="B2" s="100" t="s">
        <v>37</v>
      </c>
      <c r="C2" s="102" t="s">
        <v>38</v>
      </c>
      <c r="D2" s="91" t="s">
        <v>2</v>
      </c>
      <c r="E2" s="91"/>
      <c r="F2" s="91"/>
      <c r="G2" s="91"/>
      <c r="H2" s="91"/>
      <c r="I2" s="91" t="s">
        <v>18</v>
      </c>
      <c r="J2" s="91"/>
      <c r="K2" s="91" t="s">
        <v>32</v>
      </c>
      <c r="L2" s="91"/>
      <c r="M2" s="91"/>
      <c r="N2" s="91" t="s">
        <v>22</v>
      </c>
      <c r="O2" s="91"/>
      <c r="P2" s="91"/>
      <c r="Q2" s="91" t="s">
        <v>25</v>
      </c>
      <c r="R2" s="91"/>
      <c r="S2" s="92"/>
    </row>
    <row r="3" spans="2:37" ht="20.399999999999999" x14ac:dyDescent="0.3">
      <c r="B3" s="101"/>
      <c r="C3" s="103"/>
      <c r="D3" s="9" t="s">
        <v>3</v>
      </c>
      <c r="E3" s="9" t="s">
        <v>8</v>
      </c>
      <c r="F3" s="9" t="s">
        <v>4</v>
      </c>
      <c r="G3" s="9" t="s">
        <v>5</v>
      </c>
      <c r="H3" s="9" t="s">
        <v>6</v>
      </c>
      <c r="I3" s="9" t="s">
        <v>19</v>
      </c>
      <c r="J3" s="9" t="s">
        <v>35</v>
      </c>
      <c r="K3" s="9" t="s">
        <v>20</v>
      </c>
      <c r="L3" s="9" t="s">
        <v>21</v>
      </c>
      <c r="M3" s="9" t="s">
        <v>31</v>
      </c>
      <c r="N3" s="9" t="s">
        <v>3</v>
      </c>
      <c r="O3" s="9" t="s">
        <v>23</v>
      </c>
      <c r="P3" s="9" t="s">
        <v>24</v>
      </c>
      <c r="Q3" s="9" t="s">
        <v>3</v>
      </c>
      <c r="R3" s="9" t="s">
        <v>26</v>
      </c>
      <c r="S3" s="13" t="s">
        <v>24</v>
      </c>
    </row>
    <row r="4" spans="2:37" ht="30" customHeight="1" x14ac:dyDescent="0.3">
      <c r="B4" s="58" t="s">
        <v>40</v>
      </c>
      <c r="C4" s="59" t="s">
        <v>41</v>
      </c>
      <c r="D4" s="21">
        <f>'246'!E127</f>
        <v>0</v>
      </c>
      <c r="E4" s="21">
        <f>'246'!F127</f>
        <v>0</v>
      </c>
      <c r="F4" s="21">
        <f>'246'!G127</f>
        <v>14.870000000000001</v>
      </c>
      <c r="G4" s="21">
        <f>'246'!H127</f>
        <v>0</v>
      </c>
      <c r="H4" s="21">
        <f>'246'!I127</f>
        <v>0</v>
      </c>
      <c r="I4" s="21">
        <f>'246'!J127</f>
        <v>14.870000000000001</v>
      </c>
      <c r="J4" s="21">
        <f>'246'!K127</f>
        <v>0</v>
      </c>
      <c r="K4" s="21">
        <f>'246'!L127</f>
        <v>0</v>
      </c>
      <c r="L4" s="21">
        <f>'246'!M127</f>
        <v>14.870000000000001</v>
      </c>
      <c r="M4" s="21">
        <f>'246'!N127</f>
        <v>0</v>
      </c>
      <c r="N4" s="21">
        <f>'246'!O127</f>
        <v>0</v>
      </c>
      <c r="O4" s="21">
        <f>'246'!P127</f>
        <v>14.870000000000001</v>
      </c>
      <c r="P4" s="21">
        <f>'246'!Q127</f>
        <v>0</v>
      </c>
      <c r="Q4" s="21">
        <f>'246'!R127</f>
        <v>0</v>
      </c>
      <c r="R4" s="21">
        <f>'246'!S127</f>
        <v>14.870000000000001</v>
      </c>
      <c r="S4" s="28">
        <f>'246'!T127</f>
        <v>0</v>
      </c>
    </row>
    <row r="5" spans="2:37" ht="30" customHeight="1" x14ac:dyDescent="0.3">
      <c r="B5" s="48" t="s">
        <v>42</v>
      </c>
      <c r="C5" s="60" t="s">
        <v>43</v>
      </c>
      <c r="D5" s="21">
        <f>'247'!E130</f>
        <v>0</v>
      </c>
      <c r="E5" s="21">
        <f>'247'!F130</f>
        <v>16.68</v>
      </c>
      <c r="F5" s="21">
        <f>'247'!G130</f>
        <v>19.36</v>
      </c>
      <c r="G5" s="21">
        <f>'247'!H130</f>
        <v>0</v>
      </c>
      <c r="H5" s="21">
        <f>'247'!I130</f>
        <v>0</v>
      </c>
      <c r="I5" s="21">
        <f>'247'!J130</f>
        <v>36.04</v>
      </c>
      <c r="J5" s="21">
        <f>'247'!K130</f>
        <v>0</v>
      </c>
      <c r="K5" s="21">
        <f>'247'!L130</f>
        <v>0</v>
      </c>
      <c r="L5" s="21">
        <f>'247'!M130</f>
        <v>35.94</v>
      </c>
      <c r="M5" s="21">
        <f>'247'!N130</f>
        <v>0.1</v>
      </c>
      <c r="N5" s="21">
        <f>'247'!O130</f>
        <v>0</v>
      </c>
      <c r="O5" s="21">
        <f>'247'!P130</f>
        <v>36.04</v>
      </c>
      <c r="P5" s="21">
        <f>'247'!Q130</f>
        <v>0</v>
      </c>
      <c r="Q5" s="21">
        <f>'247'!R130</f>
        <v>0</v>
      </c>
      <c r="R5" s="21">
        <f>'247'!S130</f>
        <v>36.04</v>
      </c>
      <c r="S5" s="28">
        <f>'247'!T130</f>
        <v>0</v>
      </c>
      <c r="U5" s="24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2:37" ht="30" customHeight="1" x14ac:dyDescent="0.3">
      <c r="B6" s="48" t="s">
        <v>44</v>
      </c>
      <c r="C6" s="60" t="s">
        <v>45</v>
      </c>
      <c r="D6" s="21">
        <f>'248'!E127</f>
        <v>27.889999999999997</v>
      </c>
      <c r="E6" s="21">
        <f>'248'!F127</f>
        <v>5.81</v>
      </c>
      <c r="F6" s="21">
        <f>'248'!G127</f>
        <v>9.3000000000000007</v>
      </c>
      <c r="G6" s="21">
        <f>'248'!H127</f>
        <v>0</v>
      </c>
      <c r="H6" s="21">
        <f>'248'!I127</f>
        <v>0</v>
      </c>
      <c r="I6" s="21">
        <f>'248'!J127</f>
        <v>43</v>
      </c>
      <c r="J6" s="21">
        <f>'248'!K127</f>
        <v>0</v>
      </c>
      <c r="K6" s="21">
        <f>'248'!L127</f>
        <v>0</v>
      </c>
      <c r="L6" s="21">
        <f>'248'!M127</f>
        <v>43</v>
      </c>
      <c r="M6" s="21">
        <f>'248'!N127</f>
        <v>0</v>
      </c>
      <c r="N6" s="21">
        <f>'248'!O127</f>
        <v>0</v>
      </c>
      <c r="O6" s="21">
        <f>'248'!P127</f>
        <v>43</v>
      </c>
      <c r="P6" s="21">
        <f>'248'!Q127</f>
        <v>0</v>
      </c>
      <c r="Q6" s="21">
        <f>'248'!R127</f>
        <v>0</v>
      </c>
      <c r="R6" s="21">
        <f>'248'!S127</f>
        <v>43</v>
      </c>
      <c r="S6" s="28">
        <f>'248'!T127</f>
        <v>0</v>
      </c>
      <c r="U6" s="24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spans="2:37" ht="30" customHeight="1" x14ac:dyDescent="0.3">
      <c r="B7" s="58" t="s">
        <v>46</v>
      </c>
      <c r="C7" s="59" t="s">
        <v>47</v>
      </c>
      <c r="D7" s="21">
        <f>'249'!E132</f>
        <v>8.68</v>
      </c>
      <c r="E7" s="21">
        <f>'249'!F132</f>
        <v>0</v>
      </c>
      <c r="F7" s="21">
        <f>'249'!G132</f>
        <v>28.26</v>
      </c>
      <c r="G7" s="21">
        <f>'249'!H132</f>
        <v>0</v>
      </c>
      <c r="H7" s="21">
        <f>'249'!I132</f>
        <v>0</v>
      </c>
      <c r="I7" s="21">
        <f>'249'!J132</f>
        <v>36.94</v>
      </c>
      <c r="J7" s="21">
        <f>'249'!K132</f>
        <v>0</v>
      </c>
      <c r="K7" s="21">
        <f>'249'!L132</f>
        <v>36.94</v>
      </c>
      <c r="L7" s="21">
        <f>'249'!M132</f>
        <v>0</v>
      </c>
      <c r="M7" s="21">
        <f>'249'!N132</f>
        <v>0</v>
      </c>
      <c r="N7" s="21">
        <f>'249'!O132</f>
        <v>0</v>
      </c>
      <c r="O7" s="21">
        <f>'249'!P132</f>
        <v>36.94</v>
      </c>
      <c r="P7" s="21">
        <f>'249'!Q132</f>
        <v>0</v>
      </c>
      <c r="Q7" s="21">
        <f>'249'!R132</f>
        <v>0</v>
      </c>
      <c r="R7" s="21">
        <f>'249'!S132</f>
        <v>36.94</v>
      </c>
      <c r="S7" s="28">
        <f>'249'!T132</f>
        <v>0</v>
      </c>
      <c r="U7" s="24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spans="2:37" ht="30" customHeight="1" x14ac:dyDescent="0.3">
      <c r="B8" s="48" t="s">
        <v>48</v>
      </c>
      <c r="C8" s="60" t="s">
        <v>49</v>
      </c>
      <c r="D8" s="21">
        <f>'250'!E127</f>
        <v>1.86</v>
      </c>
      <c r="E8" s="21">
        <f>'250'!F127</f>
        <v>13.48</v>
      </c>
      <c r="F8" s="21">
        <f>'250'!G127</f>
        <v>0</v>
      </c>
      <c r="G8" s="21">
        <f>'250'!H127</f>
        <v>0</v>
      </c>
      <c r="H8" s="21">
        <f>'250'!I127</f>
        <v>0</v>
      </c>
      <c r="I8" s="21">
        <f>'250'!J127</f>
        <v>15.34</v>
      </c>
      <c r="J8" s="21">
        <f>'250'!K127</f>
        <v>0</v>
      </c>
      <c r="K8" s="21">
        <f>'250'!L127</f>
        <v>0</v>
      </c>
      <c r="L8" s="21">
        <f>'250'!M127</f>
        <v>15.34</v>
      </c>
      <c r="M8" s="21">
        <f>'250'!N127</f>
        <v>0</v>
      </c>
      <c r="N8" s="21">
        <f>'250'!O127</f>
        <v>0</v>
      </c>
      <c r="O8" s="21">
        <f>'250'!P127</f>
        <v>15.34</v>
      </c>
      <c r="P8" s="21">
        <f>'250'!Q127</f>
        <v>0</v>
      </c>
      <c r="Q8" s="21">
        <f>'250'!R127</f>
        <v>15.34</v>
      </c>
      <c r="R8" s="21">
        <f>'250'!S127</f>
        <v>0</v>
      </c>
      <c r="S8" s="28">
        <f>'250'!T127</f>
        <v>0</v>
      </c>
      <c r="U8" s="24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 spans="2:37" ht="30" customHeight="1" x14ac:dyDescent="0.3">
      <c r="B9" s="48" t="s">
        <v>50</v>
      </c>
      <c r="C9" s="60" t="s">
        <v>51</v>
      </c>
      <c r="D9" s="21">
        <f>'251'!E127</f>
        <v>59.65</v>
      </c>
      <c r="E9" s="21">
        <f>'251'!F127</f>
        <v>24.860000000000007</v>
      </c>
      <c r="F9" s="21">
        <f>'251'!G127</f>
        <v>20</v>
      </c>
      <c r="G9" s="21">
        <f>'251'!H127</f>
        <v>0</v>
      </c>
      <c r="H9" s="21">
        <f>'251'!I127</f>
        <v>0</v>
      </c>
      <c r="I9" s="21">
        <f>'251'!J127</f>
        <v>104.51000000000002</v>
      </c>
      <c r="J9" s="21">
        <f>'251'!K127</f>
        <v>0</v>
      </c>
      <c r="K9" s="21">
        <f>'251'!L127</f>
        <v>3.65</v>
      </c>
      <c r="L9" s="21">
        <f>'251'!M127</f>
        <v>92.860000000000014</v>
      </c>
      <c r="M9" s="21">
        <f>'251'!N127</f>
        <v>8</v>
      </c>
      <c r="N9" s="21">
        <f>'251'!O127</f>
        <v>0</v>
      </c>
      <c r="O9" s="21">
        <f>'251'!P127</f>
        <v>104.51000000000002</v>
      </c>
      <c r="P9" s="21">
        <f>'251'!Q127</f>
        <v>0</v>
      </c>
      <c r="Q9" s="21">
        <f>'251'!R127</f>
        <v>3.65</v>
      </c>
      <c r="R9" s="21">
        <f>'251'!S127</f>
        <v>100.86000000000001</v>
      </c>
      <c r="S9" s="28">
        <f>'251'!T127</f>
        <v>0</v>
      </c>
      <c r="U9" s="24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 spans="2:37" ht="30" customHeight="1" x14ac:dyDescent="0.3">
      <c r="B10" s="58" t="s">
        <v>52</v>
      </c>
      <c r="C10" s="59" t="s">
        <v>53</v>
      </c>
      <c r="D10" s="21">
        <f>'252'!E127</f>
        <v>6.92</v>
      </c>
      <c r="E10" s="21">
        <f>'252'!F127</f>
        <v>22.75</v>
      </c>
      <c r="F10" s="21">
        <f>'252'!G127</f>
        <v>23</v>
      </c>
      <c r="G10" s="21">
        <f>'252'!H127</f>
        <v>0</v>
      </c>
      <c r="H10" s="21">
        <f>'252'!I127</f>
        <v>0</v>
      </c>
      <c r="I10" s="21">
        <f>'252'!J127</f>
        <v>52.669999999999995</v>
      </c>
      <c r="J10" s="21">
        <f>'252'!K127</f>
        <v>0</v>
      </c>
      <c r="K10" s="21">
        <f>'252'!L127</f>
        <v>17.399999999999999</v>
      </c>
      <c r="L10" s="21">
        <f>'252'!M127</f>
        <v>35.269999999999996</v>
      </c>
      <c r="M10" s="21">
        <f>'252'!N127</f>
        <v>19.75</v>
      </c>
      <c r="N10" s="21">
        <f>'252'!O127</f>
        <v>0</v>
      </c>
      <c r="O10" s="21">
        <f>'252'!P127</f>
        <v>52.669999999999995</v>
      </c>
      <c r="P10" s="21">
        <f>'252'!Q127</f>
        <v>0</v>
      </c>
      <c r="Q10" s="21">
        <f>'252'!R127</f>
        <v>1.4</v>
      </c>
      <c r="R10" s="21">
        <f>'252'!S127</f>
        <v>51.269999999999996</v>
      </c>
      <c r="S10" s="28">
        <f>'252'!T127</f>
        <v>0</v>
      </c>
      <c r="U10" s="24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2:37" ht="30" customHeight="1" x14ac:dyDescent="0.3">
      <c r="B11" s="48" t="s">
        <v>54</v>
      </c>
      <c r="C11" s="60" t="s">
        <v>55</v>
      </c>
      <c r="D11" s="21">
        <f>'253'!E127</f>
        <v>13.16</v>
      </c>
      <c r="E11" s="21">
        <f>'253'!F127</f>
        <v>0</v>
      </c>
      <c r="F11" s="21">
        <f>'253'!G127</f>
        <v>2.4</v>
      </c>
      <c r="G11" s="21">
        <f>'253'!H127</f>
        <v>0</v>
      </c>
      <c r="H11" s="21">
        <f>'253'!I127</f>
        <v>0</v>
      </c>
      <c r="I11" s="21">
        <f>'253'!J127</f>
        <v>15.56</v>
      </c>
      <c r="J11" s="21">
        <f>'253'!K127</f>
        <v>0</v>
      </c>
      <c r="K11" s="21">
        <f>'253'!L127</f>
        <v>0</v>
      </c>
      <c r="L11" s="21">
        <f>'253'!M127</f>
        <v>10.6</v>
      </c>
      <c r="M11" s="21">
        <f>'253'!N127</f>
        <v>4.9600000000000009</v>
      </c>
      <c r="N11" s="21">
        <f>'253'!O127</f>
        <v>10.6</v>
      </c>
      <c r="O11" s="21">
        <f>'253'!P127</f>
        <v>2.5600000000000005</v>
      </c>
      <c r="P11" s="21">
        <f>'253'!Q127</f>
        <v>2.4</v>
      </c>
      <c r="Q11" s="21">
        <f>'253'!R127</f>
        <v>0</v>
      </c>
      <c r="R11" s="21">
        <f>'253'!S127</f>
        <v>15.56</v>
      </c>
      <c r="S11" s="28">
        <f>'253'!T127</f>
        <v>0</v>
      </c>
      <c r="U11" s="24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 spans="2:37" ht="30" customHeight="1" x14ac:dyDescent="0.3">
      <c r="B12" s="27" t="s">
        <v>56</v>
      </c>
      <c r="C12" s="14" t="s">
        <v>57</v>
      </c>
      <c r="D12" s="21">
        <f>'254'!E127</f>
        <v>15.52</v>
      </c>
      <c r="E12" s="21">
        <f>'254'!F127</f>
        <v>1.17</v>
      </c>
      <c r="F12" s="21">
        <f>'254'!G127</f>
        <v>1.2899999999999991</v>
      </c>
      <c r="G12" s="21">
        <f>'254'!H127</f>
        <v>0</v>
      </c>
      <c r="H12" s="21">
        <f>'254'!I127</f>
        <v>0</v>
      </c>
      <c r="I12" s="21">
        <f>'254'!J127</f>
        <v>10.459999999999999</v>
      </c>
      <c r="J12" s="21">
        <f>'254'!K127</f>
        <v>7.52</v>
      </c>
      <c r="K12" s="21">
        <f>'254'!L127</f>
        <v>2.4599999999999991</v>
      </c>
      <c r="L12" s="21">
        <f>'254'!M127</f>
        <v>15.52</v>
      </c>
      <c r="M12" s="21">
        <f>'254'!N127</f>
        <v>0</v>
      </c>
      <c r="N12" s="21">
        <f>'254'!O127</f>
        <v>1.2899999999999991</v>
      </c>
      <c r="O12" s="21">
        <f>'254'!P127</f>
        <v>15.52</v>
      </c>
      <c r="P12" s="21">
        <f>'254'!Q127</f>
        <v>1.17</v>
      </c>
      <c r="Q12" s="21">
        <f>'254'!R127</f>
        <v>0</v>
      </c>
      <c r="R12" s="21">
        <f>'254'!S127</f>
        <v>17.979999999999997</v>
      </c>
      <c r="S12" s="28">
        <f>'254'!T127</f>
        <v>0</v>
      </c>
      <c r="U12" s="24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spans="2:37" ht="30" customHeight="1" x14ac:dyDescent="0.3">
      <c r="B13" s="58" t="s">
        <v>58</v>
      </c>
      <c r="C13" s="59" t="s">
        <v>59</v>
      </c>
      <c r="D13" s="21">
        <f>'255'!E127</f>
        <v>10</v>
      </c>
      <c r="E13" s="21">
        <f>'255'!F127</f>
        <v>42.45</v>
      </c>
      <c r="F13" s="21">
        <f>'255'!G127</f>
        <v>5</v>
      </c>
      <c r="G13" s="21">
        <f>'255'!H127</f>
        <v>0</v>
      </c>
      <c r="H13" s="21">
        <f>'255'!I127</f>
        <v>0</v>
      </c>
      <c r="I13" s="21">
        <f>'255'!J127</f>
        <v>57.45</v>
      </c>
      <c r="J13" s="21">
        <f>'255'!K127</f>
        <v>0</v>
      </c>
      <c r="K13" s="21">
        <f>'255'!L127</f>
        <v>8</v>
      </c>
      <c r="L13" s="21">
        <f>'255'!M127</f>
        <v>49.45</v>
      </c>
      <c r="M13" s="21">
        <f>'255'!N127</f>
        <v>3</v>
      </c>
      <c r="N13" s="21">
        <f>'255'!O127</f>
        <v>57.45</v>
      </c>
      <c r="O13" s="21">
        <f>'255'!P127</f>
        <v>0</v>
      </c>
      <c r="P13" s="21">
        <f>'255'!Q127</f>
        <v>0</v>
      </c>
      <c r="Q13" s="21">
        <f>'255'!R127</f>
        <v>0</v>
      </c>
      <c r="R13" s="21">
        <f>'255'!S127</f>
        <v>57.45</v>
      </c>
      <c r="S13" s="28">
        <f>'255'!T127</f>
        <v>0</v>
      </c>
      <c r="U13" s="24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 spans="2:37" ht="30" customHeight="1" x14ac:dyDescent="0.3">
      <c r="B14" s="48" t="s">
        <v>60</v>
      </c>
      <c r="C14" s="14" t="s">
        <v>61</v>
      </c>
      <c r="D14" s="21">
        <f>'256'!E127</f>
        <v>14.77</v>
      </c>
      <c r="E14" s="21">
        <f>'256'!F127</f>
        <v>9.23</v>
      </c>
      <c r="F14" s="21">
        <f>'256'!G127</f>
        <v>6.1</v>
      </c>
      <c r="G14" s="21">
        <f>'256'!H127</f>
        <v>10</v>
      </c>
      <c r="H14" s="21">
        <f>'256'!I127</f>
        <v>0</v>
      </c>
      <c r="I14" s="21">
        <f>'256'!J127</f>
        <v>29.1</v>
      </c>
      <c r="J14" s="21">
        <f>'256'!K127</f>
        <v>10</v>
      </c>
      <c r="K14" s="21">
        <f>'256'!L127</f>
        <v>0</v>
      </c>
      <c r="L14" s="21">
        <f>'256'!M127</f>
        <v>35.18</v>
      </c>
      <c r="M14" s="21">
        <f>'256'!N127</f>
        <v>3.92</v>
      </c>
      <c r="N14" s="21">
        <f>'256'!O127</f>
        <v>39.1</v>
      </c>
      <c r="O14" s="21">
        <f>'256'!P127</f>
        <v>0</v>
      </c>
      <c r="P14" s="21">
        <f>'256'!Q127</f>
        <v>0</v>
      </c>
      <c r="Q14" s="21">
        <f>'256'!R127</f>
        <v>0</v>
      </c>
      <c r="R14" s="21">
        <f>'256'!S127</f>
        <v>39.1</v>
      </c>
      <c r="S14" s="28">
        <f>'256'!T127</f>
        <v>0</v>
      </c>
      <c r="U14" s="24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 spans="2:37" ht="30" customHeight="1" x14ac:dyDescent="0.3">
      <c r="B15" s="48" t="s">
        <v>62</v>
      </c>
      <c r="C15" s="14" t="s">
        <v>63</v>
      </c>
      <c r="D15" s="21">
        <f>'257'!E127</f>
        <v>4.3</v>
      </c>
      <c r="E15" s="21">
        <f>'257'!F127</f>
        <v>2.08</v>
      </c>
      <c r="F15" s="21">
        <f>'257'!G127</f>
        <v>0</v>
      </c>
      <c r="G15" s="21">
        <f>'257'!H127</f>
        <v>0</v>
      </c>
      <c r="H15" s="21">
        <f>'257'!I127</f>
        <v>0</v>
      </c>
      <c r="I15" s="21">
        <f>'257'!J127</f>
        <v>6.38</v>
      </c>
      <c r="J15" s="21">
        <f>'257'!K127</f>
        <v>0</v>
      </c>
      <c r="K15" s="21">
        <f>'257'!L127</f>
        <v>1.38</v>
      </c>
      <c r="L15" s="21">
        <f>'257'!M127</f>
        <v>5</v>
      </c>
      <c r="M15" s="21">
        <f>'257'!N127</f>
        <v>0</v>
      </c>
      <c r="N15" s="21">
        <f>'257'!O127</f>
        <v>0</v>
      </c>
      <c r="O15" s="21">
        <f>'257'!P127</f>
        <v>3.7</v>
      </c>
      <c r="P15" s="21">
        <f>'257'!Q127</f>
        <v>2.6799999999999997</v>
      </c>
      <c r="Q15" s="21">
        <f>'257'!R127</f>
        <v>0</v>
      </c>
      <c r="R15" s="21">
        <f>'257'!S127</f>
        <v>6.38</v>
      </c>
      <c r="S15" s="28">
        <f>'257'!T127</f>
        <v>0</v>
      </c>
      <c r="U15" s="2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2:37" ht="30" customHeight="1" x14ac:dyDescent="0.3">
      <c r="B16" s="48" t="s">
        <v>64</v>
      </c>
      <c r="C16" s="14" t="s">
        <v>65</v>
      </c>
      <c r="D16" s="21">
        <f>'258'!E130</f>
        <v>23.2</v>
      </c>
      <c r="E16" s="21">
        <f>'258'!F130</f>
        <v>2.7200000000000011</v>
      </c>
      <c r="F16" s="21">
        <f>'258'!G130</f>
        <v>5.68</v>
      </c>
      <c r="G16" s="21">
        <f>'258'!H130</f>
        <v>1.2000000000000002</v>
      </c>
      <c r="H16" s="21">
        <f>'258'!I130</f>
        <v>2</v>
      </c>
      <c r="I16" s="21">
        <f>'258'!J130</f>
        <v>25.499999999999996</v>
      </c>
      <c r="J16" s="21">
        <f>'258'!K130</f>
        <v>0</v>
      </c>
      <c r="K16" s="21">
        <f>'258'!L130</f>
        <v>0</v>
      </c>
      <c r="L16" s="21">
        <f>'258'!M130</f>
        <v>33.99</v>
      </c>
      <c r="M16" s="21">
        <f>'258'!N130</f>
        <v>1.5099999999999996</v>
      </c>
      <c r="N16" s="21">
        <f>'258'!O130</f>
        <v>35.5</v>
      </c>
      <c r="O16" s="21">
        <f>'258'!P130</f>
        <v>0</v>
      </c>
      <c r="P16" s="21">
        <f>'258'!Q130</f>
        <v>0</v>
      </c>
      <c r="Q16" s="21">
        <f>'258'!R130</f>
        <v>0</v>
      </c>
      <c r="R16" s="21">
        <f>'258'!S130</f>
        <v>35.5</v>
      </c>
      <c r="S16" s="28">
        <f>'258'!T130</f>
        <v>0</v>
      </c>
      <c r="U16" s="2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2:37" ht="30" customHeight="1" x14ac:dyDescent="0.3">
      <c r="B17" s="48" t="s">
        <v>66</v>
      </c>
      <c r="C17" s="14" t="s">
        <v>67</v>
      </c>
      <c r="D17" s="21">
        <f>'259'!E134</f>
        <v>26.44</v>
      </c>
      <c r="E17" s="21">
        <f>'259'!F134</f>
        <v>11.73</v>
      </c>
      <c r="F17" s="21">
        <f>'259'!G134</f>
        <v>2.9</v>
      </c>
      <c r="G17" s="21">
        <f>'259'!H134</f>
        <v>5.2</v>
      </c>
      <c r="H17" s="21">
        <f>'259'!I134</f>
        <v>2.0999999999999996</v>
      </c>
      <c r="I17" s="21">
        <f>'259'!J134</f>
        <v>48.370000000000012</v>
      </c>
      <c r="J17" s="21">
        <f>'259'!K134</f>
        <v>0</v>
      </c>
      <c r="K17" s="21">
        <f>'259'!L134</f>
        <v>0</v>
      </c>
      <c r="L17" s="21">
        <f>'259'!M134</f>
        <v>44.740000000000009</v>
      </c>
      <c r="M17" s="21">
        <f>'259'!N134</f>
        <v>3.63</v>
      </c>
      <c r="N17" s="21">
        <f>'259'!O134</f>
        <v>43.650000000000006</v>
      </c>
      <c r="O17" s="21">
        <f>'259'!P134</f>
        <v>0</v>
      </c>
      <c r="P17" s="21">
        <f>'259'!Q134</f>
        <v>4.72</v>
      </c>
      <c r="Q17" s="21">
        <f>'259'!R134</f>
        <v>0</v>
      </c>
      <c r="R17" s="21">
        <f>'259'!S134</f>
        <v>48.370000000000012</v>
      </c>
      <c r="S17" s="28">
        <f>'259'!T134</f>
        <v>0</v>
      </c>
      <c r="U17" s="2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2:37" ht="30" customHeight="1" x14ac:dyDescent="0.3">
      <c r="B18" s="27" t="s">
        <v>68</v>
      </c>
      <c r="C18" s="14" t="s">
        <v>69</v>
      </c>
      <c r="D18" s="21">
        <f>'265'!E127</f>
        <v>0</v>
      </c>
      <c r="E18" s="21">
        <f>'265'!F127</f>
        <v>1.0900000000000001</v>
      </c>
      <c r="F18" s="21">
        <f>'265'!G127</f>
        <v>0</v>
      </c>
      <c r="G18" s="21">
        <f>'265'!H127</f>
        <v>0</v>
      </c>
      <c r="H18" s="21">
        <f>'265'!I127</f>
        <v>0</v>
      </c>
      <c r="I18" s="21">
        <f>'265'!J127</f>
        <v>1.0900000000000001</v>
      </c>
      <c r="J18" s="21">
        <f>'265'!K127</f>
        <v>0</v>
      </c>
      <c r="K18" s="21">
        <f>'265'!L127</f>
        <v>1.0900000000000001</v>
      </c>
      <c r="L18" s="21">
        <f>'265'!M127</f>
        <v>0</v>
      </c>
      <c r="M18" s="21">
        <f>'265'!N127</f>
        <v>0</v>
      </c>
      <c r="N18" s="21">
        <f>'265'!O127</f>
        <v>0</v>
      </c>
      <c r="O18" s="21">
        <f>'265'!P127</f>
        <v>1.0900000000000001</v>
      </c>
      <c r="P18" s="21">
        <f>'265'!Q127</f>
        <v>0</v>
      </c>
      <c r="Q18" s="21">
        <f>'265'!R127</f>
        <v>0</v>
      </c>
      <c r="R18" s="21">
        <f>'265'!S127</f>
        <v>1.0900000000000001</v>
      </c>
      <c r="S18" s="28">
        <f>'265'!T127</f>
        <v>0</v>
      </c>
      <c r="U18" s="2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2:37" ht="30" customHeight="1" thickBot="1" x14ac:dyDescent="0.35">
      <c r="B19" s="61" t="s">
        <v>70</v>
      </c>
      <c r="C19" s="62" t="s">
        <v>71</v>
      </c>
      <c r="D19" s="29">
        <f>'266'!E127</f>
        <v>0</v>
      </c>
      <c r="E19" s="29">
        <f>'266'!F127</f>
        <v>23.660000000000004</v>
      </c>
      <c r="F19" s="29">
        <f>'266'!G127</f>
        <v>3.0800000000000005</v>
      </c>
      <c r="G19" s="29">
        <f>'266'!H127</f>
        <v>0</v>
      </c>
      <c r="H19" s="29">
        <f>'266'!I127</f>
        <v>0</v>
      </c>
      <c r="I19" s="29">
        <f>'266'!J127</f>
        <v>0</v>
      </c>
      <c r="J19" s="29">
        <f>'266'!K127</f>
        <v>26.740000000000006</v>
      </c>
      <c r="K19" s="29">
        <f>'266'!L127</f>
        <v>26.740000000000006</v>
      </c>
      <c r="L19" s="29">
        <f>'266'!M127</f>
        <v>0</v>
      </c>
      <c r="M19" s="29">
        <f>'266'!N127</f>
        <v>22.760000000000005</v>
      </c>
      <c r="N19" s="29">
        <f>'266'!O127</f>
        <v>0</v>
      </c>
      <c r="O19" s="29">
        <f>'266'!P127</f>
        <v>26.740000000000006</v>
      </c>
      <c r="P19" s="29">
        <f>'266'!Q127</f>
        <v>0</v>
      </c>
      <c r="Q19" s="29">
        <f>'266'!R127</f>
        <v>0</v>
      </c>
      <c r="R19" s="29">
        <f>'266'!S127</f>
        <v>26.740000000000006</v>
      </c>
      <c r="S19" s="30">
        <f>'266'!T127</f>
        <v>0</v>
      </c>
      <c r="U19" s="24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2:37" ht="23.4" x14ac:dyDescent="0.3">
      <c r="U20" s="24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2:37" ht="23.4" x14ac:dyDescent="0.3">
      <c r="C21" s="22" t="s">
        <v>72</v>
      </c>
      <c r="D21" s="23">
        <f>SUM(D4:D19)</f>
        <v>212.39</v>
      </c>
      <c r="E21" s="23">
        <f t="shared" ref="E21:S21" si="0">SUM(E4:E19)</f>
        <v>177.71</v>
      </c>
      <c r="F21" s="23">
        <f>SUM(F4:F19)</f>
        <v>141.24000000000004</v>
      </c>
      <c r="G21" s="23">
        <f>SUM(G4:G19)</f>
        <v>16.399999999999999</v>
      </c>
      <c r="H21" s="23">
        <f t="shared" si="0"/>
        <v>4.0999999999999996</v>
      </c>
      <c r="I21" s="23">
        <f t="shared" si="0"/>
        <v>497.28</v>
      </c>
      <c r="J21" s="23">
        <f t="shared" si="0"/>
        <v>44.260000000000005</v>
      </c>
      <c r="K21" s="23">
        <f t="shared" si="0"/>
        <v>97.66</v>
      </c>
      <c r="L21" s="23">
        <f t="shared" si="0"/>
        <v>431.76000000000005</v>
      </c>
      <c r="M21" s="23">
        <f t="shared" si="0"/>
        <v>67.63000000000001</v>
      </c>
      <c r="N21" s="23">
        <f t="shared" si="0"/>
        <v>187.59</v>
      </c>
      <c r="O21" s="23">
        <f t="shared" si="0"/>
        <v>352.97999999999996</v>
      </c>
      <c r="P21" s="23">
        <f t="shared" si="0"/>
        <v>10.969999999999999</v>
      </c>
      <c r="Q21" s="23">
        <f t="shared" si="0"/>
        <v>20.389999999999997</v>
      </c>
      <c r="R21" s="23">
        <f t="shared" si="0"/>
        <v>531.15</v>
      </c>
      <c r="S21" s="23">
        <f t="shared" si="0"/>
        <v>0</v>
      </c>
      <c r="U21" s="2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 spans="2:37" ht="23.4" x14ac:dyDescent="0.3">
      <c r="C22" s="22" t="s">
        <v>73</v>
      </c>
      <c r="D22" s="24"/>
      <c r="E22" s="24"/>
      <c r="F22" s="24"/>
      <c r="G22" s="24"/>
      <c r="H22" s="25">
        <f>SUM(D21:H21)</f>
        <v>551.84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U22" s="2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 spans="2:37" ht="23.4" x14ac:dyDescent="0.3">
      <c r="C23" s="22" t="s">
        <v>74</v>
      </c>
      <c r="D23" s="24"/>
      <c r="E23" s="24"/>
      <c r="F23" s="24"/>
      <c r="G23" s="24"/>
      <c r="H23" s="26">
        <f>H22/Trechos!F45</f>
        <v>1.0060448153825217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U23" s="2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I23" s="36"/>
      <c r="AJ23" s="36"/>
      <c r="AK23" s="36"/>
    </row>
    <row r="24" spans="2:37" ht="23.4" x14ac:dyDescent="0.3">
      <c r="U24" s="24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spans="2:37" ht="23.4" x14ac:dyDescent="0.3">
      <c r="U25" s="24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 spans="2:37" x14ac:dyDescent="0.3"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2:37" x14ac:dyDescent="0.3"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spans="2:37" x14ac:dyDescent="0.3"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2:37" x14ac:dyDescent="0.3"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18</vt:i4>
      </vt:variant>
    </vt:vector>
  </HeadingPairs>
  <TitlesOfParts>
    <vt:vector size="36" baseType="lpstr">
      <vt:lpstr>Trechos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265</vt:lpstr>
      <vt:lpstr>266</vt:lpstr>
      <vt:lpstr>T.T.</vt:lpstr>
      <vt:lpstr>'246'!Area_de_impressao</vt:lpstr>
      <vt:lpstr>'247'!Area_de_impressao</vt:lpstr>
      <vt:lpstr>'248'!Area_de_impressao</vt:lpstr>
      <vt:lpstr>'249'!Area_de_impressao</vt:lpstr>
      <vt:lpstr>'250'!Area_de_impressao</vt:lpstr>
      <vt:lpstr>'251'!Area_de_impressao</vt:lpstr>
      <vt:lpstr>'252'!Area_de_impressao</vt:lpstr>
      <vt:lpstr>'253'!Area_de_impressao</vt:lpstr>
      <vt:lpstr>'254'!Area_de_impressao</vt:lpstr>
      <vt:lpstr>'255'!Area_de_impressao</vt:lpstr>
      <vt:lpstr>'256'!Area_de_impressao</vt:lpstr>
      <vt:lpstr>'257'!Area_de_impressao</vt:lpstr>
      <vt:lpstr>'258'!Area_de_impressao</vt:lpstr>
      <vt:lpstr>'259'!Area_de_impressao</vt:lpstr>
      <vt:lpstr>'265'!Area_de_impressao</vt:lpstr>
      <vt:lpstr>'266'!Area_de_impressao</vt:lpstr>
      <vt:lpstr>T.T.!Area_de_impressao</vt:lpstr>
      <vt:lpstr>Trechos!Area_de_impressao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Thiago Borges Torquato</cp:lastModifiedBy>
  <cp:lastPrinted>2026-01-26T13:55:54Z</cp:lastPrinted>
  <dcterms:created xsi:type="dcterms:W3CDTF">2025-07-22T11:15:05Z</dcterms:created>
  <dcterms:modified xsi:type="dcterms:W3CDTF">2026-07-27T14:47:08Z</dcterms:modified>
</cp:coreProperties>
</file>