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AREA DE SERVIÇO JULHO\ARQUIVOS PRICILLA\FICHA DE INSPEÇÃO - JULHO\"/>
    </mc:Choice>
  </mc:AlternateContent>
  <xr:revisionPtr revIDLastSave="0" documentId="13_ncr:1_{3930BFB9-1224-460C-BAF6-2EB0CC1D9E79}" xr6:coauthVersionLast="47" xr6:coauthVersionMax="47" xr10:uidLastSave="{00000000-0000-0000-0000-000000000000}"/>
  <bookViews>
    <workbookView xWindow="-108" yWindow="-108" windowWidth="23256" windowHeight="12456" tabRatio="850" activeTab="13" xr2:uid="{B3ADFE79-E3C6-47F3-8176-221C62BDF425}"/>
  </bookViews>
  <sheets>
    <sheet name="Trechos" sheetId="27" r:id="rId1"/>
    <sheet name="224" sheetId="1" r:id="rId2"/>
    <sheet name="225" sheetId="15" r:id="rId3"/>
    <sheet name="226" sheetId="16" r:id="rId4"/>
    <sheet name="227" sheetId="17" r:id="rId5"/>
    <sheet name="228" sheetId="18" r:id="rId6"/>
    <sheet name="229" sheetId="19" r:id="rId7"/>
    <sheet name="230" sheetId="20" r:id="rId8"/>
    <sheet name="231" sheetId="21" r:id="rId9"/>
    <sheet name="233" sheetId="22" r:id="rId10"/>
    <sheet name="234" sheetId="23" r:id="rId11"/>
    <sheet name="235" sheetId="24" r:id="rId12"/>
    <sheet name="243" sheetId="25" r:id="rId13"/>
    <sheet name="244" sheetId="26" r:id="rId14"/>
    <sheet name="TT" sheetId="2" r:id="rId15"/>
  </sheets>
  <externalReferences>
    <externalReference r:id="rId16"/>
  </externalReferences>
  <definedNames>
    <definedName name="_xlnm.Print_Area" localSheetId="1">'224'!$A$1:$U$34</definedName>
    <definedName name="_xlnm.Print_Area" localSheetId="2">'225'!$A$1:$U$34</definedName>
    <definedName name="_xlnm.Print_Area" localSheetId="3">'226'!$A$1:$U$34</definedName>
    <definedName name="_xlnm.Print_Area" localSheetId="4">'227'!$A$1:$U$34</definedName>
    <definedName name="_xlnm.Print_Area" localSheetId="5">'228'!$A$1:$U$34</definedName>
    <definedName name="_xlnm.Print_Area" localSheetId="6">'229'!$A$1:$U$34</definedName>
    <definedName name="_xlnm.Print_Area" localSheetId="7">'230'!$A$1:$U$74</definedName>
    <definedName name="_xlnm.Print_Area" localSheetId="8">'231'!$A$1:$U$34</definedName>
    <definedName name="_xlnm.Print_Area" localSheetId="9">'233'!$A$1:$U$65</definedName>
    <definedName name="_xlnm.Print_Area" localSheetId="10">'234'!$A$1:$U$34</definedName>
    <definedName name="_xlnm.Print_Area" localSheetId="11">'235'!$A$1:$U$34</definedName>
    <definedName name="_xlnm.Print_Area" localSheetId="12">'243'!$A$1:$U$34</definedName>
    <definedName name="_xlnm.Print_Area" localSheetId="13">'244'!$A$1:$U$34</definedName>
    <definedName name="_xlnm.Print_Area" localSheetId="0">Trechos!$A$1:$I$35</definedName>
    <definedName name="_xlnm.Print_Area" localSheetId="14">TT!$A$1:$S$20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6" l="1"/>
  <c r="O2" i="26"/>
  <c r="O2" i="25"/>
  <c r="O2" i="24"/>
  <c r="O2" i="23"/>
  <c r="O2" i="22"/>
  <c r="O2" i="21"/>
  <c r="O2" i="20"/>
  <c r="O2" i="19"/>
  <c r="O2" i="18"/>
  <c r="O2" i="17"/>
  <c r="O2" i="16"/>
  <c r="O2" i="15"/>
  <c r="J2" i="25"/>
  <c r="J2" i="24"/>
  <c r="J2" i="23"/>
  <c r="J2" i="22"/>
  <c r="J2" i="21"/>
  <c r="J2" i="20"/>
  <c r="J2" i="19"/>
  <c r="J2" i="18"/>
  <c r="J2" i="17"/>
  <c r="J2" i="16"/>
  <c r="J2" i="15"/>
  <c r="E71" i="22"/>
  <c r="G71" i="22"/>
  <c r="G134" i="22" s="1"/>
  <c r="I71" i="22"/>
  <c r="K71" i="22"/>
  <c r="K134" i="22" s="1"/>
  <c r="M71" i="22"/>
  <c r="N71" i="22"/>
  <c r="O71" i="22"/>
  <c r="Q71" i="22"/>
  <c r="R71" i="22"/>
  <c r="F72" i="22"/>
  <c r="G72" i="22"/>
  <c r="H72" i="22"/>
  <c r="H135" i="22" s="1"/>
  <c r="I72" i="22"/>
  <c r="K72" i="22"/>
  <c r="L72" i="22"/>
  <c r="N72" i="22"/>
  <c r="O72" i="22"/>
  <c r="Q72" i="22"/>
  <c r="Q135" i="22" s="1"/>
  <c r="R72" i="22"/>
  <c r="R135" i="22" s="1"/>
  <c r="E73" i="22"/>
  <c r="E136" i="22" s="1"/>
  <c r="G73" i="22"/>
  <c r="G136" i="22" s="1"/>
  <c r="I73" i="22"/>
  <c r="I136" i="22" s="1"/>
  <c r="K73" i="22"/>
  <c r="K136" i="22" s="1"/>
  <c r="L73" i="22"/>
  <c r="L136" i="22" s="1"/>
  <c r="N73" i="22"/>
  <c r="N136" i="22" s="1"/>
  <c r="O73" i="22"/>
  <c r="O136" i="22" s="1"/>
  <c r="Q73" i="22"/>
  <c r="Q136" i="22" s="1"/>
  <c r="R73" i="22"/>
  <c r="R136" i="22" s="1"/>
  <c r="F74" i="22"/>
  <c r="F137" i="22" s="1"/>
  <c r="G74" i="22"/>
  <c r="G137" i="22" s="1"/>
  <c r="H74" i="22"/>
  <c r="H137" i="22" s="1"/>
  <c r="I74" i="22"/>
  <c r="I137" i="22" s="1"/>
  <c r="K74" i="22"/>
  <c r="K137" i="22" s="1"/>
  <c r="L74" i="22"/>
  <c r="L137" i="22" s="1"/>
  <c r="N74" i="22"/>
  <c r="N137" i="22" s="1"/>
  <c r="O74" i="22"/>
  <c r="O137" i="22" s="1"/>
  <c r="Q74" i="22"/>
  <c r="Q137" i="22" s="1"/>
  <c r="R74" i="22"/>
  <c r="R137" i="22" s="1"/>
  <c r="E75" i="22"/>
  <c r="E138" i="22" s="1"/>
  <c r="G75" i="22"/>
  <c r="G138" i="22" s="1"/>
  <c r="H75" i="22"/>
  <c r="H138" i="22" s="1"/>
  <c r="I75" i="22"/>
  <c r="I138" i="22" s="1"/>
  <c r="K75" i="22"/>
  <c r="K138" i="22" s="1"/>
  <c r="L75" i="22"/>
  <c r="L138" i="22" s="1"/>
  <c r="N75" i="22"/>
  <c r="N138" i="22" s="1"/>
  <c r="O75" i="22"/>
  <c r="O138" i="22" s="1"/>
  <c r="Q75" i="22"/>
  <c r="Q138" i="22" s="1"/>
  <c r="R75" i="22"/>
  <c r="R138" i="22" s="1"/>
  <c r="E76" i="22"/>
  <c r="E139" i="22" s="1"/>
  <c r="G76" i="22"/>
  <c r="G139" i="22" s="1"/>
  <c r="I76" i="22"/>
  <c r="I139" i="22" s="1"/>
  <c r="K76" i="22"/>
  <c r="K139" i="22" s="1"/>
  <c r="L76" i="22"/>
  <c r="L139" i="22" s="1"/>
  <c r="N76" i="22"/>
  <c r="N139" i="22" s="1"/>
  <c r="O76" i="22"/>
  <c r="O139" i="22" s="1"/>
  <c r="Q76" i="22"/>
  <c r="Q139" i="22" s="1"/>
  <c r="R76" i="22"/>
  <c r="R139" i="22" s="1"/>
  <c r="E77" i="22"/>
  <c r="E140" i="22" s="1"/>
  <c r="F77" i="22"/>
  <c r="F140" i="22" s="1"/>
  <c r="G77" i="22"/>
  <c r="G140" i="22" s="1"/>
  <c r="H77" i="22"/>
  <c r="H140" i="22" s="1"/>
  <c r="I77" i="22"/>
  <c r="I140" i="22" s="1"/>
  <c r="J77" i="22"/>
  <c r="J140" i="22" s="1"/>
  <c r="K77" i="22"/>
  <c r="K140" i="22" s="1"/>
  <c r="L77" i="22"/>
  <c r="L140" i="22" s="1"/>
  <c r="M77" i="22"/>
  <c r="M140" i="22" s="1"/>
  <c r="N77" i="22"/>
  <c r="N140" i="22" s="1"/>
  <c r="O77" i="22"/>
  <c r="O140" i="22" s="1"/>
  <c r="P77" i="22"/>
  <c r="P140" i="22" s="1"/>
  <c r="Q77" i="22"/>
  <c r="Q140" i="22" s="1"/>
  <c r="R77" i="22"/>
  <c r="R140" i="22" s="1"/>
  <c r="E78" i="22"/>
  <c r="E141" i="22" s="1"/>
  <c r="G78" i="22"/>
  <c r="G141" i="22" s="1"/>
  <c r="H78" i="22"/>
  <c r="H141" i="22" s="1"/>
  <c r="I78" i="22"/>
  <c r="I141" i="22" s="1"/>
  <c r="J78" i="22"/>
  <c r="J141" i="22" s="1"/>
  <c r="L78" i="22"/>
  <c r="L141" i="22" s="1"/>
  <c r="N78" i="22"/>
  <c r="N141" i="22" s="1"/>
  <c r="O78" i="22"/>
  <c r="O141" i="22" s="1"/>
  <c r="Q78" i="22"/>
  <c r="Q141" i="22" s="1"/>
  <c r="R78" i="22"/>
  <c r="R141" i="22" s="1"/>
  <c r="E79" i="22"/>
  <c r="E142" i="22" s="1"/>
  <c r="F79" i="22"/>
  <c r="F142" i="22" s="1"/>
  <c r="G79" i="22"/>
  <c r="G142" i="22" s="1"/>
  <c r="H79" i="22"/>
  <c r="H142" i="22" s="1"/>
  <c r="I79" i="22"/>
  <c r="I142" i="22" s="1"/>
  <c r="J79" i="22"/>
  <c r="J142" i="22" s="1"/>
  <c r="K79" i="22"/>
  <c r="K142" i="22" s="1"/>
  <c r="L79" i="22"/>
  <c r="L142" i="22" s="1"/>
  <c r="M79" i="22"/>
  <c r="M142" i="22" s="1"/>
  <c r="N79" i="22"/>
  <c r="N142" i="22" s="1"/>
  <c r="O79" i="22"/>
  <c r="O142" i="22" s="1"/>
  <c r="P79" i="22"/>
  <c r="P142" i="22" s="1"/>
  <c r="Q79" i="22"/>
  <c r="Q142" i="22" s="1"/>
  <c r="R79" i="22"/>
  <c r="R142" i="22" s="1"/>
  <c r="E80" i="22"/>
  <c r="E143" i="22" s="1"/>
  <c r="F80" i="22"/>
  <c r="F143" i="22" s="1"/>
  <c r="H80" i="22"/>
  <c r="H143" i="22" s="1"/>
  <c r="I80" i="22"/>
  <c r="I143" i="22" s="1"/>
  <c r="J80" i="22"/>
  <c r="J143" i="22" s="1"/>
  <c r="L80" i="22"/>
  <c r="L143" i="22" s="1"/>
  <c r="N80" i="22"/>
  <c r="N143" i="22" s="1"/>
  <c r="O80" i="22"/>
  <c r="O143" i="22" s="1"/>
  <c r="Q80" i="22"/>
  <c r="Q143" i="22" s="1"/>
  <c r="R80" i="22"/>
  <c r="R143" i="22" s="1"/>
  <c r="E81" i="22"/>
  <c r="E144" i="22" s="1"/>
  <c r="F81" i="22"/>
  <c r="F144" i="22" s="1"/>
  <c r="H81" i="22"/>
  <c r="H144" i="22" s="1"/>
  <c r="I81" i="22"/>
  <c r="I144" i="22" s="1"/>
  <c r="J81" i="22"/>
  <c r="J144" i="22" s="1"/>
  <c r="L81" i="22"/>
  <c r="L144" i="22" s="1"/>
  <c r="N81" i="22"/>
  <c r="N144" i="22" s="1"/>
  <c r="O81" i="22"/>
  <c r="O144" i="22" s="1"/>
  <c r="Q81" i="22"/>
  <c r="Q144" i="22" s="1"/>
  <c r="R81" i="22"/>
  <c r="R144" i="22" s="1"/>
  <c r="E82" i="22"/>
  <c r="E145" i="22" s="1"/>
  <c r="G82" i="22"/>
  <c r="G145" i="22" s="1"/>
  <c r="H82" i="22"/>
  <c r="H145" i="22" s="1"/>
  <c r="I82" i="22"/>
  <c r="I145" i="22" s="1"/>
  <c r="J82" i="22"/>
  <c r="J145" i="22" s="1"/>
  <c r="L82" i="22"/>
  <c r="L145" i="22" s="1"/>
  <c r="N82" i="22"/>
  <c r="N145" i="22" s="1"/>
  <c r="O82" i="22"/>
  <c r="O145" i="22" s="1"/>
  <c r="Q82" i="22"/>
  <c r="Q145" i="22" s="1"/>
  <c r="R82" i="22"/>
  <c r="R145" i="22" s="1"/>
  <c r="E83" i="22"/>
  <c r="E146" i="22" s="1"/>
  <c r="F83" i="22"/>
  <c r="F146" i="22" s="1"/>
  <c r="I83" i="22"/>
  <c r="I146" i="22" s="1"/>
  <c r="J83" i="22"/>
  <c r="J146" i="22" s="1"/>
  <c r="L83" i="22"/>
  <c r="L146" i="22" s="1"/>
  <c r="N83" i="22"/>
  <c r="N146" i="22" s="1"/>
  <c r="O83" i="22"/>
  <c r="O146" i="22" s="1"/>
  <c r="Q83" i="22"/>
  <c r="Q146" i="22" s="1"/>
  <c r="R83" i="22"/>
  <c r="R146" i="22" s="1"/>
  <c r="E84" i="22"/>
  <c r="E147" i="22" s="1"/>
  <c r="G84" i="22"/>
  <c r="G147" i="22" s="1"/>
  <c r="H84" i="22"/>
  <c r="H147" i="22" s="1"/>
  <c r="I84" i="22"/>
  <c r="I147" i="22" s="1"/>
  <c r="J84" i="22"/>
  <c r="J147" i="22" s="1"/>
  <c r="L84" i="22"/>
  <c r="L147" i="22" s="1"/>
  <c r="N84" i="22"/>
  <c r="N147" i="22" s="1"/>
  <c r="O84" i="22"/>
  <c r="O147" i="22" s="1"/>
  <c r="Q84" i="22"/>
  <c r="Q147" i="22" s="1"/>
  <c r="R84" i="22"/>
  <c r="R147" i="22" s="1"/>
  <c r="E85" i="22"/>
  <c r="E148" i="22" s="1"/>
  <c r="F85" i="22"/>
  <c r="F148" i="22" s="1"/>
  <c r="G85" i="22"/>
  <c r="G148" i="22" s="1"/>
  <c r="H85" i="22"/>
  <c r="H148" i="22" s="1"/>
  <c r="I85" i="22"/>
  <c r="I148" i="22" s="1"/>
  <c r="J85" i="22"/>
  <c r="J148" i="22" s="1"/>
  <c r="K85" i="22"/>
  <c r="K148" i="22" s="1"/>
  <c r="L85" i="22"/>
  <c r="L148" i="22" s="1"/>
  <c r="M85" i="22"/>
  <c r="M148" i="22" s="1"/>
  <c r="N85" i="22"/>
  <c r="N148" i="22" s="1"/>
  <c r="O85" i="22"/>
  <c r="O148" i="22" s="1"/>
  <c r="P85" i="22"/>
  <c r="P148" i="22" s="1"/>
  <c r="Q85" i="22"/>
  <c r="Q148" i="22" s="1"/>
  <c r="R85" i="22"/>
  <c r="R148" i="22" s="1"/>
  <c r="E86" i="22"/>
  <c r="E149" i="22" s="1"/>
  <c r="G86" i="22"/>
  <c r="G149" i="22" s="1"/>
  <c r="H86" i="22"/>
  <c r="H149" i="22" s="1"/>
  <c r="I86" i="22"/>
  <c r="I149" i="22" s="1"/>
  <c r="J86" i="22"/>
  <c r="J149" i="22" s="1"/>
  <c r="L86" i="22"/>
  <c r="L149" i="22" s="1"/>
  <c r="N86" i="22"/>
  <c r="N149" i="22" s="1"/>
  <c r="O86" i="22"/>
  <c r="O149" i="22" s="1"/>
  <c r="Q86" i="22"/>
  <c r="Q149" i="22" s="1"/>
  <c r="R86" i="22"/>
  <c r="R149" i="22" s="1"/>
  <c r="E87" i="22"/>
  <c r="E150" i="22" s="1"/>
  <c r="F87" i="22"/>
  <c r="F150" i="22" s="1"/>
  <c r="G87" i="22"/>
  <c r="G150" i="22" s="1"/>
  <c r="H87" i="22"/>
  <c r="H150" i="22" s="1"/>
  <c r="I87" i="22"/>
  <c r="I150" i="22" s="1"/>
  <c r="J87" i="22"/>
  <c r="J150" i="22" s="1"/>
  <c r="K87" i="22"/>
  <c r="K150" i="22" s="1"/>
  <c r="L87" i="22"/>
  <c r="L150" i="22" s="1"/>
  <c r="M87" i="22"/>
  <c r="M150" i="22" s="1"/>
  <c r="N87" i="22"/>
  <c r="N150" i="22" s="1"/>
  <c r="O87" i="22"/>
  <c r="O150" i="22" s="1"/>
  <c r="P87" i="22"/>
  <c r="P150" i="22" s="1"/>
  <c r="Q87" i="22"/>
  <c r="Q150" i="22" s="1"/>
  <c r="R87" i="22"/>
  <c r="R150" i="22" s="1"/>
  <c r="E88" i="22"/>
  <c r="E151" i="22" s="1"/>
  <c r="F88" i="22"/>
  <c r="F151" i="22" s="1"/>
  <c r="I88" i="22"/>
  <c r="I151" i="22" s="1"/>
  <c r="J88" i="22"/>
  <c r="J151" i="22" s="1"/>
  <c r="M88" i="22"/>
  <c r="M151" i="22" s="1"/>
  <c r="N88" i="22"/>
  <c r="N151" i="22" s="1"/>
  <c r="O88" i="22"/>
  <c r="O151" i="22" s="1"/>
  <c r="Q88" i="22"/>
  <c r="Q151" i="22" s="1"/>
  <c r="R88" i="22"/>
  <c r="R151" i="22" s="1"/>
  <c r="E89" i="22"/>
  <c r="E152" i="22" s="1"/>
  <c r="F89" i="22"/>
  <c r="F152" i="22" s="1"/>
  <c r="H89" i="22"/>
  <c r="H152" i="22" s="1"/>
  <c r="J89" i="22"/>
  <c r="J152" i="22" s="1"/>
  <c r="L89" i="22"/>
  <c r="L152" i="22" s="1"/>
  <c r="N89" i="22"/>
  <c r="N152" i="22" s="1"/>
  <c r="O89" i="22"/>
  <c r="O152" i="22" s="1"/>
  <c r="Q89" i="22"/>
  <c r="Q152" i="22" s="1"/>
  <c r="R89" i="22"/>
  <c r="R152" i="22" s="1"/>
  <c r="E90" i="22"/>
  <c r="E153" i="22" s="1"/>
  <c r="F90" i="22"/>
  <c r="F153" i="22" s="1"/>
  <c r="G90" i="22"/>
  <c r="G153" i="22" s="1"/>
  <c r="H90" i="22"/>
  <c r="H153" i="22" s="1"/>
  <c r="I90" i="22"/>
  <c r="I153" i="22" s="1"/>
  <c r="J90" i="22"/>
  <c r="J153" i="22" s="1"/>
  <c r="K90" i="22"/>
  <c r="K153" i="22" s="1"/>
  <c r="L90" i="22"/>
  <c r="L153" i="22" s="1"/>
  <c r="M90" i="22"/>
  <c r="M153" i="22" s="1"/>
  <c r="N90" i="22"/>
  <c r="N153" i="22" s="1"/>
  <c r="O90" i="22"/>
  <c r="O153" i="22" s="1"/>
  <c r="P90" i="22"/>
  <c r="P153" i="22" s="1"/>
  <c r="Q90" i="22"/>
  <c r="Q153" i="22" s="1"/>
  <c r="R90" i="22"/>
  <c r="R153" i="22" s="1"/>
  <c r="E91" i="22"/>
  <c r="E154" i="22" s="1"/>
  <c r="G91" i="22"/>
  <c r="G154" i="22" s="1"/>
  <c r="H91" i="22"/>
  <c r="H154" i="22" s="1"/>
  <c r="I91" i="22"/>
  <c r="I154" i="22" s="1"/>
  <c r="J91" i="22"/>
  <c r="J154" i="22" s="1"/>
  <c r="L91" i="22"/>
  <c r="L154" i="22" s="1"/>
  <c r="N91" i="22"/>
  <c r="N154" i="22" s="1"/>
  <c r="O91" i="22"/>
  <c r="O154" i="22" s="1"/>
  <c r="Q91" i="22"/>
  <c r="Q154" i="22" s="1"/>
  <c r="R91" i="22"/>
  <c r="R154" i="22" s="1"/>
  <c r="E92" i="22"/>
  <c r="E155" i="22" s="1"/>
  <c r="G92" i="22"/>
  <c r="G155" i="22" s="1"/>
  <c r="I92" i="22"/>
  <c r="I155" i="22" s="1"/>
  <c r="J92" i="22"/>
  <c r="J155" i="22" s="1"/>
  <c r="L92" i="22"/>
  <c r="L155" i="22" s="1"/>
  <c r="N92" i="22"/>
  <c r="N155" i="22" s="1"/>
  <c r="O92" i="22"/>
  <c r="O155" i="22" s="1"/>
  <c r="Q92" i="22"/>
  <c r="Q155" i="22" s="1"/>
  <c r="R92" i="22"/>
  <c r="R155" i="22" s="1"/>
  <c r="F93" i="22"/>
  <c r="F156" i="22" s="1"/>
  <c r="G93" i="22"/>
  <c r="G156" i="22" s="1"/>
  <c r="H93" i="22"/>
  <c r="H156" i="22" s="1"/>
  <c r="I93" i="22"/>
  <c r="I156" i="22" s="1"/>
  <c r="J93" i="22"/>
  <c r="J156" i="22" s="1"/>
  <c r="L93" i="22"/>
  <c r="L156" i="22" s="1"/>
  <c r="M93" i="22"/>
  <c r="M156" i="22" s="1"/>
  <c r="N93" i="22"/>
  <c r="N156" i="22" s="1"/>
  <c r="O93" i="22"/>
  <c r="O156" i="22" s="1"/>
  <c r="Q93" i="22"/>
  <c r="Q156" i="22" s="1"/>
  <c r="R93" i="22"/>
  <c r="R156" i="22" s="1"/>
  <c r="E94" i="22"/>
  <c r="E157" i="22" s="1"/>
  <c r="G94" i="22"/>
  <c r="G157" i="22" s="1"/>
  <c r="I94" i="22"/>
  <c r="I157" i="22" s="1"/>
  <c r="J94" i="22"/>
  <c r="J157" i="22" s="1"/>
  <c r="L94" i="22"/>
  <c r="L157" i="22" s="1"/>
  <c r="N94" i="22"/>
  <c r="N157" i="22" s="1"/>
  <c r="O94" i="22"/>
  <c r="O157" i="22" s="1"/>
  <c r="Q94" i="22"/>
  <c r="Q157" i="22" s="1"/>
  <c r="R94" i="22"/>
  <c r="R157" i="22" s="1"/>
  <c r="E95" i="22"/>
  <c r="G95" i="22"/>
  <c r="H95" i="22"/>
  <c r="I95" i="22"/>
  <c r="J95" i="22"/>
  <c r="L95" i="22"/>
  <c r="N95" i="22"/>
  <c r="O95" i="22"/>
  <c r="Q95" i="22"/>
  <c r="R95" i="22"/>
  <c r="E96" i="22"/>
  <c r="F96" i="22"/>
  <c r="I96" i="22"/>
  <c r="J96" i="22"/>
  <c r="L96" i="22"/>
  <c r="N96" i="22"/>
  <c r="O96" i="22"/>
  <c r="Q96" i="22"/>
  <c r="R96" i="22"/>
  <c r="E97" i="22"/>
  <c r="F97" i="22"/>
  <c r="G97" i="22"/>
  <c r="H97" i="22"/>
  <c r="I97" i="22"/>
  <c r="J97" i="22"/>
  <c r="K97" i="22"/>
  <c r="L97" i="22"/>
  <c r="M97" i="22"/>
  <c r="N97" i="22"/>
  <c r="O97" i="22"/>
  <c r="P97" i="22"/>
  <c r="Q97" i="22"/>
  <c r="R97" i="22"/>
  <c r="E98" i="22"/>
  <c r="F98" i="22"/>
  <c r="G98" i="22"/>
  <c r="H98" i="22"/>
  <c r="I98" i="22"/>
  <c r="J98" i="22"/>
  <c r="K98" i="22"/>
  <c r="L98" i="22"/>
  <c r="M98" i="22"/>
  <c r="N98" i="22"/>
  <c r="O98" i="22"/>
  <c r="P98" i="22"/>
  <c r="Q98" i="22"/>
  <c r="R98" i="22"/>
  <c r="E99" i="22"/>
  <c r="F99" i="22"/>
  <c r="G99" i="22"/>
  <c r="H99" i="22"/>
  <c r="I99" i="22"/>
  <c r="J99" i="22"/>
  <c r="K99" i="22"/>
  <c r="L99" i="22"/>
  <c r="M99" i="22"/>
  <c r="N99" i="22"/>
  <c r="O99" i="22"/>
  <c r="P99" i="22"/>
  <c r="Q99" i="22"/>
  <c r="R99" i="22"/>
  <c r="E100" i="22"/>
  <c r="F100" i="22"/>
  <c r="G100" i="22"/>
  <c r="H100" i="22"/>
  <c r="I100" i="22"/>
  <c r="J100" i="22"/>
  <c r="K100" i="22"/>
  <c r="L100" i="22"/>
  <c r="M100" i="22"/>
  <c r="N100" i="22"/>
  <c r="O100" i="22"/>
  <c r="P100" i="22"/>
  <c r="Q100" i="22"/>
  <c r="R100" i="22"/>
  <c r="E101" i="22"/>
  <c r="F101" i="22"/>
  <c r="G101" i="22"/>
  <c r="H101" i="22"/>
  <c r="I101" i="22"/>
  <c r="J101" i="22"/>
  <c r="K101" i="22"/>
  <c r="L101" i="22"/>
  <c r="M101" i="22"/>
  <c r="N101" i="22"/>
  <c r="O101" i="22"/>
  <c r="P101" i="22"/>
  <c r="Q101" i="22"/>
  <c r="R101" i="22"/>
  <c r="E102" i="22"/>
  <c r="F102" i="22"/>
  <c r="G102" i="22"/>
  <c r="H102" i="22"/>
  <c r="I102" i="22"/>
  <c r="J102" i="22"/>
  <c r="K102" i="22"/>
  <c r="L102" i="22"/>
  <c r="M102" i="22"/>
  <c r="N102" i="22"/>
  <c r="O102" i="22"/>
  <c r="P102" i="22"/>
  <c r="Q102" i="22"/>
  <c r="R102" i="22"/>
  <c r="E103" i="22"/>
  <c r="F103" i="22"/>
  <c r="G103" i="22"/>
  <c r="H103" i="22"/>
  <c r="I103" i="22"/>
  <c r="J103" i="22"/>
  <c r="K103" i="22"/>
  <c r="L103" i="22"/>
  <c r="M103" i="22"/>
  <c r="N103" i="22"/>
  <c r="O103" i="22"/>
  <c r="P103" i="22"/>
  <c r="Q103" i="22"/>
  <c r="R103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E112" i="22"/>
  <c r="F112" i="22"/>
  <c r="G112" i="22"/>
  <c r="H112" i="22"/>
  <c r="I112" i="22"/>
  <c r="J112" i="22"/>
  <c r="K112" i="22"/>
  <c r="L112" i="22"/>
  <c r="M112" i="22"/>
  <c r="N112" i="22"/>
  <c r="O112" i="22"/>
  <c r="P112" i="22"/>
  <c r="Q112" i="22"/>
  <c r="R112" i="22"/>
  <c r="E113" i="22"/>
  <c r="F113" i="22"/>
  <c r="G113" i="22"/>
  <c r="H113" i="22"/>
  <c r="I113" i="22"/>
  <c r="J113" i="22"/>
  <c r="K113" i="22"/>
  <c r="L113" i="22"/>
  <c r="M113" i="22"/>
  <c r="N113" i="22"/>
  <c r="O113" i="22"/>
  <c r="P113" i="22"/>
  <c r="Q113" i="22"/>
  <c r="R113" i="22"/>
  <c r="E114" i="22"/>
  <c r="F114" i="22"/>
  <c r="G114" i="22"/>
  <c r="H114" i="22"/>
  <c r="I114" i="22"/>
  <c r="J114" i="22"/>
  <c r="K114" i="22"/>
  <c r="L114" i="22"/>
  <c r="M114" i="22"/>
  <c r="N114" i="22"/>
  <c r="O114" i="22"/>
  <c r="P114" i="22"/>
  <c r="Q114" i="22"/>
  <c r="R114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E123" i="22"/>
  <c r="F123" i="22"/>
  <c r="G123" i="22"/>
  <c r="H123" i="22"/>
  <c r="I123" i="22"/>
  <c r="J123" i="22"/>
  <c r="K123" i="22"/>
  <c r="L123" i="22"/>
  <c r="M123" i="22"/>
  <c r="N123" i="22"/>
  <c r="O123" i="22"/>
  <c r="P123" i="22"/>
  <c r="Q123" i="22"/>
  <c r="R123" i="22"/>
  <c r="E124" i="22"/>
  <c r="F124" i="22"/>
  <c r="G124" i="22"/>
  <c r="H124" i="22"/>
  <c r="I124" i="22"/>
  <c r="J124" i="22"/>
  <c r="K124" i="22"/>
  <c r="L124" i="22"/>
  <c r="M124" i="22"/>
  <c r="N124" i="22"/>
  <c r="O124" i="22"/>
  <c r="P124" i="22"/>
  <c r="Q124" i="22"/>
  <c r="R124" i="22"/>
  <c r="E125" i="22"/>
  <c r="F125" i="22"/>
  <c r="G125" i="22"/>
  <c r="H125" i="22"/>
  <c r="I125" i="22"/>
  <c r="J125" i="22"/>
  <c r="K125" i="22"/>
  <c r="L125" i="22"/>
  <c r="M125" i="22"/>
  <c r="N125" i="22"/>
  <c r="O125" i="22"/>
  <c r="P125" i="22"/>
  <c r="Q125" i="22"/>
  <c r="R125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E134" i="22"/>
  <c r="I134" i="22"/>
  <c r="M134" i="22"/>
  <c r="N134" i="22"/>
  <c r="O134" i="22"/>
  <c r="Q134" i="22"/>
  <c r="R134" i="22"/>
  <c r="F135" i="22"/>
  <c r="G135" i="22"/>
  <c r="I135" i="22"/>
  <c r="K135" i="22"/>
  <c r="L135" i="22"/>
  <c r="N135" i="22"/>
  <c r="O135" i="22"/>
  <c r="C12" i="24" l="1"/>
  <c r="E44" i="24" s="1"/>
  <c r="E76" i="24" s="1"/>
  <c r="E108" i="24" s="1"/>
  <c r="C11" i="24"/>
  <c r="C9" i="24"/>
  <c r="C8" i="24"/>
  <c r="F40" i="24" s="1"/>
  <c r="F72" i="24" s="1"/>
  <c r="F104" i="24" s="1"/>
  <c r="C33" i="22"/>
  <c r="C32" i="22"/>
  <c r="C31" i="22"/>
  <c r="C30" i="22"/>
  <c r="C29" i="22"/>
  <c r="C28" i="22"/>
  <c r="C26" i="22"/>
  <c r="C25" i="22"/>
  <c r="C23" i="22"/>
  <c r="C21" i="22"/>
  <c r="C20" i="22"/>
  <c r="C19" i="22"/>
  <c r="C18" i="22"/>
  <c r="C17" i="22"/>
  <c r="C15" i="22"/>
  <c r="C13" i="22"/>
  <c r="C12" i="22"/>
  <c r="C11" i="22"/>
  <c r="C10" i="22"/>
  <c r="C9" i="22"/>
  <c r="C8" i="22"/>
  <c r="E70" i="22"/>
  <c r="E133" i="22" s="1"/>
  <c r="F70" i="22"/>
  <c r="F133" i="22" s="1"/>
  <c r="G70" i="22"/>
  <c r="G133" i="22" s="1"/>
  <c r="H70" i="22"/>
  <c r="H133" i="22" s="1"/>
  <c r="I70" i="22"/>
  <c r="I133" i="22" s="1"/>
  <c r="J70" i="22"/>
  <c r="J133" i="22" s="1"/>
  <c r="K70" i="22"/>
  <c r="K133" i="22" s="1"/>
  <c r="L70" i="22"/>
  <c r="L133" i="22" s="1"/>
  <c r="M70" i="22"/>
  <c r="M133" i="22" s="1"/>
  <c r="N70" i="22"/>
  <c r="N133" i="22" s="1"/>
  <c r="O70" i="22"/>
  <c r="O133" i="22" s="1"/>
  <c r="P70" i="22"/>
  <c r="P133" i="22" s="1"/>
  <c r="Q70" i="22"/>
  <c r="Q133" i="22" s="1"/>
  <c r="R70" i="22"/>
  <c r="R133" i="22" s="1"/>
  <c r="S70" i="22"/>
  <c r="T70" i="22"/>
  <c r="S71" i="22"/>
  <c r="T71" i="22"/>
  <c r="T134" i="22" s="1"/>
  <c r="S72" i="22"/>
  <c r="T72" i="22"/>
  <c r="T135" i="22" s="1"/>
  <c r="S73" i="22"/>
  <c r="T73" i="22"/>
  <c r="T136" i="22" s="1"/>
  <c r="S74" i="22"/>
  <c r="T74" i="22"/>
  <c r="T137" i="22" s="1"/>
  <c r="E40" i="26"/>
  <c r="E72" i="26" s="1"/>
  <c r="E104" i="26" s="1"/>
  <c r="G40" i="26"/>
  <c r="H40" i="26"/>
  <c r="H72" i="26" s="1"/>
  <c r="H104" i="26" s="1"/>
  <c r="I40" i="26"/>
  <c r="I72" i="26" s="1"/>
  <c r="I104" i="26" s="1"/>
  <c r="J40" i="26"/>
  <c r="L40" i="26"/>
  <c r="O40" i="26"/>
  <c r="Q40" i="26"/>
  <c r="Q72" i="26" s="1"/>
  <c r="Q104" i="26" s="1"/>
  <c r="R40" i="26"/>
  <c r="R72" i="26" s="1"/>
  <c r="R104" i="26" s="1"/>
  <c r="T40" i="26"/>
  <c r="E41" i="26"/>
  <c r="E73" i="26" s="1"/>
  <c r="E105" i="26" s="1"/>
  <c r="G41" i="26"/>
  <c r="H41" i="26"/>
  <c r="H73" i="26" s="1"/>
  <c r="H105" i="26" s="1"/>
  <c r="I41" i="26"/>
  <c r="I73" i="26" s="1"/>
  <c r="I105" i="26" s="1"/>
  <c r="J41" i="26"/>
  <c r="J73" i="26" s="1"/>
  <c r="J105" i="26" s="1"/>
  <c r="L41" i="26"/>
  <c r="O41" i="26"/>
  <c r="O73" i="26" s="1"/>
  <c r="O105" i="26" s="1"/>
  <c r="Q41" i="26"/>
  <c r="Q73" i="26" s="1"/>
  <c r="Q105" i="26" s="1"/>
  <c r="R41" i="26"/>
  <c r="T41" i="26"/>
  <c r="E42" i="26"/>
  <c r="E74" i="26" s="1"/>
  <c r="G42" i="26"/>
  <c r="H42" i="26"/>
  <c r="H74" i="26" s="1"/>
  <c r="H106" i="26" s="1"/>
  <c r="I42" i="26"/>
  <c r="I74" i="26" s="1"/>
  <c r="J42" i="26"/>
  <c r="L42" i="26"/>
  <c r="O42" i="26"/>
  <c r="Q42" i="26"/>
  <c r="Q74" i="26" s="1"/>
  <c r="Q106" i="26" s="1"/>
  <c r="R42" i="26"/>
  <c r="R74" i="26" s="1"/>
  <c r="R106" i="26" s="1"/>
  <c r="T42" i="26"/>
  <c r="E43" i="26"/>
  <c r="E75" i="26" s="1"/>
  <c r="E107" i="26" s="1"/>
  <c r="F43" i="26"/>
  <c r="I43" i="26"/>
  <c r="I75" i="26" s="1"/>
  <c r="J43" i="26"/>
  <c r="L43" i="26"/>
  <c r="O43" i="26"/>
  <c r="Q43" i="26"/>
  <c r="Q75" i="26" s="1"/>
  <c r="Q107" i="26" s="1"/>
  <c r="R43" i="26"/>
  <c r="T43" i="26"/>
  <c r="E44" i="26"/>
  <c r="E76" i="26" s="1"/>
  <c r="E108" i="26" s="1"/>
  <c r="F44" i="26"/>
  <c r="I44" i="26"/>
  <c r="I76" i="26" s="1"/>
  <c r="I108" i="26" s="1"/>
  <c r="J44" i="26"/>
  <c r="J76" i="26" s="1"/>
  <c r="J108" i="26" s="1"/>
  <c r="L44" i="26"/>
  <c r="O44" i="26"/>
  <c r="O76" i="26" s="1"/>
  <c r="Q44" i="26"/>
  <c r="Q76" i="26" s="1"/>
  <c r="R44" i="26"/>
  <c r="T44" i="26"/>
  <c r="E45" i="26"/>
  <c r="E77" i="26" s="1"/>
  <c r="F45" i="26"/>
  <c r="G45" i="26"/>
  <c r="H45" i="26"/>
  <c r="I45" i="26"/>
  <c r="I77" i="26" s="1"/>
  <c r="J45" i="26"/>
  <c r="J77" i="26" s="1"/>
  <c r="J109" i="26" s="1"/>
  <c r="K45" i="26"/>
  <c r="K77" i="26" s="1"/>
  <c r="K109" i="26" s="1"/>
  <c r="L45" i="26"/>
  <c r="M45" i="26"/>
  <c r="M77" i="26" s="1"/>
  <c r="N45" i="26"/>
  <c r="O45" i="26"/>
  <c r="P45" i="26"/>
  <c r="Q45" i="26"/>
  <c r="Q77" i="26" s="1"/>
  <c r="R45" i="26"/>
  <c r="S45" i="26"/>
  <c r="S77" i="26" s="1"/>
  <c r="T45" i="26"/>
  <c r="E46" i="26"/>
  <c r="E78" i="26" s="1"/>
  <c r="F46" i="26"/>
  <c r="G46" i="26"/>
  <c r="H46" i="26"/>
  <c r="I46" i="26"/>
  <c r="I78" i="26" s="1"/>
  <c r="J46" i="26"/>
  <c r="K46" i="26"/>
  <c r="K78" i="26" s="1"/>
  <c r="K110" i="26" s="1"/>
  <c r="L46" i="26"/>
  <c r="M46" i="26"/>
  <c r="M78" i="26" s="1"/>
  <c r="N46" i="26"/>
  <c r="O46" i="26"/>
  <c r="P46" i="26"/>
  <c r="Q46" i="26"/>
  <c r="Q78" i="26" s="1"/>
  <c r="R46" i="26"/>
  <c r="S46" i="26"/>
  <c r="S78" i="26" s="1"/>
  <c r="T46" i="26"/>
  <c r="E47" i="26"/>
  <c r="E79" i="26" s="1"/>
  <c r="F47" i="26"/>
  <c r="I47" i="26"/>
  <c r="I79" i="26" s="1"/>
  <c r="I111" i="26" s="1"/>
  <c r="J47" i="26"/>
  <c r="L47" i="26"/>
  <c r="O47" i="26"/>
  <c r="Q47" i="26"/>
  <c r="Q79" i="26" s="1"/>
  <c r="R47" i="26"/>
  <c r="T47" i="26"/>
  <c r="E48" i="26"/>
  <c r="E80" i="26" s="1"/>
  <c r="G48" i="26"/>
  <c r="G80" i="26" s="1"/>
  <c r="H48" i="26"/>
  <c r="I48" i="26"/>
  <c r="I80" i="26" s="1"/>
  <c r="J48" i="26"/>
  <c r="J80" i="26" s="1"/>
  <c r="J112" i="26" s="1"/>
  <c r="L48" i="26"/>
  <c r="O48" i="26"/>
  <c r="O80" i="26" s="1"/>
  <c r="Q48" i="26"/>
  <c r="Q80" i="26" s="1"/>
  <c r="R48" i="26"/>
  <c r="T48" i="26"/>
  <c r="E49" i="26"/>
  <c r="E81" i="26" s="1"/>
  <c r="F49" i="26"/>
  <c r="H49" i="26"/>
  <c r="H81" i="26" s="1"/>
  <c r="H113" i="26" s="1"/>
  <c r="I49" i="26"/>
  <c r="I81" i="26" s="1"/>
  <c r="I113" i="26" s="1"/>
  <c r="J49" i="26"/>
  <c r="L49" i="26"/>
  <c r="O49" i="26"/>
  <c r="Q49" i="26"/>
  <c r="Q81" i="26" s="1"/>
  <c r="Q113" i="26" s="1"/>
  <c r="R49" i="26"/>
  <c r="T49" i="26"/>
  <c r="E50" i="26"/>
  <c r="E82" i="26" s="1"/>
  <c r="E114" i="26" s="1"/>
  <c r="F50" i="26"/>
  <c r="G50" i="26"/>
  <c r="H50" i="26"/>
  <c r="I50" i="26"/>
  <c r="I82" i="26" s="1"/>
  <c r="I114" i="26" s="1"/>
  <c r="J50" i="26"/>
  <c r="K50" i="26"/>
  <c r="K82" i="26" s="1"/>
  <c r="K114" i="26" s="1"/>
  <c r="L50" i="26"/>
  <c r="M50" i="26"/>
  <c r="M82" i="26" s="1"/>
  <c r="M114" i="26" s="1"/>
  <c r="N50" i="26"/>
  <c r="N82" i="26" s="1"/>
  <c r="N114" i="26" s="1"/>
  <c r="O50" i="26"/>
  <c r="P50" i="26"/>
  <c r="Q50" i="26"/>
  <c r="Q82" i="26" s="1"/>
  <c r="Q114" i="26" s="1"/>
  <c r="R50" i="26"/>
  <c r="S50" i="26"/>
  <c r="T50" i="26"/>
  <c r="E51" i="26"/>
  <c r="E83" i="26" s="1"/>
  <c r="E115" i="26" s="1"/>
  <c r="F51" i="26"/>
  <c r="G51" i="26"/>
  <c r="H51" i="26"/>
  <c r="I51" i="26"/>
  <c r="I83" i="26" s="1"/>
  <c r="I115" i="26" s="1"/>
  <c r="J51" i="26"/>
  <c r="J83" i="26" s="1"/>
  <c r="J115" i="26" s="1"/>
  <c r="K51" i="26"/>
  <c r="K83" i="26" s="1"/>
  <c r="K115" i="26" s="1"/>
  <c r="L51" i="26"/>
  <c r="M51" i="26"/>
  <c r="M83" i="26" s="1"/>
  <c r="M115" i="26" s="1"/>
  <c r="N51" i="26"/>
  <c r="N83" i="26" s="1"/>
  <c r="N115" i="26" s="1"/>
  <c r="O51" i="26"/>
  <c r="P51" i="26"/>
  <c r="Q51" i="26"/>
  <c r="Q83" i="26" s="1"/>
  <c r="Q115" i="26" s="1"/>
  <c r="R51" i="26"/>
  <c r="S51" i="26"/>
  <c r="T51" i="26"/>
  <c r="E52" i="26"/>
  <c r="E84" i="26" s="1"/>
  <c r="E116" i="26" s="1"/>
  <c r="F52" i="26"/>
  <c r="I52" i="26"/>
  <c r="I84" i="26" s="1"/>
  <c r="I116" i="26" s="1"/>
  <c r="J52" i="26"/>
  <c r="J84" i="26" s="1"/>
  <c r="J116" i="26" s="1"/>
  <c r="L52" i="26"/>
  <c r="O52" i="26"/>
  <c r="Q52" i="26"/>
  <c r="Q84" i="26" s="1"/>
  <c r="Q116" i="26" s="1"/>
  <c r="R52" i="26"/>
  <c r="T52" i="26"/>
  <c r="E53" i="26"/>
  <c r="E85" i="26" s="1"/>
  <c r="E117" i="26" s="1"/>
  <c r="G53" i="26"/>
  <c r="H53" i="26"/>
  <c r="H85" i="26" s="1"/>
  <c r="H117" i="26" s="1"/>
  <c r="I53" i="26"/>
  <c r="J53" i="26"/>
  <c r="J85" i="26" s="1"/>
  <c r="J117" i="26" s="1"/>
  <c r="L53" i="26"/>
  <c r="L85" i="26" s="1"/>
  <c r="L117" i="26" s="1"/>
  <c r="O53" i="26"/>
  <c r="Q53" i="26"/>
  <c r="R53" i="26"/>
  <c r="T53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L71" i="26"/>
  <c r="P71" i="26"/>
  <c r="P103" i="26" s="1"/>
  <c r="T71" i="26"/>
  <c r="G72" i="26"/>
  <c r="J72" i="26"/>
  <c r="J104" i="26" s="1"/>
  <c r="L72" i="26"/>
  <c r="O72" i="26"/>
  <c r="T72" i="26"/>
  <c r="G73" i="26"/>
  <c r="L73" i="26"/>
  <c r="R73" i="26"/>
  <c r="T73" i="26"/>
  <c r="G74" i="26"/>
  <c r="J74" i="26"/>
  <c r="J106" i="26" s="1"/>
  <c r="L74" i="26"/>
  <c r="O74" i="26"/>
  <c r="T74" i="26"/>
  <c r="F75" i="26"/>
  <c r="F107" i="26" s="1"/>
  <c r="J75" i="26"/>
  <c r="J107" i="26" s="1"/>
  <c r="L75" i="26"/>
  <c r="O75" i="26"/>
  <c r="R75" i="26"/>
  <c r="T75" i="26"/>
  <c r="F76" i="26"/>
  <c r="F108" i="26" s="1"/>
  <c r="L76" i="26"/>
  <c r="R76" i="26"/>
  <c r="T76" i="26"/>
  <c r="F77" i="26"/>
  <c r="F109" i="26" s="1"/>
  <c r="G77" i="26"/>
  <c r="H77" i="26"/>
  <c r="L77" i="26"/>
  <c r="N77" i="26"/>
  <c r="O77" i="26"/>
  <c r="P77" i="26"/>
  <c r="P109" i="26" s="1"/>
  <c r="R77" i="26"/>
  <c r="T77" i="26"/>
  <c r="F78" i="26"/>
  <c r="F110" i="26" s="1"/>
  <c r="G78" i="26"/>
  <c r="H78" i="26"/>
  <c r="J78" i="26"/>
  <c r="L78" i="26"/>
  <c r="N78" i="26"/>
  <c r="O78" i="26"/>
  <c r="P78" i="26"/>
  <c r="P110" i="26" s="1"/>
  <c r="R78" i="26"/>
  <c r="T78" i="26"/>
  <c r="F79" i="26"/>
  <c r="F111" i="26" s="1"/>
  <c r="J79" i="26"/>
  <c r="L79" i="26"/>
  <c r="O79" i="26"/>
  <c r="R79" i="26"/>
  <c r="T79" i="26"/>
  <c r="H80" i="26"/>
  <c r="L80" i="26"/>
  <c r="R80" i="26"/>
  <c r="T80" i="26"/>
  <c r="F81" i="26"/>
  <c r="F113" i="26" s="1"/>
  <c r="J81" i="26"/>
  <c r="J113" i="26" s="1"/>
  <c r="L81" i="26"/>
  <c r="O81" i="26"/>
  <c r="R81" i="26"/>
  <c r="R113" i="26" s="1"/>
  <c r="T81" i="26"/>
  <c r="T113" i="26" s="1"/>
  <c r="F82" i="26"/>
  <c r="F114" i="26" s="1"/>
  <c r="G82" i="26"/>
  <c r="G114" i="26" s="1"/>
  <c r="H82" i="26"/>
  <c r="H114" i="26" s="1"/>
  <c r="J82" i="26"/>
  <c r="J114" i="26" s="1"/>
  <c r="L82" i="26"/>
  <c r="L114" i="26" s="1"/>
  <c r="O82" i="26"/>
  <c r="O114" i="26" s="1"/>
  <c r="P82" i="26"/>
  <c r="P114" i="26" s="1"/>
  <c r="R82" i="26"/>
  <c r="R114" i="26" s="1"/>
  <c r="S82" i="26"/>
  <c r="S114" i="26" s="1"/>
  <c r="T82" i="26"/>
  <c r="T114" i="26" s="1"/>
  <c r="F83" i="26"/>
  <c r="F115" i="26" s="1"/>
  <c r="G83" i="26"/>
  <c r="G115" i="26" s="1"/>
  <c r="H83" i="26"/>
  <c r="H115" i="26" s="1"/>
  <c r="L83" i="26"/>
  <c r="L115" i="26" s="1"/>
  <c r="O83" i="26"/>
  <c r="O115" i="26" s="1"/>
  <c r="P83" i="26"/>
  <c r="P115" i="26" s="1"/>
  <c r="R83" i="26"/>
  <c r="R115" i="26" s="1"/>
  <c r="S83" i="26"/>
  <c r="S115" i="26" s="1"/>
  <c r="T83" i="26"/>
  <c r="T115" i="26" s="1"/>
  <c r="F84" i="26"/>
  <c r="F116" i="26" s="1"/>
  <c r="L84" i="26"/>
  <c r="L116" i="26" s="1"/>
  <c r="O84" i="26"/>
  <c r="O116" i="26" s="1"/>
  <c r="R84" i="26"/>
  <c r="R116" i="26" s="1"/>
  <c r="T84" i="26"/>
  <c r="T116" i="26" s="1"/>
  <c r="G85" i="26"/>
  <c r="G117" i="26" s="1"/>
  <c r="I85" i="26"/>
  <c r="I117" i="26" s="1"/>
  <c r="O85" i="26"/>
  <c r="O117" i="26" s="1"/>
  <c r="Q85" i="26"/>
  <c r="Q117" i="26" s="1"/>
  <c r="R85" i="26"/>
  <c r="R117" i="26" s="1"/>
  <c r="T85" i="26"/>
  <c r="T117" i="26" s="1"/>
  <c r="E86" i="26"/>
  <c r="E118" i="26" s="1"/>
  <c r="F86" i="26"/>
  <c r="F118" i="26" s="1"/>
  <c r="G86" i="26"/>
  <c r="G118" i="26" s="1"/>
  <c r="H86" i="26"/>
  <c r="H118" i="26" s="1"/>
  <c r="I86" i="26"/>
  <c r="I118" i="26" s="1"/>
  <c r="J86" i="26"/>
  <c r="J118" i="26" s="1"/>
  <c r="K86" i="26"/>
  <c r="K118" i="26" s="1"/>
  <c r="L86" i="26"/>
  <c r="L118" i="26" s="1"/>
  <c r="M86" i="26"/>
  <c r="M118" i="26" s="1"/>
  <c r="N86" i="26"/>
  <c r="N118" i="26" s="1"/>
  <c r="O86" i="26"/>
  <c r="O118" i="26" s="1"/>
  <c r="P86" i="26"/>
  <c r="P118" i="26" s="1"/>
  <c r="Q86" i="26"/>
  <c r="Q118" i="26" s="1"/>
  <c r="R86" i="26"/>
  <c r="R118" i="26" s="1"/>
  <c r="S86" i="26"/>
  <c r="S118" i="26" s="1"/>
  <c r="T86" i="26"/>
  <c r="T118" i="26" s="1"/>
  <c r="E87" i="26"/>
  <c r="E119" i="26" s="1"/>
  <c r="F87" i="26"/>
  <c r="F119" i="26" s="1"/>
  <c r="G87" i="26"/>
  <c r="G119" i="26" s="1"/>
  <c r="H87" i="26"/>
  <c r="H119" i="26" s="1"/>
  <c r="I87" i="26"/>
  <c r="I119" i="26" s="1"/>
  <c r="J87" i="26"/>
  <c r="J119" i="26" s="1"/>
  <c r="K87" i="26"/>
  <c r="K119" i="26" s="1"/>
  <c r="L87" i="26"/>
  <c r="L119" i="26" s="1"/>
  <c r="M87" i="26"/>
  <c r="M119" i="26" s="1"/>
  <c r="N87" i="26"/>
  <c r="N119" i="26" s="1"/>
  <c r="O87" i="26"/>
  <c r="O119" i="26" s="1"/>
  <c r="P87" i="26"/>
  <c r="P119" i="26" s="1"/>
  <c r="Q87" i="26"/>
  <c r="Q119" i="26" s="1"/>
  <c r="R87" i="26"/>
  <c r="R119" i="26" s="1"/>
  <c r="S87" i="26"/>
  <c r="S119" i="26" s="1"/>
  <c r="T87" i="26"/>
  <c r="T119" i="26" s="1"/>
  <c r="E88" i="26"/>
  <c r="E120" i="26" s="1"/>
  <c r="F88" i="26"/>
  <c r="F120" i="26" s="1"/>
  <c r="G88" i="26"/>
  <c r="G120" i="26" s="1"/>
  <c r="H88" i="26"/>
  <c r="H120" i="26" s="1"/>
  <c r="I88" i="26"/>
  <c r="I120" i="26" s="1"/>
  <c r="J88" i="26"/>
  <c r="J120" i="26" s="1"/>
  <c r="K88" i="26"/>
  <c r="K120" i="26" s="1"/>
  <c r="L88" i="26"/>
  <c r="L120" i="26" s="1"/>
  <c r="M88" i="26"/>
  <c r="M120" i="26" s="1"/>
  <c r="N88" i="26"/>
  <c r="N120" i="26" s="1"/>
  <c r="O88" i="26"/>
  <c r="O120" i="26" s="1"/>
  <c r="P88" i="26"/>
  <c r="P120" i="26" s="1"/>
  <c r="Q88" i="26"/>
  <c r="Q120" i="26" s="1"/>
  <c r="R88" i="26"/>
  <c r="R120" i="26" s="1"/>
  <c r="S88" i="26"/>
  <c r="S120" i="26" s="1"/>
  <c r="T88" i="26"/>
  <c r="T120" i="26" s="1"/>
  <c r="E89" i="26"/>
  <c r="E121" i="26" s="1"/>
  <c r="F89" i="26"/>
  <c r="F121" i="26" s="1"/>
  <c r="G89" i="26"/>
  <c r="G121" i="26" s="1"/>
  <c r="H89" i="26"/>
  <c r="H121" i="26" s="1"/>
  <c r="I89" i="26"/>
  <c r="I121" i="26" s="1"/>
  <c r="J89" i="26"/>
  <c r="J121" i="26" s="1"/>
  <c r="K89" i="26"/>
  <c r="K121" i="26" s="1"/>
  <c r="L89" i="26"/>
  <c r="L121" i="26" s="1"/>
  <c r="M89" i="26"/>
  <c r="M121" i="26" s="1"/>
  <c r="N89" i="26"/>
  <c r="N121" i="26" s="1"/>
  <c r="O89" i="26"/>
  <c r="O121" i="26" s="1"/>
  <c r="P89" i="26"/>
  <c r="P121" i="26" s="1"/>
  <c r="Q89" i="26"/>
  <c r="Q121" i="26" s="1"/>
  <c r="R89" i="26"/>
  <c r="R121" i="26" s="1"/>
  <c r="S89" i="26"/>
  <c r="S121" i="26" s="1"/>
  <c r="T89" i="26"/>
  <c r="T121" i="26" s="1"/>
  <c r="E90" i="26"/>
  <c r="E122" i="26" s="1"/>
  <c r="F90" i="26"/>
  <c r="F122" i="26" s="1"/>
  <c r="G90" i="26"/>
  <c r="G122" i="26" s="1"/>
  <c r="H90" i="26"/>
  <c r="H122" i="26" s="1"/>
  <c r="I90" i="26"/>
  <c r="I122" i="26" s="1"/>
  <c r="J90" i="26"/>
  <c r="J122" i="26" s="1"/>
  <c r="K90" i="26"/>
  <c r="K122" i="26" s="1"/>
  <c r="L90" i="26"/>
  <c r="L122" i="26" s="1"/>
  <c r="M90" i="26"/>
  <c r="M122" i="26" s="1"/>
  <c r="N90" i="26"/>
  <c r="N122" i="26" s="1"/>
  <c r="O90" i="26"/>
  <c r="O122" i="26" s="1"/>
  <c r="P90" i="26"/>
  <c r="P122" i="26" s="1"/>
  <c r="Q90" i="26"/>
  <c r="Q122" i="26" s="1"/>
  <c r="R90" i="26"/>
  <c r="R122" i="26" s="1"/>
  <c r="S90" i="26"/>
  <c r="S122" i="26" s="1"/>
  <c r="T90" i="26"/>
  <c r="T122" i="26" s="1"/>
  <c r="E91" i="26"/>
  <c r="E123" i="26" s="1"/>
  <c r="F91" i="26"/>
  <c r="F123" i="26" s="1"/>
  <c r="G91" i="26"/>
  <c r="G123" i="26" s="1"/>
  <c r="H91" i="26"/>
  <c r="H123" i="26" s="1"/>
  <c r="I91" i="26"/>
  <c r="I123" i="26" s="1"/>
  <c r="J91" i="26"/>
  <c r="J123" i="26" s="1"/>
  <c r="K91" i="26"/>
  <c r="K123" i="26" s="1"/>
  <c r="L91" i="26"/>
  <c r="L123" i="26" s="1"/>
  <c r="M91" i="26"/>
  <c r="M123" i="26" s="1"/>
  <c r="N91" i="26"/>
  <c r="N123" i="26" s="1"/>
  <c r="O91" i="26"/>
  <c r="O123" i="26" s="1"/>
  <c r="P91" i="26"/>
  <c r="P123" i="26" s="1"/>
  <c r="Q91" i="26"/>
  <c r="Q123" i="26" s="1"/>
  <c r="R91" i="26"/>
  <c r="R123" i="26" s="1"/>
  <c r="S91" i="26"/>
  <c r="S123" i="26" s="1"/>
  <c r="T91" i="26"/>
  <c r="T123" i="26" s="1"/>
  <c r="E92" i="26"/>
  <c r="E124" i="26" s="1"/>
  <c r="F92" i="26"/>
  <c r="F124" i="26" s="1"/>
  <c r="G92" i="26"/>
  <c r="G124" i="26" s="1"/>
  <c r="H92" i="26"/>
  <c r="H124" i="26" s="1"/>
  <c r="I92" i="26"/>
  <c r="I124" i="26" s="1"/>
  <c r="J92" i="26"/>
  <c r="J124" i="26" s="1"/>
  <c r="K92" i="26"/>
  <c r="K124" i="26" s="1"/>
  <c r="L92" i="26"/>
  <c r="L124" i="26" s="1"/>
  <c r="M92" i="26"/>
  <c r="M124" i="26" s="1"/>
  <c r="N92" i="26"/>
  <c r="N124" i="26" s="1"/>
  <c r="O92" i="26"/>
  <c r="O124" i="26" s="1"/>
  <c r="P92" i="26"/>
  <c r="P124" i="26" s="1"/>
  <c r="Q92" i="26"/>
  <c r="Q124" i="26" s="1"/>
  <c r="R92" i="26"/>
  <c r="R124" i="26" s="1"/>
  <c r="S92" i="26"/>
  <c r="S124" i="26" s="1"/>
  <c r="T92" i="26"/>
  <c r="T124" i="26" s="1"/>
  <c r="E93" i="26"/>
  <c r="E125" i="26" s="1"/>
  <c r="F93" i="26"/>
  <c r="F125" i="26" s="1"/>
  <c r="G93" i="26"/>
  <c r="G125" i="26" s="1"/>
  <c r="H93" i="26"/>
  <c r="H125" i="26" s="1"/>
  <c r="I93" i="26"/>
  <c r="I125" i="26" s="1"/>
  <c r="J93" i="26"/>
  <c r="J125" i="26" s="1"/>
  <c r="K93" i="26"/>
  <c r="K125" i="26" s="1"/>
  <c r="L93" i="26"/>
  <c r="L125" i="26" s="1"/>
  <c r="M93" i="26"/>
  <c r="M125" i="26" s="1"/>
  <c r="N93" i="26"/>
  <c r="N125" i="26" s="1"/>
  <c r="O93" i="26"/>
  <c r="O125" i="26" s="1"/>
  <c r="P93" i="26"/>
  <c r="P125" i="26" s="1"/>
  <c r="Q93" i="26"/>
  <c r="Q125" i="26" s="1"/>
  <c r="R93" i="26"/>
  <c r="R125" i="26" s="1"/>
  <c r="S93" i="26"/>
  <c r="S125" i="26" s="1"/>
  <c r="T93" i="26"/>
  <c r="T125" i="26" s="1"/>
  <c r="E94" i="26"/>
  <c r="E126" i="26" s="1"/>
  <c r="F94" i="26"/>
  <c r="F126" i="26" s="1"/>
  <c r="G94" i="26"/>
  <c r="G126" i="26" s="1"/>
  <c r="H94" i="26"/>
  <c r="H126" i="26" s="1"/>
  <c r="I94" i="26"/>
  <c r="I126" i="26" s="1"/>
  <c r="J94" i="26"/>
  <c r="J126" i="26" s="1"/>
  <c r="K94" i="26"/>
  <c r="K126" i="26" s="1"/>
  <c r="L94" i="26"/>
  <c r="L126" i="26" s="1"/>
  <c r="M94" i="26"/>
  <c r="M126" i="26" s="1"/>
  <c r="N94" i="26"/>
  <c r="N126" i="26" s="1"/>
  <c r="O94" i="26"/>
  <c r="O126" i="26" s="1"/>
  <c r="P94" i="26"/>
  <c r="P126" i="26" s="1"/>
  <c r="Q94" i="26"/>
  <c r="Q126" i="26" s="1"/>
  <c r="R94" i="26"/>
  <c r="R126" i="26" s="1"/>
  <c r="S94" i="26"/>
  <c r="S126" i="26" s="1"/>
  <c r="T94" i="26"/>
  <c r="T126" i="26" s="1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H103" i="26"/>
  <c r="L103" i="26"/>
  <c r="T103" i="26"/>
  <c r="G104" i="26"/>
  <c r="L104" i="26"/>
  <c r="O104" i="26"/>
  <c r="T104" i="26"/>
  <c r="G105" i="26"/>
  <c r="L105" i="26"/>
  <c r="R105" i="26"/>
  <c r="T105" i="26"/>
  <c r="E106" i="26"/>
  <c r="G106" i="26"/>
  <c r="I106" i="26"/>
  <c r="L106" i="26"/>
  <c r="O106" i="26"/>
  <c r="T106" i="26"/>
  <c r="I107" i="26"/>
  <c r="L107" i="26"/>
  <c r="O107" i="26"/>
  <c r="R107" i="26"/>
  <c r="T107" i="26"/>
  <c r="L108" i="26"/>
  <c r="O108" i="26"/>
  <c r="Q108" i="26"/>
  <c r="R108" i="26"/>
  <c r="T108" i="26"/>
  <c r="E109" i="26"/>
  <c r="G109" i="26"/>
  <c r="H109" i="26"/>
  <c r="I109" i="26"/>
  <c r="L109" i="26"/>
  <c r="M109" i="26"/>
  <c r="N109" i="26"/>
  <c r="O109" i="26"/>
  <c r="Q109" i="26"/>
  <c r="R109" i="26"/>
  <c r="S109" i="26"/>
  <c r="T109" i="26"/>
  <c r="E110" i="26"/>
  <c r="G110" i="26"/>
  <c r="H110" i="26"/>
  <c r="I110" i="26"/>
  <c r="J110" i="26"/>
  <c r="L110" i="26"/>
  <c r="M110" i="26"/>
  <c r="N110" i="26"/>
  <c r="O110" i="26"/>
  <c r="Q110" i="26"/>
  <c r="R110" i="26"/>
  <c r="S110" i="26"/>
  <c r="T110" i="26"/>
  <c r="E111" i="26"/>
  <c r="J111" i="26"/>
  <c r="L111" i="26"/>
  <c r="O111" i="26"/>
  <c r="Q111" i="26"/>
  <c r="R111" i="26"/>
  <c r="T111" i="26"/>
  <c r="E112" i="26"/>
  <c r="G112" i="26"/>
  <c r="H112" i="26"/>
  <c r="I112" i="26"/>
  <c r="L112" i="26"/>
  <c r="O112" i="26"/>
  <c r="Q112" i="26"/>
  <c r="R112" i="26"/>
  <c r="T112" i="26"/>
  <c r="E113" i="26"/>
  <c r="L113" i="26"/>
  <c r="O113" i="26"/>
  <c r="T39" i="26"/>
  <c r="S39" i="26"/>
  <c r="S71" i="26" s="1"/>
  <c r="S103" i="26" s="1"/>
  <c r="R39" i="26"/>
  <c r="R71" i="26" s="1"/>
  <c r="R103" i="26" s="1"/>
  <c r="Q39" i="26"/>
  <c r="Q71" i="26" s="1"/>
  <c r="Q103" i="26" s="1"/>
  <c r="P39" i="26"/>
  <c r="O39" i="26"/>
  <c r="O71" i="26" s="1"/>
  <c r="O103" i="26" s="1"/>
  <c r="N39" i="26"/>
  <c r="N71" i="26" s="1"/>
  <c r="N103" i="26" s="1"/>
  <c r="M39" i="26"/>
  <c r="M71" i="26" s="1"/>
  <c r="M103" i="26" s="1"/>
  <c r="L39" i="26"/>
  <c r="K39" i="26"/>
  <c r="K71" i="26" s="1"/>
  <c r="K103" i="26" s="1"/>
  <c r="J39" i="26"/>
  <c r="J71" i="26" s="1"/>
  <c r="J103" i="26" s="1"/>
  <c r="I39" i="26"/>
  <c r="I71" i="26" s="1"/>
  <c r="I103" i="26" s="1"/>
  <c r="H39" i="26"/>
  <c r="H71" i="26" s="1"/>
  <c r="G39" i="26"/>
  <c r="G71" i="26" s="1"/>
  <c r="G103" i="26" s="1"/>
  <c r="F39" i="26"/>
  <c r="F71" i="26" s="1"/>
  <c r="F103" i="26" s="1"/>
  <c r="E39" i="26"/>
  <c r="E71" i="26" s="1"/>
  <c r="E103" i="26" s="1"/>
  <c r="E40" i="25"/>
  <c r="G40" i="25"/>
  <c r="H40" i="25"/>
  <c r="H72" i="25" s="1"/>
  <c r="H104" i="25" s="1"/>
  <c r="I40" i="25"/>
  <c r="J40" i="25"/>
  <c r="J72" i="25" s="1"/>
  <c r="J104" i="25" s="1"/>
  <c r="L40" i="25"/>
  <c r="N40" i="25"/>
  <c r="O40" i="25"/>
  <c r="Q40" i="25"/>
  <c r="R40" i="25"/>
  <c r="T40" i="25"/>
  <c r="F41" i="25"/>
  <c r="G41" i="25"/>
  <c r="H41" i="25"/>
  <c r="H73" i="25" s="1"/>
  <c r="H105" i="25" s="1"/>
  <c r="I41" i="25"/>
  <c r="J41" i="25"/>
  <c r="M41" i="25"/>
  <c r="N41" i="25"/>
  <c r="O41" i="25"/>
  <c r="Q41" i="25"/>
  <c r="R41" i="25"/>
  <c r="T41" i="25"/>
  <c r="E42" i="25"/>
  <c r="G42" i="25"/>
  <c r="I42" i="25"/>
  <c r="J42" i="25"/>
  <c r="J74" i="25" s="1"/>
  <c r="J106" i="25" s="1"/>
  <c r="L42" i="25"/>
  <c r="N42" i="25"/>
  <c r="O42" i="25"/>
  <c r="Q42" i="25"/>
  <c r="R42" i="25"/>
  <c r="T42" i="25"/>
  <c r="F43" i="25"/>
  <c r="G43" i="25"/>
  <c r="H43" i="25"/>
  <c r="H75" i="25" s="1"/>
  <c r="H107" i="25" s="1"/>
  <c r="I43" i="25"/>
  <c r="J43" i="25"/>
  <c r="L43" i="25"/>
  <c r="N43" i="25"/>
  <c r="O43" i="25"/>
  <c r="Q43" i="25"/>
  <c r="R43" i="25"/>
  <c r="T43" i="25"/>
  <c r="E44" i="25"/>
  <c r="G44" i="25"/>
  <c r="I44" i="25"/>
  <c r="J44" i="25"/>
  <c r="J76" i="25" s="1"/>
  <c r="J108" i="25" s="1"/>
  <c r="L44" i="25"/>
  <c r="N44" i="25"/>
  <c r="O44" i="25"/>
  <c r="Q44" i="25"/>
  <c r="R44" i="25"/>
  <c r="T44" i="25"/>
  <c r="E45" i="25"/>
  <c r="F45" i="25"/>
  <c r="G45" i="25"/>
  <c r="H45" i="25"/>
  <c r="I45" i="25"/>
  <c r="J45" i="25"/>
  <c r="J77" i="25" s="1"/>
  <c r="J109" i="25" s="1"/>
  <c r="K45" i="25"/>
  <c r="L45" i="25"/>
  <c r="M45" i="25"/>
  <c r="N45" i="25"/>
  <c r="O45" i="25"/>
  <c r="P45" i="25"/>
  <c r="Q45" i="25"/>
  <c r="R45" i="25"/>
  <c r="S45" i="25"/>
  <c r="T45" i="25"/>
  <c r="E46" i="25"/>
  <c r="F46" i="25"/>
  <c r="G46" i="25"/>
  <c r="H46" i="25"/>
  <c r="I46" i="25"/>
  <c r="J46" i="25"/>
  <c r="J78" i="25" s="1"/>
  <c r="J110" i="25" s="1"/>
  <c r="K46" i="25"/>
  <c r="K78" i="25" s="1"/>
  <c r="K110" i="25" s="1"/>
  <c r="L46" i="25"/>
  <c r="M46" i="25"/>
  <c r="N46" i="25"/>
  <c r="O46" i="25"/>
  <c r="P46" i="25"/>
  <c r="Q46" i="25"/>
  <c r="R46" i="25"/>
  <c r="S46" i="25"/>
  <c r="T46" i="25"/>
  <c r="E47" i="25"/>
  <c r="F47" i="25"/>
  <c r="G47" i="25"/>
  <c r="H47" i="25"/>
  <c r="I47" i="25"/>
  <c r="J47" i="25"/>
  <c r="K47" i="25"/>
  <c r="L47" i="25"/>
  <c r="M47" i="25"/>
  <c r="N47" i="25"/>
  <c r="O47" i="25"/>
  <c r="P47" i="25"/>
  <c r="Q47" i="25"/>
  <c r="R47" i="25"/>
  <c r="S47" i="25"/>
  <c r="T47" i="25"/>
  <c r="E48" i="25"/>
  <c r="F48" i="25"/>
  <c r="G48" i="25"/>
  <c r="H48" i="25"/>
  <c r="I48" i="25"/>
  <c r="J48" i="25"/>
  <c r="K48" i="25"/>
  <c r="L48" i="25"/>
  <c r="M48" i="25"/>
  <c r="N48" i="25"/>
  <c r="O48" i="25"/>
  <c r="P48" i="25"/>
  <c r="Q48" i="25"/>
  <c r="R48" i="25"/>
  <c r="S48" i="25"/>
  <c r="T48" i="25"/>
  <c r="E49" i="25"/>
  <c r="F49" i="25"/>
  <c r="G49" i="25"/>
  <c r="H49" i="25"/>
  <c r="I49" i="25"/>
  <c r="J49" i="25"/>
  <c r="K49" i="25"/>
  <c r="L49" i="25"/>
  <c r="M49" i="25"/>
  <c r="N49" i="25"/>
  <c r="O49" i="25"/>
  <c r="P49" i="25"/>
  <c r="Q49" i="25"/>
  <c r="R49" i="25"/>
  <c r="S49" i="25"/>
  <c r="T49" i="25"/>
  <c r="E50" i="25"/>
  <c r="F50" i="25"/>
  <c r="G50" i="25"/>
  <c r="H50" i="25"/>
  <c r="I50" i="25"/>
  <c r="J50" i="25"/>
  <c r="K50" i="25"/>
  <c r="L50" i="25"/>
  <c r="M50" i="25"/>
  <c r="N50" i="25"/>
  <c r="O50" i="25"/>
  <c r="P50" i="25"/>
  <c r="Q50" i="25"/>
  <c r="R50" i="25"/>
  <c r="S50" i="25"/>
  <c r="T50" i="25"/>
  <c r="E51" i="25"/>
  <c r="F51" i="25"/>
  <c r="G51" i="25"/>
  <c r="H51" i="25"/>
  <c r="I51" i="25"/>
  <c r="J51" i="25"/>
  <c r="K51" i="25"/>
  <c r="L51" i="25"/>
  <c r="M51" i="25"/>
  <c r="N51" i="25"/>
  <c r="O51" i="25"/>
  <c r="P51" i="25"/>
  <c r="Q51" i="25"/>
  <c r="R51" i="25"/>
  <c r="S51" i="25"/>
  <c r="T51" i="25"/>
  <c r="E52" i="25"/>
  <c r="F52" i="25"/>
  <c r="G52" i="25"/>
  <c r="H52" i="25"/>
  <c r="I52" i="25"/>
  <c r="J52" i="25"/>
  <c r="K52" i="25"/>
  <c r="L52" i="25"/>
  <c r="M52" i="25"/>
  <c r="N52" i="25"/>
  <c r="O52" i="25"/>
  <c r="P52" i="25"/>
  <c r="Q52" i="25"/>
  <c r="R52" i="25"/>
  <c r="S52" i="25"/>
  <c r="T52" i="25"/>
  <c r="E53" i="25"/>
  <c r="F53" i="25"/>
  <c r="G53" i="25"/>
  <c r="H53" i="25"/>
  <c r="I53" i="25"/>
  <c r="J53" i="25"/>
  <c r="K53" i="25"/>
  <c r="L53" i="25"/>
  <c r="M53" i="25"/>
  <c r="N53" i="25"/>
  <c r="O53" i="25"/>
  <c r="P53" i="25"/>
  <c r="Q53" i="25"/>
  <c r="R53" i="25"/>
  <c r="S53" i="25"/>
  <c r="T53" i="25"/>
  <c r="E54" i="25"/>
  <c r="F54" i="25"/>
  <c r="G54" i="25"/>
  <c r="H54" i="25"/>
  <c r="I54" i="25"/>
  <c r="J54" i="25"/>
  <c r="K54" i="25"/>
  <c r="L54" i="25"/>
  <c r="M54" i="25"/>
  <c r="N54" i="25"/>
  <c r="O54" i="25"/>
  <c r="P54" i="25"/>
  <c r="Q54" i="25"/>
  <c r="R54" i="25"/>
  <c r="S54" i="25"/>
  <c r="T54" i="25"/>
  <c r="E55" i="25"/>
  <c r="F55" i="25"/>
  <c r="G55" i="25"/>
  <c r="H55" i="25"/>
  <c r="I55" i="25"/>
  <c r="J55" i="25"/>
  <c r="K55" i="25"/>
  <c r="L55" i="25"/>
  <c r="M55" i="25"/>
  <c r="N55" i="25"/>
  <c r="O55" i="25"/>
  <c r="P55" i="25"/>
  <c r="Q55" i="25"/>
  <c r="R55" i="25"/>
  <c r="S55" i="25"/>
  <c r="T55" i="25"/>
  <c r="E56" i="25"/>
  <c r="F56" i="25"/>
  <c r="G56" i="25"/>
  <c r="H56" i="25"/>
  <c r="I56" i="25"/>
  <c r="J56" i="25"/>
  <c r="K56" i="25"/>
  <c r="L56" i="25"/>
  <c r="M56" i="25"/>
  <c r="N56" i="25"/>
  <c r="O56" i="25"/>
  <c r="P56" i="25"/>
  <c r="Q56" i="25"/>
  <c r="R56" i="25"/>
  <c r="S56" i="25"/>
  <c r="T56" i="25"/>
  <c r="E57" i="25"/>
  <c r="F57" i="25"/>
  <c r="G57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E58" i="25"/>
  <c r="F58" i="25"/>
  <c r="G58" i="25"/>
  <c r="H58" i="25"/>
  <c r="I58" i="25"/>
  <c r="J58" i="25"/>
  <c r="K58" i="25"/>
  <c r="L58" i="25"/>
  <c r="M58" i="25"/>
  <c r="N58" i="25"/>
  <c r="O58" i="25"/>
  <c r="P58" i="25"/>
  <c r="Q58" i="25"/>
  <c r="R58" i="25"/>
  <c r="S58" i="25"/>
  <c r="T58" i="25"/>
  <c r="E59" i="25"/>
  <c r="F59" i="25"/>
  <c r="G59" i="25"/>
  <c r="H59" i="25"/>
  <c r="I59" i="25"/>
  <c r="J59" i="25"/>
  <c r="K59" i="25"/>
  <c r="L59" i="25"/>
  <c r="M59" i="25"/>
  <c r="N59" i="25"/>
  <c r="O59" i="25"/>
  <c r="P59" i="25"/>
  <c r="Q59" i="25"/>
  <c r="R59" i="25"/>
  <c r="S59" i="25"/>
  <c r="T59" i="25"/>
  <c r="E60" i="25"/>
  <c r="F60" i="25"/>
  <c r="G60" i="25"/>
  <c r="H60" i="25"/>
  <c r="I60" i="25"/>
  <c r="J60" i="25"/>
  <c r="K60" i="25"/>
  <c r="L60" i="25"/>
  <c r="M60" i="25"/>
  <c r="N60" i="25"/>
  <c r="O60" i="25"/>
  <c r="P60" i="25"/>
  <c r="Q60" i="25"/>
  <c r="R60" i="25"/>
  <c r="R92" i="25" s="1"/>
  <c r="R124" i="25" s="1"/>
  <c r="S60" i="25"/>
  <c r="S92" i="25" s="1"/>
  <c r="S124" i="25" s="1"/>
  <c r="T60" i="25"/>
  <c r="T92" i="25" s="1"/>
  <c r="T124" i="25" s="1"/>
  <c r="E61" i="25"/>
  <c r="E93" i="25" s="1"/>
  <c r="E125" i="25" s="1"/>
  <c r="F61" i="25"/>
  <c r="F93" i="25" s="1"/>
  <c r="F125" i="25" s="1"/>
  <c r="G61" i="25"/>
  <c r="G93" i="25" s="1"/>
  <c r="G125" i="25" s="1"/>
  <c r="H61" i="25"/>
  <c r="H93" i="25" s="1"/>
  <c r="H125" i="25" s="1"/>
  <c r="I61" i="25"/>
  <c r="I93" i="25" s="1"/>
  <c r="I125" i="25" s="1"/>
  <c r="J61" i="25"/>
  <c r="J93" i="25" s="1"/>
  <c r="J125" i="25" s="1"/>
  <c r="K61" i="25"/>
  <c r="K93" i="25" s="1"/>
  <c r="K125" i="25" s="1"/>
  <c r="L61" i="25"/>
  <c r="L93" i="25" s="1"/>
  <c r="L125" i="25" s="1"/>
  <c r="M61" i="25"/>
  <c r="M93" i="25" s="1"/>
  <c r="M125" i="25" s="1"/>
  <c r="N61" i="25"/>
  <c r="N93" i="25" s="1"/>
  <c r="N125" i="25" s="1"/>
  <c r="O61" i="25"/>
  <c r="O93" i="25" s="1"/>
  <c r="O125" i="25" s="1"/>
  <c r="P61" i="25"/>
  <c r="P93" i="25" s="1"/>
  <c r="P125" i="25" s="1"/>
  <c r="Q61" i="25"/>
  <c r="Q93" i="25" s="1"/>
  <c r="Q125" i="25" s="1"/>
  <c r="R61" i="25"/>
  <c r="R93" i="25" s="1"/>
  <c r="R125" i="25" s="1"/>
  <c r="S61" i="25"/>
  <c r="S93" i="25" s="1"/>
  <c r="S125" i="25" s="1"/>
  <c r="T61" i="25"/>
  <c r="T93" i="25" s="1"/>
  <c r="T125" i="25" s="1"/>
  <c r="E62" i="25"/>
  <c r="E94" i="25" s="1"/>
  <c r="E126" i="25" s="1"/>
  <c r="F62" i="25"/>
  <c r="F94" i="25" s="1"/>
  <c r="F126" i="25" s="1"/>
  <c r="G62" i="25"/>
  <c r="G94" i="25" s="1"/>
  <c r="G126" i="25" s="1"/>
  <c r="H62" i="25"/>
  <c r="H94" i="25" s="1"/>
  <c r="H126" i="25" s="1"/>
  <c r="I62" i="25"/>
  <c r="I94" i="25" s="1"/>
  <c r="I126" i="25" s="1"/>
  <c r="J62" i="25"/>
  <c r="J94" i="25" s="1"/>
  <c r="J126" i="25" s="1"/>
  <c r="K62" i="25"/>
  <c r="K94" i="25" s="1"/>
  <c r="K126" i="25" s="1"/>
  <c r="L62" i="25"/>
  <c r="L94" i="25" s="1"/>
  <c r="L126" i="25" s="1"/>
  <c r="M62" i="25"/>
  <c r="M94" i="25" s="1"/>
  <c r="M126" i="25" s="1"/>
  <c r="N62" i="25"/>
  <c r="N94" i="25" s="1"/>
  <c r="N126" i="25" s="1"/>
  <c r="O62" i="25"/>
  <c r="O94" i="25" s="1"/>
  <c r="O126" i="25" s="1"/>
  <c r="P62" i="25"/>
  <c r="P94" i="25" s="1"/>
  <c r="P126" i="25" s="1"/>
  <c r="Q62" i="25"/>
  <c r="Q94" i="25" s="1"/>
  <c r="Q126" i="25" s="1"/>
  <c r="R62" i="25"/>
  <c r="R94" i="25" s="1"/>
  <c r="R126" i="25" s="1"/>
  <c r="S62" i="25"/>
  <c r="S94" i="25" s="1"/>
  <c r="S126" i="25" s="1"/>
  <c r="T62" i="25"/>
  <c r="T94" i="25" s="1"/>
  <c r="T126" i="25" s="1"/>
  <c r="E63" i="25"/>
  <c r="E95" i="25" s="1"/>
  <c r="F63" i="25"/>
  <c r="F95" i="25" s="1"/>
  <c r="G63" i="25"/>
  <c r="G95" i="25" s="1"/>
  <c r="H63" i="25"/>
  <c r="H95" i="25" s="1"/>
  <c r="I63" i="25"/>
  <c r="I95" i="25" s="1"/>
  <c r="J63" i="25"/>
  <c r="J95" i="25" s="1"/>
  <c r="K63" i="25"/>
  <c r="K95" i="25" s="1"/>
  <c r="L63" i="25"/>
  <c r="L95" i="25" s="1"/>
  <c r="M63" i="25"/>
  <c r="M95" i="25" s="1"/>
  <c r="N63" i="25"/>
  <c r="N95" i="25" s="1"/>
  <c r="O63" i="25"/>
  <c r="O95" i="25" s="1"/>
  <c r="P63" i="25"/>
  <c r="P95" i="25" s="1"/>
  <c r="Q63" i="25"/>
  <c r="Q95" i="25" s="1"/>
  <c r="R63" i="25"/>
  <c r="R95" i="25" s="1"/>
  <c r="S63" i="25"/>
  <c r="S95" i="25" s="1"/>
  <c r="T63" i="25"/>
  <c r="T95" i="25" s="1"/>
  <c r="E64" i="25"/>
  <c r="E96" i="25" s="1"/>
  <c r="F64" i="25"/>
  <c r="F96" i="25" s="1"/>
  <c r="G64" i="25"/>
  <c r="G96" i="25" s="1"/>
  <c r="H64" i="25"/>
  <c r="H96" i="25" s="1"/>
  <c r="I64" i="25"/>
  <c r="I96" i="25" s="1"/>
  <c r="J64" i="25"/>
  <c r="J96" i="25" s="1"/>
  <c r="K64" i="25"/>
  <c r="K96" i="25" s="1"/>
  <c r="L64" i="25"/>
  <c r="L96" i="25" s="1"/>
  <c r="M64" i="25"/>
  <c r="M96" i="25" s="1"/>
  <c r="N64" i="25"/>
  <c r="N96" i="25" s="1"/>
  <c r="O64" i="25"/>
  <c r="O96" i="25" s="1"/>
  <c r="P64" i="25"/>
  <c r="P96" i="25" s="1"/>
  <c r="Q64" i="25"/>
  <c r="Q96" i="25" s="1"/>
  <c r="R64" i="25"/>
  <c r="R96" i="25" s="1"/>
  <c r="S64" i="25"/>
  <c r="S96" i="25" s="1"/>
  <c r="T64" i="25"/>
  <c r="T96" i="25" s="1"/>
  <c r="E65" i="25"/>
  <c r="E97" i="25" s="1"/>
  <c r="F65" i="25"/>
  <c r="F97" i="25" s="1"/>
  <c r="G65" i="25"/>
  <c r="G97" i="25" s="1"/>
  <c r="H65" i="25"/>
  <c r="H97" i="25" s="1"/>
  <c r="I65" i="25"/>
  <c r="I97" i="25" s="1"/>
  <c r="J65" i="25"/>
  <c r="J97" i="25" s="1"/>
  <c r="K65" i="25"/>
  <c r="K97" i="25" s="1"/>
  <c r="L65" i="25"/>
  <c r="L97" i="25" s="1"/>
  <c r="M65" i="25"/>
  <c r="M97" i="25" s="1"/>
  <c r="N65" i="25"/>
  <c r="N97" i="25" s="1"/>
  <c r="O65" i="25"/>
  <c r="O97" i="25" s="1"/>
  <c r="P65" i="25"/>
  <c r="P97" i="25" s="1"/>
  <c r="Q65" i="25"/>
  <c r="Q97" i="25" s="1"/>
  <c r="R65" i="25"/>
  <c r="R97" i="25" s="1"/>
  <c r="S65" i="25"/>
  <c r="S97" i="25" s="1"/>
  <c r="T65" i="25"/>
  <c r="T97" i="25" s="1"/>
  <c r="E66" i="25"/>
  <c r="E98" i="25" s="1"/>
  <c r="F66" i="25"/>
  <c r="F98" i="25" s="1"/>
  <c r="G66" i="25"/>
  <c r="G98" i="25" s="1"/>
  <c r="H66" i="25"/>
  <c r="H98" i="25" s="1"/>
  <c r="I66" i="25"/>
  <c r="I98" i="25" s="1"/>
  <c r="J66" i="25"/>
  <c r="J98" i="25" s="1"/>
  <c r="K66" i="25"/>
  <c r="K98" i="25" s="1"/>
  <c r="L66" i="25"/>
  <c r="L98" i="25" s="1"/>
  <c r="M66" i="25"/>
  <c r="M98" i="25" s="1"/>
  <c r="N66" i="25"/>
  <c r="N98" i="25" s="1"/>
  <c r="O66" i="25"/>
  <c r="O98" i="25" s="1"/>
  <c r="P66" i="25"/>
  <c r="P98" i="25" s="1"/>
  <c r="Q66" i="25"/>
  <c r="Q98" i="25" s="1"/>
  <c r="R66" i="25"/>
  <c r="R98" i="25" s="1"/>
  <c r="S66" i="25"/>
  <c r="S98" i="25" s="1"/>
  <c r="T66" i="25"/>
  <c r="T98" i="25" s="1"/>
  <c r="E67" i="25"/>
  <c r="E99" i="25" s="1"/>
  <c r="F67" i="25"/>
  <c r="F99" i="25" s="1"/>
  <c r="G67" i="25"/>
  <c r="G99" i="25" s="1"/>
  <c r="H67" i="25"/>
  <c r="H99" i="25" s="1"/>
  <c r="I67" i="25"/>
  <c r="I99" i="25" s="1"/>
  <c r="J67" i="25"/>
  <c r="J99" i="25" s="1"/>
  <c r="K67" i="25"/>
  <c r="K99" i="25" s="1"/>
  <c r="L67" i="25"/>
  <c r="L99" i="25" s="1"/>
  <c r="M67" i="25"/>
  <c r="M99" i="25" s="1"/>
  <c r="N67" i="25"/>
  <c r="N99" i="25" s="1"/>
  <c r="O67" i="25"/>
  <c r="O99" i="25" s="1"/>
  <c r="P67" i="25"/>
  <c r="P99" i="25" s="1"/>
  <c r="Q67" i="25"/>
  <c r="Q99" i="25" s="1"/>
  <c r="R67" i="25"/>
  <c r="R99" i="25" s="1"/>
  <c r="S67" i="25"/>
  <c r="S99" i="25" s="1"/>
  <c r="T67" i="25"/>
  <c r="T99" i="25" s="1"/>
  <c r="E68" i="25"/>
  <c r="E100" i="25" s="1"/>
  <c r="F68" i="25"/>
  <c r="F100" i="25" s="1"/>
  <c r="G68" i="25"/>
  <c r="G100" i="25" s="1"/>
  <c r="H68" i="25"/>
  <c r="H100" i="25" s="1"/>
  <c r="I68" i="25"/>
  <c r="I100" i="25" s="1"/>
  <c r="J68" i="25"/>
  <c r="J100" i="25" s="1"/>
  <c r="K68" i="25"/>
  <c r="K100" i="25" s="1"/>
  <c r="L68" i="25"/>
  <c r="L100" i="25" s="1"/>
  <c r="M68" i="25"/>
  <c r="M100" i="25" s="1"/>
  <c r="N68" i="25"/>
  <c r="N100" i="25" s="1"/>
  <c r="O68" i="25"/>
  <c r="O100" i="25" s="1"/>
  <c r="P68" i="25"/>
  <c r="P100" i="25" s="1"/>
  <c r="Q68" i="25"/>
  <c r="Q100" i="25" s="1"/>
  <c r="R68" i="25"/>
  <c r="R100" i="25" s="1"/>
  <c r="S68" i="25"/>
  <c r="S100" i="25" s="1"/>
  <c r="T68" i="25"/>
  <c r="T100" i="25" s="1"/>
  <c r="E69" i="25"/>
  <c r="E101" i="25" s="1"/>
  <c r="F69" i="25"/>
  <c r="F101" i="25" s="1"/>
  <c r="G69" i="25"/>
  <c r="G101" i="25" s="1"/>
  <c r="H69" i="25"/>
  <c r="H101" i="25" s="1"/>
  <c r="I69" i="25"/>
  <c r="I101" i="25" s="1"/>
  <c r="J69" i="25"/>
  <c r="J101" i="25" s="1"/>
  <c r="K69" i="25"/>
  <c r="K101" i="25" s="1"/>
  <c r="L69" i="25"/>
  <c r="L101" i="25" s="1"/>
  <c r="M69" i="25"/>
  <c r="M101" i="25" s="1"/>
  <c r="N69" i="25"/>
  <c r="N101" i="25" s="1"/>
  <c r="O69" i="25"/>
  <c r="O101" i="25" s="1"/>
  <c r="P69" i="25"/>
  <c r="P101" i="25" s="1"/>
  <c r="Q69" i="25"/>
  <c r="Q101" i="25" s="1"/>
  <c r="R69" i="25"/>
  <c r="R101" i="25" s="1"/>
  <c r="S69" i="25"/>
  <c r="S101" i="25" s="1"/>
  <c r="T69" i="25"/>
  <c r="T101" i="25" s="1"/>
  <c r="E70" i="25"/>
  <c r="E102" i="25" s="1"/>
  <c r="F70" i="25"/>
  <c r="F102" i="25" s="1"/>
  <c r="G70" i="25"/>
  <c r="G102" i="25" s="1"/>
  <c r="H70" i="25"/>
  <c r="H102" i="25" s="1"/>
  <c r="I70" i="25"/>
  <c r="I102" i="25" s="1"/>
  <c r="J70" i="25"/>
  <c r="J102" i="25" s="1"/>
  <c r="K70" i="25"/>
  <c r="K102" i="25" s="1"/>
  <c r="L70" i="25"/>
  <c r="L102" i="25" s="1"/>
  <c r="M70" i="25"/>
  <c r="M102" i="25" s="1"/>
  <c r="N70" i="25"/>
  <c r="N102" i="25" s="1"/>
  <c r="O70" i="25"/>
  <c r="O102" i="25" s="1"/>
  <c r="P70" i="25"/>
  <c r="P102" i="25" s="1"/>
  <c r="Q70" i="25"/>
  <c r="Q102" i="25" s="1"/>
  <c r="R70" i="25"/>
  <c r="R102" i="25" s="1"/>
  <c r="S70" i="25"/>
  <c r="S102" i="25" s="1"/>
  <c r="T70" i="25"/>
  <c r="T102" i="25" s="1"/>
  <c r="E72" i="25"/>
  <c r="E104" i="25" s="1"/>
  <c r="G72" i="25"/>
  <c r="G104" i="25" s="1"/>
  <c r="I72" i="25"/>
  <c r="I104" i="25" s="1"/>
  <c r="L72" i="25"/>
  <c r="N72" i="25"/>
  <c r="O72" i="25"/>
  <c r="Q72" i="25"/>
  <c r="R72" i="25"/>
  <c r="T72" i="25"/>
  <c r="F73" i="25"/>
  <c r="G73" i="25"/>
  <c r="I73" i="25"/>
  <c r="J73" i="25"/>
  <c r="J105" i="25" s="1"/>
  <c r="M73" i="25"/>
  <c r="N73" i="25"/>
  <c r="O73" i="25"/>
  <c r="Q73" i="25"/>
  <c r="R73" i="25"/>
  <c r="T73" i="25"/>
  <c r="E74" i="25"/>
  <c r="G74" i="25"/>
  <c r="I74" i="25"/>
  <c r="L74" i="25"/>
  <c r="N74" i="25"/>
  <c r="O74" i="25"/>
  <c r="Q74" i="25"/>
  <c r="R74" i="25"/>
  <c r="T74" i="25"/>
  <c r="F75" i="25"/>
  <c r="G75" i="25"/>
  <c r="I75" i="25"/>
  <c r="J75" i="25"/>
  <c r="L75" i="25"/>
  <c r="N75" i="25"/>
  <c r="O75" i="25"/>
  <c r="Q75" i="25"/>
  <c r="R75" i="25"/>
  <c r="T75" i="25"/>
  <c r="E76" i="25"/>
  <c r="G76" i="25"/>
  <c r="I76" i="25"/>
  <c r="L76" i="25"/>
  <c r="N76" i="25"/>
  <c r="O76" i="25"/>
  <c r="Q76" i="25"/>
  <c r="R76" i="25"/>
  <c r="T76" i="25"/>
  <c r="E77" i="25"/>
  <c r="F77" i="25"/>
  <c r="G77" i="25"/>
  <c r="H77" i="25"/>
  <c r="I77" i="25"/>
  <c r="K77" i="25"/>
  <c r="K109" i="25" s="1"/>
  <c r="L77" i="25"/>
  <c r="M77" i="25"/>
  <c r="N77" i="25"/>
  <c r="O77" i="25"/>
  <c r="P77" i="25"/>
  <c r="P109" i="25" s="1"/>
  <c r="Q77" i="25"/>
  <c r="R77" i="25"/>
  <c r="S77" i="25"/>
  <c r="T77" i="25"/>
  <c r="E78" i="25"/>
  <c r="F78" i="25"/>
  <c r="G78" i="25"/>
  <c r="H78" i="25"/>
  <c r="I78" i="25"/>
  <c r="L78" i="25"/>
  <c r="M78" i="25"/>
  <c r="N78" i="25"/>
  <c r="O78" i="25"/>
  <c r="P78" i="25"/>
  <c r="Q78" i="25"/>
  <c r="R78" i="25"/>
  <c r="S78" i="25"/>
  <c r="T78" i="25"/>
  <c r="E79" i="25"/>
  <c r="F79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E80" i="25"/>
  <c r="F80" i="25"/>
  <c r="G80" i="25"/>
  <c r="H80" i="25"/>
  <c r="I80" i="25"/>
  <c r="J80" i="25"/>
  <c r="K80" i="25"/>
  <c r="L80" i="25"/>
  <c r="M80" i="25"/>
  <c r="N80" i="25"/>
  <c r="O80" i="25"/>
  <c r="P80" i="25"/>
  <c r="Q80" i="25"/>
  <c r="R80" i="25"/>
  <c r="S80" i="25"/>
  <c r="T80" i="25"/>
  <c r="E81" i="25"/>
  <c r="F81" i="25"/>
  <c r="G81" i="25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E82" i="25"/>
  <c r="F82" i="25"/>
  <c r="G82" i="25"/>
  <c r="H82" i="25"/>
  <c r="I82" i="25"/>
  <c r="J82" i="25"/>
  <c r="K82" i="25"/>
  <c r="L82" i="25"/>
  <c r="M82" i="25"/>
  <c r="N82" i="25"/>
  <c r="O82" i="25"/>
  <c r="P82" i="25"/>
  <c r="Q82" i="25"/>
  <c r="R82" i="25"/>
  <c r="S82" i="25"/>
  <c r="T82" i="25"/>
  <c r="E83" i="25"/>
  <c r="F83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E84" i="25"/>
  <c r="F84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E85" i="25"/>
  <c r="F85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E86" i="25"/>
  <c r="F86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E87" i="25"/>
  <c r="F87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E88" i="25"/>
  <c r="F88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E89" i="25"/>
  <c r="F89" i="25"/>
  <c r="G89" i="25"/>
  <c r="H89" i="25"/>
  <c r="I89" i="25"/>
  <c r="J89" i="25"/>
  <c r="K89" i="25"/>
  <c r="L89" i="25"/>
  <c r="M89" i="25"/>
  <c r="N89" i="25"/>
  <c r="O89" i="25"/>
  <c r="P89" i="25"/>
  <c r="Q89" i="25"/>
  <c r="R89" i="25"/>
  <c r="S89" i="25"/>
  <c r="T89" i="25"/>
  <c r="E90" i="25"/>
  <c r="F90" i="25"/>
  <c r="G90" i="25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E91" i="25"/>
  <c r="F91" i="25"/>
  <c r="G91" i="25"/>
  <c r="H91" i="25"/>
  <c r="I91" i="25"/>
  <c r="J91" i="25"/>
  <c r="K91" i="25"/>
  <c r="L91" i="25"/>
  <c r="M91" i="25"/>
  <c r="N91" i="25"/>
  <c r="O91" i="25"/>
  <c r="P91" i="25"/>
  <c r="Q91" i="25"/>
  <c r="R91" i="25"/>
  <c r="S91" i="25"/>
  <c r="T91" i="25"/>
  <c r="E92" i="25"/>
  <c r="F92" i="25"/>
  <c r="G92" i="25"/>
  <c r="H92" i="25"/>
  <c r="I92" i="25"/>
  <c r="J92" i="25"/>
  <c r="K92" i="25"/>
  <c r="L92" i="25"/>
  <c r="M92" i="25"/>
  <c r="N92" i="25"/>
  <c r="O92" i="25"/>
  <c r="P92" i="25"/>
  <c r="Q92" i="25"/>
  <c r="L104" i="25"/>
  <c r="N104" i="25"/>
  <c r="O104" i="25"/>
  <c r="Q104" i="25"/>
  <c r="R104" i="25"/>
  <c r="T104" i="25"/>
  <c r="F105" i="25"/>
  <c r="G105" i="25"/>
  <c r="I105" i="25"/>
  <c r="M105" i="25"/>
  <c r="N105" i="25"/>
  <c r="O105" i="25"/>
  <c r="Q105" i="25"/>
  <c r="R105" i="25"/>
  <c r="T105" i="25"/>
  <c r="E106" i="25"/>
  <c r="G106" i="25"/>
  <c r="I106" i="25"/>
  <c r="L106" i="25"/>
  <c r="N106" i="25"/>
  <c r="O106" i="25"/>
  <c r="Q106" i="25"/>
  <c r="R106" i="25"/>
  <c r="T106" i="25"/>
  <c r="F107" i="25"/>
  <c r="G107" i="25"/>
  <c r="I107" i="25"/>
  <c r="J107" i="25"/>
  <c r="L107" i="25"/>
  <c r="N107" i="25"/>
  <c r="O107" i="25"/>
  <c r="Q107" i="25"/>
  <c r="R107" i="25"/>
  <c r="T107" i="25"/>
  <c r="E108" i="25"/>
  <c r="G108" i="25"/>
  <c r="I108" i="25"/>
  <c r="L108" i="25"/>
  <c r="N108" i="25"/>
  <c r="O108" i="25"/>
  <c r="Q108" i="25"/>
  <c r="R108" i="25"/>
  <c r="T108" i="25"/>
  <c r="E109" i="25"/>
  <c r="F109" i="25"/>
  <c r="G109" i="25"/>
  <c r="H109" i="25"/>
  <c r="I109" i="25"/>
  <c r="L109" i="25"/>
  <c r="M109" i="25"/>
  <c r="N109" i="25"/>
  <c r="O109" i="25"/>
  <c r="Q109" i="25"/>
  <c r="R109" i="25"/>
  <c r="S109" i="25"/>
  <c r="T109" i="25"/>
  <c r="E110" i="25"/>
  <c r="F110" i="25"/>
  <c r="G110" i="25"/>
  <c r="H110" i="25"/>
  <c r="I110" i="25"/>
  <c r="L110" i="25"/>
  <c r="M110" i="25"/>
  <c r="N110" i="25"/>
  <c r="O110" i="25"/>
  <c r="P110" i="25"/>
  <c r="Q110" i="25"/>
  <c r="R110" i="25"/>
  <c r="S110" i="25"/>
  <c r="T110" i="25"/>
  <c r="E111" i="25"/>
  <c r="F111" i="25"/>
  <c r="G111" i="25"/>
  <c r="H111" i="25"/>
  <c r="I111" i="25"/>
  <c r="J111" i="25"/>
  <c r="K111" i="25"/>
  <c r="L111" i="25"/>
  <c r="M111" i="25"/>
  <c r="N111" i="25"/>
  <c r="O111" i="25"/>
  <c r="P111" i="25"/>
  <c r="Q111" i="25"/>
  <c r="R111" i="25"/>
  <c r="S111" i="25"/>
  <c r="T111" i="25"/>
  <c r="E112" i="25"/>
  <c r="F112" i="25"/>
  <c r="G112" i="25"/>
  <c r="H112" i="25"/>
  <c r="I112" i="25"/>
  <c r="J112" i="25"/>
  <c r="K112" i="25"/>
  <c r="L112" i="25"/>
  <c r="M112" i="25"/>
  <c r="N112" i="25"/>
  <c r="O112" i="25"/>
  <c r="P112" i="25"/>
  <c r="Q112" i="25"/>
  <c r="R112" i="25"/>
  <c r="S112" i="25"/>
  <c r="T112" i="25"/>
  <c r="E113" i="25"/>
  <c r="F113" i="25"/>
  <c r="G113" i="25"/>
  <c r="H113" i="25"/>
  <c r="I113" i="25"/>
  <c r="J113" i="25"/>
  <c r="K113" i="25"/>
  <c r="L113" i="25"/>
  <c r="M113" i="25"/>
  <c r="N113" i="25"/>
  <c r="O113" i="25"/>
  <c r="P113" i="25"/>
  <c r="Q113" i="25"/>
  <c r="R113" i="25"/>
  <c r="S113" i="25"/>
  <c r="T113" i="25"/>
  <c r="E114" i="25"/>
  <c r="F114" i="25"/>
  <c r="G114" i="25"/>
  <c r="H114" i="25"/>
  <c r="I114" i="25"/>
  <c r="J114" i="25"/>
  <c r="K114" i="25"/>
  <c r="L114" i="25"/>
  <c r="M114" i="25"/>
  <c r="N114" i="25"/>
  <c r="O114" i="25"/>
  <c r="P114" i="25"/>
  <c r="Q114" i="25"/>
  <c r="R114" i="25"/>
  <c r="S114" i="25"/>
  <c r="T114" i="25"/>
  <c r="E115" i="25"/>
  <c r="F115" i="25"/>
  <c r="G115" i="25"/>
  <c r="H115" i="25"/>
  <c r="I115" i="25"/>
  <c r="J115" i="25"/>
  <c r="K115" i="25"/>
  <c r="L115" i="25"/>
  <c r="M115" i="25"/>
  <c r="N115" i="25"/>
  <c r="O115" i="25"/>
  <c r="P115" i="25"/>
  <c r="Q115" i="25"/>
  <c r="R115" i="25"/>
  <c r="S115" i="25"/>
  <c r="T115" i="25"/>
  <c r="E116" i="25"/>
  <c r="F116" i="25"/>
  <c r="G116" i="25"/>
  <c r="H116" i="25"/>
  <c r="I116" i="25"/>
  <c r="J116" i="25"/>
  <c r="K116" i="25"/>
  <c r="L116" i="25"/>
  <c r="M116" i="25"/>
  <c r="N116" i="25"/>
  <c r="O116" i="25"/>
  <c r="P116" i="25"/>
  <c r="Q116" i="25"/>
  <c r="R116" i="25"/>
  <c r="S116" i="25"/>
  <c r="T116" i="25"/>
  <c r="E117" i="25"/>
  <c r="F117" i="25"/>
  <c r="G117" i="25"/>
  <c r="H117" i="25"/>
  <c r="I117" i="25"/>
  <c r="J117" i="25"/>
  <c r="K117" i="25"/>
  <c r="L117" i="25"/>
  <c r="M117" i="25"/>
  <c r="N117" i="25"/>
  <c r="O117" i="25"/>
  <c r="P117" i="25"/>
  <c r="Q117" i="25"/>
  <c r="R117" i="25"/>
  <c r="S117" i="25"/>
  <c r="T117" i="25"/>
  <c r="E118" i="25"/>
  <c r="F118" i="25"/>
  <c r="G118" i="25"/>
  <c r="H118" i="25"/>
  <c r="I118" i="25"/>
  <c r="J118" i="25"/>
  <c r="K118" i="25"/>
  <c r="L118" i="25"/>
  <c r="M118" i="25"/>
  <c r="N118" i="25"/>
  <c r="O118" i="25"/>
  <c r="P118" i="25"/>
  <c r="Q118" i="25"/>
  <c r="R118" i="25"/>
  <c r="S118" i="25"/>
  <c r="T118" i="25"/>
  <c r="E119" i="25"/>
  <c r="F119" i="25"/>
  <c r="G119" i="25"/>
  <c r="H119" i="25"/>
  <c r="I119" i="25"/>
  <c r="J119" i="25"/>
  <c r="K119" i="25"/>
  <c r="L119" i="25"/>
  <c r="M119" i="25"/>
  <c r="N119" i="25"/>
  <c r="O119" i="25"/>
  <c r="P119" i="25"/>
  <c r="Q119" i="25"/>
  <c r="R119" i="25"/>
  <c r="S119" i="25"/>
  <c r="T119" i="25"/>
  <c r="E120" i="25"/>
  <c r="F120" i="25"/>
  <c r="G120" i="25"/>
  <c r="H120" i="25"/>
  <c r="I120" i="25"/>
  <c r="J120" i="25"/>
  <c r="K120" i="25"/>
  <c r="L120" i="25"/>
  <c r="M120" i="25"/>
  <c r="N120" i="25"/>
  <c r="O120" i="25"/>
  <c r="P120" i="25"/>
  <c r="Q120" i="25"/>
  <c r="R120" i="25"/>
  <c r="S120" i="25"/>
  <c r="T120" i="25"/>
  <c r="E121" i="25"/>
  <c r="F121" i="25"/>
  <c r="G121" i="25"/>
  <c r="H121" i="25"/>
  <c r="I121" i="25"/>
  <c r="J121" i="25"/>
  <c r="K121" i="25"/>
  <c r="L121" i="25"/>
  <c r="M121" i="25"/>
  <c r="N121" i="25"/>
  <c r="O121" i="25"/>
  <c r="P121" i="25"/>
  <c r="Q121" i="25"/>
  <c r="R121" i="25"/>
  <c r="S121" i="25"/>
  <c r="T121" i="25"/>
  <c r="E122" i="25"/>
  <c r="F122" i="25"/>
  <c r="G122" i="25"/>
  <c r="H122" i="25"/>
  <c r="I122" i="25"/>
  <c r="J122" i="25"/>
  <c r="K122" i="25"/>
  <c r="L122" i="25"/>
  <c r="M122" i="25"/>
  <c r="N122" i="25"/>
  <c r="O122" i="25"/>
  <c r="P122" i="25"/>
  <c r="Q122" i="25"/>
  <c r="R122" i="25"/>
  <c r="S122" i="25"/>
  <c r="T122" i="25"/>
  <c r="E123" i="25"/>
  <c r="F123" i="25"/>
  <c r="G123" i="25"/>
  <c r="H123" i="25"/>
  <c r="I123" i="25"/>
  <c r="J123" i="25"/>
  <c r="K123" i="25"/>
  <c r="L123" i="25"/>
  <c r="M123" i="25"/>
  <c r="N123" i="25"/>
  <c r="O123" i="25"/>
  <c r="P123" i="25"/>
  <c r="Q123" i="25"/>
  <c r="R123" i="25"/>
  <c r="S123" i="25"/>
  <c r="T123" i="25"/>
  <c r="E124" i="25"/>
  <c r="F124" i="25"/>
  <c r="G124" i="25"/>
  <c r="H124" i="25"/>
  <c r="I124" i="25"/>
  <c r="J124" i="25"/>
  <c r="K124" i="25"/>
  <c r="L124" i="25"/>
  <c r="M124" i="25"/>
  <c r="N124" i="25"/>
  <c r="O124" i="25"/>
  <c r="P124" i="25"/>
  <c r="Q124" i="25"/>
  <c r="T39" i="25"/>
  <c r="T71" i="25" s="1"/>
  <c r="T103" i="25" s="1"/>
  <c r="S39" i="25"/>
  <c r="S71" i="25" s="1"/>
  <c r="S103" i="25" s="1"/>
  <c r="R39" i="25"/>
  <c r="R71" i="25" s="1"/>
  <c r="R103" i="25" s="1"/>
  <c r="Q39" i="25"/>
  <c r="Q71" i="25" s="1"/>
  <c r="Q103" i="25" s="1"/>
  <c r="P39" i="25"/>
  <c r="P71" i="25" s="1"/>
  <c r="P103" i="25" s="1"/>
  <c r="O39" i="25"/>
  <c r="O71" i="25" s="1"/>
  <c r="O103" i="25" s="1"/>
  <c r="N39" i="25"/>
  <c r="N71" i="25" s="1"/>
  <c r="N103" i="25" s="1"/>
  <c r="M39" i="25"/>
  <c r="M71" i="25" s="1"/>
  <c r="M103" i="25" s="1"/>
  <c r="L39" i="25"/>
  <c r="L71" i="25" s="1"/>
  <c r="L103" i="25" s="1"/>
  <c r="K39" i="25"/>
  <c r="K71" i="25" s="1"/>
  <c r="K103" i="25" s="1"/>
  <c r="J39" i="25"/>
  <c r="J71" i="25" s="1"/>
  <c r="J103" i="25" s="1"/>
  <c r="I39" i="25"/>
  <c r="I71" i="25" s="1"/>
  <c r="I103" i="25" s="1"/>
  <c r="H39" i="25"/>
  <c r="H71" i="25" s="1"/>
  <c r="H103" i="25" s="1"/>
  <c r="G39" i="25"/>
  <c r="G71" i="25" s="1"/>
  <c r="G103" i="25" s="1"/>
  <c r="F39" i="25"/>
  <c r="F71" i="25" s="1"/>
  <c r="F103" i="25" s="1"/>
  <c r="E39" i="25"/>
  <c r="E71" i="25" s="1"/>
  <c r="E103" i="25" s="1"/>
  <c r="K54" i="24"/>
  <c r="E40" i="24"/>
  <c r="E72" i="24" s="1"/>
  <c r="E104" i="24" s="1"/>
  <c r="G40" i="24"/>
  <c r="I40" i="24"/>
  <c r="I72" i="24" s="1"/>
  <c r="I104" i="24" s="1"/>
  <c r="J40" i="24"/>
  <c r="L40" i="24"/>
  <c r="L72" i="24" s="1"/>
  <c r="L104" i="24" s="1"/>
  <c r="M40" i="24"/>
  <c r="M72" i="24" s="1"/>
  <c r="M104" i="24" s="1"/>
  <c r="N40" i="24"/>
  <c r="P40" i="24"/>
  <c r="Q40" i="24"/>
  <c r="Q72" i="24" s="1"/>
  <c r="Q104" i="24" s="1"/>
  <c r="S40" i="24"/>
  <c r="T40" i="24"/>
  <c r="T72" i="24" s="1"/>
  <c r="T104" i="24" s="1"/>
  <c r="E41" i="24"/>
  <c r="E73" i="24" s="1"/>
  <c r="E105" i="24" s="1"/>
  <c r="F41" i="24"/>
  <c r="G41" i="24"/>
  <c r="G73" i="24" s="1"/>
  <c r="G105" i="24" s="1"/>
  <c r="H41" i="24"/>
  <c r="H73" i="24" s="1"/>
  <c r="H105" i="24" s="1"/>
  <c r="I41" i="24"/>
  <c r="I73" i="24" s="1"/>
  <c r="I105" i="24" s="1"/>
  <c r="J41" i="24"/>
  <c r="J73" i="24" s="1"/>
  <c r="J105" i="24" s="1"/>
  <c r="K41" i="24"/>
  <c r="K73" i="24" s="1"/>
  <c r="K105" i="24" s="1"/>
  <c r="L41" i="24"/>
  <c r="M41" i="24"/>
  <c r="M73" i="24" s="1"/>
  <c r="M105" i="24" s="1"/>
  <c r="N41" i="24"/>
  <c r="O41" i="24"/>
  <c r="P41" i="24"/>
  <c r="Q41" i="24"/>
  <c r="Q73" i="24" s="1"/>
  <c r="Q105" i="24" s="1"/>
  <c r="R41" i="24"/>
  <c r="S41" i="24"/>
  <c r="S73" i="24" s="1"/>
  <c r="S105" i="24" s="1"/>
  <c r="T41" i="24"/>
  <c r="T73" i="24" s="1"/>
  <c r="T105" i="24" s="1"/>
  <c r="E42" i="24"/>
  <c r="E74" i="24" s="1"/>
  <c r="E106" i="24" s="1"/>
  <c r="F42" i="24"/>
  <c r="G42" i="24"/>
  <c r="H42" i="24"/>
  <c r="I42" i="24"/>
  <c r="I74" i="24" s="1"/>
  <c r="I106" i="24" s="1"/>
  <c r="J42" i="24"/>
  <c r="J74" i="24" s="1"/>
  <c r="J106" i="24" s="1"/>
  <c r="K42" i="24"/>
  <c r="K74" i="24" s="1"/>
  <c r="K106" i="24" s="1"/>
  <c r="L42" i="24"/>
  <c r="M42" i="24"/>
  <c r="M74" i="24" s="1"/>
  <c r="M106" i="24" s="1"/>
  <c r="N42" i="24"/>
  <c r="O42" i="24"/>
  <c r="O74" i="24" s="1"/>
  <c r="O106" i="24" s="1"/>
  <c r="P42" i="24"/>
  <c r="Q42" i="24"/>
  <c r="Q74" i="24" s="1"/>
  <c r="Q106" i="24" s="1"/>
  <c r="R42" i="24"/>
  <c r="R74" i="24" s="1"/>
  <c r="R106" i="24" s="1"/>
  <c r="S42" i="24"/>
  <c r="S74" i="24" s="1"/>
  <c r="S106" i="24" s="1"/>
  <c r="T42" i="24"/>
  <c r="E43" i="24"/>
  <c r="E75" i="24" s="1"/>
  <c r="E107" i="24" s="1"/>
  <c r="F43" i="24"/>
  <c r="F75" i="24" s="1"/>
  <c r="F107" i="24" s="1"/>
  <c r="G43" i="24"/>
  <c r="G75" i="24" s="1"/>
  <c r="G107" i="24" s="1"/>
  <c r="H43" i="24"/>
  <c r="I43" i="24"/>
  <c r="I75" i="24" s="1"/>
  <c r="I107" i="24" s="1"/>
  <c r="J43" i="24"/>
  <c r="J75" i="24" s="1"/>
  <c r="J107" i="24" s="1"/>
  <c r="K43" i="24"/>
  <c r="K75" i="24" s="1"/>
  <c r="K107" i="24" s="1"/>
  <c r="L43" i="24"/>
  <c r="M43" i="24"/>
  <c r="M75" i="24" s="1"/>
  <c r="M107" i="24" s="1"/>
  <c r="N43" i="24"/>
  <c r="N75" i="24" s="1"/>
  <c r="N107" i="24" s="1"/>
  <c r="O43" i="24"/>
  <c r="O75" i="24" s="1"/>
  <c r="O107" i="24" s="1"/>
  <c r="P43" i="24"/>
  <c r="Q43" i="24"/>
  <c r="Q75" i="24" s="1"/>
  <c r="Q107" i="24" s="1"/>
  <c r="R43" i="24"/>
  <c r="R75" i="24" s="1"/>
  <c r="R107" i="24" s="1"/>
  <c r="S43" i="24"/>
  <c r="S75" i="24" s="1"/>
  <c r="S107" i="24" s="1"/>
  <c r="T43" i="24"/>
  <c r="F44" i="24"/>
  <c r="G44" i="24"/>
  <c r="H44" i="24"/>
  <c r="H76" i="24" s="1"/>
  <c r="H108" i="24" s="1"/>
  <c r="I44" i="24"/>
  <c r="I76" i="24" s="1"/>
  <c r="I108" i="24" s="1"/>
  <c r="J44" i="24"/>
  <c r="K44" i="24"/>
  <c r="K76" i="24" s="1"/>
  <c r="K108" i="24" s="1"/>
  <c r="L44" i="24"/>
  <c r="M44" i="24"/>
  <c r="M76" i="24" s="1"/>
  <c r="M108" i="24" s="1"/>
  <c r="N44" i="24"/>
  <c r="O44" i="24"/>
  <c r="O76" i="24" s="1"/>
  <c r="O108" i="24" s="1"/>
  <c r="P44" i="24"/>
  <c r="P76" i="24" s="1"/>
  <c r="P108" i="24" s="1"/>
  <c r="Q44" i="24"/>
  <c r="Q76" i="24" s="1"/>
  <c r="Q108" i="24" s="1"/>
  <c r="R44" i="24"/>
  <c r="S44" i="24"/>
  <c r="S76" i="24" s="1"/>
  <c r="S108" i="24" s="1"/>
  <c r="T44" i="24"/>
  <c r="E45" i="24"/>
  <c r="E77" i="24" s="1"/>
  <c r="E109" i="24" s="1"/>
  <c r="F45" i="24"/>
  <c r="G45" i="24"/>
  <c r="H45" i="24"/>
  <c r="I45" i="24"/>
  <c r="I77" i="24" s="1"/>
  <c r="I109" i="24" s="1"/>
  <c r="J45" i="24"/>
  <c r="K45" i="24"/>
  <c r="L45" i="24"/>
  <c r="M45" i="24"/>
  <c r="M77" i="24" s="1"/>
  <c r="M109" i="24" s="1"/>
  <c r="N45" i="24"/>
  <c r="O45" i="24"/>
  <c r="P45" i="24"/>
  <c r="Q45" i="24"/>
  <c r="Q77" i="24" s="1"/>
  <c r="Q109" i="24" s="1"/>
  <c r="R45" i="24"/>
  <c r="S45" i="24"/>
  <c r="T45" i="24"/>
  <c r="E46" i="24"/>
  <c r="E78" i="24" s="1"/>
  <c r="E110" i="24" s="1"/>
  <c r="F46" i="24"/>
  <c r="G46" i="24"/>
  <c r="H46" i="24"/>
  <c r="I46" i="24"/>
  <c r="I78" i="24" s="1"/>
  <c r="I110" i="24" s="1"/>
  <c r="J46" i="24"/>
  <c r="K46" i="24"/>
  <c r="L46" i="24"/>
  <c r="M46" i="24"/>
  <c r="M78" i="24" s="1"/>
  <c r="M110" i="24" s="1"/>
  <c r="N46" i="24"/>
  <c r="O46" i="24"/>
  <c r="P46" i="24"/>
  <c r="Q46" i="24"/>
  <c r="Q78" i="24" s="1"/>
  <c r="Q110" i="24" s="1"/>
  <c r="R46" i="24"/>
  <c r="S46" i="24"/>
  <c r="T46" i="24"/>
  <c r="E47" i="24"/>
  <c r="E79" i="24" s="1"/>
  <c r="E111" i="24" s="1"/>
  <c r="F47" i="24"/>
  <c r="G47" i="24"/>
  <c r="H47" i="24"/>
  <c r="I47" i="24"/>
  <c r="I79" i="24" s="1"/>
  <c r="I111" i="24" s="1"/>
  <c r="J47" i="24"/>
  <c r="K47" i="24"/>
  <c r="L47" i="24"/>
  <c r="M47" i="24"/>
  <c r="M79" i="24" s="1"/>
  <c r="M111" i="24" s="1"/>
  <c r="N47" i="24"/>
  <c r="O47" i="24"/>
  <c r="P47" i="24"/>
  <c r="Q47" i="24"/>
  <c r="Q79" i="24" s="1"/>
  <c r="Q111" i="24" s="1"/>
  <c r="R47" i="24"/>
  <c r="S47" i="24"/>
  <c r="T47" i="24"/>
  <c r="E48" i="24"/>
  <c r="E80" i="24" s="1"/>
  <c r="E112" i="24" s="1"/>
  <c r="F48" i="24"/>
  <c r="G48" i="24"/>
  <c r="H48" i="24"/>
  <c r="I48" i="24"/>
  <c r="I80" i="24" s="1"/>
  <c r="I112" i="24" s="1"/>
  <c r="J48" i="24"/>
  <c r="K48" i="24"/>
  <c r="L48" i="24"/>
  <c r="M48" i="24"/>
  <c r="M80" i="24" s="1"/>
  <c r="M112" i="24" s="1"/>
  <c r="N48" i="24"/>
  <c r="O48" i="24"/>
  <c r="P48" i="24"/>
  <c r="Q48" i="24"/>
  <c r="Q80" i="24" s="1"/>
  <c r="Q112" i="24" s="1"/>
  <c r="R48" i="24"/>
  <c r="S48" i="24"/>
  <c r="T48" i="24"/>
  <c r="E49" i="24"/>
  <c r="E81" i="24" s="1"/>
  <c r="E113" i="24" s="1"/>
  <c r="F49" i="24"/>
  <c r="G49" i="24"/>
  <c r="H49" i="24"/>
  <c r="I49" i="24"/>
  <c r="I81" i="24" s="1"/>
  <c r="I113" i="24" s="1"/>
  <c r="J49" i="24"/>
  <c r="K49" i="24"/>
  <c r="L49" i="24"/>
  <c r="M49" i="24"/>
  <c r="M81" i="24" s="1"/>
  <c r="M113" i="24" s="1"/>
  <c r="N49" i="24"/>
  <c r="O49" i="24"/>
  <c r="P49" i="24"/>
  <c r="Q49" i="24"/>
  <c r="Q81" i="24" s="1"/>
  <c r="Q113" i="24" s="1"/>
  <c r="R49" i="24"/>
  <c r="S49" i="24"/>
  <c r="T49" i="24"/>
  <c r="E50" i="24"/>
  <c r="E82" i="24" s="1"/>
  <c r="E114" i="24" s="1"/>
  <c r="F50" i="24"/>
  <c r="G50" i="24"/>
  <c r="H50" i="24"/>
  <c r="I50" i="24"/>
  <c r="I82" i="24" s="1"/>
  <c r="I114" i="24" s="1"/>
  <c r="J50" i="24"/>
  <c r="K50" i="24"/>
  <c r="L50" i="24"/>
  <c r="M50" i="24"/>
  <c r="M82" i="24" s="1"/>
  <c r="M114" i="24" s="1"/>
  <c r="N50" i="24"/>
  <c r="O50" i="24"/>
  <c r="P50" i="24"/>
  <c r="Q50" i="24"/>
  <c r="Q82" i="24" s="1"/>
  <c r="Q114" i="24" s="1"/>
  <c r="R50" i="24"/>
  <c r="S50" i="24"/>
  <c r="T50" i="24"/>
  <c r="E51" i="24"/>
  <c r="E83" i="24" s="1"/>
  <c r="E115" i="24" s="1"/>
  <c r="F51" i="24"/>
  <c r="G51" i="24"/>
  <c r="H51" i="24"/>
  <c r="I51" i="24"/>
  <c r="I83" i="24" s="1"/>
  <c r="I115" i="24" s="1"/>
  <c r="J51" i="24"/>
  <c r="K51" i="24"/>
  <c r="L51" i="24"/>
  <c r="M51" i="24"/>
  <c r="M83" i="24" s="1"/>
  <c r="M115" i="24" s="1"/>
  <c r="N51" i="24"/>
  <c r="O51" i="24"/>
  <c r="P51" i="24"/>
  <c r="Q51" i="24"/>
  <c r="Q83" i="24" s="1"/>
  <c r="Q115" i="24" s="1"/>
  <c r="R51" i="24"/>
  <c r="S51" i="24"/>
  <c r="T51" i="24"/>
  <c r="E52" i="24"/>
  <c r="E84" i="24" s="1"/>
  <c r="E116" i="24" s="1"/>
  <c r="F52" i="24"/>
  <c r="G52" i="24"/>
  <c r="H52" i="24"/>
  <c r="I52" i="24"/>
  <c r="I84" i="24" s="1"/>
  <c r="I116" i="24" s="1"/>
  <c r="J52" i="24"/>
  <c r="K52" i="24"/>
  <c r="L52" i="24"/>
  <c r="M52" i="24"/>
  <c r="M84" i="24" s="1"/>
  <c r="M116" i="24" s="1"/>
  <c r="N52" i="24"/>
  <c r="O52" i="24"/>
  <c r="P52" i="24"/>
  <c r="Q52" i="24"/>
  <c r="Q84" i="24" s="1"/>
  <c r="Q116" i="24" s="1"/>
  <c r="R52" i="24"/>
  <c r="S52" i="24"/>
  <c r="T52" i="24"/>
  <c r="E53" i="24"/>
  <c r="E85" i="24" s="1"/>
  <c r="E117" i="24" s="1"/>
  <c r="F53" i="24"/>
  <c r="G53" i="24"/>
  <c r="H53" i="24"/>
  <c r="I53" i="24"/>
  <c r="I85" i="24" s="1"/>
  <c r="I117" i="24" s="1"/>
  <c r="J53" i="24"/>
  <c r="K53" i="24"/>
  <c r="L53" i="24"/>
  <c r="M53" i="24"/>
  <c r="M85" i="24" s="1"/>
  <c r="M117" i="24" s="1"/>
  <c r="N53" i="24"/>
  <c r="O53" i="24"/>
  <c r="P53" i="24"/>
  <c r="Q53" i="24"/>
  <c r="Q85" i="24" s="1"/>
  <c r="Q117" i="24" s="1"/>
  <c r="R53" i="24"/>
  <c r="S53" i="24"/>
  <c r="T53" i="24"/>
  <c r="E54" i="24"/>
  <c r="E86" i="24" s="1"/>
  <c r="E118" i="24" s="1"/>
  <c r="F54" i="24"/>
  <c r="G54" i="24"/>
  <c r="H54" i="24"/>
  <c r="I54" i="24"/>
  <c r="I86" i="24" s="1"/>
  <c r="I118" i="24" s="1"/>
  <c r="J54" i="24"/>
  <c r="L54" i="24"/>
  <c r="M54" i="24"/>
  <c r="N54" i="24"/>
  <c r="N86" i="24" s="1"/>
  <c r="N118" i="24" s="1"/>
  <c r="O54" i="24"/>
  <c r="P54" i="24"/>
  <c r="Q54" i="24"/>
  <c r="R54" i="24"/>
  <c r="R86" i="24" s="1"/>
  <c r="R118" i="24" s="1"/>
  <c r="S54" i="24"/>
  <c r="T54" i="24"/>
  <c r="E55" i="24"/>
  <c r="F55" i="24"/>
  <c r="F87" i="24" s="1"/>
  <c r="F119" i="24" s="1"/>
  <c r="G55" i="24"/>
  <c r="H55" i="24"/>
  <c r="I55" i="24"/>
  <c r="J55" i="24"/>
  <c r="J87" i="24" s="1"/>
  <c r="J119" i="24" s="1"/>
  <c r="K55" i="24"/>
  <c r="L55" i="24"/>
  <c r="M55" i="24"/>
  <c r="N55" i="24"/>
  <c r="N87" i="24" s="1"/>
  <c r="N119" i="24" s="1"/>
  <c r="O55" i="24"/>
  <c r="P55" i="24"/>
  <c r="Q55" i="24"/>
  <c r="R55" i="24"/>
  <c r="R87" i="24" s="1"/>
  <c r="R119" i="24" s="1"/>
  <c r="S55" i="24"/>
  <c r="T55" i="24"/>
  <c r="E56" i="24"/>
  <c r="F56" i="24"/>
  <c r="F88" i="24" s="1"/>
  <c r="F120" i="24" s="1"/>
  <c r="G56" i="24"/>
  <c r="H56" i="24"/>
  <c r="I56" i="24"/>
  <c r="J56" i="24"/>
  <c r="J88" i="24" s="1"/>
  <c r="J120" i="24" s="1"/>
  <c r="K56" i="24"/>
  <c r="L56" i="24"/>
  <c r="M56" i="24"/>
  <c r="N56" i="24"/>
  <c r="N88" i="24" s="1"/>
  <c r="N120" i="24" s="1"/>
  <c r="O56" i="24"/>
  <c r="P56" i="24"/>
  <c r="Q56" i="24"/>
  <c r="R56" i="24"/>
  <c r="R88" i="24" s="1"/>
  <c r="R120" i="24" s="1"/>
  <c r="S56" i="24"/>
  <c r="T56" i="24"/>
  <c r="E57" i="24"/>
  <c r="F57" i="24"/>
  <c r="F89" i="24" s="1"/>
  <c r="F121" i="24" s="1"/>
  <c r="G57" i="24"/>
  <c r="H57" i="24"/>
  <c r="I57" i="24"/>
  <c r="J57" i="24"/>
  <c r="J89" i="24" s="1"/>
  <c r="J121" i="24" s="1"/>
  <c r="K57" i="24"/>
  <c r="L57" i="24"/>
  <c r="M57" i="24"/>
  <c r="N57" i="24"/>
  <c r="N89" i="24" s="1"/>
  <c r="N121" i="24" s="1"/>
  <c r="O57" i="24"/>
  <c r="P57" i="24"/>
  <c r="Q57" i="24"/>
  <c r="R57" i="24"/>
  <c r="R89" i="24" s="1"/>
  <c r="R121" i="24" s="1"/>
  <c r="S57" i="24"/>
  <c r="T57" i="24"/>
  <c r="E58" i="24"/>
  <c r="F58" i="24"/>
  <c r="F90" i="24" s="1"/>
  <c r="F122" i="24" s="1"/>
  <c r="G58" i="24"/>
  <c r="H58" i="24"/>
  <c r="I58" i="24"/>
  <c r="J58" i="24"/>
  <c r="J90" i="24" s="1"/>
  <c r="J122" i="24" s="1"/>
  <c r="K58" i="24"/>
  <c r="L58" i="24"/>
  <c r="M58" i="24"/>
  <c r="N58" i="24"/>
  <c r="N90" i="24" s="1"/>
  <c r="N122" i="24" s="1"/>
  <c r="O58" i="24"/>
  <c r="P58" i="24"/>
  <c r="Q58" i="24"/>
  <c r="R58" i="24"/>
  <c r="R90" i="24" s="1"/>
  <c r="R122" i="24" s="1"/>
  <c r="S58" i="24"/>
  <c r="T58" i="24"/>
  <c r="E59" i="24"/>
  <c r="F59" i="24"/>
  <c r="F91" i="24" s="1"/>
  <c r="F123" i="24" s="1"/>
  <c r="G59" i="24"/>
  <c r="H59" i="24"/>
  <c r="I59" i="24"/>
  <c r="J59" i="24"/>
  <c r="J91" i="24" s="1"/>
  <c r="J123" i="24" s="1"/>
  <c r="K59" i="24"/>
  <c r="L59" i="24"/>
  <c r="M59" i="24"/>
  <c r="N59" i="24"/>
  <c r="N91" i="24" s="1"/>
  <c r="N123" i="24" s="1"/>
  <c r="O59" i="24"/>
  <c r="P59" i="24"/>
  <c r="Q59" i="24"/>
  <c r="R59" i="24"/>
  <c r="R91" i="24" s="1"/>
  <c r="R123" i="24" s="1"/>
  <c r="S59" i="24"/>
  <c r="T59" i="24"/>
  <c r="E60" i="24"/>
  <c r="F60" i="24"/>
  <c r="F92" i="24" s="1"/>
  <c r="F124" i="24" s="1"/>
  <c r="G60" i="24"/>
  <c r="H60" i="24"/>
  <c r="I60" i="24"/>
  <c r="J60" i="24"/>
  <c r="J92" i="24" s="1"/>
  <c r="J124" i="24" s="1"/>
  <c r="K60" i="24"/>
  <c r="L60" i="24"/>
  <c r="M60" i="24"/>
  <c r="N60" i="24"/>
  <c r="N92" i="24" s="1"/>
  <c r="N124" i="24" s="1"/>
  <c r="O60" i="24"/>
  <c r="P60" i="24"/>
  <c r="Q60" i="24"/>
  <c r="R60" i="24"/>
  <c r="R92" i="24" s="1"/>
  <c r="R124" i="24" s="1"/>
  <c r="S60" i="24"/>
  <c r="T60" i="24"/>
  <c r="E61" i="24"/>
  <c r="F61" i="24"/>
  <c r="F93" i="24" s="1"/>
  <c r="F125" i="24" s="1"/>
  <c r="G61" i="24"/>
  <c r="H61" i="24"/>
  <c r="I61" i="24"/>
  <c r="J61" i="24"/>
  <c r="J93" i="24" s="1"/>
  <c r="J125" i="24" s="1"/>
  <c r="K61" i="24"/>
  <c r="L61" i="24"/>
  <c r="M61" i="24"/>
  <c r="N61" i="24"/>
  <c r="N93" i="24" s="1"/>
  <c r="N125" i="24" s="1"/>
  <c r="O61" i="24"/>
  <c r="P61" i="24"/>
  <c r="Q61" i="24"/>
  <c r="R61" i="24"/>
  <c r="R93" i="24" s="1"/>
  <c r="R125" i="24" s="1"/>
  <c r="S61" i="24"/>
  <c r="T61" i="24"/>
  <c r="E62" i="24"/>
  <c r="F62" i="24"/>
  <c r="F94" i="24" s="1"/>
  <c r="F126" i="24" s="1"/>
  <c r="G62" i="24"/>
  <c r="H62" i="24"/>
  <c r="I62" i="24"/>
  <c r="J62" i="24"/>
  <c r="J94" i="24" s="1"/>
  <c r="J126" i="24" s="1"/>
  <c r="K62" i="24"/>
  <c r="L62" i="24"/>
  <c r="M62" i="24"/>
  <c r="N62" i="24"/>
  <c r="N94" i="24" s="1"/>
  <c r="N126" i="24" s="1"/>
  <c r="O62" i="24"/>
  <c r="P62" i="24"/>
  <c r="Q62" i="24"/>
  <c r="R62" i="24"/>
  <c r="R94" i="24" s="1"/>
  <c r="R126" i="24" s="1"/>
  <c r="S62" i="24"/>
  <c r="T62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E65" i="24"/>
  <c r="F65" i="24"/>
  <c r="F97" i="24" s="1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E68" i="24"/>
  <c r="F68" i="24"/>
  <c r="G68" i="24"/>
  <c r="H68" i="24"/>
  <c r="I68" i="24"/>
  <c r="J68" i="24"/>
  <c r="K68" i="24"/>
  <c r="L68" i="24"/>
  <c r="M68" i="24"/>
  <c r="N68" i="24"/>
  <c r="O68" i="24"/>
  <c r="P68" i="24"/>
  <c r="Q68" i="24"/>
  <c r="R68" i="24"/>
  <c r="S68" i="24"/>
  <c r="T68" i="24"/>
  <c r="E69" i="24"/>
  <c r="F69" i="24"/>
  <c r="G69" i="24"/>
  <c r="H69" i="24"/>
  <c r="I69" i="24"/>
  <c r="J69" i="24"/>
  <c r="K69" i="24"/>
  <c r="L69" i="24"/>
  <c r="M69" i="24"/>
  <c r="N69" i="24"/>
  <c r="O69" i="24"/>
  <c r="P69" i="24"/>
  <c r="Q69" i="24"/>
  <c r="R69" i="24"/>
  <c r="S69" i="24"/>
  <c r="T69" i="24"/>
  <c r="E70" i="24"/>
  <c r="F70" i="24"/>
  <c r="G70" i="24"/>
  <c r="H70" i="24"/>
  <c r="I70" i="24"/>
  <c r="J70" i="24"/>
  <c r="K70" i="24"/>
  <c r="L70" i="24"/>
  <c r="M70" i="24"/>
  <c r="N70" i="24"/>
  <c r="O70" i="24"/>
  <c r="P70" i="24"/>
  <c r="Q70" i="24"/>
  <c r="R70" i="24"/>
  <c r="S70" i="24"/>
  <c r="T70" i="24"/>
  <c r="G72" i="24"/>
  <c r="G104" i="24" s="1"/>
  <c r="J72" i="24"/>
  <c r="J104" i="24" s="1"/>
  <c r="N72" i="24"/>
  <c r="P72" i="24"/>
  <c r="S72" i="24"/>
  <c r="F73" i="24"/>
  <c r="F105" i="24" s="1"/>
  <c r="L73" i="24"/>
  <c r="L105" i="24" s="1"/>
  <c r="N73" i="24"/>
  <c r="N105" i="24" s="1"/>
  <c r="O73" i="24"/>
  <c r="O105" i="24" s="1"/>
  <c r="P73" i="24"/>
  <c r="P105" i="24" s="1"/>
  <c r="R73" i="24"/>
  <c r="R105" i="24" s="1"/>
  <c r="F74" i="24"/>
  <c r="G74" i="24"/>
  <c r="G106" i="24" s="1"/>
  <c r="H74" i="24"/>
  <c r="L74" i="24"/>
  <c r="L106" i="24" s="1"/>
  <c r="N74" i="24"/>
  <c r="P74" i="24"/>
  <c r="T74" i="24"/>
  <c r="T106" i="24" s="1"/>
  <c r="H75" i="24"/>
  <c r="L75" i="24"/>
  <c r="L107" i="24" s="1"/>
  <c r="P75" i="24"/>
  <c r="P107" i="24" s="1"/>
  <c r="T75" i="24"/>
  <c r="T107" i="24" s="1"/>
  <c r="F76" i="24"/>
  <c r="G76" i="24"/>
  <c r="G108" i="24" s="1"/>
  <c r="J76" i="24"/>
  <c r="L76" i="24"/>
  <c r="N76" i="24"/>
  <c r="R76" i="24"/>
  <c r="R108" i="24" s="1"/>
  <c r="T76" i="24"/>
  <c r="T108" i="24" s="1"/>
  <c r="F77" i="24"/>
  <c r="G77" i="24"/>
  <c r="G109" i="24" s="1"/>
  <c r="H77" i="24"/>
  <c r="H109" i="24" s="1"/>
  <c r="J77" i="24"/>
  <c r="K77" i="24"/>
  <c r="L77" i="24"/>
  <c r="L109" i="24" s="1"/>
  <c r="N77" i="24"/>
  <c r="N109" i="24" s="1"/>
  <c r="O77" i="24"/>
  <c r="P77" i="24"/>
  <c r="R77" i="24"/>
  <c r="R109" i="24" s="1"/>
  <c r="S77" i="24"/>
  <c r="T77" i="24"/>
  <c r="F78" i="24"/>
  <c r="G78" i="24"/>
  <c r="G110" i="24" s="1"/>
  <c r="H78" i="24"/>
  <c r="H110" i="24" s="1"/>
  <c r="J78" i="24"/>
  <c r="K78" i="24"/>
  <c r="L78" i="24"/>
  <c r="L110" i="24" s="1"/>
  <c r="N78" i="24"/>
  <c r="N110" i="24" s="1"/>
  <c r="O78" i="24"/>
  <c r="P78" i="24"/>
  <c r="R78" i="24"/>
  <c r="R110" i="24" s="1"/>
  <c r="S78" i="24"/>
  <c r="S110" i="24" s="1"/>
  <c r="T78" i="24"/>
  <c r="F79" i="24"/>
  <c r="G79" i="24"/>
  <c r="G111" i="24" s="1"/>
  <c r="H79" i="24"/>
  <c r="J79" i="24"/>
  <c r="K79" i="24"/>
  <c r="L79" i="24"/>
  <c r="L111" i="24" s="1"/>
  <c r="N79" i="24"/>
  <c r="N111" i="24" s="1"/>
  <c r="O79" i="24"/>
  <c r="P79" i="24"/>
  <c r="R79" i="24"/>
  <c r="R111" i="24" s="1"/>
  <c r="S79" i="24"/>
  <c r="S111" i="24" s="1"/>
  <c r="T79" i="24"/>
  <c r="F80" i="24"/>
  <c r="G80" i="24"/>
  <c r="H80" i="24"/>
  <c r="H112" i="24" s="1"/>
  <c r="J80" i="24"/>
  <c r="K80" i="24"/>
  <c r="L80" i="24"/>
  <c r="N80" i="24"/>
  <c r="N112" i="24" s="1"/>
  <c r="O80" i="24"/>
  <c r="P80" i="24"/>
  <c r="R80" i="24"/>
  <c r="R112" i="24" s="1"/>
  <c r="S80" i="24"/>
  <c r="S112" i="24" s="1"/>
  <c r="T80" i="24"/>
  <c r="F81" i="24"/>
  <c r="G81" i="24"/>
  <c r="G113" i="24" s="1"/>
  <c r="H81" i="24"/>
  <c r="J81" i="24"/>
  <c r="K81" i="24"/>
  <c r="L81" i="24"/>
  <c r="L113" i="24" s="1"/>
  <c r="N81" i="24"/>
  <c r="N113" i="24" s="1"/>
  <c r="O81" i="24"/>
  <c r="P81" i="24"/>
  <c r="R81" i="24"/>
  <c r="R113" i="24" s="1"/>
  <c r="S81" i="24"/>
  <c r="S113" i="24" s="1"/>
  <c r="T81" i="24"/>
  <c r="F82" i="24"/>
  <c r="G82" i="24"/>
  <c r="G114" i="24" s="1"/>
  <c r="H82" i="24"/>
  <c r="H114" i="24" s="1"/>
  <c r="J82" i="24"/>
  <c r="K82" i="24"/>
  <c r="L82" i="24"/>
  <c r="L114" i="24" s="1"/>
  <c r="N82" i="24"/>
  <c r="O82" i="24"/>
  <c r="P82" i="24"/>
  <c r="R82" i="24"/>
  <c r="R114" i="24" s="1"/>
  <c r="S82" i="24"/>
  <c r="S114" i="24" s="1"/>
  <c r="T82" i="24"/>
  <c r="F83" i="24"/>
  <c r="G83" i="24"/>
  <c r="G115" i="24" s="1"/>
  <c r="H83" i="24"/>
  <c r="H115" i="24" s="1"/>
  <c r="J83" i="24"/>
  <c r="K83" i="24"/>
  <c r="L83" i="24"/>
  <c r="L115" i="24" s="1"/>
  <c r="N83" i="24"/>
  <c r="N115" i="24" s="1"/>
  <c r="O83" i="24"/>
  <c r="P83" i="24"/>
  <c r="R83" i="24"/>
  <c r="R115" i="24" s="1"/>
  <c r="S83" i="24"/>
  <c r="T83" i="24"/>
  <c r="F84" i="24"/>
  <c r="G84" i="24"/>
  <c r="H84" i="24"/>
  <c r="J84" i="24"/>
  <c r="K84" i="24"/>
  <c r="L84" i="24"/>
  <c r="N84" i="24"/>
  <c r="O84" i="24"/>
  <c r="P84" i="24"/>
  <c r="R84" i="24"/>
  <c r="R116" i="24" s="1"/>
  <c r="S84" i="24"/>
  <c r="S116" i="24" s="1"/>
  <c r="T84" i="24"/>
  <c r="F85" i="24"/>
  <c r="G85" i="24"/>
  <c r="G117" i="24" s="1"/>
  <c r="H85" i="24"/>
  <c r="H117" i="24" s="1"/>
  <c r="J85" i="24"/>
  <c r="K85" i="24"/>
  <c r="L85" i="24"/>
  <c r="L117" i="24" s="1"/>
  <c r="N85" i="24"/>
  <c r="N117" i="24" s="1"/>
  <c r="O85" i="24"/>
  <c r="P85" i="24"/>
  <c r="R85" i="24"/>
  <c r="R117" i="24" s="1"/>
  <c r="S85" i="24"/>
  <c r="T85" i="24"/>
  <c r="F86" i="24"/>
  <c r="G86" i="24"/>
  <c r="G118" i="24" s="1"/>
  <c r="H86" i="24"/>
  <c r="H118" i="24" s="1"/>
  <c r="J86" i="24"/>
  <c r="K86" i="24"/>
  <c r="K118" i="24" s="1"/>
  <c r="L86" i="24"/>
  <c r="L118" i="24" s="1"/>
  <c r="M86" i="24"/>
  <c r="M118" i="24" s="1"/>
  <c r="O86" i="24"/>
  <c r="P86" i="24"/>
  <c r="Q86" i="24"/>
  <c r="Q118" i="24" s="1"/>
  <c r="S86" i="24"/>
  <c r="T86" i="24"/>
  <c r="E87" i="24"/>
  <c r="G87" i="24"/>
  <c r="G119" i="24" s="1"/>
  <c r="H87" i="24"/>
  <c r="H119" i="24" s="1"/>
  <c r="I87" i="24"/>
  <c r="K87" i="24"/>
  <c r="L87" i="24"/>
  <c r="L119" i="24" s="1"/>
  <c r="M87" i="24"/>
  <c r="M119" i="24" s="1"/>
  <c r="O87" i="24"/>
  <c r="P87" i="24"/>
  <c r="Q87" i="24"/>
  <c r="Q119" i="24" s="1"/>
  <c r="S87" i="24"/>
  <c r="S119" i="24" s="1"/>
  <c r="T87" i="24"/>
  <c r="E88" i="24"/>
  <c r="G88" i="24"/>
  <c r="G120" i="24" s="1"/>
  <c r="H88" i="24"/>
  <c r="I88" i="24"/>
  <c r="K88" i="24"/>
  <c r="L88" i="24"/>
  <c r="L120" i="24" s="1"/>
  <c r="M88" i="24"/>
  <c r="M120" i="24" s="1"/>
  <c r="O88" i="24"/>
  <c r="P88" i="24"/>
  <c r="Q88" i="24"/>
  <c r="Q120" i="24" s="1"/>
  <c r="S88" i="24"/>
  <c r="S120" i="24" s="1"/>
  <c r="T88" i="24"/>
  <c r="E89" i="24"/>
  <c r="G89" i="24"/>
  <c r="G121" i="24" s="1"/>
  <c r="H89" i="24"/>
  <c r="I89" i="24"/>
  <c r="K89" i="24"/>
  <c r="L89" i="24"/>
  <c r="M89" i="24"/>
  <c r="O89" i="24"/>
  <c r="O121" i="24" s="1"/>
  <c r="P89" i="24"/>
  <c r="Q89" i="24"/>
  <c r="S89" i="24"/>
  <c r="S121" i="24" s="1"/>
  <c r="T89" i="24"/>
  <c r="E90" i="24"/>
  <c r="G90" i="24"/>
  <c r="G122" i="24" s="1"/>
  <c r="H90" i="24"/>
  <c r="I90" i="24"/>
  <c r="K90" i="24"/>
  <c r="L90" i="24"/>
  <c r="M90" i="24"/>
  <c r="O90" i="24"/>
  <c r="O122" i="24" s="1"/>
  <c r="P90" i="24"/>
  <c r="Q90" i="24"/>
  <c r="S90" i="24"/>
  <c r="S122" i="24" s="1"/>
  <c r="T90" i="24"/>
  <c r="E91" i="24"/>
  <c r="G91" i="24"/>
  <c r="G123" i="24" s="1"/>
  <c r="H91" i="24"/>
  <c r="I91" i="24"/>
  <c r="K91" i="24"/>
  <c r="L91" i="24"/>
  <c r="M91" i="24"/>
  <c r="O91" i="24"/>
  <c r="O123" i="24" s="1"/>
  <c r="P91" i="24"/>
  <c r="Q91" i="24"/>
  <c r="S91" i="24"/>
  <c r="S123" i="24" s="1"/>
  <c r="T91" i="24"/>
  <c r="E92" i="24"/>
  <c r="G92" i="24"/>
  <c r="G124" i="24" s="1"/>
  <c r="H92" i="24"/>
  <c r="I92" i="24"/>
  <c r="K92" i="24"/>
  <c r="L92" i="24"/>
  <c r="M92" i="24"/>
  <c r="O92" i="24"/>
  <c r="O124" i="24" s="1"/>
  <c r="P92" i="24"/>
  <c r="Q92" i="24"/>
  <c r="S92" i="24"/>
  <c r="S124" i="24" s="1"/>
  <c r="T92" i="24"/>
  <c r="E93" i="24"/>
  <c r="G93" i="24"/>
  <c r="G125" i="24" s="1"/>
  <c r="H93" i="24"/>
  <c r="I93" i="24"/>
  <c r="K93" i="24"/>
  <c r="L93" i="24"/>
  <c r="M93" i="24"/>
  <c r="O93" i="24"/>
  <c r="O125" i="24" s="1"/>
  <c r="P93" i="24"/>
  <c r="Q93" i="24"/>
  <c r="S93" i="24"/>
  <c r="S125" i="24" s="1"/>
  <c r="T93" i="24"/>
  <c r="E94" i="24"/>
  <c r="G94" i="24"/>
  <c r="G126" i="24" s="1"/>
  <c r="H94" i="24"/>
  <c r="I94" i="24"/>
  <c r="K94" i="24"/>
  <c r="L94" i="24"/>
  <c r="M94" i="24"/>
  <c r="O94" i="24"/>
  <c r="O126" i="24" s="1"/>
  <c r="P94" i="24"/>
  <c r="Q94" i="24"/>
  <c r="S94" i="24"/>
  <c r="S126" i="24" s="1"/>
  <c r="T94" i="24"/>
  <c r="E95" i="24"/>
  <c r="F95" i="24"/>
  <c r="G95" i="24"/>
  <c r="H95" i="24"/>
  <c r="I95" i="24"/>
  <c r="J95" i="24"/>
  <c r="K95" i="24"/>
  <c r="L95" i="24"/>
  <c r="M95" i="24"/>
  <c r="N95" i="24"/>
  <c r="O95" i="24"/>
  <c r="P95" i="24"/>
  <c r="Q95" i="24"/>
  <c r="R95" i="24"/>
  <c r="S95" i="24"/>
  <c r="T95" i="24"/>
  <c r="E96" i="24"/>
  <c r="F96" i="24"/>
  <c r="G96" i="24"/>
  <c r="H96" i="24"/>
  <c r="I96" i="24"/>
  <c r="J96" i="24"/>
  <c r="K96" i="24"/>
  <c r="L96" i="24"/>
  <c r="M96" i="24"/>
  <c r="N96" i="24"/>
  <c r="O96" i="24"/>
  <c r="P96" i="24"/>
  <c r="Q96" i="24"/>
  <c r="R96" i="24"/>
  <c r="S96" i="24"/>
  <c r="T96" i="24"/>
  <c r="E97" i="24"/>
  <c r="G97" i="24"/>
  <c r="H97" i="24"/>
  <c r="I97" i="24"/>
  <c r="J97" i="24"/>
  <c r="K97" i="24"/>
  <c r="L97" i="24"/>
  <c r="M97" i="24"/>
  <c r="N97" i="24"/>
  <c r="O97" i="24"/>
  <c r="P97" i="24"/>
  <c r="Q97" i="24"/>
  <c r="R97" i="24"/>
  <c r="S97" i="24"/>
  <c r="T97" i="24"/>
  <c r="E98" i="24"/>
  <c r="F98" i="24"/>
  <c r="G98" i="24"/>
  <c r="H98" i="24"/>
  <c r="I98" i="24"/>
  <c r="J98" i="24"/>
  <c r="K98" i="24"/>
  <c r="L98" i="24"/>
  <c r="M98" i="24"/>
  <c r="N98" i="24"/>
  <c r="O98" i="24"/>
  <c r="P98" i="24"/>
  <c r="Q98" i="24"/>
  <c r="R98" i="24"/>
  <c r="S98" i="24"/>
  <c r="T98" i="24"/>
  <c r="E99" i="24"/>
  <c r="F99" i="24"/>
  <c r="G99" i="24"/>
  <c r="H99" i="24"/>
  <c r="I99" i="24"/>
  <c r="J99" i="24"/>
  <c r="K99" i="24"/>
  <c r="L99" i="24"/>
  <c r="M99" i="24"/>
  <c r="N99" i="24"/>
  <c r="O99" i="24"/>
  <c r="P99" i="24"/>
  <c r="Q99" i="24"/>
  <c r="R99" i="24"/>
  <c r="S99" i="24"/>
  <c r="T99" i="24"/>
  <c r="E100" i="24"/>
  <c r="F100" i="24"/>
  <c r="G100" i="24"/>
  <c r="H100" i="24"/>
  <c r="I100" i="24"/>
  <c r="J100" i="24"/>
  <c r="K100" i="24"/>
  <c r="L100" i="24"/>
  <c r="M100" i="24"/>
  <c r="N100" i="24"/>
  <c r="O100" i="24"/>
  <c r="P100" i="24"/>
  <c r="Q100" i="24"/>
  <c r="R100" i="24"/>
  <c r="S100" i="24"/>
  <c r="T100" i="24"/>
  <c r="E101" i="24"/>
  <c r="F101" i="24"/>
  <c r="G101" i="24"/>
  <c r="H101" i="24"/>
  <c r="I101" i="24"/>
  <c r="J101" i="24"/>
  <c r="K101" i="24"/>
  <c r="L101" i="24"/>
  <c r="M101" i="24"/>
  <c r="N101" i="24"/>
  <c r="O101" i="24"/>
  <c r="P101" i="24"/>
  <c r="Q101" i="24"/>
  <c r="R101" i="24"/>
  <c r="S101" i="24"/>
  <c r="T101" i="24"/>
  <c r="E102" i="24"/>
  <c r="F102" i="24"/>
  <c r="G102" i="24"/>
  <c r="H102" i="24"/>
  <c r="I102" i="24"/>
  <c r="J102" i="24"/>
  <c r="K102" i="24"/>
  <c r="L102" i="24"/>
  <c r="M102" i="24"/>
  <c r="N102" i="24"/>
  <c r="O102" i="24"/>
  <c r="P102" i="24"/>
  <c r="Q102" i="24"/>
  <c r="R102" i="24"/>
  <c r="S102" i="24"/>
  <c r="T102" i="24"/>
  <c r="N104" i="24"/>
  <c r="P104" i="24"/>
  <c r="S104" i="24"/>
  <c r="F106" i="24"/>
  <c r="H106" i="24"/>
  <c r="N106" i="24"/>
  <c r="P106" i="24"/>
  <c r="H107" i="24"/>
  <c r="F108" i="24"/>
  <c r="J108" i="24"/>
  <c r="L108" i="24"/>
  <c r="N108" i="24"/>
  <c r="F109" i="24"/>
  <c r="J109" i="24"/>
  <c r="K109" i="24"/>
  <c r="O109" i="24"/>
  <c r="P109" i="24"/>
  <c r="S109" i="24"/>
  <c r="T109" i="24"/>
  <c r="F110" i="24"/>
  <c r="J110" i="24"/>
  <c r="K110" i="24"/>
  <c r="O110" i="24"/>
  <c r="P110" i="24"/>
  <c r="T110" i="24"/>
  <c r="F111" i="24"/>
  <c r="H111" i="24"/>
  <c r="J111" i="24"/>
  <c r="K111" i="24"/>
  <c r="O111" i="24"/>
  <c r="P111" i="24"/>
  <c r="T111" i="24"/>
  <c r="F112" i="24"/>
  <c r="G112" i="24"/>
  <c r="J112" i="24"/>
  <c r="K112" i="24"/>
  <c r="L112" i="24"/>
  <c r="O112" i="24"/>
  <c r="P112" i="24"/>
  <c r="T112" i="24"/>
  <c r="F113" i="24"/>
  <c r="H113" i="24"/>
  <c r="J113" i="24"/>
  <c r="K113" i="24"/>
  <c r="O113" i="24"/>
  <c r="P113" i="24"/>
  <c r="T113" i="24"/>
  <c r="F114" i="24"/>
  <c r="J114" i="24"/>
  <c r="K114" i="24"/>
  <c r="N114" i="24"/>
  <c r="O114" i="24"/>
  <c r="P114" i="24"/>
  <c r="T114" i="24"/>
  <c r="F115" i="24"/>
  <c r="J115" i="24"/>
  <c r="K115" i="24"/>
  <c r="O115" i="24"/>
  <c r="P115" i="24"/>
  <c r="S115" i="24"/>
  <c r="T115" i="24"/>
  <c r="F116" i="24"/>
  <c r="G116" i="24"/>
  <c r="H116" i="24"/>
  <c r="J116" i="24"/>
  <c r="K116" i="24"/>
  <c r="L116" i="24"/>
  <c r="N116" i="24"/>
  <c r="O116" i="24"/>
  <c r="P116" i="24"/>
  <c r="T116" i="24"/>
  <c r="F117" i="24"/>
  <c r="J117" i="24"/>
  <c r="K117" i="24"/>
  <c r="O117" i="24"/>
  <c r="P117" i="24"/>
  <c r="S117" i="24"/>
  <c r="T117" i="24"/>
  <c r="F118" i="24"/>
  <c r="J118" i="24"/>
  <c r="O118" i="24"/>
  <c r="P118" i="24"/>
  <c r="S118" i="24"/>
  <c r="T118" i="24"/>
  <c r="E119" i="24"/>
  <c r="I119" i="24"/>
  <c r="K119" i="24"/>
  <c r="O119" i="24"/>
  <c r="P119" i="24"/>
  <c r="T119" i="24"/>
  <c r="E120" i="24"/>
  <c r="H120" i="24"/>
  <c r="I120" i="24"/>
  <c r="K120" i="24"/>
  <c r="O120" i="24"/>
  <c r="P120" i="24"/>
  <c r="T120" i="24"/>
  <c r="E121" i="24"/>
  <c r="H121" i="24"/>
  <c r="I121" i="24"/>
  <c r="K121" i="24"/>
  <c r="L121" i="24"/>
  <c r="M121" i="24"/>
  <c r="P121" i="24"/>
  <c r="Q121" i="24"/>
  <c r="T121" i="24"/>
  <c r="E122" i="24"/>
  <c r="H122" i="24"/>
  <c r="I122" i="24"/>
  <c r="K122" i="24"/>
  <c r="L122" i="24"/>
  <c r="M122" i="24"/>
  <c r="P122" i="24"/>
  <c r="Q122" i="24"/>
  <c r="T122" i="24"/>
  <c r="E123" i="24"/>
  <c r="H123" i="24"/>
  <c r="I123" i="24"/>
  <c r="K123" i="24"/>
  <c r="L123" i="24"/>
  <c r="M123" i="24"/>
  <c r="P123" i="24"/>
  <c r="Q123" i="24"/>
  <c r="T123" i="24"/>
  <c r="E124" i="24"/>
  <c r="H124" i="24"/>
  <c r="I124" i="24"/>
  <c r="K124" i="24"/>
  <c r="L124" i="24"/>
  <c r="M124" i="24"/>
  <c r="P124" i="24"/>
  <c r="Q124" i="24"/>
  <c r="T124" i="24"/>
  <c r="E125" i="24"/>
  <c r="H125" i="24"/>
  <c r="I125" i="24"/>
  <c r="K125" i="24"/>
  <c r="L125" i="24"/>
  <c r="M125" i="24"/>
  <c r="P125" i="24"/>
  <c r="Q125" i="24"/>
  <c r="T125" i="24"/>
  <c r="E126" i="24"/>
  <c r="H126" i="24"/>
  <c r="I126" i="24"/>
  <c r="K126" i="24"/>
  <c r="L126" i="24"/>
  <c r="M126" i="24"/>
  <c r="P126" i="24"/>
  <c r="Q126" i="24"/>
  <c r="T126" i="24"/>
  <c r="T39" i="24"/>
  <c r="T71" i="24" s="1"/>
  <c r="T103" i="24" s="1"/>
  <c r="S39" i="24"/>
  <c r="S71" i="24" s="1"/>
  <c r="S103" i="24" s="1"/>
  <c r="R39" i="24"/>
  <c r="R71" i="24" s="1"/>
  <c r="R103" i="24" s="1"/>
  <c r="Q39" i="24"/>
  <c r="Q71" i="24" s="1"/>
  <c r="Q103" i="24" s="1"/>
  <c r="P39" i="24"/>
  <c r="P71" i="24" s="1"/>
  <c r="P103" i="24" s="1"/>
  <c r="O39" i="24"/>
  <c r="O71" i="24" s="1"/>
  <c r="O103" i="24" s="1"/>
  <c r="N39" i="24"/>
  <c r="N71" i="24" s="1"/>
  <c r="N103" i="24" s="1"/>
  <c r="M39" i="24"/>
  <c r="M71" i="24" s="1"/>
  <c r="M103" i="24" s="1"/>
  <c r="L39" i="24"/>
  <c r="L71" i="24" s="1"/>
  <c r="L103" i="24" s="1"/>
  <c r="K39" i="24"/>
  <c r="K71" i="24" s="1"/>
  <c r="K103" i="24" s="1"/>
  <c r="J39" i="24"/>
  <c r="J71" i="24" s="1"/>
  <c r="J103" i="24" s="1"/>
  <c r="I39" i="24"/>
  <c r="I71" i="24" s="1"/>
  <c r="I103" i="24" s="1"/>
  <c r="H39" i="24"/>
  <c r="H71" i="24" s="1"/>
  <c r="H103" i="24" s="1"/>
  <c r="G39" i="24"/>
  <c r="G71" i="24" s="1"/>
  <c r="G103" i="24" s="1"/>
  <c r="F39" i="24"/>
  <c r="F71" i="24" s="1"/>
  <c r="F103" i="24" s="1"/>
  <c r="E39" i="24"/>
  <c r="E71" i="24" s="1"/>
  <c r="E103" i="24" s="1"/>
  <c r="E40" i="23"/>
  <c r="E72" i="23" s="1"/>
  <c r="E104" i="23" s="1"/>
  <c r="F40" i="23"/>
  <c r="F72" i="23" s="1"/>
  <c r="F104" i="23" s="1"/>
  <c r="G40" i="23"/>
  <c r="G72" i="23" s="1"/>
  <c r="G104" i="23" s="1"/>
  <c r="H40" i="23"/>
  <c r="H72" i="23" s="1"/>
  <c r="H104" i="23" s="1"/>
  <c r="I40" i="23"/>
  <c r="I72" i="23" s="1"/>
  <c r="I104" i="23" s="1"/>
  <c r="J40" i="23"/>
  <c r="J72" i="23" s="1"/>
  <c r="J104" i="23" s="1"/>
  <c r="K40" i="23"/>
  <c r="K72" i="23" s="1"/>
  <c r="K104" i="23" s="1"/>
  <c r="L40" i="23"/>
  <c r="L72" i="23" s="1"/>
  <c r="L104" i="23" s="1"/>
  <c r="M40" i="23"/>
  <c r="M72" i="23" s="1"/>
  <c r="M104" i="23" s="1"/>
  <c r="N40" i="23"/>
  <c r="N72" i="23" s="1"/>
  <c r="N104" i="23" s="1"/>
  <c r="O40" i="23"/>
  <c r="O72" i="23" s="1"/>
  <c r="O104" i="23" s="1"/>
  <c r="P40" i="23"/>
  <c r="P72" i="23" s="1"/>
  <c r="P104" i="23" s="1"/>
  <c r="Q40" i="23"/>
  <c r="Q72" i="23" s="1"/>
  <c r="Q104" i="23" s="1"/>
  <c r="R40" i="23"/>
  <c r="R72" i="23" s="1"/>
  <c r="R104" i="23" s="1"/>
  <c r="S40" i="23"/>
  <c r="S72" i="23" s="1"/>
  <c r="S104" i="23" s="1"/>
  <c r="T40" i="23"/>
  <c r="T72" i="23" s="1"/>
  <c r="T104" i="23" s="1"/>
  <c r="E41" i="23"/>
  <c r="E73" i="23" s="1"/>
  <c r="E105" i="23" s="1"/>
  <c r="F41" i="23"/>
  <c r="F73" i="23" s="1"/>
  <c r="F105" i="23" s="1"/>
  <c r="G41" i="23"/>
  <c r="G73" i="23" s="1"/>
  <c r="G105" i="23" s="1"/>
  <c r="H41" i="23"/>
  <c r="H73" i="23" s="1"/>
  <c r="H105" i="23" s="1"/>
  <c r="I41" i="23"/>
  <c r="I73" i="23" s="1"/>
  <c r="I105" i="23" s="1"/>
  <c r="J41" i="23"/>
  <c r="J73" i="23" s="1"/>
  <c r="J105" i="23" s="1"/>
  <c r="K41" i="23"/>
  <c r="K73" i="23" s="1"/>
  <c r="K105" i="23" s="1"/>
  <c r="L41" i="23"/>
  <c r="L73" i="23" s="1"/>
  <c r="L105" i="23" s="1"/>
  <c r="M41" i="23"/>
  <c r="M73" i="23" s="1"/>
  <c r="M105" i="23" s="1"/>
  <c r="N41" i="23"/>
  <c r="N73" i="23" s="1"/>
  <c r="N105" i="23" s="1"/>
  <c r="O41" i="23"/>
  <c r="O73" i="23" s="1"/>
  <c r="O105" i="23" s="1"/>
  <c r="P41" i="23"/>
  <c r="P73" i="23" s="1"/>
  <c r="P105" i="23" s="1"/>
  <c r="Q41" i="23"/>
  <c r="Q73" i="23" s="1"/>
  <c r="Q105" i="23" s="1"/>
  <c r="R41" i="23"/>
  <c r="R73" i="23" s="1"/>
  <c r="R105" i="23" s="1"/>
  <c r="S41" i="23"/>
  <c r="S73" i="23" s="1"/>
  <c r="S105" i="23" s="1"/>
  <c r="T41" i="23"/>
  <c r="T73" i="23" s="1"/>
  <c r="T105" i="23" s="1"/>
  <c r="E42" i="23"/>
  <c r="E74" i="23" s="1"/>
  <c r="E106" i="23" s="1"/>
  <c r="F42" i="23"/>
  <c r="F74" i="23" s="1"/>
  <c r="F106" i="23" s="1"/>
  <c r="G42" i="23"/>
  <c r="G74" i="23" s="1"/>
  <c r="G106" i="23" s="1"/>
  <c r="H42" i="23"/>
  <c r="H74" i="23" s="1"/>
  <c r="H106" i="23" s="1"/>
  <c r="I42" i="23"/>
  <c r="I74" i="23" s="1"/>
  <c r="I106" i="23" s="1"/>
  <c r="J42" i="23"/>
  <c r="J74" i="23" s="1"/>
  <c r="J106" i="23" s="1"/>
  <c r="K42" i="23"/>
  <c r="K74" i="23" s="1"/>
  <c r="K106" i="23" s="1"/>
  <c r="L42" i="23"/>
  <c r="L74" i="23" s="1"/>
  <c r="L106" i="23" s="1"/>
  <c r="M42" i="23"/>
  <c r="M74" i="23" s="1"/>
  <c r="M106" i="23" s="1"/>
  <c r="N42" i="23"/>
  <c r="N74" i="23" s="1"/>
  <c r="N106" i="23" s="1"/>
  <c r="O42" i="23"/>
  <c r="O74" i="23" s="1"/>
  <c r="O106" i="23" s="1"/>
  <c r="P42" i="23"/>
  <c r="P74" i="23" s="1"/>
  <c r="P106" i="23" s="1"/>
  <c r="Q42" i="23"/>
  <c r="Q74" i="23" s="1"/>
  <c r="Q106" i="23" s="1"/>
  <c r="R42" i="23"/>
  <c r="R74" i="23" s="1"/>
  <c r="R106" i="23" s="1"/>
  <c r="S42" i="23"/>
  <c r="S74" i="23" s="1"/>
  <c r="S106" i="23" s="1"/>
  <c r="T42" i="23"/>
  <c r="T74" i="23" s="1"/>
  <c r="T106" i="23" s="1"/>
  <c r="E43" i="23"/>
  <c r="E75" i="23" s="1"/>
  <c r="E107" i="23" s="1"/>
  <c r="F43" i="23"/>
  <c r="F75" i="23" s="1"/>
  <c r="F107" i="23" s="1"/>
  <c r="G43" i="23"/>
  <c r="G75" i="23" s="1"/>
  <c r="G107" i="23" s="1"/>
  <c r="H43" i="23"/>
  <c r="H75" i="23" s="1"/>
  <c r="H107" i="23" s="1"/>
  <c r="I43" i="23"/>
  <c r="I75" i="23" s="1"/>
  <c r="I107" i="23" s="1"/>
  <c r="J43" i="23"/>
  <c r="J75" i="23" s="1"/>
  <c r="J107" i="23" s="1"/>
  <c r="K43" i="23"/>
  <c r="K75" i="23" s="1"/>
  <c r="K107" i="23" s="1"/>
  <c r="L43" i="23"/>
  <c r="L75" i="23" s="1"/>
  <c r="L107" i="23" s="1"/>
  <c r="M43" i="23"/>
  <c r="M75" i="23" s="1"/>
  <c r="M107" i="23" s="1"/>
  <c r="N43" i="23"/>
  <c r="N75" i="23" s="1"/>
  <c r="N107" i="23" s="1"/>
  <c r="O43" i="23"/>
  <c r="O75" i="23" s="1"/>
  <c r="O107" i="23" s="1"/>
  <c r="P43" i="23"/>
  <c r="P75" i="23" s="1"/>
  <c r="P107" i="23" s="1"/>
  <c r="Q43" i="23"/>
  <c r="Q75" i="23" s="1"/>
  <c r="Q107" i="23" s="1"/>
  <c r="R43" i="23"/>
  <c r="R75" i="23" s="1"/>
  <c r="R107" i="23" s="1"/>
  <c r="S43" i="23"/>
  <c r="S75" i="23" s="1"/>
  <c r="S107" i="23" s="1"/>
  <c r="T43" i="23"/>
  <c r="T75" i="23" s="1"/>
  <c r="T107" i="23" s="1"/>
  <c r="E44" i="23"/>
  <c r="E76" i="23" s="1"/>
  <c r="E108" i="23" s="1"/>
  <c r="F44" i="23"/>
  <c r="F76" i="23" s="1"/>
  <c r="F108" i="23" s="1"/>
  <c r="G44" i="23"/>
  <c r="G76" i="23" s="1"/>
  <c r="G108" i="23" s="1"/>
  <c r="H44" i="23"/>
  <c r="H76" i="23" s="1"/>
  <c r="H108" i="23" s="1"/>
  <c r="I44" i="23"/>
  <c r="I76" i="23" s="1"/>
  <c r="I108" i="23" s="1"/>
  <c r="J44" i="23"/>
  <c r="J76" i="23" s="1"/>
  <c r="J108" i="23" s="1"/>
  <c r="K44" i="23"/>
  <c r="K76" i="23" s="1"/>
  <c r="K108" i="23" s="1"/>
  <c r="L44" i="23"/>
  <c r="L76" i="23" s="1"/>
  <c r="L108" i="23" s="1"/>
  <c r="M44" i="23"/>
  <c r="M76" i="23" s="1"/>
  <c r="M108" i="23" s="1"/>
  <c r="N44" i="23"/>
  <c r="N76" i="23" s="1"/>
  <c r="N108" i="23" s="1"/>
  <c r="O44" i="23"/>
  <c r="O76" i="23" s="1"/>
  <c r="O108" i="23" s="1"/>
  <c r="P44" i="23"/>
  <c r="P76" i="23" s="1"/>
  <c r="P108" i="23" s="1"/>
  <c r="Q44" i="23"/>
  <c r="Q76" i="23" s="1"/>
  <c r="Q108" i="23" s="1"/>
  <c r="R44" i="23"/>
  <c r="R76" i="23" s="1"/>
  <c r="R108" i="23" s="1"/>
  <c r="S44" i="23"/>
  <c r="S76" i="23" s="1"/>
  <c r="S108" i="23" s="1"/>
  <c r="T44" i="23"/>
  <c r="T76" i="23" s="1"/>
  <c r="T108" i="23" s="1"/>
  <c r="E45" i="23"/>
  <c r="E77" i="23" s="1"/>
  <c r="E109" i="23" s="1"/>
  <c r="F45" i="23"/>
  <c r="F77" i="23" s="1"/>
  <c r="F109" i="23" s="1"/>
  <c r="G45" i="23"/>
  <c r="G77" i="23" s="1"/>
  <c r="G109" i="23" s="1"/>
  <c r="H45" i="23"/>
  <c r="H77" i="23" s="1"/>
  <c r="H109" i="23" s="1"/>
  <c r="I45" i="23"/>
  <c r="I77" i="23" s="1"/>
  <c r="I109" i="23" s="1"/>
  <c r="J45" i="23"/>
  <c r="J77" i="23" s="1"/>
  <c r="J109" i="23" s="1"/>
  <c r="K45" i="23"/>
  <c r="K77" i="23" s="1"/>
  <c r="K109" i="23" s="1"/>
  <c r="L45" i="23"/>
  <c r="L77" i="23" s="1"/>
  <c r="L109" i="23" s="1"/>
  <c r="M45" i="23"/>
  <c r="M77" i="23" s="1"/>
  <c r="M109" i="23" s="1"/>
  <c r="N45" i="23"/>
  <c r="N77" i="23" s="1"/>
  <c r="N109" i="23" s="1"/>
  <c r="O45" i="23"/>
  <c r="O77" i="23" s="1"/>
  <c r="O109" i="23" s="1"/>
  <c r="P45" i="23"/>
  <c r="P77" i="23" s="1"/>
  <c r="P109" i="23" s="1"/>
  <c r="Q45" i="23"/>
  <c r="Q77" i="23" s="1"/>
  <c r="Q109" i="23" s="1"/>
  <c r="R45" i="23"/>
  <c r="R77" i="23" s="1"/>
  <c r="R109" i="23" s="1"/>
  <c r="S45" i="23"/>
  <c r="S77" i="23" s="1"/>
  <c r="S109" i="23" s="1"/>
  <c r="T45" i="23"/>
  <c r="T77" i="23" s="1"/>
  <c r="T109" i="23" s="1"/>
  <c r="E46" i="23"/>
  <c r="E78" i="23" s="1"/>
  <c r="E110" i="23" s="1"/>
  <c r="F46" i="23"/>
  <c r="F78" i="23" s="1"/>
  <c r="F110" i="23" s="1"/>
  <c r="G46" i="23"/>
  <c r="G78" i="23" s="1"/>
  <c r="G110" i="23" s="1"/>
  <c r="H46" i="23"/>
  <c r="H78" i="23" s="1"/>
  <c r="H110" i="23" s="1"/>
  <c r="I46" i="23"/>
  <c r="I78" i="23" s="1"/>
  <c r="I110" i="23" s="1"/>
  <c r="J46" i="23"/>
  <c r="J78" i="23" s="1"/>
  <c r="J110" i="23" s="1"/>
  <c r="K46" i="23"/>
  <c r="K78" i="23" s="1"/>
  <c r="K110" i="23" s="1"/>
  <c r="L46" i="23"/>
  <c r="L78" i="23" s="1"/>
  <c r="L110" i="23" s="1"/>
  <c r="M46" i="23"/>
  <c r="M78" i="23" s="1"/>
  <c r="M110" i="23" s="1"/>
  <c r="N46" i="23"/>
  <c r="N78" i="23" s="1"/>
  <c r="N110" i="23" s="1"/>
  <c r="O46" i="23"/>
  <c r="O78" i="23" s="1"/>
  <c r="O110" i="23" s="1"/>
  <c r="P46" i="23"/>
  <c r="P78" i="23" s="1"/>
  <c r="P110" i="23" s="1"/>
  <c r="Q46" i="23"/>
  <c r="Q78" i="23" s="1"/>
  <c r="Q110" i="23" s="1"/>
  <c r="R46" i="23"/>
  <c r="R78" i="23" s="1"/>
  <c r="R110" i="23" s="1"/>
  <c r="S46" i="23"/>
  <c r="S78" i="23" s="1"/>
  <c r="S110" i="23" s="1"/>
  <c r="T46" i="23"/>
  <c r="T78" i="23" s="1"/>
  <c r="T110" i="23" s="1"/>
  <c r="E47" i="23"/>
  <c r="E79" i="23" s="1"/>
  <c r="E111" i="23" s="1"/>
  <c r="F47" i="23"/>
  <c r="F79" i="23" s="1"/>
  <c r="F111" i="23" s="1"/>
  <c r="G47" i="23"/>
  <c r="G79" i="23" s="1"/>
  <c r="G111" i="23" s="1"/>
  <c r="H47" i="23"/>
  <c r="H79" i="23" s="1"/>
  <c r="H111" i="23" s="1"/>
  <c r="I47" i="23"/>
  <c r="I79" i="23" s="1"/>
  <c r="I111" i="23" s="1"/>
  <c r="J47" i="23"/>
  <c r="J79" i="23" s="1"/>
  <c r="J111" i="23" s="1"/>
  <c r="K47" i="23"/>
  <c r="K79" i="23" s="1"/>
  <c r="K111" i="23" s="1"/>
  <c r="L47" i="23"/>
  <c r="L79" i="23" s="1"/>
  <c r="L111" i="23" s="1"/>
  <c r="M47" i="23"/>
  <c r="M79" i="23" s="1"/>
  <c r="M111" i="23" s="1"/>
  <c r="N47" i="23"/>
  <c r="N79" i="23" s="1"/>
  <c r="N111" i="23" s="1"/>
  <c r="O47" i="23"/>
  <c r="O79" i="23" s="1"/>
  <c r="O111" i="23" s="1"/>
  <c r="P47" i="23"/>
  <c r="P79" i="23" s="1"/>
  <c r="P111" i="23" s="1"/>
  <c r="Q47" i="23"/>
  <c r="Q79" i="23" s="1"/>
  <c r="Q111" i="23" s="1"/>
  <c r="R47" i="23"/>
  <c r="R79" i="23" s="1"/>
  <c r="R111" i="23" s="1"/>
  <c r="S47" i="23"/>
  <c r="S79" i="23" s="1"/>
  <c r="S111" i="23" s="1"/>
  <c r="T47" i="23"/>
  <c r="T79" i="23" s="1"/>
  <c r="T111" i="23" s="1"/>
  <c r="E48" i="23"/>
  <c r="E80" i="23" s="1"/>
  <c r="E112" i="23" s="1"/>
  <c r="F48" i="23"/>
  <c r="F80" i="23" s="1"/>
  <c r="F112" i="23" s="1"/>
  <c r="G48" i="23"/>
  <c r="G80" i="23" s="1"/>
  <c r="G112" i="23" s="1"/>
  <c r="H48" i="23"/>
  <c r="H80" i="23" s="1"/>
  <c r="H112" i="23" s="1"/>
  <c r="I48" i="23"/>
  <c r="I80" i="23" s="1"/>
  <c r="I112" i="23" s="1"/>
  <c r="J48" i="23"/>
  <c r="J80" i="23" s="1"/>
  <c r="J112" i="23" s="1"/>
  <c r="K48" i="23"/>
  <c r="K80" i="23" s="1"/>
  <c r="K112" i="23" s="1"/>
  <c r="L48" i="23"/>
  <c r="L80" i="23" s="1"/>
  <c r="L112" i="23" s="1"/>
  <c r="M48" i="23"/>
  <c r="M80" i="23" s="1"/>
  <c r="M112" i="23" s="1"/>
  <c r="N48" i="23"/>
  <c r="N80" i="23" s="1"/>
  <c r="N112" i="23" s="1"/>
  <c r="O48" i="23"/>
  <c r="O80" i="23" s="1"/>
  <c r="O112" i="23" s="1"/>
  <c r="P48" i="23"/>
  <c r="P80" i="23" s="1"/>
  <c r="P112" i="23" s="1"/>
  <c r="Q48" i="23"/>
  <c r="Q80" i="23" s="1"/>
  <c r="Q112" i="23" s="1"/>
  <c r="R48" i="23"/>
  <c r="R80" i="23" s="1"/>
  <c r="R112" i="23" s="1"/>
  <c r="S48" i="23"/>
  <c r="S80" i="23" s="1"/>
  <c r="S112" i="23" s="1"/>
  <c r="T48" i="23"/>
  <c r="T80" i="23" s="1"/>
  <c r="T112" i="23" s="1"/>
  <c r="E49" i="23"/>
  <c r="E81" i="23" s="1"/>
  <c r="E113" i="23" s="1"/>
  <c r="F49" i="23"/>
  <c r="F81" i="23" s="1"/>
  <c r="F113" i="23" s="1"/>
  <c r="G49" i="23"/>
  <c r="G81" i="23" s="1"/>
  <c r="G113" i="23" s="1"/>
  <c r="H49" i="23"/>
  <c r="H81" i="23" s="1"/>
  <c r="H113" i="23" s="1"/>
  <c r="I49" i="23"/>
  <c r="I81" i="23" s="1"/>
  <c r="I113" i="23" s="1"/>
  <c r="J49" i="23"/>
  <c r="J81" i="23" s="1"/>
  <c r="J113" i="23" s="1"/>
  <c r="K49" i="23"/>
  <c r="K81" i="23" s="1"/>
  <c r="K113" i="23" s="1"/>
  <c r="L49" i="23"/>
  <c r="L81" i="23" s="1"/>
  <c r="L113" i="23" s="1"/>
  <c r="M49" i="23"/>
  <c r="M81" i="23" s="1"/>
  <c r="M113" i="23" s="1"/>
  <c r="N49" i="23"/>
  <c r="N81" i="23" s="1"/>
  <c r="N113" i="23" s="1"/>
  <c r="O49" i="23"/>
  <c r="O81" i="23" s="1"/>
  <c r="O113" i="23" s="1"/>
  <c r="P49" i="23"/>
  <c r="P81" i="23" s="1"/>
  <c r="P113" i="23" s="1"/>
  <c r="Q49" i="23"/>
  <c r="Q81" i="23" s="1"/>
  <c r="Q113" i="23" s="1"/>
  <c r="R49" i="23"/>
  <c r="R81" i="23" s="1"/>
  <c r="R113" i="23" s="1"/>
  <c r="S49" i="23"/>
  <c r="S81" i="23" s="1"/>
  <c r="S113" i="23" s="1"/>
  <c r="T49" i="23"/>
  <c r="T81" i="23" s="1"/>
  <c r="T113" i="23" s="1"/>
  <c r="E50" i="23"/>
  <c r="E82" i="23" s="1"/>
  <c r="E114" i="23" s="1"/>
  <c r="F50" i="23"/>
  <c r="F82" i="23" s="1"/>
  <c r="F114" i="23" s="1"/>
  <c r="G50" i="23"/>
  <c r="I50" i="23"/>
  <c r="J50" i="23"/>
  <c r="L50" i="23"/>
  <c r="N50" i="23"/>
  <c r="O50" i="23"/>
  <c r="Q50" i="23"/>
  <c r="R50" i="23"/>
  <c r="T50" i="23"/>
  <c r="E51" i="23"/>
  <c r="G51" i="23"/>
  <c r="I51" i="23"/>
  <c r="J51" i="23"/>
  <c r="L51" i="23"/>
  <c r="N51" i="23"/>
  <c r="O51" i="23"/>
  <c r="Q51" i="23"/>
  <c r="R51" i="23"/>
  <c r="T51" i="23"/>
  <c r="E52" i="23"/>
  <c r="G52" i="23"/>
  <c r="H52" i="23"/>
  <c r="I52" i="23"/>
  <c r="J52" i="23"/>
  <c r="L52" i="23"/>
  <c r="N52" i="23"/>
  <c r="O52" i="23"/>
  <c r="Q52" i="23"/>
  <c r="R52" i="23"/>
  <c r="T52" i="23"/>
  <c r="F53" i="23"/>
  <c r="G53" i="23"/>
  <c r="H53" i="23"/>
  <c r="I53" i="23"/>
  <c r="J53" i="23"/>
  <c r="L53" i="23"/>
  <c r="N53" i="23"/>
  <c r="O53" i="23"/>
  <c r="Q53" i="23"/>
  <c r="R53" i="23"/>
  <c r="T53" i="23"/>
  <c r="E54" i="23"/>
  <c r="G54" i="23"/>
  <c r="I54" i="23"/>
  <c r="I86" i="23" s="1"/>
  <c r="I118" i="23" s="1"/>
  <c r="J54" i="23"/>
  <c r="L54" i="23"/>
  <c r="N54" i="23"/>
  <c r="O54" i="23"/>
  <c r="Q54" i="23"/>
  <c r="R54" i="23"/>
  <c r="T54" i="23"/>
  <c r="E55" i="23"/>
  <c r="G55" i="23"/>
  <c r="H55" i="23"/>
  <c r="I55" i="23"/>
  <c r="I87" i="23" s="1"/>
  <c r="I119" i="23" s="1"/>
  <c r="J55" i="23"/>
  <c r="L55" i="23"/>
  <c r="N55" i="23"/>
  <c r="O55" i="23"/>
  <c r="Q55" i="23"/>
  <c r="R55" i="23"/>
  <c r="T55" i="23"/>
  <c r="E56" i="23"/>
  <c r="G56" i="23"/>
  <c r="H56" i="23"/>
  <c r="H88" i="23" s="1"/>
  <c r="H120" i="23" s="1"/>
  <c r="I56" i="23"/>
  <c r="I88" i="23" s="1"/>
  <c r="I120" i="23" s="1"/>
  <c r="J56" i="23"/>
  <c r="L56" i="23"/>
  <c r="N56" i="23"/>
  <c r="O56" i="23"/>
  <c r="Q56" i="23"/>
  <c r="R56" i="23"/>
  <c r="T56" i="23"/>
  <c r="E57" i="23"/>
  <c r="G57" i="23"/>
  <c r="I57" i="23"/>
  <c r="I89" i="23" s="1"/>
  <c r="I121" i="23" s="1"/>
  <c r="J57" i="23"/>
  <c r="L57" i="23"/>
  <c r="N57" i="23"/>
  <c r="O57" i="23"/>
  <c r="Q57" i="23"/>
  <c r="R57" i="23"/>
  <c r="T57" i="23"/>
  <c r="E58" i="23"/>
  <c r="F58" i="23"/>
  <c r="G58" i="23"/>
  <c r="H58" i="23"/>
  <c r="I58" i="23"/>
  <c r="J58" i="23"/>
  <c r="K58" i="23"/>
  <c r="L58" i="23"/>
  <c r="M58" i="23"/>
  <c r="N58" i="23"/>
  <c r="O58" i="23"/>
  <c r="P58" i="23"/>
  <c r="Q58" i="23"/>
  <c r="R58" i="23"/>
  <c r="S58" i="23"/>
  <c r="T58" i="23"/>
  <c r="E59" i="23"/>
  <c r="F59" i="23"/>
  <c r="G59" i="23"/>
  <c r="H59" i="23"/>
  <c r="I59" i="23"/>
  <c r="J59" i="23"/>
  <c r="K59" i="23"/>
  <c r="L59" i="23"/>
  <c r="M59" i="23"/>
  <c r="N59" i="23"/>
  <c r="O59" i="23"/>
  <c r="P59" i="23"/>
  <c r="Q59" i="23"/>
  <c r="R59" i="23"/>
  <c r="S59" i="23"/>
  <c r="T59" i="23"/>
  <c r="E60" i="23"/>
  <c r="F60" i="23"/>
  <c r="G60" i="23"/>
  <c r="H60" i="23"/>
  <c r="I60" i="23"/>
  <c r="J60" i="23"/>
  <c r="K60" i="23"/>
  <c r="L60" i="23"/>
  <c r="M60" i="23"/>
  <c r="N60" i="23"/>
  <c r="O60" i="23"/>
  <c r="P60" i="23"/>
  <c r="Q60" i="23"/>
  <c r="R60" i="23"/>
  <c r="S60" i="23"/>
  <c r="T60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E68" i="23"/>
  <c r="F68" i="23"/>
  <c r="G68" i="23"/>
  <c r="H68" i="23"/>
  <c r="I68" i="23"/>
  <c r="J68" i="23"/>
  <c r="K68" i="23"/>
  <c r="L68" i="23"/>
  <c r="M68" i="23"/>
  <c r="N68" i="23"/>
  <c r="O68" i="23"/>
  <c r="P68" i="23"/>
  <c r="Q68" i="23"/>
  <c r="R68" i="23"/>
  <c r="S68" i="23"/>
  <c r="T68" i="23"/>
  <c r="E69" i="23"/>
  <c r="F69" i="23"/>
  <c r="G69" i="23"/>
  <c r="H69" i="23"/>
  <c r="I69" i="23"/>
  <c r="J69" i="23"/>
  <c r="K69" i="23"/>
  <c r="L69" i="23"/>
  <c r="M69" i="23"/>
  <c r="N69" i="23"/>
  <c r="O69" i="23"/>
  <c r="P69" i="23"/>
  <c r="Q69" i="23"/>
  <c r="R69" i="23"/>
  <c r="S69" i="23"/>
  <c r="T69" i="23"/>
  <c r="E70" i="23"/>
  <c r="F70" i="23"/>
  <c r="G70" i="23"/>
  <c r="H70" i="23"/>
  <c r="I70" i="23"/>
  <c r="J70" i="23"/>
  <c r="K70" i="23"/>
  <c r="L70" i="23"/>
  <c r="M70" i="23"/>
  <c r="N70" i="23"/>
  <c r="O70" i="23"/>
  <c r="P70" i="23"/>
  <c r="Q70" i="23"/>
  <c r="R70" i="23"/>
  <c r="S70" i="23"/>
  <c r="T70" i="23"/>
  <c r="E71" i="23"/>
  <c r="F71" i="23"/>
  <c r="G71" i="23"/>
  <c r="J71" i="23"/>
  <c r="K71" i="23"/>
  <c r="L71" i="23"/>
  <c r="M71" i="23"/>
  <c r="N71" i="23"/>
  <c r="O71" i="23"/>
  <c r="P71" i="23"/>
  <c r="Q71" i="23"/>
  <c r="R71" i="23"/>
  <c r="S71" i="23"/>
  <c r="T71" i="23"/>
  <c r="G82" i="23"/>
  <c r="I82" i="23"/>
  <c r="I114" i="23" s="1"/>
  <c r="J82" i="23"/>
  <c r="L82" i="23"/>
  <c r="N82" i="23"/>
  <c r="O82" i="23"/>
  <c r="Q82" i="23"/>
  <c r="R82" i="23"/>
  <c r="T82" i="23"/>
  <c r="E83" i="23"/>
  <c r="G83" i="23"/>
  <c r="I83" i="23"/>
  <c r="I115" i="23" s="1"/>
  <c r="J83" i="23"/>
  <c r="L83" i="23"/>
  <c r="N83" i="23"/>
  <c r="O83" i="23"/>
  <c r="Q83" i="23"/>
  <c r="R83" i="23"/>
  <c r="T83" i="23"/>
  <c r="E84" i="23"/>
  <c r="G84" i="23"/>
  <c r="H84" i="23"/>
  <c r="I84" i="23"/>
  <c r="I116" i="23" s="1"/>
  <c r="J84" i="23"/>
  <c r="J116" i="23" s="1"/>
  <c r="L84" i="23"/>
  <c r="L116" i="23" s="1"/>
  <c r="N84" i="23"/>
  <c r="N116" i="23" s="1"/>
  <c r="O84" i="23"/>
  <c r="O116" i="23" s="1"/>
  <c r="Q84" i="23"/>
  <c r="Q116" i="23" s="1"/>
  <c r="R84" i="23"/>
  <c r="R116" i="23" s="1"/>
  <c r="T84" i="23"/>
  <c r="T116" i="23" s="1"/>
  <c r="F85" i="23"/>
  <c r="F117" i="23" s="1"/>
  <c r="G85" i="23"/>
  <c r="G117" i="23" s="1"/>
  <c r="H85" i="23"/>
  <c r="H117" i="23" s="1"/>
  <c r="I85" i="23"/>
  <c r="I117" i="23" s="1"/>
  <c r="J85" i="23"/>
  <c r="J117" i="23" s="1"/>
  <c r="L85" i="23"/>
  <c r="L117" i="23" s="1"/>
  <c r="N85" i="23"/>
  <c r="N117" i="23" s="1"/>
  <c r="O85" i="23"/>
  <c r="O117" i="23" s="1"/>
  <c r="Q85" i="23"/>
  <c r="Q117" i="23" s="1"/>
  <c r="R85" i="23"/>
  <c r="R117" i="23" s="1"/>
  <c r="T85" i="23"/>
  <c r="T117" i="23" s="1"/>
  <c r="E86" i="23"/>
  <c r="E118" i="23" s="1"/>
  <c r="G86" i="23"/>
  <c r="G118" i="23" s="1"/>
  <c r="J86" i="23"/>
  <c r="J118" i="23" s="1"/>
  <c r="L86" i="23"/>
  <c r="L118" i="23" s="1"/>
  <c r="N86" i="23"/>
  <c r="N118" i="23" s="1"/>
  <c r="O86" i="23"/>
  <c r="O118" i="23" s="1"/>
  <c r="Q86" i="23"/>
  <c r="Q118" i="23" s="1"/>
  <c r="R86" i="23"/>
  <c r="R118" i="23" s="1"/>
  <c r="T86" i="23"/>
  <c r="T118" i="23" s="1"/>
  <c r="E87" i="23"/>
  <c r="E119" i="23" s="1"/>
  <c r="G87" i="23"/>
  <c r="G119" i="23" s="1"/>
  <c r="H87" i="23"/>
  <c r="H119" i="23" s="1"/>
  <c r="J87" i="23"/>
  <c r="J119" i="23" s="1"/>
  <c r="L87" i="23"/>
  <c r="L119" i="23" s="1"/>
  <c r="N87" i="23"/>
  <c r="N119" i="23" s="1"/>
  <c r="O87" i="23"/>
  <c r="O119" i="23" s="1"/>
  <c r="Q87" i="23"/>
  <c r="Q119" i="23" s="1"/>
  <c r="R87" i="23"/>
  <c r="R119" i="23" s="1"/>
  <c r="T87" i="23"/>
  <c r="T119" i="23" s="1"/>
  <c r="E88" i="23"/>
  <c r="E120" i="23" s="1"/>
  <c r="G88" i="23"/>
  <c r="G120" i="23" s="1"/>
  <c r="J88" i="23"/>
  <c r="J120" i="23" s="1"/>
  <c r="L88" i="23"/>
  <c r="L120" i="23" s="1"/>
  <c r="N88" i="23"/>
  <c r="N120" i="23" s="1"/>
  <c r="O88" i="23"/>
  <c r="O120" i="23" s="1"/>
  <c r="Q88" i="23"/>
  <c r="Q120" i="23" s="1"/>
  <c r="R88" i="23"/>
  <c r="R120" i="23" s="1"/>
  <c r="T88" i="23"/>
  <c r="T120" i="23" s="1"/>
  <c r="E89" i="23"/>
  <c r="E121" i="23" s="1"/>
  <c r="G89" i="23"/>
  <c r="G121" i="23" s="1"/>
  <c r="J89" i="23"/>
  <c r="J121" i="23" s="1"/>
  <c r="L89" i="23"/>
  <c r="L121" i="23" s="1"/>
  <c r="N89" i="23"/>
  <c r="N121" i="23" s="1"/>
  <c r="O89" i="23"/>
  <c r="O121" i="23" s="1"/>
  <c r="Q89" i="23"/>
  <c r="Q121" i="23" s="1"/>
  <c r="R89" i="23"/>
  <c r="R121" i="23" s="1"/>
  <c r="T89" i="23"/>
  <c r="T121" i="23" s="1"/>
  <c r="E90" i="23"/>
  <c r="E122" i="23" s="1"/>
  <c r="F90" i="23"/>
  <c r="F122" i="23" s="1"/>
  <c r="G90" i="23"/>
  <c r="G122" i="23" s="1"/>
  <c r="H90" i="23"/>
  <c r="H122" i="23" s="1"/>
  <c r="I90" i="23"/>
  <c r="I122" i="23" s="1"/>
  <c r="J90" i="23"/>
  <c r="J122" i="23" s="1"/>
  <c r="K90" i="23"/>
  <c r="K122" i="23" s="1"/>
  <c r="L90" i="23"/>
  <c r="L122" i="23" s="1"/>
  <c r="M90" i="23"/>
  <c r="M122" i="23" s="1"/>
  <c r="N90" i="23"/>
  <c r="N122" i="23" s="1"/>
  <c r="O90" i="23"/>
  <c r="O122" i="23" s="1"/>
  <c r="P90" i="23"/>
  <c r="P122" i="23" s="1"/>
  <c r="Q90" i="23"/>
  <c r="Q122" i="23" s="1"/>
  <c r="R90" i="23"/>
  <c r="R122" i="23" s="1"/>
  <c r="S90" i="23"/>
  <c r="S122" i="23" s="1"/>
  <c r="T90" i="23"/>
  <c r="T122" i="23" s="1"/>
  <c r="E91" i="23"/>
  <c r="E123" i="23" s="1"/>
  <c r="F91" i="23"/>
  <c r="F123" i="23" s="1"/>
  <c r="G91" i="23"/>
  <c r="G123" i="23" s="1"/>
  <c r="H91" i="23"/>
  <c r="H123" i="23" s="1"/>
  <c r="I91" i="23"/>
  <c r="I123" i="23" s="1"/>
  <c r="J91" i="23"/>
  <c r="J123" i="23" s="1"/>
  <c r="K91" i="23"/>
  <c r="K123" i="23" s="1"/>
  <c r="L91" i="23"/>
  <c r="L123" i="23" s="1"/>
  <c r="M91" i="23"/>
  <c r="M123" i="23" s="1"/>
  <c r="N91" i="23"/>
  <c r="N123" i="23" s="1"/>
  <c r="O91" i="23"/>
  <c r="O123" i="23" s="1"/>
  <c r="P91" i="23"/>
  <c r="P123" i="23" s="1"/>
  <c r="Q91" i="23"/>
  <c r="Q123" i="23" s="1"/>
  <c r="R91" i="23"/>
  <c r="R123" i="23" s="1"/>
  <c r="S91" i="23"/>
  <c r="S123" i="23" s="1"/>
  <c r="T91" i="23"/>
  <c r="T123" i="23" s="1"/>
  <c r="E92" i="23"/>
  <c r="E124" i="23" s="1"/>
  <c r="F92" i="23"/>
  <c r="F124" i="23" s="1"/>
  <c r="G92" i="23"/>
  <c r="G124" i="23" s="1"/>
  <c r="H92" i="23"/>
  <c r="H124" i="23" s="1"/>
  <c r="I92" i="23"/>
  <c r="I124" i="23" s="1"/>
  <c r="J92" i="23"/>
  <c r="J124" i="23" s="1"/>
  <c r="K92" i="23"/>
  <c r="K124" i="23" s="1"/>
  <c r="L92" i="23"/>
  <c r="L124" i="23" s="1"/>
  <c r="M92" i="23"/>
  <c r="M124" i="23" s="1"/>
  <c r="N92" i="23"/>
  <c r="N124" i="23" s="1"/>
  <c r="O92" i="23"/>
  <c r="O124" i="23" s="1"/>
  <c r="P92" i="23"/>
  <c r="P124" i="23" s="1"/>
  <c r="Q92" i="23"/>
  <c r="Q124" i="23" s="1"/>
  <c r="R92" i="23"/>
  <c r="R124" i="23" s="1"/>
  <c r="S92" i="23"/>
  <c r="S124" i="23" s="1"/>
  <c r="T92" i="23"/>
  <c r="T124" i="23" s="1"/>
  <c r="E93" i="23"/>
  <c r="E125" i="23" s="1"/>
  <c r="F93" i="23"/>
  <c r="F125" i="23" s="1"/>
  <c r="G93" i="23"/>
  <c r="G125" i="23" s="1"/>
  <c r="H93" i="23"/>
  <c r="H125" i="23" s="1"/>
  <c r="I93" i="23"/>
  <c r="I125" i="23" s="1"/>
  <c r="J93" i="23"/>
  <c r="J125" i="23" s="1"/>
  <c r="K93" i="23"/>
  <c r="K125" i="23" s="1"/>
  <c r="L93" i="23"/>
  <c r="L125" i="23" s="1"/>
  <c r="M93" i="23"/>
  <c r="M125" i="23" s="1"/>
  <c r="N93" i="23"/>
  <c r="N125" i="23" s="1"/>
  <c r="O93" i="23"/>
  <c r="O125" i="23" s="1"/>
  <c r="P93" i="23"/>
  <c r="P125" i="23" s="1"/>
  <c r="Q93" i="23"/>
  <c r="Q125" i="23" s="1"/>
  <c r="R93" i="23"/>
  <c r="R125" i="23" s="1"/>
  <c r="S93" i="23"/>
  <c r="S125" i="23" s="1"/>
  <c r="T93" i="23"/>
  <c r="T125" i="23" s="1"/>
  <c r="E94" i="23"/>
  <c r="E126" i="23" s="1"/>
  <c r="F94" i="23"/>
  <c r="F126" i="23" s="1"/>
  <c r="G94" i="23"/>
  <c r="G126" i="23" s="1"/>
  <c r="H94" i="23"/>
  <c r="H126" i="23" s="1"/>
  <c r="I94" i="23"/>
  <c r="I126" i="23" s="1"/>
  <c r="J94" i="23"/>
  <c r="J126" i="23" s="1"/>
  <c r="K94" i="23"/>
  <c r="K126" i="23" s="1"/>
  <c r="L94" i="23"/>
  <c r="L126" i="23" s="1"/>
  <c r="M94" i="23"/>
  <c r="M126" i="23" s="1"/>
  <c r="N94" i="23"/>
  <c r="N126" i="23" s="1"/>
  <c r="O94" i="23"/>
  <c r="O126" i="23" s="1"/>
  <c r="P94" i="23"/>
  <c r="P126" i="23" s="1"/>
  <c r="Q94" i="23"/>
  <c r="Q126" i="23" s="1"/>
  <c r="R94" i="23"/>
  <c r="R126" i="23" s="1"/>
  <c r="S94" i="23"/>
  <c r="S126" i="23" s="1"/>
  <c r="T94" i="23"/>
  <c r="T126" i="23" s="1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E98" i="23"/>
  <c r="F98" i="23"/>
  <c r="G98" i="23"/>
  <c r="H98" i="23"/>
  <c r="I98" i="23"/>
  <c r="J98" i="23"/>
  <c r="K98" i="23"/>
  <c r="L98" i="23"/>
  <c r="M98" i="23"/>
  <c r="N98" i="23"/>
  <c r="O98" i="23"/>
  <c r="P98" i="23"/>
  <c r="Q98" i="23"/>
  <c r="R98" i="23"/>
  <c r="S98" i="23"/>
  <c r="T98" i="23"/>
  <c r="E99" i="23"/>
  <c r="F99" i="23"/>
  <c r="G99" i="23"/>
  <c r="H99" i="23"/>
  <c r="I99" i="23"/>
  <c r="J99" i="23"/>
  <c r="K99" i="23"/>
  <c r="L99" i="23"/>
  <c r="M99" i="23"/>
  <c r="N99" i="23"/>
  <c r="O99" i="23"/>
  <c r="P99" i="23"/>
  <c r="Q99" i="23"/>
  <c r="R99" i="23"/>
  <c r="S99" i="23"/>
  <c r="T99" i="23"/>
  <c r="E100" i="23"/>
  <c r="F100" i="23"/>
  <c r="G100" i="23"/>
  <c r="H100" i="23"/>
  <c r="I100" i="23"/>
  <c r="J100" i="23"/>
  <c r="K100" i="23"/>
  <c r="L100" i="23"/>
  <c r="M100" i="23"/>
  <c r="N100" i="23"/>
  <c r="O100" i="23"/>
  <c r="P100" i="23"/>
  <c r="Q100" i="23"/>
  <c r="R100" i="23"/>
  <c r="S100" i="23"/>
  <c r="T100" i="23"/>
  <c r="E101" i="23"/>
  <c r="F101" i="23"/>
  <c r="G101" i="23"/>
  <c r="H101" i="23"/>
  <c r="I101" i="23"/>
  <c r="J101" i="23"/>
  <c r="K101" i="23"/>
  <c r="L101" i="23"/>
  <c r="M101" i="23"/>
  <c r="N101" i="23"/>
  <c r="O101" i="23"/>
  <c r="P101" i="23"/>
  <c r="Q101" i="23"/>
  <c r="R101" i="23"/>
  <c r="S101" i="23"/>
  <c r="T101" i="23"/>
  <c r="E102" i="23"/>
  <c r="F102" i="23"/>
  <c r="G102" i="23"/>
  <c r="H102" i="23"/>
  <c r="I102" i="23"/>
  <c r="J102" i="23"/>
  <c r="K102" i="23"/>
  <c r="L102" i="23"/>
  <c r="M102" i="23"/>
  <c r="N102" i="23"/>
  <c r="O102" i="23"/>
  <c r="P102" i="23"/>
  <c r="Q102" i="23"/>
  <c r="R102" i="23"/>
  <c r="S102" i="23"/>
  <c r="T102" i="23"/>
  <c r="E103" i="23"/>
  <c r="F103" i="23"/>
  <c r="G103" i="23"/>
  <c r="J103" i="23"/>
  <c r="K103" i="23"/>
  <c r="L103" i="23"/>
  <c r="M103" i="23"/>
  <c r="N103" i="23"/>
  <c r="O103" i="23"/>
  <c r="P103" i="23"/>
  <c r="Q103" i="23"/>
  <c r="R103" i="23"/>
  <c r="S103" i="23"/>
  <c r="T103" i="23"/>
  <c r="G114" i="23"/>
  <c r="J114" i="23"/>
  <c r="L114" i="23"/>
  <c r="N114" i="23"/>
  <c r="O114" i="23"/>
  <c r="Q114" i="23"/>
  <c r="R114" i="23"/>
  <c r="T114" i="23"/>
  <c r="E115" i="23"/>
  <c r="G115" i="23"/>
  <c r="J115" i="23"/>
  <c r="L115" i="23"/>
  <c r="N115" i="23"/>
  <c r="O115" i="23"/>
  <c r="Q115" i="23"/>
  <c r="R115" i="23"/>
  <c r="T115" i="23"/>
  <c r="E116" i="23"/>
  <c r="G116" i="23"/>
  <c r="H116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I71" i="23" s="1"/>
  <c r="I103" i="23" s="1"/>
  <c r="H39" i="23"/>
  <c r="H71" i="23" s="1"/>
  <c r="H103" i="23" s="1"/>
  <c r="G39" i="23"/>
  <c r="F39" i="23"/>
  <c r="E39" i="23"/>
  <c r="S134" i="22"/>
  <c r="S135" i="22"/>
  <c r="S75" i="22"/>
  <c r="S138" i="22" s="1"/>
  <c r="T75" i="22"/>
  <c r="T138" i="22" s="1"/>
  <c r="T76" i="22"/>
  <c r="T77" i="22"/>
  <c r="T140" i="22" s="1"/>
  <c r="T78" i="22"/>
  <c r="T79" i="22"/>
  <c r="T142" i="22" s="1"/>
  <c r="T80" i="22"/>
  <c r="T81" i="22"/>
  <c r="T144" i="22" s="1"/>
  <c r="T82" i="22"/>
  <c r="T145" i="22" s="1"/>
  <c r="T83" i="22"/>
  <c r="S84" i="22"/>
  <c r="S147" i="22" s="1"/>
  <c r="T84" i="22"/>
  <c r="T85" i="22"/>
  <c r="T148" i="22" s="1"/>
  <c r="T86" i="22"/>
  <c r="T87" i="22"/>
  <c r="T88" i="22"/>
  <c r="T89" i="22"/>
  <c r="T152" i="22" s="1"/>
  <c r="T90" i="22"/>
  <c r="T91" i="22"/>
  <c r="T154" i="22" s="1"/>
  <c r="S92" i="22"/>
  <c r="T92" i="22"/>
  <c r="T155" i="22" s="1"/>
  <c r="T93" i="22"/>
  <c r="T94" i="22"/>
  <c r="T95" i="22"/>
  <c r="T96" i="22"/>
  <c r="T97" i="22"/>
  <c r="T98" i="22"/>
  <c r="T99" i="22"/>
  <c r="T100" i="22"/>
  <c r="T101" i="22"/>
  <c r="T102" i="22"/>
  <c r="T103" i="22"/>
  <c r="S104" i="22"/>
  <c r="T104" i="22"/>
  <c r="T105" i="22"/>
  <c r="T106" i="22"/>
  <c r="T107" i="22"/>
  <c r="T108" i="22"/>
  <c r="T109" i="22"/>
  <c r="T110" i="22"/>
  <c r="T111" i="22"/>
  <c r="T112" i="22"/>
  <c r="T113" i="22"/>
  <c r="S114" i="22"/>
  <c r="T114" i="22"/>
  <c r="S115" i="22"/>
  <c r="T115" i="22"/>
  <c r="S116" i="22"/>
  <c r="T116" i="22"/>
  <c r="S117" i="22"/>
  <c r="T117" i="22"/>
  <c r="S118" i="22"/>
  <c r="T118" i="22"/>
  <c r="S119" i="22"/>
  <c r="T119" i="22"/>
  <c r="S120" i="22"/>
  <c r="T120" i="22"/>
  <c r="S121" i="22"/>
  <c r="T121" i="22"/>
  <c r="S122" i="22"/>
  <c r="T122" i="22"/>
  <c r="S123" i="22"/>
  <c r="T123" i="22"/>
  <c r="S124" i="22"/>
  <c r="T124" i="22"/>
  <c r="S125" i="22"/>
  <c r="T125" i="22"/>
  <c r="S126" i="22"/>
  <c r="T126" i="22"/>
  <c r="S127" i="22"/>
  <c r="T127" i="22"/>
  <c r="S128" i="22"/>
  <c r="T128" i="22"/>
  <c r="S129" i="22"/>
  <c r="T129" i="22"/>
  <c r="S130" i="22"/>
  <c r="T130" i="22"/>
  <c r="S131" i="22"/>
  <c r="T131" i="22"/>
  <c r="S132" i="22"/>
  <c r="T132" i="22"/>
  <c r="S136" i="22"/>
  <c r="S137" i="22"/>
  <c r="T139" i="22"/>
  <c r="T141" i="22"/>
  <c r="T143" i="22"/>
  <c r="T146" i="22"/>
  <c r="T147" i="22"/>
  <c r="T149" i="22"/>
  <c r="T150" i="22"/>
  <c r="T151" i="22"/>
  <c r="T153" i="22"/>
  <c r="S155" i="22"/>
  <c r="T156" i="22"/>
  <c r="T157" i="22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P87" i="21" s="1"/>
  <c r="P119" i="21" s="1"/>
  <c r="Q55" i="21"/>
  <c r="Q87" i="21" s="1"/>
  <c r="Q119" i="21" s="1"/>
  <c r="R55" i="21"/>
  <c r="R87" i="21" s="1"/>
  <c r="R119" i="21" s="1"/>
  <c r="S55" i="21"/>
  <c r="S87" i="21" s="1"/>
  <c r="S119" i="21" s="1"/>
  <c r="T55" i="21"/>
  <c r="T87" i="21" s="1"/>
  <c r="T119" i="21" s="1"/>
  <c r="E56" i="21"/>
  <c r="E88" i="21" s="1"/>
  <c r="E120" i="21" s="1"/>
  <c r="F56" i="21"/>
  <c r="F88" i="21" s="1"/>
  <c r="F120" i="21" s="1"/>
  <c r="G56" i="21"/>
  <c r="G88" i="21" s="1"/>
  <c r="G120" i="21" s="1"/>
  <c r="H56" i="21"/>
  <c r="H88" i="21" s="1"/>
  <c r="H120" i="21" s="1"/>
  <c r="I56" i="21"/>
  <c r="I88" i="21" s="1"/>
  <c r="I120" i="21" s="1"/>
  <c r="J56" i="21"/>
  <c r="J88" i="21" s="1"/>
  <c r="J120" i="21" s="1"/>
  <c r="K56" i="21"/>
  <c r="K88" i="21" s="1"/>
  <c r="K120" i="21" s="1"/>
  <c r="L56" i="21"/>
  <c r="L88" i="21" s="1"/>
  <c r="L120" i="21" s="1"/>
  <c r="M56" i="21"/>
  <c r="M88" i="21" s="1"/>
  <c r="M120" i="21" s="1"/>
  <c r="N56" i="21"/>
  <c r="N88" i="21" s="1"/>
  <c r="N120" i="21" s="1"/>
  <c r="O56" i="21"/>
  <c r="O88" i="21" s="1"/>
  <c r="O120" i="21" s="1"/>
  <c r="P56" i="21"/>
  <c r="P88" i="21" s="1"/>
  <c r="P120" i="21" s="1"/>
  <c r="Q56" i="21"/>
  <c r="Q88" i="21" s="1"/>
  <c r="Q120" i="21" s="1"/>
  <c r="R56" i="21"/>
  <c r="R88" i="21" s="1"/>
  <c r="R120" i="21" s="1"/>
  <c r="S56" i="21"/>
  <c r="S88" i="21" s="1"/>
  <c r="S120" i="21" s="1"/>
  <c r="T56" i="21"/>
  <c r="T88" i="21" s="1"/>
  <c r="T120" i="21" s="1"/>
  <c r="E57" i="21"/>
  <c r="E89" i="21" s="1"/>
  <c r="E121" i="21" s="1"/>
  <c r="F57" i="21"/>
  <c r="F89" i="21" s="1"/>
  <c r="F121" i="21" s="1"/>
  <c r="G57" i="21"/>
  <c r="G89" i="21" s="1"/>
  <c r="G121" i="21" s="1"/>
  <c r="H57" i="21"/>
  <c r="H89" i="21" s="1"/>
  <c r="H121" i="21" s="1"/>
  <c r="I57" i="21"/>
  <c r="I89" i="21" s="1"/>
  <c r="I121" i="21" s="1"/>
  <c r="J57" i="21"/>
  <c r="J89" i="21" s="1"/>
  <c r="J121" i="21" s="1"/>
  <c r="K57" i="21"/>
  <c r="K89" i="21" s="1"/>
  <c r="K121" i="21" s="1"/>
  <c r="L57" i="21"/>
  <c r="L89" i="21" s="1"/>
  <c r="L121" i="21" s="1"/>
  <c r="M57" i="21"/>
  <c r="M89" i="21" s="1"/>
  <c r="M121" i="21" s="1"/>
  <c r="N57" i="21"/>
  <c r="N89" i="21" s="1"/>
  <c r="N121" i="21" s="1"/>
  <c r="O57" i="21"/>
  <c r="O89" i="21" s="1"/>
  <c r="O121" i="21" s="1"/>
  <c r="P57" i="21"/>
  <c r="P89" i="21" s="1"/>
  <c r="P121" i="21" s="1"/>
  <c r="Q57" i="21"/>
  <c r="Q89" i="21" s="1"/>
  <c r="Q121" i="21" s="1"/>
  <c r="R57" i="21"/>
  <c r="R89" i="21" s="1"/>
  <c r="R121" i="21" s="1"/>
  <c r="S57" i="21"/>
  <c r="S89" i="21" s="1"/>
  <c r="S121" i="21" s="1"/>
  <c r="T57" i="21"/>
  <c r="T89" i="21" s="1"/>
  <c r="T121" i="21" s="1"/>
  <c r="E58" i="21"/>
  <c r="E90" i="21" s="1"/>
  <c r="E122" i="21" s="1"/>
  <c r="F58" i="21"/>
  <c r="F90" i="21" s="1"/>
  <c r="F122" i="21" s="1"/>
  <c r="G58" i="21"/>
  <c r="G90" i="21" s="1"/>
  <c r="G122" i="21" s="1"/>
  <c r="H58" i="21"/>
  <c r="H90" i="21" s="1"/>
  <c r="H122" i="21" s="1"/>
  <c r="I58" i="21"/>
  <c r="I90" i="21" s="1"/>
  <c r="I122" i="21" s="1"/>
  <c r="J58" i="21"/>
  <c r="J90" i="21" s="1"/>
  <c r="J122" i="21" s="1"/>
  <c r="K58" i="21"/>
  <c r="K90" i="21" s="1"/>
  <c r="K122" i="21" s="1"/>
  <c r="L58" i="21"/>
  <c r="L90" i="21" s="1"/>
  <c r="L122" i="21" s="1"/>
  <c r="M58" i="21"/>
  <c r="M90" i="21" s="1"/>
  <c r="M122" i="21" s="1"/>
  <c r="N58" i="21"/>
  <c r="N90" i="21" s="1"/>
  <c r="N122" i="21" s="1"/>
  <c r="O58" i="21"/>
  <c r="O90" i="21" s="1"/>
  <c r="O122" i="21" s="1"/>
  <c r="P58" i="21"/>
  <c r="P90" i="21" s="1"/>
  <c r="P122" i="21" s="1"/>
  <c r="Q58" i="21"/>
  <c r="Q90" i="21" s="1"/>
  <c r="Q122" i="21" s="1"/>
  <c r="R58" i="21"/>
  <c r="R90" i="21" s="1"/>
  <c r="R122" i="21" s="1"/>
  <c r="S58" i="21"/>
  <c r="S90" i="21" s="1"/>
  <c r="S122" i="21" s="1"/>
  <c r="T58" i="21"/>
  <c r="T90" i="21" s="1"/>
  <c r="T122" i="21" s="1"/>
  <c r="E59" i="21"/>
  <c r="E91" i="21" s="1"/>
  <c r="E123" i="21" s="1"/>
  <c r="F59" i="21"/>
  <c r="F91" i="21" s="1"/>
  <c r="F123" i="21" s="1"/>
  <c r="G59" i="21"/>
  <c r="G91" i="21" s="1"/>
  <c r="G123" i="21" s="1"/>
  <c r="H59" i="21"/>
  <c r="H91" i="21" s="1"/>
  <c r="H123" i="21" s="1"/>
  <c r="I59" i="21"/>
  <c r="I91" i="21" s="1"/>
  <c r="I123" i="21" s="1"/>
  <c r="J59" i="21"/>
  <c r="J91" i="21" s="1"/>
  <c r="J123" i="21" s="1"/>
  <c r="K59" i="21"/>
  <c r="K91" i="21" s="1"/>
  <c r="K123" i="21" s="1"/>
  <c r="L59" i="21"/>
  <c r="L91" i="21" s="1"/>
  <c r="L123" i="21" s="1"/>
  <c r="M59" i="21"/>
  <c r="M91" i="21" s="1"/>
  <c r="M123" i="21" s="1"/>
  <c r="N59" i="21"/>
  <c r="N91" i="21" s="1"/>
  <c r="N123" i="21" s="1"/>
  <c r="O59" i="21"/>
  <c r="O91" i="21" s="1"/>
  <c r="O123" i="21" s="1"/>
  <c r="P59" i="21"/>
  <c r="P91" i="21" s="1"/>
  <c r="P123" i="21" s="1"/>
  <c r="Q59" i="21"/>
  <c r="Q91" i="21" s="1"/>
  <c r="Q123" i="21" s="1"/>
  <c r="R59" i="21"/>
  <c r="R91" i="21" s="1"/>
  <c r="R123" i="21" s="1"/>
  <c r="S59" i="21"/>
  <c r="S91" i="21" s="1"/>
  <c r="S123" i="21" s="1"/>
  <c r="T59" i="21"/>
  <c r="T91" i="21" s="1"/>
  <c r="T123" i="21" s="1"/>
  <c r="E60" i="21"/>
  <c r="E92" i="21" s="1"/>
  <c r="E124" i="21" s="1"/>
  <c r="F60" i="21"/>
  <c r="F92" i="21" s="1"/>
  <c r="F124" i="21" s="1"/>
  <c r="G60" i="21"/>
  <c r="G92" i="21" s="1"/>
  <c r="G124" i="21" s="1"/>
  <c r="H60" i="21"/>
  <c r="H92" i="21" s="1"/>
  <c r="H124" i="21" s="1"/>
  <c r="I60" i="21"/>
  <c r="I92" i="21" s="1"/>
  <c r="I124" i="21" s="1"/>
  <c r="J60" i="21"/>
  <c r="J92" i="21" s="1"/>
  <c r="J124" i="21" s="1"/>
  <c r="K60" i="21"/>
  <c r="K92" i="21" s="1"/>
  <c r="K124" i="21" s="1"/>
  <c r="L60" i="21"/>
  <c r="L92" i="21" s="1"/>
  <c r="L124" i="21" s="1"/>
  <c r="M60" i="21"/>
  <c r="M92" i="21" s="1"/>
  <c r="M124" i="21" s="1"/>
  <c r="N60" i="21"/>
  <c r="N92" i="21" s="1"/>
  <c r="N124" i="21" s="1"/>
  <c r="O60" i="21"/>
  <c r="O92" i="21" s="1"/>
  <c r="O124" i="21" s="1"/>
  <c r="P60" i="21"/>
  <c r="P92" i="21" s="1"/>
  <c r="P124" i="21" s="1"/>
  <c r="Q60" i="21"/>
  <c r="Q92" i="21" s="1"/>
  <c r="Q124" i="21" s="1"/>
  <c r="R60" i="21"/>
  <c r="R92" i="21" s="1"/>
  <c r="R124" i="21" s="1"/>
  <c r="S60" i="21"/>
  <c r="S92" i="21" s="1"/>
  <c r="S124" i="21" s="1"/>
  <c r="T60" i="21"/>
  <c r="T92" i="21" s="1"/>
  <c r="T124" i="21" s="1"/>
  <c r="E61" i="21"/>
  <c r="E93" i="21" s="1"/>
  <c r="E125" i="21" s="1"/>
  <c r="F61" i="21"/>
  <c r="F93" i="21" s="1"/>
  <c r="F125" i="21" s="1"/>
  <c r="G61" i="21"/>
  <c r="G93" i="21" s="1"/>
  <c r="G125" i="21" s="1"/>
  <c r="H61" i="21"/>
  <c r="H93" i="21" s="1"/>
  <c r="H125" i="21" s="1"/>
  <c r="I61" i="21"/>
  <c r="I93" i="21" s="1"/>
  <c r="I125" i="21" s="1"/>
  <c r="J61" i="21"/>
  <c r="J93" i="21" s="1"/>
  <c r="J125" i="21" s="1"/>
  <c r="K61" i="21"/>
  <c r="K93" i="21" s="1"/>
  <c r="K125" i="21" s="1"/>
  <c r="L61" i="21"/>
  <c r="L93" i="21" s="1"/>
  <c r="L125" i="21" s="1"/>
  <c r="M61" i="21"/>
  <c r="M93" i="21" s="1"/>
  <c r="M125" i="21" s="1"/>
  <c r="N61" i="21"/>
  <c r="N93" i="21" s="1"/>
  <c r="N125" i="21" s="1"/>
  <c r="O61" i="21"/>
  <c r="O93" i="21" s="1"/>
  <c r="O125" i="21" s="1"/>
  <c r="P61" i="21"/>
  <c r="P93" i="21" s="1"/>
  <c r="P125" i="21" s="1"/>
  <c r="Q61" i="21"/>
  <c r="Q93" i="21" s="1"/>
  <c r="Q125" i="21" s="1"/>
  <c r="R61" i="21"/>
  <c r="R93" i="21" s="1"/>
  <c r="R125" i="21" s="1"/>
  <c r="S61" i="21"/>
  <c r="S93" i="21" s="1"/>
  <c r="S125" i="21" s="1"/>
  <c r="T61" i="21"/>
  <c r="T93" i="21" s="1"/>
  <c r="T125" i="21" s="1"/>
  <c r="E62" i="21"/>
  <c r="E94" i="21" s="1"/>
  <c r="E126" i="21" s="1"/>
  <c r="F62" i="21"/>
  <c r="F94" i="21" s="1"/>
  <c r="F126" i="21" s="1"/>
  <c r="G62" i="21"/>
  <c r="G94" i="21" s="1"/>
  <c r="G126" i="21" s="1"/>
  <c r="H62" i="21"/>
  <c r="H94" i="21" s="1"/>
  <c r="H126" i="21" s="1"/>
  <c r="I62" i="21"/>
  <c r="I94" i="21" s="1"/>
  <c r="I126" i="21" s="1"/>
  <c r="J62" i="21"/>
  <c r="J94" i="21" s="1"/>
  <c r="J126" i="21" s="1"/>
  <c r="K62" i="21"/>
  <c r="K94" i="21" s="1"/>
  <c r="K126" i="21" s="1"/>
  <c r="L62" i="21"/>
  <c r="L94" i="21" s="1"/>
  <c r="L126" i="21" s="1"/>
  <c r="M62" i="21"/>
  <c r="M94" i="21" s="1"/>
  <c r="M126" i="21" s="1"/>
  <c r="N62" i="21"/>
  <c r="N94" i="21" s="1"/>
  <c r="N126" i="21" s="1"/>
  <c r="O62" i="21"/>
  <c r="O94" i="21" s="1"/>
  <c r="O126" i="21" s="1"/>
  <c r="P62" i="21"/>
  <c r="P94" i="21" s="1"/>
  <c r="P126" i="21" s="1"/>
  <c r="Q62" i="21"/>
  <c r="Q94" i="21" s="1"/>
  <c r="Q126" i="21" s="1"/>
  <c r="R62" i="21"/>
  <c r="R94" i="21" s="1"/>
  <c r="R126" i="21" s="1"/>
  <c r="S62" i="21"/>
  <c r="S94" i="21" s="1"/>
  <c r="S126" i="21" s="1"/>
  <c r="T62" i="21"/>
  <c r="T94" i="21" s="1"/>
  <c r="T126" i="21" s="1"/>
  <c r="E63" i="21"/>
  <c r="E95" i="21" s="1"/>
  <c r="F63" i="21"/>
  <c r="F95" i="21" s="1"/>
  <c r="G63" i="21"/>
  <c r="G95" i="21" s="1"/>
  <c r="H63" i="21"/>
  <c r="H95" i="21" s="1"/>
  <c r="I63" i="21"/>
  <c r="I95" i="21" s="1"/>
  <c r="J63" i="21"/>
  <c r="J95" i="21" s="1"/>
  <c r="K63" i="21"/>
  <c r="K95" i="21" s="1"/>
  <c r="L63" i="21"/>
  <c r="L95" i="21" s="1"/>
  <c r="M63" i="21"/>
  <c r="M95" i="21" s="1"/>
  <c r="N63" i="21"/>
  <c r="N95" i="21" s="1"/>
  <c r="O63" i="21"/>
  <c r="O95" i="21" s="1"/>
  <c r="P63" i="21"/>
  <c r="P95" i="21" s="1"/>
  <c r="Q63" i="21"/>
  <c r="Q95" i="21" s="1"/>
  <c r="R63" i="21"/>
  <c r="R95" i="21" s="1"/>
  <c r="S63" i="21"/>
  <c r="S95" i="21" s="1"/>
  <c r="T63" i="21"/>
  <c r="T95" i="21" s="1"/>
  <c r="E64" i="21"/>
  <c r="E96" i="21" s="1"/>
  <c r="F64" i="21"/>
  <c r="F96" i="21" s="1"/>
  <c r="G64" i="21"/>
  <c r="G96" i="21" s="1"/>
  <c r="H64" i="21"/>
  <c r="H96" i="21" s="1"/>
  <c r="I64" i="21"/>
  <c r="I96" i="21" s="1"/>
  <c r="J64" i="21"/>
  <c r="J96" i="21" s="1"/>
  <c r="K64" i="21"/>
  <c r="K96" i="21" s="1"/>
  <c r="L64" i="21"/>
  <c r="L96" i="21" s="1"/>
  <c r="M64" i="21"/>
  <c r="M96" i="21" s="1"/>
  <c r="N64" i="21"/>
  <c r="N96" i="21" s="1"/>
  <c r="O64" i="21"/>
  <c r="O96" i="21" s="1"/>
  <c r="P64" i="21"/>
  <c r="P96" i="21" s="1"/>
  <c r="Q64" i="21"/>
  <c r="Q96" i="21" s="1"/>
  <c r="R64" i="21"/>
  <c r="R96" i="21" s="1"/>
  <c r="S64" i="21"/>
  <c r="S96" i="21" s="1"/>
  <c r="T64" i="21"/>
  <c r="T96" i="21" s="1"/>
  <c r="E65" i="21"/>
  <c r="E97" i="21" s="1"/>
  <c r="F65" i="21"/>
  <c r="F97" i="21" s="1"/>
  <c r="G65" i="21"/>
  <c r="G97" i="21" s="1"/>
  <c r="H65" i="21"/>
  <c r="H97" i="21" s="1"/>
  <c r="I65" i="21"/>
  <c r="I97" i="21" s="1"/>
  <c r="J65" i="21"/>
  <c r="J97" i="21" s="1"/>
  <c r="K65" i="21"/>
  <c r="K97" i="21" s="1"/>
  <c r="L65" i="21"/>
  <c r="L97" i="21" s="1"/>
  <c r="M65" i="21"/>
  <c r="M97" i="21" s="1"/>
  <c r="N65" i="21"/>
  <c r="N97" i="21" s="1"/>
  <c r="O65" i="21"/>
  <c r="O97" i="21" s="1"/>
  <c r="P65" i="21"/>
  <c r="P97" i="21" s="1"/>
  <c r="Q65" i="21"/>
  <c r="Q97" i="21" s="1"/>
  <c r="R65" i="21"/>
  <c r="R97" i="21" s="1"/>
  <c r="S65" i="21"/>
  <c r="S97" i="21" s="1"/>
  <c r="T65" i="21"/>
  <c r="T97" i="21" s="1"/>
  <c r="E66" i="21"/>
  <c r="E98" i="21" s="1"/>
  <c r="F66" i="21"/>
  <c r="F98" i="21" s="1"/>
  <c r="G66" i="21"/>
  <c r="G98" i="21" s="1"/>
  <c r="H66" i="21"/>
  <c r="H98" i="21" s="1"/>
  <c r="I66" i="21"/>
  <c r="I98" i="21" s="1"/>
  <c r="J66" i="21"/>
  <c r="J98" i="21" s="1"/>
  <c r="K66" i="21"/>
  <c r="K98" i="21" s="1"/>
  <c r="L66" i="21"/>
  <c r="L98" i="21" s="1"/>
  <c r="M66" i="21"/>
  <c r="M98" i="21" s="1"/>
  <c r="N66" i="21"/>
  <c r="N98" i="21" s="1"/>
  <c r="O66" i="21"/>
  <c r="O98" i="21" s="1"/>
  <c r="P66" i="21"/>
  <c r="P98" i="21" s="1"/>
  <c r="Q66" i="21"/>
  <c r="Q98" i="21" s="1"/>
  <c r="R66" i="21"/>
  <c r="R98" i="21" s="1"/>
  <c r="S66" i="21"/>
  <c r="S98" i="21" s="1"/>
  <c r="T66" i="21"/>
  <c r="T98" i="21" s="1"/>
  <c r="E67" i="21"/>
  <c r="E99" i="21" s="1"/>
  <c r="F67" i="21"/>
  <c r="F99" i="21" s="1"/>
  <c r="G67" i="21"/>
  <c r="G99" i="21" s="1"/>
  <c r="H67" i="21"/>
  <c r="H99" i="21" s="1"/>
  <c r="I67" i="21"/>
  <c r="I99" i="21" s="1"/>
  <c r="J67" i="21"/>
  <c r="J99" i="21" s="1"/>
  <c r="K67" i="21"/>
  <c r="K99" i="21" s="1"/>
  <c r="L67" i="21"/>
  <c r="L99" i="21" s="1"/>
  <c r="M67" i="21"/>
  <c r="M99" i="21" s="1"/>
  <c r="N67" i="21"/>
  <c r="N99" i="21" s="1"/>
  <c r="O67" i="21"/>
  <c r="O99" i="21" s="1"/>
  <c r="P67" i="21"/>
  <c r="P99" i="21" s="1"/>
  <c r="Q67" i="21"/>
  <c r="Q99" i="21" s="1"/>
  <c r="R67" i="21"/>
  <c r="R99" i="21" s="1"/>
  <c r="S67" i="21"/>
  <c r="S99" i="21" s="1"/>
  <c r="T67" i="21"/>
  <c r="T99" i="21" s="1"/>
  <c r="E68" i="21"/>
  <c r="E100" i="21" s="1"/>
  <c r="F68" i="21"/>
  <c r="F100" i="21" s="1"/>
  <c r="G68" i="21"/>
  <c r="G100" i="21" s="1"/>
  <c r="H68" i="21"/>
  <c r="H100" i="21" s="1"/>
  <c r="I68" i="21"/>
  <c r="I100" i="21" s="1"/>
  <c r="J68" i="21"/>
  <c r="J100" i="21" s="1"/>
  <c r="K68" i="21"/>
  <c r="K100" i="21" s="1"/>
  <c r="L68" i="21"/>
  <c r="L100" i="21" s="1"/>
  <c r="M68" i="21"/>
  <c r="M100" i="21" s="1"/>
  <c r="N68" i="21"/>
  <c r="N100" i="21" s="1"/>
  <c r="O68" i="21"/>
  <c r="O100" i="21" s="1"/>
  <c r="P68" i="21"/>
  <c r="P100" i="21" s="1"/>
  <c r="Q68" i="21"/>
  <c r="Q100" i="21" s="1"/>
  <c r="R68" i="21"/>
  <c r="R100" i="21" s="1"/>
  <c r="S68" i="21"/>
  <c r="S100" i="21" s="1"/>
  <c r="T68" i="21"/>
  <c r="T100" i="21" s="1"/>
  <c r="E69" i="21"/>
  <c r="E101" i="21" s="1"/>
  <c r="F69" i="21"/>
  <c r="F101" i="21" s="1"/>
  <c r="G69" i="21"/>
  <c r="G101" i="21" s="1"/>
  <c r="H69" i="21"/>
  <c r="H101" i="21" s="1"/>
  <c r="I69" i="21"/>
  <c r="I101" i="21" s="1"/>
  <c r="J69" i="21"/>
  <c r="J101" i="21" s="1"/>
  <c r="K69" i="21"/>
  <c r="K101" i="21" s="1"/>
  <c r="L69" i="21"/>
  <c r="L101" i="21" s="1"/>
  <c r="M69" i="21"/>
  <c r="M101" i="21" s="1"/>
  <c r="N69" i="21"/>
  <c r="N101" i="21" s="1"/>
  <c r="O69" i="21"/>
  <c r="O101" i="21" s="1"/>
  <c r="P69" i="21"/>
  <c r="P101" i="21" s="1"/>
  <c r="Q69" i="21"/>
  <c r="Q101" i="21" s="1"/>
  <c r="R69" i="21"/>
  <c r="R101" i="21" s="1"/>
  <c r="S69" i="21"/>
  <c r="S101" i="21" s="1"/>
  <c r="T69" i="21"/>
  <c r="T101" i="21" s="1"/>
  <c r="E70" i="21"/>
  <c r="E102" i="21" s="1"/>
  <c r="F70" i="21"/>
  <c r="F102" i="21" s="1"/>
  <c r="G70" i="21"/>
  <c r="G102" i="21" s="1"/>
  <c r="H70" i="21"/>
  <c r="H102" i="21" s="1"/>
  <c r="I70" i="21"/>
  <c r="I102" i="21" s="1"/>
  <c r="J70" i="21"/>
  <c r="J102" i="21" s="1"/>
  <c r="K70" i="21"/>
  <c r="K102" i="21" s="1"/>
  <c r="L70" i="21"/>
  <c r="L102" i="21" s="1"/>
  <c r="M70" i="21"/>
  <c r="M102" i="21" s="1"/>
  <c r="N70" i="21"/>
  <c r="N102" i="21" s="1"/>
  <c r="O70" i="21"/>
  <c r="O102" i="21" s="1"/>
  <c r="P70" i="21"/>
  <c r="P102" i="21" s="1"/>
  <c r="Q70" i="21"/>
  <c r="Q102" i="21" s="1"/>
  <c r="R70" i="21"/>
  <c r="R102" i="21" s="1"/>
  <c r="S70" i="21"/>
  <c r="S102" i="21" s="1"/>
  <c r="T70" i="21"/>
  <c r="T102" i="21" s="1"/>
  <c r="E71" i="21"/>
  <c r="E103" i="21" s="1"/>
  <c r="F71" i="21"/>
  <c r="F103" i="21" s="1"/>
  <c r="G71" i="21"/>
  <c r="G103" i="21" s="1"/>
  <c r="H71" i="21"/>
  <c r="H103" i="21" s="1"/>
  <c r="I71" i="21"/>
  <c r="I103" i="21" s="1"/>
  <c r="J71" i="21"/>
  <c r="J103" i="21" s="1"/>
  <c r="K71" i="21"/>
  <c r="K103" i="21" s="1"/>
  <c r="L71" i="21"/>
  <c r="L103" i="21" s="1"/>
  <c r="M71" i="21"/>
  <c r="M103" i="21" s="1"/>
  <c r="N71" i="21"/>
  <c r="N103" i="21" s="1"/>
  <c r="O71" i="21"/>
  <c r="O103" i="21" s="1"/>
  <c r="P71" i="21"/>
  <c r="P103" i="21" s="1"/>
  <c r="Q71" i="21"/>
  <c r="Q103" i="21" s="1"/>
  <c r="R71" i="21"/>
  <c r="R103" i="21" s="1"/>
  <c r="S71" i="21"/>
  <c r="S103" i="21" s="1"/>
  <c r="T71" i="21"/>
  <c r="T103" i="21" s="1"/>
  <c r="E72" i="21"/>
  <c r="E104" i="21" s="1"/>
  <c r="F72" i="21"/>
  <c r="F104" i="21" s="1"/>
  <c r="G72" i="21"/>
  <c r="G104" i="21" s="1"/>
  <c r="H72" i="21"/>
  <c r="H104" i="21" s="1"/>
  <c r="I72" i="21"/>
  <c r="I104" i="21" s="1"/>
  <c r="J72" i="21"/>
  <c r="J104" i="21" s="1"/>
  <c r="K72" i="21"/>
  <c r="K104" i="21" s="1"/>
  <c r="L72" i="21"/>
  <c r="L104" i="21" s="1"/>
  <c r="M72" i="21"/>
  <c r="M104" i="21" s="1"/>
  <c r="N72" i="21"/>
  <c r="N104" i="21" s="1"/>
  <c r="O72" i="21"/>
  <c r="O104" i="21" s="1"/>
  <c r="P72" i="21"/>
  <c r="P104" i="21" s="1"/>
  <c r="Q72" i="21"/>
  <c r="Q104" i="21" s="1"/>
  <c r="R72" i="21"/>
  <c r="R104" i="21" s="1"/>
  <c r="S72" i="21"/>
  <c r="S104" i="21" s="1"/>
  <c r="T72" i="21"/>
  <c r="T104" i="21" s="1"/>
  <c r="E73" i="21"/>
  <c r="E105" i="21" s="1"/>
  <c r="F73" i="21"/>
  <c r="F105" i="21" s="1"/>
  <c r="G73" i="21"/>
  <c r="G105" i="21" s="1"/>
  <c r="H73" i="21"/>
  <c r="H105" i="21" s="1"/>
  <c r="I73" i="21"/>
  <c r="I105" i="21" s="1"/>
  <c r="J73" i="21"/>
  <c r="J105" i="21" s="1"/>
  <c r="K73" i="21"/>
  <c r="K105" i="21" s="1"/>
  <c r="L73" i="21"/>
  <c r="L105" i="21" s="1"/>
  <c r="M73" i="21"/>
  <c r="M105" i="21" s="1"/>
  <c r="N73" i="21"/>
  <c r="N105" i="21" s="1"/>
  <c r="O73" i="21"/>
  <c r="O105" i="21" s="1"/>
  <c r="P73" i="21"/>
  <c r="P105" i="21" s="1"/>
  <c r="Q73" i="21"/>
  <c r="Q105" i="21" s="1"/>
  <c r="R73" i="21"/>
  <c r="R105" i="21" s="1"/>
  <c r="S73" i="21"/>
  <c r="S105" i="21" s="1"/>
  <c r="T73" i="21"/>
  <c r="T105" i="21" s="1"/>
  <c r="E74" i="21"/>
  <c r="E106" i="21" s="1"/>
  <c r="F74" i="21"/>
  <c r="F106" i="21" s="1"/>
  <c r="G74" i="21"/>
  <c r="G106" i="21" s="1"/>
  <c r="H74" i="21"/>
  <c r="H106" i="21" s="1"/>
  <c r="I74" i="21"/>
  <c r="I106" i="21" s="1"/>
  <c r="J74" i="21"/>
  <c r="J106" i="21" s="1"/>
  <c r="K74" i="21"/>
  <c r="K106" i="21" s="1"/>
  <c r="L74" i="21"/>
  <c r="L106" i="21" s="1"/>
  <c r="M74" i="21"/>
  <c r="M106" i="21" s="1"/>
  <c r="N74" i="21"/>
  <c r="N106" i="21" s="1"/>
  <c r="O74" i="21"/>
  <c r="O106" i="21" s="1"/>
  <c r="P74" i="21"/>
  <c r="P106" i="21" s="1"/>
  <c r="Q74" i="21"/>
  <c r="Q106" i="21" s="1"/>
  <c r="R74" i="21"/>
  <c r="R106" i="21" s="1"/>
  <c r="S74" i="21"/>
  <c r="S106" i="21" s="1"/>
  <c r="T74" i="21"/>
  <c r="T106" i="21" s="1"/>
  <c r="E75" i="21"/>
  <c r="E107" i="21" s="1"/>
  <c r="F75" i="21"/>
  <c r="F107" i="21" s="1"/>
  <c r="G75" i="21"/>
  <c r="G107" i="21" s="1"/>
  <c r="H75" i="21"/>
  <c r="H107" i="21" s="1"/>
  <c r="I75" i="21"/>
  <c r="I107" i="21" s="1"/>
  <c r="J75" i="21"/>
  <c r="J107" i="21" s="1"/>
  <c r="K75" i="21"/>
  <c r="K107" i="21" s="1"/>
  <c r="L75" i="21"/>
  <c r="L107" i="21" s="1"/>
  <c r="M75" i="21"/>
  <c r="M107" i="21" s="1"/>
  <c r="N75" i="21"/>
  <c r="N107" i="21" s="1"/>
  <c r="O75" i="21"/>
  <c r="O107" i="21" s="1"/>
  <c r="P75" i="21"/>
  <c r="P107" i="21" s="1"/>
  <c r="Q75" i="21"/>
  <c r="Q107" i="21" s="1"/>
  <c r="R75" i="21"/>
  <c r="R107" i="21" s="1"/>
  <c r="S75" i="21"/>
  <c r="S107" i="21" s="1"/>
  <c r="T75" i="21"/>
  <c r="T107" i="21" s="1"/>
  <c r="E76" i="21"/>
  <c r="E108" i="21" s="1"/>
  <c r="F76" i="21"/>
  <c r="F108" i="21" s="1"/>
  <c r="G76" i="21"/>
  <c r="G108" i="21" s="1"/>
  <c r="H76" i="21"/>
  <c r="H108" i="21" s="1"/>
  <c r="I76" i="21"/>
  <c r="I108" i="21" s="1"/>
  <c r="J76" i="21"/>
  <c r="J108" i="21" s="1"/>
  <c r="K76" i="21"/>
  <c r="K108" i="21" s="1"/>
  <c r="L76" i="21"/>
  <c r="L108" i="21" s="1"/>
  <c r="M76" i="21"/>
  <c r="M108" i="21" s="1"/>
  <c r="N76" i="21"/>
  <c r="N108" i="21" s="1"/>
  <c r="O76" i="21"/>
  <c r="O108" i="21" s="1"/>
  <c r="P76" i="21"/>
  <c r="P108" i="21" s="1"/>
  <c r="Q76" i="21"/>
  <c r="Q108" i="21" s="1"/>
  <c r="R76" i="21"/>
  <c r="R108" i="21" s="1"/>
  <c r="S76" i="21"/>
  <c r="S108" i="21" s="1"/>
  <c r="T76" i="21"/>
  <c r="T108" i="21" s="1"/>
  <c r="E77" i="21"/>
  <c r="E109" i="21" s="1"/>
  <c r="F77" i="21"/>
  <c r="F109" i="21" s="1"/>
  <c r="G77" i="21"/>
  <c r="G109" i="21" s="1"/>
  <c r="H77" i="21"/>
  <c r="H109" i="21" s="1"/>
  <c r="I77" i="21"/>
  <c r="I109" i="21" s="1"/>
  <c r="J77" i="21"/>
  <c r="J109" i="21" s="1"/>
  <c r="K77" i="21"/>
  <c r="K109" i="21" s="1"/>
  <c r="L77" i="21"/>
  <c r="L109" i="21" s="1"/>
  <c r="M77" i="21"/>
  <c r="M109" i="21" s="1"/>
  <c r="N77" i="21"/>
  <c r="N109" i="21" s="1"/>
  <c r="O77" i="21"/>
  <c r="O109" i="21" s="1"/>
  <c r="P77" i="21"/>
  <c r="P109" i="21" s="1"/>
  <c r="Q77" i="21"/>
  <c r="Q109" i="21" s="1"/>
  <c r="R77" i="21"/>
  <c r="R109" i="21" s="1"/>
  <c r="S77" i="21"/>
  <c r="S109" i="21" s="1"/>
  <c r="T77" i="21"/>
  <c r="T109" i="21" s="1"/>
  <c r="E78" i="21"/>
  <c r="E110" i="21" s="1"/>
  <c r="F78" i="21"/>
  <c r="F110" i="21" s="1"/>
  <c r="G78" i="21"/>
  <c r="G110" i="21" s="1"/>
  <c r="H78" i="21"/>
  <c r="H110" i="21" s="1"/>
  <c r="I78" i="21"/>
  <c r="I110" i="21" s="1"/>
  <c r="J78" i="21"/>
  <c r="J110" i="21" s="1"/>
  <c r="K78" i="21"/>
  <c r="K110" i="21" s="1"/>
  <c r="L78" i="21"/>
  <c r="L110" i="21" s="1"/>
  <c r="M78" i="21"/>
  <c r="M110" i="21" s="1"/>
  <c r="N78" i="21"/>
  <c r="N110" i="21" s="1"/>
  <c r="O78" i="21"/>
  <c r="O110" i="21" s="1"/>
  <c r="P78" i="21"/>
  <c r="P110" i="21" s="1"/>
  <c r="Q78" i="21"/>
  <c r="Q110" i="21" s="1"/>
  <c r="R78" i="21"/>
  <c r="R110" i="21" s="1"/>
  <c r="S78" i="21"/>
  <c r="S110" i="21" s="1"/>
  <c r="T78" i="21"/>
  <c r="T110" i="21" s="1"/>
  <c r="E79" i="21"/>
  <c r="E111" i="21" s="1"/>
  <c r="F79" i="21"/>
  <c r="F111" i="21" s="1"/>
  <c r="G79" i="21"/>
  <c r="G111" i="21" s="1"/>
  <c r="H79" i="21"/>
  <c r="H111" i="21" s="1"/>
  <c r="I79" i="21"/>
  <c r="I111" i="21" s="1"/>
  <c r="J79" i="21"/>
  <c r="J111" i="21" s="1"/>
  <c r="K79" i="21"/>
  <c r="K111" i="21" s="1"/>
  <c r="L79" i="21"/>
  <c r="L111" i="21" s="1"/>
  <c r="M79" i="21"/>
  <c r="M111" i="21" s="1"/>
  <c r="N79" i="21"/>
  <c r="N111" i="21" s="1"/>
  <c r="O79" i="21"/>
  <c r="O111" i="21" s="1"/>
  <c r="P79" i="21"/>
  <c r="P111" i="21" s="1"/>
  <c r="Q79" i="21"/>
  <c r="Q111" i="21" s="1"/>
  <c r="R79" i="21"/>
  <c r="R111" i="21" s="1"/>
  <c r="S79" i="21"/>
  <c r="S111" i="21" s="1"/>
  <c r="T79" i="21"/>
  <c r="T111" i="21" s="1"/>
  <c r="E80" i="21"/>
  <c r="E112" i="21" s="1"/>
  <c r="F80" i="21"/>
  <c r="F112" i="21" s="1"/>
  <c r="G80" i="21"/>
  <c r="G112" i="21" s="1"/>
  <c r="H80" i="21"/>
  <c r="H112" i="21" s="1"/>
  <c r="I80" i="21"/>
  <c r="I112" i="21" s="1"/>
  <c r="J80" i="21"/>
  <c r="J112" i="21" s="1"/>
  <c r="K80" i="21"/>
  <c r="K112" i="21" s="1"/>
  <c r="L80" i="21"/>
  <c r="L112" i="21" s="1"/>
  <c r="M80" i="21"/>
  <c r="M112" i="21" s="1"/>
  <c r="N80" i="21"/>
  <c r="N112" i="21" s="1"/>
  <c r="O80" i="21"/>
  <c r="O112" i="21" s="1"/>
  <c r="P80" i="21"/>
  <c r="P112" i="21" s="1"/>
  <c r="Q80" i="21"/>
  <c r="Q112" i="21" s="1"/>
  <c r="R80" i="21"/>
  <c r="R112" i="21" s="1"/>
  <c r="S80" i="21"/>
  <c r="S112" i="21" s="1"/>
  <c r="T80" i="21"/>
  <c r="T112" i="21" s="1"/>
  <c r="E81" i="21"/>
  <c r="E113" i="21" s="1"/>
  <c r="F81" i="21"/>
  <c r="F113" i="21" s="1"/>
  <c r="G81" i="21"/>
  <c r="G113" i="21" s="1"/>
  <c r="H81" i="21"/>
  <c r="H113" i="21" s="1"/>
  <c r="I81" i="21"/>
  <c r="I113" i="21" s="1"/>
  <c r="J81" i="21"/>
  <c r="J113" i="21" s="1"/>
  <c r="K81" i="21"/>
  <c r="K113" i="21" s="1"/>
  <c r="L81" i="21"/>
  <c r="L113" i="21" s="1"/>
  <c r="M81" i="21"/>
  <c r="M113" i="21" s="1"/>
  <c r="N81" i="21"/>
  <c r="N113" i="21" s="1"/>
  <c r="O81" i="21"/>
  <c r="O113" i="21" s="1"/>
  <c r="P81" i="21"/>
  <c r="P113" i="21" s="1"/>
  <c r="Q81" i="21"/>
  <c r="Q113" i="21" s="1"/>
  <c r="R81" i="21"/>
  <c r="R113" i="21" s="1"/>
  <c r="S81" i="21"/>
  <c r="S113" i="21" s="1"/>
  <c r="T81" i="21"/>
  <c r="T113" i="21" s="1"/>
  <c r="E82" i="21"/>
  <c r="E114" i="21" s="1"/>
  <c r="F82" i="21"/>
  <c r="F114" i="21" s="1"/>
  <c r="G82" i="21"/>
  <c r="G114" i="21" s="1"/>
  <c r="H82" i="21"/>
  <c r="H114" i="21" s="1"/>
  <c r="I82" i="21"/>
  <c r="I114" i="21" s="1"/>
  <c r="J82" i="21"/>
  <c r="J114" i="21" s="1"/>
  <c r="K82" i="21"/>
  <c r="K114" i="21" s="1"/>
  <c r="L82" i="21"/>
  <c r="L114" i="21" s="1"/>
  <c r="M82" i="21"/>
  <c r="M114" i="21" s="1"/>
  <c r="N82" i="21"/>
  <c r="N114" i="21" s="1"/>
  <c r="O82" i="21"/>
  <c r="O114" i="21" s="1"/>
  <c r="P82" i="21"/>
  <c r="P114" i="21" s="1"/>
  <c r="Q82" i="21"/>
  <c r="Q114" i="21" s="1"/>
  <c r="R82" i="21"/>
  <c r="R114" i="21" s="1"/>
  <c r="S82" i="21"/>
  <c r="S114" i="21" s="1"/>
  <c r="T82" i="21"/>
  <c r="T114" i="21" s="1"/>
  <c r="E83" i="21"/>
  <c r="E115" i="21" s="1"/>
  <c r="F83" i="21"/>
  <c r="F115" i="21" s="1"/>
  <c r="G83" i="21"/>
  <c r="G115" i="21" s="1"/>
  <c r="H83" i="21"/>
  <c r="H115" i="21" s="1"/>
  <c r="I83" i="21"/>
  <c r="I115" i="21" s="1"/>
  <c r="J83" i="21"/>
  <c r="J115" i="21" s="1"/>
  <c r="K83" i="21"/>
  <c r="K115" i="21" s="1"/>
  <c r="L83" i="21"/>
  <c r="L115" i="21" s="1"/>
  <c r="M83" i="21"/>
  <c r="M115" i="21" s="1"/>
  <c r="N83" i="21"/>
  <c r="N115" i="21" s="1"/>
  <c r="O83" i="21"/>
  <c r="O115" i="21" s="1"/>
  <c r="P83" i="21"/>
  <c r="P115" i="21" s="1"/>
  <c r="Q83" i="21"/>
  <c r="Q115" i="21" s="1"/>
  <c r="R83" i="21"/>
  <c r="R115" i="21" s="1"/>
  <c r="S83" i="21"/>
  <c r="S115" i="21" s="1"/>
  <c r="T83" i="21"/>
  <c r="T115" i="21" s="1"/>
  <c r="E84" i="21"/>
  <c r="E116" i="21" s="1"/>
  <c r="F84" i="21"/>
  <c r="F116" i="21" s="1"/>
  <c r="G84" i="21"/>
  <c r="G116" i="21" s="1"/>
  <c r="H84" i="21"/>
  <c r="H116" i="21" s="1"/>
  <c r="I84" i="21"/>
  <c r="I116" i="21" s="1"/>
  <c r="J84" i="21"/>
  <c r="J116" i="21" s="1"/>
  <c r="K84" i="21"/>
  <c r="K116" i="21" s="1"/>
  <c r="L84" i="21"/>
  <c r="L116" i="21" s="1"/>
  <c r="M84" i="21"/>
  <c r="M116" i="21" s="1"/>
  <c r="N84" i="21"/>
  <c r="N116" i="21" s="1"/>
  <c r="O84" i="21"/>
  <c r="O116" i="21" s="1"/>
  <c r="P84" i="21"/>
  <c r="P116" i="21" s="1"/>
  <c r="Q84" i="21"/>
  <c r="Q116" i="21" s="1"/>
  <c r="R84" i="21"/>
  <c r="R116" i="21" s="1"/>
  <c r="S84" i="21"/>
  <c r="S116" i="21" s="1"/>
  <c r="T84" i="21"/>
  <c r="T116" i="21" s="1"/>
  <c r="E85" i="21"/>
  <c r="E117" i="21" s="1"/>
  <c r="F85" i="21"/>
  <c r="F117" i="21" s="1"/>
  <c r="G85" i="21"/>
  <c r="G117" i="21" s="1"/>
  <c r="H85" i="21"/>
  <c r="H117" i="21" s="1"/>
  <c r="I85" i="21"/>
  <c r="I117" i="21" s="1"/>
  <c r="J85" i="21"/>
  <c r="J117" i="21" s="1"/>
  <c r="K85" i="21"/>
  <c r="K117" i="21" s="1"/>
  <c r="L85" i="21"/>
  <c r="L117" i="21" s="1"/>
  <c r="M85" i="21"/>
  <c r="M117" i="21" s="1"/>
  <c r="N85" i="21"/>
  <c r="N117" i="21" s="1"/>
  <c r="O85" i="21"/>
  <c r="O117" i="21" s="1"/>
  <c r="P85" i="21"/>
  <c r="P117" i="21" s="1"/>
  <c r="Q85" i="21"/>
  <c r="Q117" i="21" s="1"/>
  <c r="R85" i="21"/>
  <c r="R117" i="21" s="1"/>
  <c r="S85" i="21"/>
  <c r="S117" i="21" s="1"/>
  <c r="T85" i="21"/>
  <c r="T117" i="21" s="1"/>
  <c r="E86" i="21"/>
  <c r="E118" i="21" s="1"/>
  <c r="F86" i="21"/>
  <c r="F118" i="21" s="1"/>
  <c r="G86" i="21"/>
  <c r="G118" i="21" s="1"/>
  <c r="H86" i="21"/>
  <c r="H118" i="21" s="1"/>
  <c r="I86" i="21"/>
  <c r="I118" i="21" s="1"/>
  <c r="J86" i="21"/>
  <c r="J118" i="21" s="1"/>
  <c r="K86" i="21"/>
  <c r="K118" i="21" s="1"/>
  <c r="L86" i="21"/>
  <c r="L118" i="21" s="1"/>
  <c r="M86" i="21"/>
  <c r="M118" i="21" s="1"/>
  <c r="N86" i="21"/>
  <c r="N118" i="21" s="1"/>
  <c r="O86" i="21"/>
  <c r="O118" i="21" s="1"/>
  <c r="P86" i="21"/>
  <c r="P118" i="21" s="1"/>
  <c r="Q86" i="21"/>
  <c r="Q118" i="21" s="1"/>
  <c r="R86" i="21"/>
  <c r="R118" i="21" s="1"/>
  <c r="S86" i="21"/>
  <c r="S118" i="21" s="1"/>
  <c r="T86" i="21"/>
  <c r="T118" i="21" s="1"/>
  <c r="E87" i="21"/>
  <c r="E119" i="21" s="1"/>
  <c r="F87" i="21"/>
  <c r="F119" i="21" s="1"/>
  <c r="G87" i="21"/>
  <c r="G119" i="21" s="1"/>
  <c r="H87" i="21"/>
  <c r="H119" i="21" s="1"/>
  <c r="I87" i="21"/>
  <c r="I119" i="21" s="1"/>
  <c r="J87" i="21"/>
  <c r="J119" i="21" s="1"/>
  <c r="K87" i="21"/>
  <c r="K119" i="21" s="1"/>
  <c r="L87" i="21"/>
  <c r="L119" i="21" s="1"/>
  <c r="M87" i="21"/>
  <c r="M119" i="21" s="1"/>
  <c r="N87" i="21"/>
  <c r="N119" i="21" s="1"/>
  <c r="O87" i="21"/>
  <c r="O119" i="21" s="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E80" i="20"/>
  <c r="G80" i="20"/>
  <c r="H80" i="20"/>
  <c r="I80" i="20"/>
  <c r="J80" i="20"/>
  <c r="L80" i="20"/>
  <c r="O80" i="20"/>
  <c r="Q80" i="20"/>
  <c r="R80" i="20"/>
  <c r="T80" i="20"/>
  <c r="F81" i="20"/>
  <c r="G81" i="20"/>
  <c r="H81" i="20"/>
  <c r="I81" i="20"/>
  <c r="J81" i="20"/>
  <c r="L81" i="20"/>
  <c r="N81" i="20"/>
  <c r="O81" i="20"/>
  <c r="Q81" i="20"/>
  <c r="R81" i="20"/>
  <c r="T81" i="20"/>
  <c r="F82" i="20"/>
  <c r="G82" i="20"/>
  <c r="H82" i="20"/>
  <c r="I82" i="20"/>
  <c r="J82" i="20"/>
  <c r="L82" i="20"/>
  <c r="N82" i="20"/>
  <c r="O82" i="20"/>
  <c r="Q82" i="20"/>
  <c r="R82" i="20"/>
  <c r="T82" i="20"/>
  <c r="E83" i="20"/>
  <c r="F83" i="20"/>
  <c r="G83" i="20"/>
  <c r="I83" i="20"/>
  <c r="J83" i="20"/>
  <c r="J155" i="20" s="1"/>
  <c r="L83" i="20"/>
  <c r="N83" i="20"/>
  <c r="O83" i="20"/>
  <c r="Q83" i="20"/>
  <c r="R83" i="20"/>
  <c r="T83" i="20"/>
  <c r="E84" i="20"/>
  <c r="F84" i="20"/>
  <c r="G84" i="20"/>
  <c r="H84" i="20"/>
  <c r="J84" i="20"/>
  <c r="L84" i="20"/>
  <c r="N84" i="20"/>
  <c r="O84" i="20"/>
  <c r="Q84" i="20"/>
  <c r="R84" i="20"/>
  <c r="T84" i="20"/>
  <c r="E85" i="20"/>
  <c r="F85" i="20"/>
  <c r="G85" i="20"/>
  <c r="I85" i="20"/>
  <c r="I157" i="20" s="1"/>
  <c r="J85" i="20"/>
  <c r="L85" i="20"/>
  <c r="N85" i="20"/>
  <c r="O85" i="20"/>
  <c r="Q85" i="20"/>
  <c r="R85" i="20"/>
  <c r="T85" i="20"/>
  <c r="F86" i="20"/>
  <c r="G86" i="20"/>
  <c r="H86" i="20"/>
  <c r="I86" i="20"/>
  <c r="J86" i="20"/>
  <c r="L86" i="20"/>
  <c r="N86" i="20"/>
  <c r="O86" i="20"/>
  <c r="Q86" i="20"/>
  <c r="R86" i="20"/>
  <c r="T86" i="20"/>
  <c r="E87" i="20"/>
  <c r="F87" i="20"/>
  <c r="G87" i="20"/>
  <c r="H87" i="20"/>
  <c r="H159" i="20" s="1"/>
  <c r="I87" i="20"/>
  <c r="I159" i="20" s="1"/>
  <c r="J87" i="20"/>
  <c r="K87" i="20"/>
  <c r="L87" i="20"/>
  <c r="M87" i="20"/>
  <c r="N87" i="20"/>
  <c r="O87" i="20"/>
  <c r="P87" i="20"/>
  <c r="Q87" i="20"/>
  <c r="R87" i="20"/>
  <c r="S87" i="20"/>
  <c r="T87" i="20"/>
  <c r="F88" i="20"/>
  <c r="G88" i="20"/>
  <c r="H88" i="20"/>
  <c r="I88" i="20"/>
  <c r="J88" i="20"/>
  <c r="J160" i="20" s="1"/>
  <c r="L88" i="20"/>
  <c r="N88" i="20"/>
  <c r="O88" i="20"/>
  <c r="Q88" i="20"/>
  <c r="R88" i="20"/>
  <c r="T88" i="20"/>
  <c r="E89" i="20"/>
  <c r="G89" i="20"/>
  <c r="I89" i="20"/>
  <c r="I161" i="20" s="1"/>
  <c r="J89" i="20"/>
  <c r="L89" i="20"/>
  <c r="N89" i="20"/>
  <c r="O89" i="20"/>
  <c r="Q89" i="20"/>
  <c r="R89" i="20"/>
  <c r="T89" i="20"/>
  <c r="E90" i="20"/>
  <c r="G90" i="20"/>
  <c r="I90" i="20"/>
  <c r="I162" i="20" s="1"/>
  <c r="J90" i="20"/>
  <c r="L90" i="20"/>
  <c r="N90" i="20"/>
  <c r="O90" i="20"/>
  <c r="Q90" i="20"/>
  <c r="R90" i="20"/>
  <c r="T90" i="20"/>
  <c r="E91" i="20"/>
  <c r="G91" i="20"/>
  <c r="I91" i="20"/>
  <c r="I163" i="20" s="1"/>
  <c r="J91" i="20"/>
  <c r="J163" i="20" s="1"/>
  <c r="L91" i="20"/>
  <c r="N91" i="20"/>
  <c r="O91" i="20"/>
  <c r="Q91" i="20"/>
  <c r="R91" i="20"/>
  <c r="T91" i="20"/>
  <c r="E92" i="20"/>
  <c r="F92" i="20"/>
  <c r="H92" i="20"/>
  <c r="J92" i="20"/>
  <c r="J164" i="20" s="1"/>
  <c r="L92" i="20"/>
  <c r="N92" i="20"/>
  <c r="O92" i="20"/>
  <c r="Q92" i="20"/>
  <c r="R92" i="20"/>
  <c r="T92" i="20"/>
  <c r="F93" i="20"/>
  <c r="G93" i="20"/>
  <c r="H93" i="20"/>
  <c r="I93" i="20"/>
  <c r="J93" i="20"/>
  <c r="L93" i="20"/>
  <c r="N93" i="20"/>
  <c r="O93" i="20"/>
  <c r="Q93" i="20"/>
  <c r="R93" i="20"/>
  <c r="T93" i="20"/>
  <c r="E94" i="20"/>
  <c r="F94" i="20"/>
  <c r="H94" i="20"/>
  <c r="J94" i="20"/>
  <c r="L94" i="20"/>
  <c r="N94" i="20"/>
  <c r="O94" i="20"/>
  <c r="Q94" i="20"/>
  <c r="R94" i="20"/>
  <c r="T94" i="20"/>
  <c r="E95" i="20"/>
  <c r="G95" i="20"/>
  <c r="I95" i="20"/>
  <c r="J95" i="20"/>
  <c r="L95" i="20"/>
  <c r="N95" i="20"/>
  <c r="O95" i="20"/>
  <c r="Q95" i="20"/>
  <c r="R95" i="20"/>
  <c r="T95" i="20"/>
  <c r="E96" i="20"/>
  <c r="G96" i="20"/>
  <c r="I96" i="20"/>
  <c r="J96" i="20"/>
  <c r="L96" i="20"/>
  <c r="N96" i="20"/>
  <c r="O96" i="20"/>
  <c r="Q96" i="20"/>
  <c r="R96" i="20"/>
  <c r="T96" i="20"/>
  <c r="E97" i="20"/>
  <c r="F97" i="20"/>
  <c r="H97" i="20"/>
  <c r="J97" i="20"/>
  <c r="L97" i="20"/>
  <c r="N97" i="20"/>
  <c r="O97" i="20"/>
  <c r="Q97" i="20"/>
  <c r="R97" i="20"/>
  <c r="T97" i="20"/>
  <c r="E98" i="20"/>
  <c r="F98" i="20"/>
  <c r="H98" i="20"/>
  <c r="J98" i="20"/>
  <c r="L98" i="20"/>
  <c r="N98" i="20"/>
  <c r="O98" i="20"/>
  <c r="Q98" i="20"/>
  <c r="R98" i="20"/>
  <c r="T98" i="20"/>
  <c r="E99" i="20"/>
  <c r="G99" i="20"/>
  <c r="I99" i="20"/>
  <c r="J99" i="20"/>
  <c r="L99" i="20"/>
  <c r="M99" i="20"/>
  <c r="N99" i="20"/>
  <c r="O99" i="20"/>
  <c r="P99" i="20"/>
  <c r="Q99" i="20"/>
  <c r="R99" i="20"/>
  <c r="S99" i="20"/>
  <c r="T99" i="20"/>
  <c r="E100" i="20"/>
  <c r="G100" i="20"/>
  <c r="I100" i="20"/>
  <c r="J100" i="20"/>
  <c r="L100" i="20"/>
  <c r="M100" i="20"/>
  <c r="N100" i="20"/>
  <c r="O100" i="20"/>
  <c r="P100" i="20"/>
  <c r="Q100" i="20"/>
  <c r="R100" i="20"/>
  <c r="S100" i="20"/>
  <c r="T100" i="20"/>
  <c r="E101" i="20"/>
  <c r="H101" i="20"/>
  <c r="I101" i="20"/>
  <c r="J101" i="20"/>
  <c r="L101" i="20"/>
  <c r="M101" i="20"/>
  <c r="N101" i="20"/>
  <c r="O101" i="20"/>
  <c r="P101" i="20"/>
  <c r="Q101" i="20"/>
  <c r="R101" i="20"/>
  <c r="S101" i="20"/>
  <c r="T101" i="20"/>
  <c r="F102" i="20"/>
  <c r="G102" i="20"/>
  <c r="H102" i="20"/>
  <c r="I102" i="20"/>
  <c r="J102" i="20"/>
  <c r="L102" i="20"/>
  <c r="M102" i="20"/>
  <c r="N102" i="20"/>
  <c r="O102" i="20"/>
  <c r="P102" i="20"/>
  <c r="Q102" i="20"/>
  <c r="R102" i="20"/>
  <c r="S102" i="20"/>
  <c r="T102" i="20"/>
  <c r="E103" i="20"/>
  <c r="G103" i="20"/>
  <c r="I103" i="20"/>
  <c r="J103" i="20"/>
  <c r="L103" i="20"/>
  <c r="M103" i="20"/>
  <c r="N103" i="20"/>
  <c r="O103" i="20"/>
  <c r="P103" i="20"/>
  <c r="Q103" i="20"/>
  <c r="R103" i="20"/>
  <c r="S103" i="20"/>
  <c r="T103" i="20"/>
  <c r="E104" i="20"/>
  <c r="G104" i="20"/>
  <c r="I104" i="20"/>
  <c r="J104" i="20"/>
  <c r="L104" i="20"/>
  <c r="M104" i="20"/>
  <c r="N104" i="20"/>
  <c r="O104" i="20"/>
  <c r="P104" i="20"/>
  <c r="Q104" i="20"/>
  <c r="R104" i="20"/>
  <c r="S104" i="20"/>
  <c r="T104" i="20"/>
  <c r="E105" i="20"/>
  <c r="G105" i="20"/>
  <c r="I105" i="20"/>
  <c r="J105" i="20"/>
  <c r="L105" i="20"/>
  <c r="M105" i="20"/>
  <c r="N105" i="20"/>
  <c r="O105" i="20"/>
  <c r="P105" i="20"/>
  <c r="Q105" i="20"/>
  <c r="R105" i="20"/>
  <c r="S105" i="20"/>
  <c r="T105" i="20"/>
  <c r="E106" i="20"/>
  <c r="G106" i="20"/>
  <c r="I106" i="20"/>
  <c r="J106" i="20"/>
  <c r="L106" i="20"/>
  <c r="M106" i="20"/>
  <c r="N106" i="20"/>
  <c r="O106" i="20"/>
  <c r="P106" i="20"/>
  <c r="Q106" i="20"/>
  <c r="R106" i="20"/>
  <c r="S106" i="20"/>
  <c r="T106" i="20"/>
  <c r="E107" i="20"/>
  <c r="F107" i="20"/>
  <c r="I107" i="20"/>
  <c r="J107" i="20"/>
  <c r="L107" i="20"/>
  <c r="M107" i="20"/>
  <c r="N107" i="20"/>
  <c r="O107" i="20"/>
  <c r="P107" i="20"/>
  <c r="Q107" i="20"/>
  <c r="R107" i="20"/>
  <c r="S107" i="20"/>
  <c r="T107" i="20"/>
  <c r="E108" i="20"/>
  <c r="F108" i="20"/>
  <c r="G108" i="20"/>
  <c r="I108" i="20"/>
  <c r="J108" i="20"/>
  <c r="L108" i="20"/>
  <c r="M108" i="20"/>
  <c r="N108" i="20"/>
  <c r="O108" i="20"/>
  <c r="P108" i="20"/>
  <c r="Q108" i="20"/>
  <c r="R108" i="20"/>
  <c r="S108" i="20"/>
  <c r="T108" i="20"/>
  <c r="F109" i="20"/>
  <c r="G109" i="20"/>
  <c r="H109" i="20"/>
  <c r="I109" i="20"/>
  <c r="J109" i="20"/>
  <c r="L109" i="20"/>
  <c r="M109" i="20"/>
  <c r="N109" i="20"/>
  <c r="O109" i="20"/>
  <c r="P109" i="20"/>
  <c r="Q109" i="20"/>
  <c r="R109" i="20"/>
  <c r="S109" i="20"/>
  <c r="T109" i="20"/>
  <c r="E110" i="20"/>
  <c r="G110" i="20"/>
  <c r="I110" i="20"/>
  <c r="J110" i="20"/>
  <c r="L110" i="20"/>
  <c r="M110" i="20"/>
  <c r="N110" i="20"/>
  <c r="O110" i="20"/>
  <c r="P110" i="20"/>
  <c r="Q110" i="20"/>
  <c r="R110" i="20"/>
  <c r="S110" i="20"/>
  <c r="T110" i="20"/>
  <c r="E111" i="20"/>
  <c r="G111" i="20"/>
  <c r="I111" i="20"/>
  <c r="J111" i="20"/>
  <c r="L111" i="20"/>
  <c r="M111" i="20"/>
  <c r="N111" i="20"/>
  <c r="O111" i="20"/>
  <c r="P111" i="20"/>
  <c r="Q111" i="20"/>
  <c r="R111" i="20"/>
  <c r="S111" i="20"/>
  <c r="T111" i="20"/>
  <c r="E112" i="20"/>
  <c r="F112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E113" i="20"/>
  <c r="F113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E114" i="20"/>
  <c r="F114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E115" i="20"/>
  <c r="F115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E116" i="20"/>
  <c r="F116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E117" i="20"/>
  <c r="F117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E118" i="20"/>
  <c r="F118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E119" i="20"/>
  <c r="F119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E120" i="20"/>
  <c r="F120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E121" i="20"/>
  <c r="F121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E122" i="20"/>
  <c r="F122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E123" i="20"/>
  <c r="F123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E124" i="20"/>
  <c r="F124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E125" i="20"/>
  <c r="F125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E126" i="20"/>
  <c r="F126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E127" i="20"/>
  <c r="F127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E128" i="20"/>
  <c r="F128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E129" i="20"/>
  <c r="F129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E130" i="20"/>
  <c r="F130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E131" i="20"/>
  <c r="F131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E132" i="20"/>
  <c r="F132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E133" i="20"/>
  <c r="F133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E134" i="20"/>
  <c r="F134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E135" i="20"/>
  <c r="F135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E136" i="20"/>
  <c r="F136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E137" i="20"/>
  <c r="F137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E138" i="20"/>
  <c r="F138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E139" i="20"/>
  <c r="F139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E140" i="20"/>
  <c r="F140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E141" i="20"/>
  <c r="F141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E142" i="20"/>
  <c r="F142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E143" i="20"/>
  <c r="F143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E144" i="20"/>
  <c r="F144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E145" i="20"/>
  <c r="F145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E146" i="20"/>
  <c r="F146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E147" i="20"/>
  <c r="F147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E148" i="20"/>
  <c r="F148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E149" i="20"/>
  <c r="F149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E150" i="20"/>
  <c r="F150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E152" i="20"/>
  <c r="G152" i="20"/>
  <c r="H152" i="20"/>
  <c r="I152" i="20"/>
  <c r="J152" i="20"/>
  <c r="L152" i="20"/>
  <c r="O152" i="20"/>
  <c r="Q152" i="20"/>
  <c r="R152" i="20"/>
  <c r="T152" i="20"/>
  <c r="F153" i="20"/>
  <c r="G153" i="20"/>
  <c r="H153" i="20"/>
  <c r="I153" i="20"/>
  <c r="J153" i="20"/>
  <c r="L153" i="20"/>
  <c r="N153" i="20"/>
  <c r="O153" i="20"/>
  <c r="Q153" i="20"/>
  <c r="R153" i="20"/>
  <c r="T153" i="20"/>
  <c r="F154" i="20"/>
  <c r="G154" i="20"/>
  <c r="H154" i="20"/>
  <c r="I154" i="20"/>
  <c r="J154" i="20"/>
  <c r="L154" i="20"/>
  <c r="N154" i="20"/>
  <c r="O154" i="20"/>
  <c r="Q154" i="20"/>
  <c r="R154" i="20"/>
  <c r="T154" i="20"/>
  <c r="E155" i="20"/>
  <c r="F155" i="20"/>
  <c r="G155" i="20"/>
  <c r="I155" i="20"/>
  <c r="L155" i="20"/>
  <c r="N155" i="20"/>
  <c r="O155" i="20"/>
  <c r="Q155" i="20"/>
  <c r="R155" i="20"/>
  <c r="T155" i="20"/>
  <c r="E156" i="20"/>
  <c r="F156" i="20"/>
  <c r="G156" i="20"/>
  <c r="H156" i="20"/>
  <c r="J156" i="20"/>
  <c r="L156" i="20"/>
  <c r="N156" i="20"/>
  <c r="O156" i="20"/>
  <c r="Q156" i="20"/>
  <c r="R156" i="20"/>
  <c r="T156" i="20"/>
  <c r="E157" i="20"/>
  <c r="F157" i="20"/>
  <c r="G157" i="20"/>
  <c r="J157" i="20"/>
  <c r="L157" i="20"/>
  <c r="N157" i="20"/>
  <c r="O157" i="20"/>
  <c r="Q157" i="20"/>
  <c r="R157" i="20"/>
  <c r="T157" i="20"/>
  <c r="F158" i="20"/>
  <c r="G158" i="20"/>
  <c r="H158" i="20"/>
  <c r="I158" i="20"/>
  <c r="J158" i="20"/>
  <c r="L158" i="20"/>
  <c r="N158" i="20"/>
  <c r="O158" i="20"/>
  <c r="Q158" i="20"/>
  <c r="R158" i="20"/>
  <c r="T158" i="20"/>
  <c r="E159" i="20"/>
  <c r="F159" i="20"/>
  <c r="G159" i="20"/>
  <c r="J159" i="20"/>
  <c r="K159" i="20"/>
  <c r="L159" i="20"/>
  <c r="M159" i="20"/>
  <c r="N159" i="20"/>
  <c r="O159" i="20"/>
  <c r="P159" i="20"/>
  <c r="Q159" i="20"/>
  <c r="R159" i="20"/>
  <c r="S159" i="20"/>
  <c r="T159" i="20"/>
  <c r="F160" i="20"/>
  <c r="G160" i="20"/>
  <c r="H160" i="20"/>
  <c r="I160" i="20"/>
  <c r="L160" i="20"/>
  <c r="N160" i="20"/>
  <c r="O160" i="20"/>
  <c r="Q160" i="20"/>
  <c r="R160" i="20"/>
  <c r="T160" i="20"/>
  <c r="E161" i="20"/>
  <c r="G161" i="20"/>
  <c r="J161" i="20"/>
  <c r="L161" i="20"/>
  <c r="N161" i="20"/>
  <c r="O161" i="20"/>
  <c r="Q161" i="20"/>
  <c r="R161" i="20"/>
  <c r="T161" i="20"/>
  <c r="E162" i="20"/>
  <c r="G162" i="20"/>
  <c r="J162" i="20"/>
  <c r="L162" i="20"/>
  <c r="N162" i="20"/>
  <c r="O162" i="20"/>
  <c r="Q162" i="20"/>
  <c r="R162" i="20"/>
  <c r="T162" i="20"/>
  <c r="E163" i="20"/>
  <c r="G163" i="20"/>
  <c r="L163" i="20"/>
  <c r="N163" i="20"/>
  <c r="O163" i="20"/>
  <c r="Q163" i="20"/>
  <c r="R163" i="20"/>
  <c r="T163" i="20"/>
  <c r="E164" i="20"/>
  <c r="F164" i="20"/>
  <c r="H164" i="20"/>
  <c r="L164" i="20"/>
  <c r="N164" i="20"/>
  <c r="O164" i="20"/>
  <c r="Q164" i="20"/>
  <c r="R164" i="20"/>
  <c r="T164" i="20"/>
  <c r="F165" i="20"/>
  <c r="G165" i="20"/>
  <c r="H165" i="20"/>
  <c r="I165" i="20"/>
  <c r="J165" i="20"/>
  <c r="L165" i="20"/>
  <c r="N165" i="20"/>
  <c r="O165" i="20"/>
  <c r="Q165" i="20"/>
  <c r="R165" i="20"/>
  <c r="T165" i="20"/>
  <c r="E166" i="20"/>
  <c r="F166" i="20"/>
  <c r="H166" i="20"/>
  <c r="J166" i="20"/>
  <c r="L166" i="20"/>
  <c r="N166" i="20"/>
  <c r="O166" i="20"/>
  <c r="Q166" i="20"/>
  <c r="R166" i="20"/>
  <c r="T166" i="20"/>
  <c r="T79" i="20"/>
  <c r="T151" i="20" s="1"/>
  <c r="S79" i="20"/>
  <c r="S151" i="20" s="1"/>
  <c r="R79" i="20"/>
  <c r="R151" i="20" s="1"/>
  <c r="Q79" i="20"/>
  <c r="Q151" i="20" s="1"/>
  <c r="P79" i="20"/>
  <c r="P151" i="20" s="1"/>
  <c r="O79" i="20"/>
  <c r="O151" i="20" s="1"/>
  <c r="N79" i="20"/>
  <c r="N151" i="20" s="1"/>
  <c r="M79" i="20"/>
  <c r="M151" i="20" s="1"/>
  <c r="L79" i="20"/>
  <c r="L151" i="20" s="1"/>
  <c r="K79" i="20"/>
  <c r="K151" i="20" s="1"/>
  <c r="J79" i="20"/>
  <c r="J151" i="20" s="1"/>
  <c r="I79" i="20"/>
  <c r="I151" i="20" s="1"/>
  <c r="H79" i="20"/>
  <c r="H151" i="20" s="1"/>
  <c r="G79" i="20"/>
  <c r="G151" i="20" s="1"/>
  <c r="F79" i="20"/>
  <c r="F151" i="20" s="1"/>
  <c r="E79" i="20"/>
  <c r="E40" i="19"/>
  <c r="F40" i="19"/>
  <c r="F72" i="19" s="1"/>
  <c r="F104" i="19" s="1"/>
  <c r="G40" i="19"/>
  <c r="G72" i="19" s="1"/>
  <c r="G104" i="19" s="1"/>
  <c r="H40" i="19"/>
  <c r="H72" i="19" s="1"/>
  <c r="H104" i="19" s="1"/>
  <c r="I40" i="19"/>
  <c r="I72" i="19" s="1"/>
  <c r="I104" i="19" s="1"/>
  <c r="J40" i="19"/>
  <c r="J72" i="19" s="1"/>
  <c r="J104" i="19" s="1"/>
  <c r="K40" i="19"/>
  <c r="K72" i="19" s="1"/>
  <c r="K104" i="19" s="1"/>
  <c r="L40" i="19"/>
  <c r="L72" i="19" s="1"/>
  <c r="L104" i="19" s="1"/>
  <c r="M40" i="19"/>
  <c r="M72" i="19" s="1"/>
  <c r="M104" i="19" s="1"/>
  <c r="N40" i="19"/>
  <c r="N72" i="19" s="1"/>
  <c r="N104" i="19" s="1"/>
  <c r="O40" i="19"/>
  <c r="O72" i="19" s="1"/>
  <c r="O104" i="19" s="1"/>
  <c r="P40" i="19"/>
  <c r="P72" i="19" s="1"/>
  <c r="P104" i="19" s="1"/>
  <c r="Q40" i="19"/>
  <c r="Q72" i="19" s="1"/>
  <c r="Q104" i="19" s="1"/>
  <c r="R40" i="19"/>
  <c r="R72" i="19" s="1"/>
  <c r="R104" i="19" s="1"/>
  <c r="S40" i="19"/>
  <c r="S72" i="19" s="1"/>
  <c r="S104" i="19" s="1"/>
  <c r="T40" i="19"/>
  <c r="T72" i="19" s="1"/>
  <c r="T104" i="19" s="1"/>
  <c r="E41" i="19"/>
  <c r="E73" i="19" s="1"/>
  <c r="E105" i="19" s="1"/>
  <c r="F41" i="19"/>
  <c r="F73" i="19" s="1"/>
  <c r="F105" i="19" s="1"/>
  <c r="G41" i="19"/>
  <c r="G73" i="19" s="1"/>
  <c r="G105" i="19" s="1"/>
  <c r="H41" i="19"/>
  <c r="H73" i="19" s="1"/>
  <c r="H105" i="19" s="1"/>
  <c r="I41" i="19"/>
  <c r="I73" i="19" s="1"/>
  <c r="I105" i="19" s="1"/>
  <c r="J41" i="19"/>
  <c r="J73" i="19" s="1"/>
  <c r="J105" i="19" s="1"/>
  <c r="K41" i="19"/>
  <c r="K73" i="19" s="1"/>
  <c r="K105" i="19" s="1"/>
  <c r="L41" i="19"/>
  <c r="L73" i="19" s="1"/>
  <c r="L105" i="19" s="1"/>
  <c r="M41" i="19"/>
  <c r="M73" i="19" s="1"/>
  <c r="M105" i="19" s="1"/>
  <c r="N41" i="19"/>
  <c r="N73" i="19" s="1"/>
  <c r="N105" i="19" s="1"/>
  <c r="O41" i="19"/>
  <c r="O73" i="19" s="1"/>
  <c r="O105" i="19" s="1"/>
  <c r="P41" i="19"/>
  <c r="P73" i="19" s="1"/>
  <c r="P105" i="19" s="1"/>
  <c r="Q41" i="19"/>
  <c r="Q73" i="19" s="1"/>
  <c r="Q105" i="19" s="1"/>
  <c r="R41" i="19"/>
  <c r="R73" i="19" s="1"/>
  <c r="R105" i="19" s="1"/>
  <c r="S41" i="19"/>
  <c r="S73" i="19" s="1"/>
  <c r="S105" i="19" s="1"/>
  <c r="T41" i="19"/>
  <c r="T73" i="19" s="1"/>
  <c r="T105" i="19" s="1"/>
  <c r="E42" i="19"/>
  <c r="E74" i="19" s="1"/>
  <c r="E106" i="19" s="1"/>
  <c r="F42" i="19"/>
  <c r="F74" i="19" s="1"/>
  <c r="F106" i="19" s="1"/>
  <c r="G42" i="19"/>
  <c r="G74" i="19" s="1"/>
  <c r="G106" i="19" s="1"/>
  <c r="H42" i="19"/>
  <c r="H74" i="19" s="1"/>
  <c r="H106" i="19" s="1"/>
  <c r="I42" i="19"/>
  <c r="I74" i="19" s="1"/>
  <c r="I106" i="19" s="1"/>
  <c r="J42" i="19"/>
  <c r="J74" i="19" s="1"/>
  <c r="J106" i="19" s="1"/>
  <c r="K42" i="19"/>
  <c r="K74" i="19" s="1"/>
  <c r="K106" i="19" s="1"/>
  <c r="L42" i="19"/>
  <c r="L74" i="19" s="1"/>
  <c r="L106" i="19" s="1"/>
  <c r="M42" i="19"/>
  <c r="M74" i="19" s="1"/>
  <c r="M106" i="19" s="1"/>
  <c r="N42" i="19"/>
  <c r="N74" i="19" s="1"/>
  <c r="N106" i="19" s="1"/>
  <c r="O42" i="19"/>
  <c r="O74" i="19" s="1"/>
  <c r="O106" i="19" s="1"/>
  <c r="P42" i="19"/>
  <c r="P74" i="19" s="1"/>
  <c r="P106" i="19" s="1"/>
  <c r="Q42" i="19"/>
  <c r="Q74" i="19" s="1"/>
  <c r="Q106" i="19" s="1"/>
  <c r="R42" i="19"/>
  <c r="R74" i="19" s="1"/>
  <c r="R106" i="19" s="1"/>
  <c r="S42" i="19"/>
  <c r="S74" i="19" s="1"/>
  <c r="S106" i="19" s="1"/>
  <c r="T42" i="19"/>
  <c r="T74" i="19" s="1"/>
  <c r="T106" i="19" s="1"/>
  <c r="E43" i="19"/>
  <c r="E75" i="19" s="1"/>
  <c r="E107" i="19" s="1"/>
  <c r="F43" i="19"/>
  <c r="F75" i="19" s="1"/>
  <c r="F107" i="19" s="1"/>
  <c r="G43" i="19"/>
  <c r="G75" i="19" s="1"/>
  <c r="G107" i="19" s="1"/>
  <c r="H43" i="19"/>
  <c r="H75" i="19" s="1"/>
  <c r="H107" i="19" s="1"/>
  <c r="I43" i="19"/>
  <c r="I75" i="19" s="1"/>
  <c r="I107" i="19" s="1"/>
  <c r="J43" i="19"/>
  <c r="J75" i="19" s="1"/>
  <c r="J107" i="19" s="1"/>
  <c r="K43" i="19"/>
  <c r="K75" i="19" s="1"/>
  <c r="K107" i="19" s="1"/>
  <c r="L43" i="19"/>
  <c r="L75" i="19" s="1"/>
  <c r="L107" i="19" s="1"/>
  <c r="M43" i="19"/>
  <c r="M75" i="19" s="1"/>
  <c r="M107" i="19" s="1"/>
  <c r="N43" i="19"/>
  <c r="N75" i="19" s="1"/>
  <c r="N107" i="19" s="1"/>
  <c r="O43" i="19"/>
  <c r="O75" i="19" s="1"/>
  <c r="O107" i="19" s="1"/>
  <c r="P43" i="19"/>
  <c r="P75" i="19" s="1"/>
  <c r="P107" i="19" s="1"/>
  <c r="Q43" i="19"/>
  <c r="Q75" i="19" s="1"/>
  <c r="Q107" i="19" s="1"/>
  <c r="R43" i="19"/>
  <c r="R75" i="19" s="1"/>
  <c r="R107" i="19" s="1"/>
  <c r="S43" i="19"/>
  <c r="T43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E47" i="19"/>
  <c r="F47" i="19"/>
  <c r="G47" i="19"/>
  <c r="H47" i="19"/>
  <c r="I47" i="19"/>
  <c r="J47" i="19"/>
  <c r="K47" i="19"/>
  <c r="L47" i="19"/>
  <c r="M47" i="19"/>
  <c r="N47" i="19"/>
  <c r="O47" i="19"/>
  <c r="P47" i="19"/>
  <c r="Q47" i="19"/>
  <c r="R47" i="19"/>
  <c r="S47" i="19"/>
  <c r="T47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S48" i="19"/>
  <c r="T48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R52" i="19"/>
  <c r="S52" i="19"/>
  <c r="T52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E60" i="19"/>
  <c r="F60" i="19"/>
  <c r="G60" i="19"/>
  <c r="H60" i="19"/>
  <c r="I60" i="19"/>
  <c r="J60" i="19"/>
  <c r="K60" i="19"/>
  <c r="L60" i="19"/>
  <c r="M60" i="19"/>
  <c r="N60" i="19"/>
  <c r="O60" i="19"/>
  <c r="P60" i="19"/>
  <c r="Q60" i="19"/>
  <c r="R60" i="19"/>
  <c r="S60" i="19"/>
  <c r="T60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S75" i="19"/>
  <c r="T75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E78" i="19"/>
  <c r="E110" i="19" s="1"/>
  <c r="F78" i="19"/>
  <c r="F110" i="19" s="1"/>
  <c r="G78" i="19"/>
  <c r="G110" i="19" s="1"/>
  <c r="H78" i="19"/>
  <c r="H110" i="19" s="1"/>
  <c r="I78" i="19"/>
  <c r="I110" i="19" s="1"/>
  <c r="J78" i="19"/>
  <c r="J110" i="19" s="1"/>
  <c r="K78" i="19"/>
  <c r="K110" i="19" s="1"/>
  <c r="L78" i="19"/>
  <c r="L110" i="19" s="1"/>
  <c r="M78" i="19"/>
  <c r="M110" i="19" s="1"/>
  <c r="N78" i="19"/>
  <c r="N110" i="19" s="1"/>
  <c r="O78" i="19"/>
  <c r="O110" i="19" s="1"/>
  <c r="P78" i="19"/>
  <c r="P110" i="19" s="1"/>
  <c r="Q78" i="19"/>
  <c r="Q110" i="19" s="1"/>
  <c r="R78" i="19"/>
  <c r="R110" i="19" s="1"/>
  <c r="S78" i="19"/>
  <c r="S110" i="19" s="1"/>
  <c r="T78" i="19"/>
  <c r="T110" i="19" s="1"/>
  <c r="E79" i="19"/>
  <c r="E111" i="19" s="1"/>
  <c r="F79" i="19"/>
  <c r="F111" i="19" s="1"/>
  <c r="G79" i="19"/>
  <c r="G111" i="19" s="1"/>
  <c r="H79" i="19"/>
  <c r="H111" i="19" s="1"/>
  <c r="I79" i="19"/>
  <c r="I111" i="19" s="1"/>
  <c r="J79" i="19"/>
  <c r="J111" i="19" s="1"/>
  <c r="K79" i="19"/>
  <c r="K111" i="19" s="1"/>
  <c r="L79" i="19"/>
  <c r="L111" i="19" s="1"/>
  <c r="M79" i="19"/>
  <c r="M111" i="19" s="1"/>
  <c r="N79" i="19"/>
  <c r="N111" i="19" s="1"/>
  <c r="O79" i="19"/>
  <c r="O111" i="19" s="1"/>
  <c r="P79" i="19"/>
  <c r="P111" i="19" s="1"/>
  <c r="Q79" i="19"/>
  <c r="Q111" i="19" s="1"/>
  <c r="R79" i="19"/>
  <c r="R111" i="19" s="1"/>
  <c r="S79" i="19"/>
  <c r="S111" i="19" s="1"/>
  <c r="T79" i="19"/>
  <c r="T111" i="19" s="1"/>
  <c r="E80" i="19"/>
  <c r="E112" i="19" s="1"/>
  <c r="F80" i="19"/>
  <c r="F112" i="19" s="1"/>
  <c r="G80" i="19"/>
  <c r="G112" i="19" s="1"/>
  <c r="H80" i="19"/>
  <c r="H112" i="19" s="1"/>
  <c r="I80" i="19"/>
  <c r="I112" i="19" s="1"/>
  <c r="J80" i="19"/>
  <c r="J112" i="19" s="1"/>
  <c r="K80" i="19"/>
  <c r="K112" i="19" s="1"/>
  <c r="L80" i="19"/>
  <c r="L112" i="19" s="1"/>
  <c r="M80" i="19"/>
  <c r="M112" i="19" s="1"/>
  <c r="N80" i="19"/>
  <c r="N112" i="19" s="1"/>
  <c r="O80" i="19"/>
  <c r="O112" i="19" s="1"/>
  <c r="P80" i="19"/>
  <c r="P112" i="19" s="1"/>
  <c r="Q80" i="19"/>
  <c r="Q112" i="19" s="1"/>
  <c r="R80" i="19"/>
  <c r="R112" i="19" s="1"/>
  <c r="S80" i="19"/>
  <c r="S112" i="19" s="1"/>
  <c r="T80" i="19"/>
  <c r="T112" i="19" s="1"/>
  <c r="E81" i="19"/>
  <c r="E113" i="19" s="1"/>
  <c r="F81" i="19"/>
  <c r="F113" i="19" s="1"/>
  <c r="G81" i="19"/>
  <c r="G113" i="19" s="1"/>
  <c r="H81" i="19"/>
  <c r="H113" i="19" s="1"/>
  <c r="I81" i="19"/>
  <c r="I113" i="19" s="1"/>
  <c r="J81" i="19"/>
  <c r="J113" i="19" s="1"/>
  <c r="K81" i="19"/>
  <c r="K113" i="19" s="1"/>
  <c r="L81" i="19"/>
  <c r="L113" i="19" s="1"/>
  <c r="M81" i="19"/>
  <c r="M113" i="19" s="1"/>
  <c r="N81" i="19"/>
  <c r="N113" i="19" s="1"/>
  <c r="O81" i="19"/>
  <c r="O113" i="19" s="1"/>
  <c r="P81" i="19"/>
  <c r="P113" i="19" s="1"/>
  <c r="Q81" i="19"/>
  <c r="Q113" i="19" s="1"/>
  <c r="R81" i="19"/>
  <c r="R113" i="19" s="1"/>
  <c r="S81" i="19"/>
  <c r="S113" i="19" s="1"/>
  <c r="T81" i="19"/>
  <c r="T113" i="19" s="1"/>
  <c r="E82" i="19"/>
  <c r="E114" i="19" s="1"/>
  <c r="F82" i="19"/>
  <c r="F114" i="19" s="1"/>
  <c r="G82" i="19"/>
  <c r="G114" i="19" s="1"/>
  <c r="H82" i="19"/>
  <c r="H114" i="19" s="1"/>
  <c r="I82" i="19"/>
  <c r="I114" i="19" s="1"/>
  <c r="J82" i="19"/>
  <c r="J114" i="19" s="1"/>
  <c r="K82" i="19"/>
  <c r="K114" i="19" s="1"/>
  <c r="L82" i="19"/>
  <c r="L114" i="19" s="1"/>
  <c r="M82" i="19"/>
  <c r="M114" i="19" s="1"/>
  <c r="N82" i="19"/>
  <c r="N114" i="19" s="1"/>
  <c r="O82" i="19"/>
  <c r="O114" i="19" s="1"/>
  <c r="P82" i="19"/>
  <c r="P114" i="19" s="1"/>
  <c r="Q82" i="19"/>
  <c r="Q114" i="19" s="1"/>
  <c r="R82" i="19"/>
  <c r="R114" i="19" s="1"/>
  <c r="S82" i="19"/>
  <c r="S114" i="19" s="1"/>
  <c r="T82" i="19"/>
  <c r="T114" i="19" s="1"/>
  <c r="E83" i="19"/>
  <c r="E115" i="19" s="1"/>
  <c r="F83" i="19"/>
  <c r="F115" i="19" s="1"/>
  <c r="G83" i="19"/>
  <c r="G115" i="19" s="1"/>
  <c r="H83" i="19"/>
  <c r="H115" i="19" s="1"/>
  <c r="I83" i="19"/>
  <c r="I115" i="19" s="1"/>
  <c r="J83" i="19"/>
  <c r="J115" i="19" s="1"/>
  <c r="K83" i="19"/>
  <c r="K115" i="19" s="1"/>
  <c r="L83" i="19"/>
  <c r="L115" i="19" s="1"/>
  <c r="M83" i="19"/>
  <c r="M115" i="19" s="1"/>
  <c r="N83" i="19"/>
  <c r="N115" i="19" s="1"/>
  <c r="O83" i="19"/>
  <c r="O115" i="19" s="1"/>
  <c r="P83" i="19"/>
  <c r="P115" i="19" s="1"/>
  <c r="Q83" i="19"/>
  <c r="Q115" i="19" s="1"/>
  <c r="R83" i="19"/>
  <c r="R115" i="19" s="1"/>
  <c r="S83" i="19"/>
  <c r="S115" i="19" s="1"/>
  <c r="T83" i="19"/>
  <c r="T115" i="19" s="1"/>
  <c r="E84" i="19"/>
  <c r="E116" i="19" s="1"/>
  <c r="F84" i="19"/>
  <c r="F116" i="19" s="1"/>
  <c r="G84" i="19"/>
  <c r="G116" i="19" s="1"/>
  <c r="H84" i="19"/>
  <c r="H116" i="19" s="1"/>
  <c r="I84" i="19"/>
  <c r="I116" i="19" s="1"/>
  <c r="J84" i="19"/>
  <c r="J116" i="19" s="1"/>
  <c r="K84" i="19"/>
  <c r="K116" i="19" s="1"/>
  <c r="L84" i="19"/>
  <c r="L116" i="19" s="1"/>
  <c r="M84" i="19"/>
  <c r="M116" i="19" s="1"/>
  <c r="N84" i="19"/>
  <c r="N116" i="19" s="1"/>
  <c r="O84" i="19"/>
  <c r="O116" i="19" s="1"/>
  <c r="P84" i="19"/>
  <c r="P116" i="19" s="1"/>
  <c r="Q84" i="19"/>
  <c r="Q116" i="19" s="1"/>
  <c r="R84" i="19"/>
  <c r="R116" i="19" s="1"/>
  <c r="S84" i="19"/>
  <c r="S116" i="19" s="1"/>
  <c r="T84" i="19"/>
  <c r="T116" i="19" s="1"/>
  <c r="E85" i="19"/>
  <c r="E117" i="19" s="1"/>
  <c r="F85" i="19"/>
  <c r="F117" i="19" s="1"/>
  <c r="G85" i="19"/>
  <c r="G117" i="19" s="1"/>
  <c r="H85" i="19"/>
  <c r="H117" i="19" s="1"/>
  <c r="I85" i="19"/>
  <c r="I117" i="19" s="1"/>
  <c r="J85" i="19"/>
  <c r="J117" i="19" s="1"/>
  <c r="K85" i="19"/>
  <c r="K117" i="19" s="1"/>
  <c r="L85" i="19"/>
  <c r="L117" i="19" s="1"/>
  <c r="M85" i="19"/>
  <c r="M117" i="19" s="1"/>
  <c r="N85" i="19"/>
  <c r="N117" i="19" s="1"/>
  <c r="O85" i="19"/>
  <c r="O117" i="19" s="1"/>
  <c r="P85" i="19"/>
  <c r="P117" i="19" s="1"/>
  <c r="Q85" i="19"/>
  <c r="Q117" i="19" s="1"/>
  <c r="R85" i="19"/>
  <c r="R117" i="19" s="1"/>
  <c r="S85" i="19"/>
  <c r="S117" i="19" s="1"/>
  <c r="T85" i="19"/>
  <c r="T117" i="19" s="1"/>
  <c r="E86" i="19"/>
  <c r="E118" i="19" s="1"/>
  <c r="F86" i="19"/>
  <c r="F118" i="19" s="1"/>
  <c r="G86" i="19"/>
  <c r="G118" i="19" s="1"/>
  <c r="H86" i="19"/>
  <c r="H118" i="19" s="1"/>
  <c r="I86" i="19"/>
  <c r="I118" i="19" s="1"/>
  <c r="J86" i="19"/>
  <c r="J118" i="19" s="1"/>
  <c r="K86" i="19"/>
  <c r="K118" i="19" s="1"/>
  <c r="L86" i="19"/>
  <c r="L118" i="19" s="1"/>
  <c r="M86" i="19"/>
  <c r="M118" i="19" s="1"/>
  <c r="N86" i="19"/>
  <c r="N118" i="19" s="1"/>
  <c r="O86" i="19"/>
  <c r="O118" i="19" s="1"/>
  <c r="P86" i="19"/>
  <c r="P118" i="19" s="1"/>
  <c r="Q86" i="19"/>
  <c r="Q118" i="19" s="1"/>
  <c r="R86" i="19"/>
  <c r="R118" i="19" s="1"/>
  <c r="S86" i="19"/>
  <c r="S118" i="19" s="1"/>
  <c r="T86" i="19"/>
  <c r="T118" i="19" s="1"/>
  <c r="E87" i="19"/>
  <c r="E119" i="19" s="1"/>
  <c r="F87" i="19"/>
  <c r="F119" i="19" s="1"/>
  <c r="G87" i="19"/>
  <c r="G119" i="19" s="1"/>
  <c r="H87" i="19"/>
  <c r="H119" i="19" s="1"/>
  <c r="I87" i="19"/>
  <c r="I119" i="19" s="1"/>
  <c r="J87" i="19"/>
  <c r="J119" i="19" s="1"/>
  <c r="K87" i="19"/>
  <c r="K119" i="19" s="1"/>
  <c r="L87" i="19"/>
  <c r="L119" i="19" s="1"/>
  <c r="M87" i="19"/>
  <c r="M119" i="19" s="1"/>
  <c r="N87" i="19"/>
  <c r="N119" i="19" s="1"/>
  <c r="O87" i="19"/>
  <c r="O119" i="19" s="1"/>
  <c r="P87" i="19"/>
  <c r="P119" i="19" s="1"/>
  <c r="Q87" i="19"/>
  <c r="Q119" i="19" s="1"/>
  <c r="R87" i="19"/>
  <c r="R119" i="19" s="1"/>
  <c r="S87" i="19"/>
  <c r="S119" i="19" s="1"/>
  <c r="T87" i="19"/>
  <c r="T119" i="19" s="1"/>
  <c r="E88" i="19"/>
  <c r="E120" i="19" s="1"/>
  <c r="F88" i="19"/>
  <c r="F120" i="19" s="1"/>
  <c r="G88" i="19"/>
  <c r="G120" i="19" s="1"/>
  <c r="H88" i="19"/>
  <c r="H120" i="19" s="1"/>
  <c r="I88" i="19"/>
  <c r="I120" i="19" s="1"/>
  <c r="J88" i="19"/>
  <c r="J120" i="19" s="1"/>
  <c r="K88" i="19"/>
  <c r="K120" i="19" s="1"/>
  <c r="L88" i="19"/>
  <c r="L120" i="19" s="1"/>
  <c r="M88" i="19"/>
  <c r="M120" i="19" s="1"/>
  <c r="N88" i="19"/>
  <c r="N120" i="19" s="1"/>
  <c r="O88" i="19"/>
  <c r="O120" i="19" s="1"/>
  <c r="P88" i="19"/>
  <c r="P120" i="19" s="1"/>
  <c r="Q88" i="19"/>
  <c r="Q120" i="19" s="1"/>
  <c r="R88" i="19"/>
  <c r="R120" i="19" s="1"/>
  <c r="S88" i="19"/>
  <c r="S120" i="19" s="1"/>
  <c r="T88" i="19"/>
  <c r="T120" i="19" s="1"/>
  <c r="E89" i="19"/>
  <c r="E121" i="19" s="1"/>
  <c r="F89" i="19"/>
  <c r="F121" i="19" s="1"/>
  <c r="G89" i="19"/>
  <c r="G121" i="19" s="1"/>
  <c r="H89" i="19"/>
  <c r="H121" i="19" s="1"/>
  <c r="I89" i="19"/>
  <c r="I121" i="19" s="1"/>
  <c r="J89" i="19"/>
  <c r="J121" i="19" s="1"/>
  <c r="K89" i="19"/>
  <c r="K121" i="19" s="1"/>
  <c r="L89" i="19"/>
  <c r="L121" i="19" s="1"/>
  <c r="M89" i="19"/>
  <c r="M121" i="19" s="1"/>
  <c r="N89" i="19"/>
  <c r="N121" i="19" s="1"/>
  <c r="O89" i="19"/>
  <c r="O121" i="19" s="1"/>
  <c r="P89" i="19"/>
  <c r="P121" i="19" s="1"/>
  <c r="Q89" i="19"/>
  <c r="Q121" i="19" s="1"/>
  <c r="R89" i="19"/>
  <c r="R121" i="19" s="1"/>
  <c r="S89" i="19"/>
  <c r="S121" i="19" s="1"/>
  <c r="T89" i="19"/>
  <c r="T121" i="19" s="1"/>
  <c r="E90" i="19"/>
  <c r="E122" i="19" s="1"/>
  <c r="F90" i="19"/>
  <c r="F122" i="19" s="1"/>
  <c r="G90" i="19"/>
  <c r="G122" i="19" s="1"/>
  <c r="H90" i="19"/>
  <c r="H122" i="19" s="1"/>
  <c r="I90" i="19"/>
  <c r="I122" i="19" s="1"/>
  <c r="J90" i="19"/>
  <c r="J122" i="19" s="1"/>
  <c r="K90" i="19"/>
  <c r="K122" i="19" s="1"/>
  <c r="L90" i="19"/>
  <c r="L122" i="19" s="1"/>
  <c r="M90" i="19"/>
  <c r="M122" i="19" s="1"/>
  <c r="N90" i="19"/>
  <c r="N122" i="19" s="1"/>
  <c r="O90" i="19"/>
  <c r="O122" i="19" s="1"/>
  <c r="P90" i="19"/>
  <c r="P122" i="19" s="1"/>
  <c r="Q90" i="19"/>
  <c r="Q122" i="19" s="1"/>
  <c r="R90" i="19"/>
  <c r="R122" i="19" s="1"/>
  <c r="S90" i="19"/>
  <c r="S122" i="19" s="1"/>
  <c r="T90" i="19"/>
  <c r="T122" i="19" s="1"/>
  <c r="E91" i="19"/>
  <c r="E123" i="19" s="1"/>
  <c r="F91" i="19"/>
  <c r="F123" i="19" s="1"/>
  <c r="G91" i="19"/>
  <c r="G123" i="19" s="1"/>
  <c r="H91" i="19"/>
  <c r="H123" i="19" s="1"/>
  <c r="I91" i="19"/>
  <c r="I123" i="19" s="1"/>
  <c r="J91" i="19"/>
  <c r="J123" i="19" s="1"/>
  <c r="K91" i="19"/>
  <c r="K123" i="19" s="1"/>
  <c r="L91" i="19"/>
  <c r="L123" i="19" s="1"/>
  <c r="M91" i="19"/>
  <c r="M123" i="19" s="1"/>
  <c r="N91" i="19"/>
  <c r="N123" i="19" s="1"/>
  <c r="O91" i="19"/>
  <c r="O123" i="19" s="1"/>
  <c r="P91" i="19"/>
  <c r="P123" i="19" s="1"/>
  <c r="Q91" i="19"/>
  <c r="Q123" i="19" s="1"/>
  <c r="R91" i="19"/>
  <c r="R123" i="19" s="1"/>
  <c r="S91" i="19"/>
  <c r="S123" i="19" s="1"/>
  <c r="T91" i="19"/>
  <c r="T123" i="19" s="1"/>
  <c r="E92" i="19"/>
  <c r="E124" i="19" s="1"/>
  <c r="F92" i="19"/>
  <c r="F124" i="19" s="1"/>
  <c r="G92" i="19"/>
  <c r="G124" i="19" s="1"/>
  <c r="H92" i="19"/>
  <c r="H124" i="19" s="1"/>
  <c r="I92" i="19"/>
  <c r="I124" i="19" s="1"/>
  <c r="J92" i="19"/>
  <c r="J124" i="19" s="1"/>
  <c r="K92" i="19"/>
  <c r="K124" i="19" s="1"/>
  <c r="L92" i="19"/>
  <c r="L124" i="19" s="1"/>
  <c r="M92" i="19"/>
  <c r="M124" i="19" s="1"/>
  <c r="N92" i="19"/>
  <c r="N124" i="19" s="1"/>
  <c r="O92" i="19"/>
  <c r="O124" i="19" s="1"/>
  <c r="P92" i="19"/>
  <c r="P124" i="19" s="1"/>
  <c r="Q92" i="19"/>
  <c r="Q124" i="19" s="1"/>
  <c r="R92" i="19"/>
  <c r="R124" i="19" s="1"/>
  <c r="S92" i="19"/>
  <c r="S124" i="19" s="1"/>
  <c r="T92" i="19"/>
  <c r="T124" i="19" s="1"/>
  <c r="E93" i="19"/>
  <c r="E125" i="19" s="1"/>
  <c r="F93" i="19"/>
  <c r="F125" i="19" s="1"/>
  <c r="G93" i="19"/>
  <c r="G125" i="19" s="1"/>
  <c r="H93" i="19"/>
  <c r="H125" i="19" s="1"/>
  <c r="I93" i="19"/>
  <c r="I125" i="19" s="1"/>
  <c r="J93" i="19"/>
  <c r="J125" i="19" s="1"/>
  <c r="K93" i="19"/>
  <c r="K125" i="19" s="1"/>
  <c r="L93" i="19"/>
  <c r="L125" i="19" s="1"/>
  <c r="M93" i="19"/>
  <c r="M125" i="19" s="1"/>
  <c r="N93" i="19"/>
  <c r="N125" i="19" s="1"/>
  <c r="O93" i="19"/>
  <c r="O125" i="19" s="1"/>
  <c r="P93" i="19"/>
  <c r="P125" i="19" s="1"/>
  <c r="Q93" i="19"/>
  <c r="Q125" i="19" s="1"/>
  <c r="R93" i="19"/>
  <c r="R125" i="19" s="1"/>
  <c r="S93" i="19"/>
  <c r="S125" i="19" s="1"/>
  <c r="T93" i="19"/>
  <c r="T125" i="19" s="1"/>
  <c r="E94" i="19"/>
  <c r="E126" i="19" s="1"/>
  <c r="F94" i="19"/>
  <c r="F126" i="19" s="1"/>
  <c r="G94" i="19"/>
  <c r="G126" i="19" s="1"/>
  <c r="H94" i="19"/>
  <c r="H126" i="19" s="1"/>
  <c r="I94" i="19"/>
  <c r="I126" i="19" s="1"/>
  <c r="J94" i="19"/>
  <c r="J126" i="19" s="1"/>
  <c r="K94" i="19"/>
  <c r="K126" i="19" s="1"/>
  <c r="L94" i="19"/>
  <c r="L126" i="19" s="1"/>
  <c r="M94" i="19"/>
  <c r="M126" i="19" s="1"/>
  <c r="N94" i="19"/>
  <c r="N126" i="19" s="1"/>
  <c r="O94" i="19"/>
  <c r="O126" i="19" s="1"/>
  <c r="P94" i="19"/>
  <c r="P126" i="19" s="1"/>
  <c r="Q94" i="19"/>
  <c r="Q126" i="19" s="1"/>
  <c r="R94" i="19"/>
  <c r="R126" i="19" s="1"/>
  <c r="S94" i="19"/>
  <c r="S126" i="19" s="1"/>
  <c r="T94" i="19"/>
  <c r="T126" i="19" s="1"/>
  <c r="E95" i="19"/>
  <c r="F95" i="19"/>
  <c r="G95" i="19"/>
  <c r="H95" i="19"/>
  <c r="I95" i="19"/>
  <c r="J95" i="19"/>
  <c r="K95" i="19"/>
  <c r="L95" i="19"/>
  <c r="M95" i="19"/>
  <c r="N95" i="19"/>
  <c r="O95" i="19"/>
  <c r="P95" i="19"/>
  <c r="Q95" i="19"/>
  <c r="R95" i="19"/>
  <c r="S95" i="19"/>
  <c r="T95" i="19"/>
  <c r="E96" i="19"/>
  <c r="F96" i="19"/>
  <c r="G96" i="19"/>
  <c r="H96" i="19"/>
  <c r="I96" i="19"/>
  <c r="J96" i="19"/>
  <c r="K96" i="19"/>
  <c r="L96" i="19"/>
  <c r="M96" i="19"/>
  <c r="N96" i="19"/>
  <c r="O96" i="19"/>
  <c r="P96" i="19"/>
  <c r="Q96" i="19"/>
  <c r="R96" i="19"/>
  <c r="S96" i="19"/>
  <c r="T96" i="19"/>
  <c r="E97" i="19"/>
  <c r="F97" i="19"/>
  <c r="G97" i="19"/>
  <c r="H97" i="19"/>
  <c r="I97" i="19"/>
  <c r="J97" i="19"/>
  <c r="K97" i="19"/>
  <c r="L97" i="19"/>
  <c r="M97" i="19"/>
  <c r="N97" i="19"/>
  <c r="O97" i="19"/>
  <c r="P97" i="19"/>
  <c r="Q97" i="19"/>
  <c r="R97" i="19"/>
  <c r="S97" i="19"/>
  <c r="T97" i="19"/>
  <c r="E98" i="19"/>
  <c r="F98" i="19"/>
  <c r="G98" i="19"/>
  <c r="H98" i="19"/>
  <c r="I98" i="19"/>
  <c r="J98" i="19"/>
  <c r="K98" i="19"/>
  <c r="L98" i="19"/>
  <c r="M98" i="19"/>
  <c r="N98" i="19"/>
  <c r="O98" i="19"/>
  <c r="P98" i="19"/>
  <c r="Q98" i="19"/>
  <c r="R98" i="19"/>
  <c r="S98" i="19"/>
  <c r="T98" i="19"/>
  <c r="E99" i="19"/>
  <c r="F99" i="19"/>
  <c r="G99" i="19"/>
  <c r="H99" i="19"/>
  <c r="I99" i="19"/>
  <c r="J99" i="19"/>
  <c r="K99" i="19"/>
  <c r="L99" i="19"/>
  <c r="M99" i="19"/>
  <c r="N99" i="19"/>
  <c r="O99" i="19"/>
  <c r="P99" i="19"/>
  <c r="Q99" i="19"/>
  <c r="R99" i="19"/>
  <c r="S99" i="19"/>
  <c r="T99" i="19"/>
  <c r="E100" i="19"/>
  <c r="F100" i="19"/>
  <c r="G100" i="19"/>
  <c r="H100" i="19"/>
  <c r="I100" i="19"/>
  <c r="J100" i="19"/>
  <c r="K100" i="19"/>
  <c r="L100" i="19"/>
  <c r="M100" i="19"/>
  <c r="N100" i="19"/>
  <c r="O100" i="19"/>
  <c r="P100" i="19"/>
  <c r="Q100" i="19"/>
  <c r="R100" i="19"/>
  <c r="S100" i="19"/>
  <c r="T100" i="19"/>
  <c r="E101" i="19"/>
  <c r="F101" i="19"/>
  <c r="G101" i="19"/>
  <c r="H101" i="19"/>
  <c r="I101" i="19"/>
  <c r="J101" i="19"/>
  <c r="K101" i="19"/>
  <c r="L101" i="19"/>
  <c r="M101" i="19"/>
  <c r="N101" i="19"/>
  <c r="O101" i="19"/>
  <c r="P101" i="19"/>
  <c r="Q101" i="19"/>
  <c r="R101" i="19"/>
  <c r="S101" i="19"/>
  <c r="T101" i="19"/>
  <c r="E102" i="19"/>
  <c r="F102" i="19"/>
  <c r="G102" i="19"/>
  <c r="H102" i="19"/>
  <c r="I102" i="19"/>
  <c r="J102" i="19"/>
  <c r="K102" i="19"/>
  <c r="L102" i="19"/>
  <c r="M102" i="19"/>
  <c r="N102" i="19"/>
  <c r="O102" i="19"/>
  <c r="P102" i="19"/>
  <c r="Q102" i="19"/>
  <c r="R102" i="19"/>
  <c r="S102" i="19"/>
  <c r="T102" i="19"/>
  <c r="S107" i="19"/>
  <c r="T107" i="19"/>
  <c r="E108" i="19"/>
  <c r="F108" i="19"/>
  <c r="G108" i="19"/>
  <c r="H108" i="19"/>
  <c r="I108" i="19"/>
  <c r="J108" i="19"/>
  <c r="K108" i="19"/>
  <c r="L108" i="19"/>
  <c r="M108" i="19"/>
  <c r="N108" i="19"/>
  <c r="O108" i="19"/>
  <c r="P108" i="19"/>
  <c r="Q108" i="19"/>
  <c r="R108" i="19"/>
  <c r="S108" i="19"/>
  <c r="T108" i="19"/>
  <c r="E109" i="19"/>
  <c r="F109" i="19"/>
  <c r="G109" i="19"/>
  <c r="H109" i="19"/>
  <c r="I109" i="19"/>
  <c r="J109" i="19"/>
  <c r="K109" i="19"/>
  <c r="L109" i="19"/>
  <c r="M109" i="19"/>
  <c r="N109" i="19"/>
  <c r="O109" i="19"/>
  <c r="P109" i="19"/>
  <c r="Q109" i="19"/>
  <c r="R109" i="19"/>
  <c r="S109" i="19"/>
  <c r="T109" i="19"/>
  <c r="T39" i="19"/>
  <c r="T71" i="19" s="1"/>
  <c r="T103" i="19" s="1"/>
  <c r="S39" i="19"/>
  <c r="S71" i="19" s="1"/>
  <c r="S103" i="19" s="1"/>
  <c r="R39" i="19"/>
  <c r="R71" i="19" s="1"/>
  <c r="R103" i="19" s="1"/>
  <c r="Q39" i="19"/>
  <c r="Q71" i="19" s="1"/>
  <c r="Q103" i="19" s="1"/>
  <c r="P39" i="19"/>
  <c r="P71" i="19" s="1"/>
  <c r="P103" i="19" s="1"/>
  <c r="O39" i="19"/>
  <c r="O71" i="19" s="1"/>
  <c r="O103" i="19" s="1"/>
  <c r="N39" i="19"/>
  <c r="N71" i="19" s="1"/>
  <c r="N103" i="19" s="1"/>
  <c r="M39" i="19"/>
  <c r="M71" i="19" s="1"/>
  <c r="M103" i="19" s="1"/>
  <c r="L39" i="19"/>
  <c r="L71" i="19" s="1"/>
  <c r="L103" i="19" s="1"/>
  <c r="K39" i="19"/>
  <c r="K71" i="19" s="1"/>
  <c r="K103" i="19" s="1"/>
  <c r="J39" i="19"/>
  <c r="J71" i="19" s="1"/>
  <c r="J103" i="19" s="1"/>
  <c r="I39" i="19"/>
  <c r="I71" i="19" s="1"/>
  <c r="I103" i="19" s="1"/>
  <c r="H39" i="19"/>
  <c r="H71" i="19" s="1"/>
  <c r="H103" i="19" s="1"/>
  <c r="G39" i="19"/>
  <c r="G71" i="19" s="1"/>
  <c r="G103" i="19" s="1"/>
  <c r="F39" i="19"/>
  <c r="F71" i="19" s="1"/>
  <c r="F103" i="19" s="1"/>
  <c r="E39" i="19"/>
  <c r="E71" i="19" s="1"/>
  <c r="E103" i="19" s="1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E43" i="18"/>
  <c r="F43" i="18"/>
  <c r="F75" i="18" s="1"/>
  <c r="F107" i="18" s="1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E53" i="18"/>
  <c r="F53" i="18"/>
  <c r="G53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T53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E56" i="18"/>
  <c r="F56" i="18"/>
  <c r="G56" i="18"/>
  <c r="G88" i="18" s="1"/>
  <c r="G120" i="18" s="1"/>
  <c r="H56" i="18"/>
  <c r="H88" i="18" s="1"/>
  <c r="H120" i="18" s="1"/>
  <c r="I56" i="18"/>
  <c r="I88" i="18" s="1"/>
  <c r="I120" i="18" s="1"/>
  <c r="J56" i="18"/>
  <c r="J88" i="18" s="1"/>
  <c r="J120" i="18" s="1"/>
  <c r="K56" i="18"/>
  <c r="K88" i="18" s="1"/>
  <c r="K120" i="18" s="1"/>
  <c r="L56" i="18"/>
  <c r="L88" i="18" s="1"/>
  <c r="L120" i="18" s="1"/>
  <c r="M56" i="18"/>
  <c r="M88" i="18" s="1"/>
  <c r="M120" i="18" s="1"/>
  <c r="N56" i="18"/>
  <c r="N88" i="18" s="1"/>
  <c r="N120" i="18" s="1"/>
  <c r="O56" i="18"/>
  <c r="O88" i="18" s="1"/>
  <c r="O120" i="18" s="1"/>
  <c r="P56" i="18"/>
  <c r="P88" i="18" s="1"/>
  <c r="P120" i="18" s="1"/>
  <c r="Q56" i="18"/>
  <c r="Q88" i="18" s="1"/>
  <c r="Q120" i="18" s="1"/>
  <c r="R56" i="18"/>
  <c r="R88" i="18" s="1"/>
  <c r="R120" i="18" s="1"/>
  <c r="S56" i="18"/>
  <c r="S88" i="18" s="1"/>
  <c r="S120" i="18" s="1"/>
  <c r="T56" i="18"/>
  <c r="T88" i="18" s="1"/>
  <c r="T120" i="18" s="1"/>
  <c r="E57" i="18"/>
  <c r="E89" i="18" s="1"/>
  <c r="E121" i="18" s="1"/>
  <c r="F57" i="18"/>
  <c r="F89" i="18" s="1"/>
  <c r="F121" i="18" s="1"/>
  <c r="G57" i="18"/>
  <c r="G89" i="18" s="1"/>
  <c r="G121" i="18" s="1"/>
  <c r="H57" i="18"/>
  <c r="H89" i="18" s="1"/>
  <c r="H121" i="18" s="1"/>
  <c r="I57" i="18"/>
  <c r="I89" i="18" s="1"/>
  <c r="I121" i="18" s="1"/>
  <c r="J57" i="18"/>
  <c r="J89" i="18" s="1"/>
  <c r="J121" i="18" s="1"/>
  <c r="K57" i="18"/>
  <c r="K89" i="18" s="1"/>
  <c r="K121" i="18" s="1"/>
  <c r="L57" i="18"/>
  <c r="L89" i="18" s="1"/>
  <c r="L121" i="18" s="1"/>
  <c r="M57" i="18"/>
  <c r="M89" i="18" s="1"/>
  <c r="M121" i="18" s="1"/>
  <c r="N57" i="18"/>
  <c r="N89" i="18" s="1"/>
  <c r="N121" i="18" s="1"/>
  <c r="O57" i="18"/>
  <c r="O89" i="18" s="1"/>
  <c r="O121" i="18" s="1"/>
  <c r="P57" i="18"/>
  <c r="P89" i="18" s="1"/>
  <c r="P121" i="18" s="1"/>
  <c r="Q57" i="18"/>
  <c r="Q89" i="18" s="1"/>
  <c r="Q121" i="18" s="1"/>
  <c r="R57" i="18"/>
  <c r="R89" i="18" s="1"/>
  <c r="R121" i="18" s="1"/>
  <c r="S57" i="18"/>
  <c r="S89" i="18" s="1"/>
  <c r="S121" i="18" s="1"/>
  <c r="T57" i="18"/>
  <c r="T89" i="18" s="1"/>
  <c r="T121" i="18" s="1"/>
  <c r="E58" i="18"/>
  <c r="E90" i="18" s="1"/>
  <c r="E122" i="18" s="1"/>
  <c r="F58" i="18"/>
  <c r="F90" i="18" s="1"/>
  <c r="F122" i="18" s="1"/>
  <c r="G58" i="18"/>
  <c r="G90" i="18" s="1"/>
  <c r="G122" i="18" s="1"/>
  <c r="H58" i="18"/>
  <c r="H90" i="18" s="1"/>
  <c r="H122" i="18" s="1"/>
  <c r="I58" i="18"/>
  <c r="I90" i="18" s="1"/>
  <c r="I122" i="18" s="1"/>
  <c r="J58" i="18"/>
  <c r="J90" i="18" s="1"/>
  <c r="J122" i="18" s="1"/>
  <c r="K58" i="18"/>
  <c r="K90" i="18" s="1"/>
  <c r="K122" i="18" s="1"/>
  <c r="L58" i="18"/>
  <c r="L90" i="18" s="1"/>
  <c r="L122" i="18" s="1"/>
  <c r="M58" i="18"/>
  <c r="M90" i="18" s="1"/>
  <c r="M122" i="18" s="1"/>
  <c r="N58" i="18"/>
  <c r="N90" i="18" s="1"/>
  <c r="N122" i="18" s="1"/>
  <c r="O58" i="18"/>
  <c r="O90" i="18" s="1"/>
  <c r="O122" i="18" s="1"/>
  <c r="P58" i="18"/>
  <c r="P90" i="18" s="1"/>
  <c r="P122" i="18" s="1"/>
  <c r="Q58" i="18"/>
  <c r="Q90" i="18" s="1"/>
  <c r="Q122" i="18" s="1"/>
  <c r="R58" i="18"/>
  <c r="R90" i="18" s="1"/>
  <c r="R122" i="18" s="1"/>
  <c r="S58" i="18"/>
  <c r="S90" i="18" s="1"/>
  <c r="S122" i="18" s="1"/>
  <c r="T58" i="18"/>
  <c r="T90" i="18" s="1"/>
  <c r="T122" i="18" s="1"/>
  <c r="E59" i="18"/>
  <c r="E91" i="18" s="1"/>
  <c r="E123" i="18" s="1"/>
  <c r="F59" i="18"/>
  <c r="F91" i="18" s="1"/>
  <c r="F123" i="18" s="1"/>
  <c r="G59" i="18"/>
  <c r="G91" i="18" s="1"/>
  <c r="G123" i="18" s="1"/>
  <c r="H59" i="18"/>
  <c r="H91" i="18" s="1"/>
  <c r="H123" i="18" s="1"/>
  <c r="I59" i="18"/>
  <c r="I91" i="18" s="1"/>
  <c r="I123" i="18" s="1"/>
  <c r="J59" i="18"/>
  <c r="J91" i="18" s="1"/>
  <c r="J123" i="18" s="1"/>
  <c r="K59" i="18"/>
  <c r="K91" i="18" s="1"/>
  <c r="K123" i="18" s="1"/>
  <c r="L59" i="18"/>
  <c r="L91" i="18" s="1"/>
  <c r="L123" i="18" s="1"/>
  <c r="M59" i="18"/>
  <c r="M91" i="18" s="1"/>
  <c r="M123" i="18" s="1"/>
  <c r="N59" i="18"/>
  <c r="N91" i="18" s="1"/>
  <c r="N123" i="18" s="1"/>
  <c r="O59" i="18"/>
  <c r="O91" i="18" s="1"/>
  <c r="O123" i="18" s="1"/>
  <c r="P59" i="18"/>
  <c r="P91" i="18" s="1"/>
  <c r="P123" i="18" s="1"/>
  <c r="Q59" i="18"/>
  <c r="Q91" i="18" s="1"/>
  <c r="Q123" i="18" s="1"/>
  <c r="R59" i="18"/>
  <c r="R91" i="18" s="1"/>
  <c r="R123" i="18" s="1"/>
  <c r="S59" i="18"/>
  <c r="S91" i="18" s="1"/>
  <c r="S123" i="18" s="1"/>
  <c r="T59" i="18"/>
  <c r="T91" i="18" s="1"/>
  <c r="T123" i="18" s="1"/>
  <c r="E60" i="18"/>
  <c r="E92" i="18" s="1"/>
  <c r="E124" i="18" s="1"/>
  <c r="F60" i="18"/>
  <c r="F92" i="18" s="1"/>
  <c r="F124" i="18" s="1"/>
  <c r="G60" i="18"/>
  <c r="G92" i="18" s="1"/>
  <c r="G124" i="18" s="1"/>
  <c r="H60" i="18"/>
  <c r="H92" i="18" s="1"/>
  <c r="H124" i="18" s="1"/>
  <c r="I60" i="18"/>
  <c r="I92" i="18" s="1"/>
  <c r="I124" i="18" s="1"/>
  <c r="J60" i="18"/>
  <c r="J92" i="18" s="1"/>
  <c r="J124" i="18" s="1"/>
  <c r="K60" i="18"/>
  <c r="K92" i="18" s="1"/>
  <c r="K124" i="18" s="1"/>
  <c r="L60" i="18"/>
  <c r="L92" i="18" s="1"/>
  <c r="L124" i="18" s="1"/>
  <c r="M60" i="18"/>
  <c r="M92" i="18" s="1"/>
  <c r="M124" i="18" s="1"/>
  <c r="N60" i="18"/>
  <c r="N92" i="18" s="1"/>
  <c r="N124" i="18" s="1"/>
  <c r="O60" i="18"/>
  <c r="O92" i="18" s="1"/>
  <c r="O124" i="18" s="1"/>
  <c r="P60" i="18"/>
  <c r="P92" i="18" s="1"/>
  <c r="P124" i="18" s="1"/>
  <c r="Q60" i="18"/>
  <c r="Q92" i="18" s="1"/>
  <c r="Q124" i="18" s="1"/>
  <c r="R60" i="18"/>
  <c r="R92" i="18" s="1"/>
  <c r="R124" i="18" s="1"/>
  <c r="S60" i="18"/>
  <c r="S92" i="18" s="1"/>
  <c r="S124" i="18" s="1"/>
  <c r="T60" i="18"/>
  <c r="T92" i="18" s="1"/>
  <c r="T124" i="18" s="1"/>
  <c r="E61" i="18"/>
  <c r="E93" i="18" s="1"/>
  <c r="E125" i="18" s="1"/>
  <c r="F61" i="18"/>
  <c r="F93" i="18" s="1"/>
  <c r="F125" i="18" s="1"/>
  <c r="G61" i="18"/>
  <c r="G93" i="18" s="1"/>
  <c r="G125" i="18" s="1"/>
  <c r="H61" i="18"/>
  <c r="H93" i="18" s="1"/>
  <c r="H125" i="18" s="1"/>
  <c r="I61" i="18"/>
  <c r="I93" i="18" s="1"/>
  <c r="I125" i="18" s="1"/>
  <c r="J61" i="18"/>
  <c r="J93" i="18" s="1"/>
  <c r="J125" i="18" s="1"/>
  <c r="K61" i="18"/>
  <c r="K93" i="18" s="1"/>
  <c r="K125" i="18" s="1"/>
  <c r="L61" i="18"/>
  <c r="L93" i="18" s="1"/>
  <c r="L125" i="18" s="1"/>
  <c r="M61" i="18"/>
  <c r="M93" i="18" s="1"/>
  <c r="M125" i="18" s="1"/>
  <c r="N61" i="18"/>
  <c r="N93" i="18" s="1"/>
  <c r="N125" i="18" s="1"/>
  <c r="O61" i="18"/>
  <c r="O93" i="18" s="1"/>
  <c r="O125" i="18" s="1"/>
  <c r="P61" i="18"/>
  <c r="P93" i="18" s="1"/>
  <c r="P125" i="18" s="1"/>
  <c r="Q61" i="18"/>
  <c r="Q93" i="18" s="1"/>
  <c r="Q125" i="18" s="1"/>
  <c r="R61" i="18"/>
  <c r="R93" i="18" s="1"/>
  <c r="R125" i="18" s="1"/>
  <c r="S61" i="18"/>
  <c r="S93" i="18" s="1"/>
  <c r="S125" i="18" s="1"/>
  <c r="T61" i="18"/>
  <c r="T93" i="18" s="1"/>
  <c r="T125" i="18" s="1"/>
  <c r="E62" i="18"/>
  <c r="E94" i="18" s="1"/>
  <c r="E126" i="18" s="1"/>
  <c r="F62" i="18"/>
  <c r="F94" i="18" s="1"/>
  <c r="F126" i="18" s="1"/>
  <c r="G62" i="18"/>
  <c r="G94" i="18" s="1"/>
  <c r="G126" i="18" s="1"/>
  <c r="H62" i="18"/>
  <c r="H94" i="18" s="1"/>
  <c r="H126" i="18" s="1"/>
  <c r="I62" i="18"/>
  <c r="I94" i="18" s="1"/>
  <c r="I126" i="18" s="1"/>
  <c r="J62" i="18"/>
  <c r="J94" i="18" s="1"/>
  <c r="J126" i="18" s="1"/>
  <c r="K62" i="18"/>
  <c r="K94" i="18" s="1"/>
  <c r="K126" i="18" s="1"/>
  <c r="L62" i="18"/>
  <c r="L94" i="18" s="1"/>
  <c r="L126" i="18" s="1"/>
  <c r="M62" i="18"/>
  <c r="M94" i="18" s="1"/>
  <c r="M126" i="18" s="1"/>
  <c r="N62" i="18"/>
  <c r="N94" i="18" s="1"/>
  <c r="N126" i="18" s="1"/>
  <c r="O62" i="18"/>
  <c r="O94" i="18" s="1"/>
  <c r="O126" i="18" s="1"/>
  <c r="P62" i="18"/>
  <c r="P94" i="18" s="1"/>
  <c r="P126" i="18" s="1"/>
  <c r="Q62" i="18"/>
  <c r="Q94" i="18" s="1"/>
  <c r="Q126" i="18" s="1"/>
  <c r="R62" i="18"/>
  <c r="R94" i="18" s="1"/>
  <c r="R126" i="18" s="1"/>
  <c r="S62" i="18"/>
  <c r="S94" i="18" s="1"/>
  <c r="S126" i="18" s="1"/>
  <c r="T62" i="18"/>
  <c r="T94" i="18" s="1"/>
  <c r="T126" i="18" s="1"/>
  <c r="E63" i="18"/>
  <c r="E95" i="18" s="1"/>
  <c r="F63" i="18"/>
  <c r="F95" i="18" s="1"/>
  <c r="G63" i="18"/>
  <c r="G95" i="18" s="1"/>
  <c r="H63" i="18"/>
  <c r="H95" i="18" s="1"/>
  <c r="I63" i="18"/>
  <c r="I95" i="18" s="1"/>
  <c r="J63" i="18"/>
  <c r="J95" i="18" s="1"/>
  <c r="K63" i="18"/>
  <c r="K95" i="18" s="1"/>
  <c r="L63" i="18"/>
  <c r="L95" i="18" s="1"/>
  <c r="M63" i="18"/>
  <c r="M95" i="18" s="1"/>
  <c r="N63" i="18"/>
  <c r="N95" i="18" s="1"/>
  <c r="O63" i="18"/>
  <c r="O95" i="18" s="1"/>
  <c r="P63" i="18"/>
  <c r="P95" i="18" s="1"/>
  <c r="Q63" i="18"/>
  <c r="Q95" i="18" s="1"/>
  <c r="R63" i="18"/>
  <c r="R95" i="18" s="1"/>
  <c r="S63" i="18"/>
  <c r="S95" i="18" s="1"/>
  <c r="T63" i="18"/>
  <c r="T95" i="18" s="1"/>
  <c r="E64" i="18"/>
  <c r="E96" i="18" s="1"/>
  <c r="F64" i="18"/>
  <c r="F96" i="18" s="1"/>
  <c r="G64" i="18"/>
  <c r="G96" i="18" s="1"/>
  <c r="H64" i="18"/>
  <c r="H96" i="18" s="1"/>
  <c r="I64" i="18"/>
  <c r="I96" i="18" s="1"/>
  <c r="J64" i="18"/>
  <c r="J96" i="18" s="1"/>
  <c r="K64" i="18"/>
  <c r="K96" i="18" s="1"/>
  <c r="L64" i="18"/>
  <c r="L96" i="18" s="1"/>
  <c r="M64" i="18"/>
  <c r="M96" i="18" s="1"/>
  <c r="N64" i="18"/>
  <c r="N96" i="18" s="1"/>
  <c r="O64" i="18"/>
  <c r="O96" i="18" s="1"/>
  <c r="P64" i="18"/>
  <c r="P96" i="18" s="1"/>
  <c r="Q64" i="18"/>
  <c r="Q96" i="18" s="1"/>
  <c r="R64" i="18"/>
  <c r="R96" i="18" s="1"/>
  <c r="S64" i="18"/>
  <c r="S96" i="18" s="1"/>
  <c r="T64" i="18"/>
  <c r="T96" i="18" s="1"/>
  <c r="E65" i="18"/>
  <c r="E97" i="18" s="1"/>
  <c r="F65" i="18"/>
  <c r="F97" i="18" s="1"/>
  <c r="G65" i="18"/>
  <c r="G97" i="18" s="1"/>
  <c r="H65" i="18"/>
  <c r="H97" i="18" s="1"/>
  <c r="I65" i="18"/>
  <c r="I97" i="18" s="1"/>
  <c r="J65" i="18"/>
  <c r="J97" i="18" s="1"/>
  <c r="K65" i="18"/>
  <c r="K97" i="18" s="1"/>
  <c r="L65" i="18"/>
  <c r="L97" i="18" s="1"/>
  <c r="M65" i="18"/>
  <c r="M97" i="18" s="1"/>
  <c r="N65" i="18"/>
  <c r="N97" i="18" s="1"/>
  <c r="O65" i="18"/>
  <c r="O97" i="18" s="1"/>
  <c r="P65" i="18"/>
  <c r="P97" i="18" s="1"/>
  <c r="Q65" i="18"/>
  <c r="Q97" i="18" s="1"/>
  <c r="R65" i="18"/>
  <c r="R97" i="18" s="1"/>
  <c r="S65" i="18"/>
  <c r="S97" i="18" s="1"/>
  <c r="T65" i="18"/>
  <c r="T97" i="18" s="1"/>
  <c r="E66" i="18"/>
  <c r="E98" i="18" s="1"/>
  <c r="F66" i="18"/>
  <c r="F98" i="18" s="1"/>
  <c r="G66" i="18"/>
  <c r="G98" i="18" s="1"/>
  <c r="H66" i="18"/>
  <c r="H98" i="18" s="1"/>
  <c r="I66" i="18"/>
  <c r="I98" i="18" s="1"/>
  <c r="J66" i="18"/>
  <c r="J98" i="18" s="1"/>
  <c r="K66" i="18"/>
  <c r="K98" i="18" s="1"/>
  <c r="L66" i="18"/>
  <c r="L98" i="18" s="1"/>
  <c r="M66" i="18"/>
  <c r="M98" i="18" s="1"/>
  <c r="N66" i="18"/>
  <c r="N98" i="18" s="1"/>
  <c r="O66" i="18"/>
  <c r="O98" i="18" s="1"/>
  <c r="P66" i="18"/>
  <c r="P98" i="18" s="1"/>
  <c r="Q66" i="18"/>
  <c r="Q98" i="18" s="1"/>
  <c r="R66" i="18"/>
  <c r="R98" i="18" s="1"/>
  <c r="S66" i="18"/>
  <c r="S98" i="18" s="1"/>
  <c r="T66" i="18"/>
  <c r="T98" i="18" s="1"/>
  <c r="E67" i="18"/>
  <c r="E99" i="18" s="1"/>
  <c r="F67" i="18"/>
  <c r="F99" i="18" s="1"/>
  <c r="G67" i="18"/>
  <c r="G99" i="18" s="1"/>
  <c r="H67" i="18"/>
  <c r="H99" i="18" s="1"/>
  <c r="I67" i="18"/>
  <c r="I99" i="18" s="1"/>
  <c r="J67" i="18"/>
  <c r="J99" i="18" s="1"/>
  <c r="K67" i="18"/>
  <c r="K99" i="18" s="1"/>
  <c r="L67" i="18"/>
  <c r="L99" i="18" s="1"/>
  <c r="M67" i="18"/>
  <c r="M99" i="18" s="1"/>
  <c r="N67" i="18"/>
  <c r="N99" i="18" s="1"/>
  <c r="O67" i="18"/>
  <c r="O99" i="18" s="1"/>
  <c r="P67" i="18"/>
  <c r="P99" i="18" s="1"/>
  <c r="Q67" i="18"/>
  <c r="Q99" i="18" s="1"/>
  <c r="R67" i="18"/>
  <c r="R99" i="18" s="1"/>
  <c r="S67" i="18"/>
  <c r="S99" i="18" s="1"/>
  <c r="T67" i="18"/>
  <c r="T99" i="18" s="1"/>
  <c r="E68" i="18"/>
  <c r="E100" i="18" s="1"/>
  <c r="F68" i="18"/>
  <c r="F100" i="18" s="1"/>
  <c r="G68" i="18"/>
  <c r="G100" i="18" s="1"/>
  <c r="H68" i="18"/>
  <c r="H100" i="18" s="1"/>
  <c r="I68" i="18"/>
  <c r="I100" i="18" s="1"/>
  <c r="J68" i="18"/>
  <c r="J100" i="18" s="1"/>
  <c r="K68" i="18"/>
  <c r="K100" i="18" s="1"/>
  <c r="L68" i="18"/>
  <c r="L100" i="18" s="1"/>
  <c r="M68" i="18"/>
  <c r="M100" i="18" s="1"/>
  <c r="N68" i="18"/>
  <c r="N100" i="18" s="1"/>
  <c r="O68" i="18"/>
  <c r="O100" i="18" s="1"/>
  <c r="P68" i="18"/>
  <c r="P100" i="18" s="1"/>
  <c r="Q68" i="18"/>
  <c r="Q100" i="18" s="1"/>
  <c r="R68" i="18"/>
  <c r="R100" i="18" s="1"/>
  <c r="S68" i="18"/>
  <c r="S100" i="18" s="1"/>
  <c r="T68" i="18"/>
  <c r="T100" i="18" s="1"/>
  <c r="E69" i="18"/>
  <c r="E101" i="18" s="1"/>
  <c r="F69" i="18"/>
  <c r="F101" i="18" s="1"/>
  <c r="G69" i="18"/>
  <c r="G101" i="18" s="1"/>
  <c r="H69" i="18"/>
  <c r="H101" i="18" s="1"/>
  <c r="I69" i="18"/>
  <c r="I101" i="18" s="1"/>
  <c r="J69" i="18"/>
  <c r="J101" i="18" s="1"/>
  <c r="K69" i="18"/>
  <c r="K101" i="18" s="1"/>
  <c r="L69" i="18"/>
  <c r="L101" i="18" s="1"/>
  <c r="M69" i="18"/>
  <c r="M101" i="18" s="1"/>
  <c r="N69" i="18"/>
  <c r="N101" i="18" s="1"/>
  <c r="O69" i="18"/>
  <c r="O101" i="18" s="1"/>
  <c r="P69" i="18"/>
  <c r="P101" i="18" s="1"/>
  <c r="Q69" i="18"/>
  <c r="Q101" i="18" s="1"/>
  <c r="R69" i="18"/>
  <c r="R101" i="18" s="1"/>
  <c r="S69" i="18"/>
  <c r="S101" i="18" s="1"/>
  <c r="T69" i="18"/>
  <c r="T101" i="18" s="1"/>
  <c r="E70" i="18"/>
  <c r="E102" i="18" s="1"/>
  <c r="F70" i="18"/>
  <c r="F102" i="18" s="1"/>
  <c r="G70" i="18"/>
  <c r="G102" i="18" s="1"/>
  <c r="H70" i="18"/>
  <c r="H102" i="18" s="1"/>
  <c r="I70" i="18"/>
  <c r="I102" i="18" s="1"/>
  <c r="J70" i="18"/>
  <c r="J102" i="18" s="1"/>
  <c r="K70" i="18"/>
  <c r="K102" i="18" s="1"/>
  <c r="L70" i="18"/>
  <c r="L102" i="18" s="1"/>
  <c r="M70" i="18"/>
  <c r="M102" i="18" s="1"/>
  <c r="N70" i="18"/>
  <c r="N102" i="18" s="1"/>
  <c r="O70" i="18"/>
  <c r="O102" i="18" s="1"/>
  <c r="P70" i="18"/>
  <c r="P102" i="18" s="1"/>
  <c r="Q70" i="18"/>
  <c r="Q102" i="18" s="1"/>
  <c r="R70" i="18"/>
  <c r="R102" i="18" s="1"/>
  <c r="S70" i="18"/>
  <c r="S102" i="18" s="1"/>
  <c r="T70" i="18"/>
  <c r="T102" i="18" s="1"/>
  <c r="E72" i="18"/>
  <c r="E104" i="18" s="1"/>
  <c r="F72" i="18"/>
  <c r="F104" i="18" s="1"/>
  <c r="G72" i="18"/>
  <c r="G104" i="18" s="1"/>
  <c r="H72" i="18"/>
  <c r="H104" i="18" s="1"/>
  <c r="I72" i="18"/>
  <c r="I104" i="18" s="1"/>
  <c r="J72" i="18"/>
  <c r="J104" i="18" s="1"/>
  <c r="K72" i="18"/>
  <c r="K104" i="18" s="1"/>
  <c r="L72" i="18"/>
  <c r="L104" i="18" s="1"/>
  <c r="M72" i="18"/>
  <c r="M104" i="18" s="1"/>
  <c r="N72" i="18"/>
  <c r="N104" i="18" s="1"/>
  <c r="O72" i="18"/>
  <c r="O104" i="18" s="1"/>
  <c r="P72" i="18"/>
  <c r="P104" i="18" s="1"/>
  <c r="Q72" i="18"/>
  <c r="Q104" i="18" s="1"/>
  <c r="R72" i="18"/>
  <c r="R104" i="18" s="1"/>
  <c r="S72" i="18"/>
  <c r="S104" i="18" s="1"/>
  <c r="T72" i="18"/>
  <c r="T104" i="18" s="1"/>
  <c r="E73" i="18"/>
  <c r="E105" i="18" s="1"/>
  <c r="F73" i="18"/>
  <c r="F105" i="18" s="1"/>
  <c r="G73" i="18"/>
  <c r="G105" i="18" s="1"/>
  <c r="H73" i="18"/>
  <c r="H105" i="18" s="1"/>
  <c r="I73" i="18"/>
  <c r="I105" i="18" s="1"/>
  <c r="J73" i="18"/>
  <c r="J105" i="18" s="1"/>
  <c r="K73" i="18"/>
  <c r="K105" i="18" s="1"/>
  <c r="L73" i="18"/>
  <c r="L105" i="18" s="1"/>
  <c r="M73" i="18"/>
  <c r="M105" i="18" s="1"/>
  <c r="N73" i="18"/>
  <c r="N105" i="18" s="1"/>
  <c r="O73" i="18"/>
  <c r="O105" i="18" s="1"/>
  <c r="P73" i="18"/>
  <c r="P105" i="18" s="1"/>
  <c r="Q73" i="18"/>
  <c r="Q105" i="18" s="1"/>
  <c r="R73" i="18"/>
  <c r="R105" i="18" s="1"/>
  <c r="S73" i="18"/>
  <c r="S105" i="18" s="1"/>
  <c r="T73" i="18"/>
  <c r="T105" i="18" s="1"/>
  <c r="E74" i="18"/>
  <c r="E106" i="18" s="1"/>
  <c r="F74" i="18"/>
  <c r="F106" i="18" s="1"/>
  <c r="G74" i="18"/>
  <c r="G106" i="18" s="1"/>
  <c r="H74" i="18"/>
  <c r="H106" i="18" s="1"/>
  <c r="I74" i="18"/>
  <c r="I106" i="18" s="1"/>
  <c r="J74" i="18"/>
  <c r="J106" i="18" s="1"/>
  <c r="K74" i="18"/>
  <c r="K106" i="18" s="1"/>
  <c r="L74" i="18"/>
  <c r="L106" i="18" s="1"/>
  <c r="M74" i="18"/>
  <c r="M106" i="18" s="1"/>
  <c r="N74" i="18"/>
  <c r="N106" i="18" s="1"/>
  <c r="O74" i="18"/>
  <c r="O106" i="18" s="1"/>
  <c r="P74" i="18"/>
  <c r="P106" i="18" s="1"/>
  <c r="Q74" i="18"/>
  <c r="Q106" i="18" s="1"/>
  <c r="R74" i="18"/>
  <c r="R106" i="18" s="1"/>
  <c r="S74" i="18"/>
  <c r="S106" i="18" s="1"/>
  <c r="T74" i="18"/>
  <c r="T106" i="18" s="1"/>
  <c r="E75" i="18"/>
  <c r="E107" i="18" s="1"/>
  <c r="G75" i="18"/>
  <c r="G107" i="18" s="1"/>
  <c r="H75" i="18"/>
  <c r="H107" i="18" s="1"/>
  <c r="I75" i="18"/>
  <c r="I107" i="18" s="1"/>
  <c r="J75" i="18"/>
  <c r="J107" i="18" s="1"/>
  <c r="K75" i="18"/>
  <c r="K107" i="18" s="1"/>
  <c r="L75" i="18"/>
  <c r="L107" i="18" s="1"/>
  <c r="M75" i="18"/>
  <c r="M107" i="18" s="1"/>
  <c r="N75" i="18"/>
  <c r="N107" i="18" s="1"/>
  <c r="O75" i="18"/>
  <c r="O107" i="18" s="1"/>
  <c r="P75" i="18"/>
  <c r="P107" i="18" s="1"/>
  <c r="Q75" i="18"/>
  <c r="Q107" i="18" s="1"/>
  <c r="R75" i="18"/>
  <c r="R107" i="18" s="1"/>
  <c r="S75" i="18"/>
  <c r="S107" i="18" s="1"/>
  <c r="T75" i="18"/>
  <c r="T107" i="18" s="1"/>
  <c r="E76" i="18"/>
  <c r="E108" i="18" s="1"/>
  <c r="F76" i="18"/>
  <c r="F108" i="18" s="1"/>
  <c r="G76" i="18"/>
  <c r="G108" i="18" s="1"/>
  <c r="H76" i="18"/>
  <c r="H108" i="18" s="1"/>
  <c r="I76" i="18"/>
  <c r="I108" i="18" s="1"/>
  <c r="J76" i="18"/>
  <c r="J108" i="18" s="1"/>
  <c r="K76" i="18"/>
  <c r="K108" i="18" s="1"/>
  <c r="L76" i="18"/>
  <c r="L108" i="18" s="1"/>
  <c r="M76" i="18"/>
  <c r="M108" i="18" s="1"/>
  <c r="N76" i="18"/>
  <c r="N108" i="18" s="1"/>
  <c r="O76" i="18"/>
  <c r="O108" i="18" s="1"/>
  <c r="P76" i="18"/>
  <c r="P108" i="18" s="1"/>
  <c r="Q76" i="18"/>
  <c r="Q108" i="18" s="1"/>
  <c r="R76" i="18"/>
  <c r="R108" i="18" s="1"/>
  <c r="S76" i="18"/>
  <c r="S108" i="18" s="1"/>
  <c r="T76" i="18"/>
  <c r="T108" i="18" s="1"/>
  <c r="E77" i="18"/>
  <c r="E109" i="18" s="1"/>
  <c r="F77" i="18"/>
  <c r="F109" i="18" s="1"/>
  <c r="G77" i="18"/>
  <c r="G109" i="18" s="1"/>
  <c r="H77" i="18"/>
  <c r="H109" i="18" s="1"/>
  <c r="I77" i="18"/>
  <c r="I109" i="18" s="1"/>
  <c r="J77" i="18"/>
  <c r="J109" i="18" s="1"/>
  <c r="K77" i="18"/>
  <c r="K109" i="18" s="1"/>
  <c r="L77" i="18"/>
  <c r="L109" i="18" s="1"/>
  <c r="M77" i="18"/>
  <c r="M109" i="18" s="1"/>
  <c r="N77" i="18"/>
  <c r="N109" i="18" s="1"/>
  <c r="O77" i="18"/>
  <c r="O109" i="18" s="1"/>
  <c r="P77" i="18"/>
  <c r="P109" i="18" s="1"/>
  <c r="Q77" i="18"/>
  <c r="Q109" i="18" s="1"/>
  <c r="R77" i="18"/>
  <c r="R109" i="18" s="1"/>
  <c r="S77" i="18"/>
  <c r="S109" i="18" s="1"/>
  <c r="T77" i="18"/>
  <c r="T109" i="18" s="1"/>
  <c r="E78" i="18"/>
  <c r="E110" i="18" s="1"/>
  <c r="F78" i="18"/>
  <c r="F110" i="18" s="1"/>
  <c r="G78" i="18"/>
  <c r="G110" i="18" s="1"/>
  <c r="H78" i="18"/>
  <c r="H110" i="18" s="1"/>
  <c r="I78" i="18"/>
  <c r="I110" i="18" s="1"/>
  <c r="J78" i="18"/>
  <c r="J110" i="18" s="1"/>
  <c r="K78" i="18"/>
  <c r="K110" i="18" s="1"/>
  <c r="L78" i="18"/>
  <c r="L110" i="18" s="1"/>
  <c r="M78" i="18"/>
  <c r="M110" i="18" s="1"/>
  <c r="N78" i="18"/>
  <c r="N110" i="18" s="1"/>
  <c r="O78" i="18"/>
  <c r="O110" i="18" s="1"/>
  <c r="P78" i="18"/>
  <c r="P110" i="18" s="1"/>
  <c r="Q78" i="18"/>
  <c r="Q110" i="18" s="1"/>
  <c r="R78" i="18"/>
  <c r="R110" i="18" s="1"/>
  <c r="S78" i="18"/>
  <c r="S110" i="18" s="1"/>
  <c r="T78" i="18"/>
  <c r="T110" i="18" s="1"/>
  <c r="E79" i="18"/>
  <c r="E111" i="18" s="1"/>
  <c r="F79" i="18"/>
  <c r="F111" i="18" s="1"/>
  <c r="G79" i="18"/>
  <c r="G111" i="18" s="1"/>
  <c r="H79" i="18"/>
  <c r="H111" i="18" s="1"/>
  <c r="I79" i="18"/>
  <c r="I111" i="18" s="1"/>
  <c r="J79" i="18"/>
  <c r="J111" i="18" s="1"/>
  <c r="K79" i="18"/>
  <c r="K111" i="18" s="1"/>
  <c r="L79" i="18"/>
  <c r="L111" i="18" s="1"/>
  <c r="M79" i="18"/>
  <c r="M111" i="18" s="1"/>
  <c r="N79" i="18"/>
  <c r="N111" i="18" s="1"/>
  <c r="O79" i="18"/>
  <c r="O111" i="18" s="1"/>
  <c r="P79" i="18"/>
  <c r="P111" i="18" s="1"/>
  <c r="Q79" i="18"/>
  <c r="Q111" i="18" s="1"/>
  <c r="R79" i="18"/>
  <c r="R111" i="18" s="1"/>
  <c r="S79" i="18"/>
  <c r="S111" i="18" s="1"/>
  <c r="T79" i="18"/>
  <c r="T111" i="18" s="1"/>
  <c r="E80" i="18"/>
  <c r="E112" i="18" s="1"/>
  <c r="F80" i="18"/>
  <c r="F112" i="18" s="1"/>
  <c r="G80" i="18"/>
  <c r="G112" i="18" s="1"/>
  <c r="H80" i="18"/>
  <c r="H112" i="18" s="1"/>
  <c r="I80" i="18"/>
  <c r="I112" i="18" s="1"/>
  <c r="J80" i="18"/>
  <c r="J112" i="18" s="1"/>
  <c r="K80" i="18"/>
  <c r="K112" i="18" s="1"/>
  <c r="L80" i="18"/>
  <c r="L112" i="18" s="1"/>
  <c r="M80" i="18"/>
  <c r="M112" i="18" s="1"/>
  <c r="N80" i="18"/>
  <c r="N112" i="18" s="1"/>
  <c r="O80" i="18"/>
  <c r="O112" i="18" s="1"/>
  <c r="P80" i="18"/>
  <c r="P112" i="18" s="1"/>
  <c r="Q80" i="18"/>
  <c r="Q112" i="18" s="1"/>
  <c r="R80" i="18"/>
  <c r="R112" i="18" s="1"/>
  <c r="S80" i="18"/>
  <c r="S112" i="18" s="1"/>
  <c r="T80" i="18"/>
  <c r="T112" i="18" s="1"/>
  <c r="E81" i="18"/>
  <c r="E113" i="18" s="1"/>
  <c r="F81" i="18"/>
  <c r="F113" i="18" s="1"/>
  <c r="G81" i="18"/>
  <c r="G113" i="18" s="1"/>
  <c r="H81" i="18"/>
  <c r="H113" i="18" s="1"/>
  <c r="I81" i="18"/>
  <c r="I113" i="18" s="1"/>
  <c r="J81" i="18"/>
  <c r="J113" i="18" s="1"/>
  <c r="K81" i="18"/>
  <c r="K113" i="18" s="1"/>
  <c r="L81" i="18"/>
  <c r="L113" i="18" s="1"/>
  <c r="M81" i="18"/>
  <c r="M113" i="18" s="1"/>
  <c r="N81" i="18"/>
  <c r="N113" i="18" s="1"/>
  <c r="O81" i="18"/>
  <c r="O113" i="18" s="1"/>
  <c r="P81" i="18"/>
  <c r="P113" i="18" s="1"/>
  <c r="Q81" i="18"/>
  <c r="Q113" i="18" s="1"/>
  <c r="R81" i="18"/>
  <c r="R113" i="18" s="1"/>
  <c r="S81" i="18"/>
  <c r="S113" i="18" s="1"/>
  <c r="T81" i="18"/>
  <c r="T113" i="18" s="1"/>
  <c r="E82" i="18"/>
  <c r="E114" i="18" s="1"/>
  <c r="F82" i="18"/>
  <c r="F114" i="18" s="1"/>
  <c r="G82" i="18"/>
  <c r="G114" i="18" s="1"/>
  <c r="H82" i="18"/>
  <c r="H114" i="18" s="1"/>
  <c r="I82" i="18"/>
  <c r="I114" i="18" s="1"/>
  <c r="J82" i="18"/>
  <c r="J114" i="18" s="1"/>
  <c r="K82" i="18"/>
  <c r="K114" i="18" s="1"/>
  <c r="L82" i="18"/>
  <c r="L114" i="18" s="1"/>
  <c r="M82" i="18"/>
  <c r="M114" i="18" s="1"/>
  <c r="N82" i="18"/>
  <c r="N114" i="18" s="1"/>
  <c r="O82" i="18"/>
  <c r="O114" i="18" s="1"/>
  <c r="P82" i="18"/>
  <c r="P114" i="18" s="1"/>
  <c r="Q82" i="18"/>
  <c r="Q114" i="18" s="1"/>
  <c r="R82" i="18"/>
  <c r="R114" i="18" s="1"/>
  <c r="S82" i="18"/>
  <c r="S114" i="18" s="1"/>
  <c r="T82" i="18"/>
  <c r="T114" i="18" s="1"/>
  <c r="E83" i="18"/>
  <c r="E115" i="18" s="1"/>
  <c r="F83" i="18"/>
  <c r="F115" i="18" s="1"/>
  <c r="G83" i="18"/>
  <c r="G115" i="18" s="1"/>
  <c r="H83" i="18"/>
  <c r="H115" i="18" s="1"/>
  <c r="I83" i="18"/>
  <c r="I115" i="18" s="1"/>
  <c r="J83" i="18"/>
  <c r="J115" i="18" s="1"/>
  <c r="K83" i="18"/>
  <c r="K115" i="18" s="1"/>
  <c r="L83" i="18"/>
  <c r="L115" i="18" s="1"/>
  <c r="M83" i="18"/>
  <c r="M115" i="18" s="1"/>
  <c r="N83" i="18"/>
  <c r="N115" i="18" s="1"/>
  <c r="O83" i="18"/>
  <c r="O115" i="18" s="1"/>
  <c r="P83" i="18"/>
  <c r="P115" i="18" s="1"/>
  <c r="Q83" i="18"/>
  <c r="Q115" i="18" s="1"/>
  <c r="R83" i="18"/>
  <c r="R115" i="18" s="1"/>
  <c r="S83" i="18"/>
  <c r="S115" i="18" s="1"/>
  <c r="T83" i="18"/>
  <c r="T115" i="18" s="1"/>
  <c r="E84" i="18"/>
  <c r="E116" i="18" s="1"/>
  <c r="F84" i="18"/>
  <c r="F116" i="18" s="1"/>
  <c r="G84" i="18"/>
  <c r="G116" i="18" s="1"/>
  <c r="H84" i="18"/>
  <c r="H116" i="18" s="1"/>
  <c r="I84" i="18"/>
  <c r="I116" i="18" s="1"/>
  <c r="J84" i="18"/>
  <c r="J116" i="18" s="1"/>
  <c r="K84" i="18"/>
  <c r="K116" i="18" s="1"/>
  <c r="L84" i="18"/>
  <c r="L116" i="18" s="1"/>
  <c r="M84" i="18"/>
  <c r="M116" i="18" s="1"/>
  <c r="N84" i="18"/>
  <c r="N116" i="18" s="1"/>
  <c r="O84" i="18"/>
  <c r="O116" i="18" s="1"/>
  <c r="P84" i="18"/>
  <c r="P116" i="18" s="1"/>
  <c r="Q84" i="18"/>
  <c r="Q116" i="18" s="1"/>
  <c r="R84" i="18"/>
  <c r="R116" i="18" s="1"/>
  <c r="S84" i="18"/>
  <c r="S116" i="18" s="1"/>
  <c r="T84" i="18"/>
  <c r="T116" i="18" s="1"/>
  <c r="E85" i="18"/>
  <c r="E117" i="18" s="1"/>
  <c r="F85" i="18"/>
  <c r="F117" i="18" s="1"/>
  <c r="G85" i="18"/>
  <c r="G117" i="18" s="1"/>
  <c r="H85" i="18"/>
  <c r="H117" i="18" s="1"/>
  <c r="I85" i="18"/>
  <c r="I117" i="18" s="1"/>
  <c r="J85" i="18"/>
  <c r="J117" i="18" s="1"/>
  <c r="K85" i="18"/>
  <c r="K117" i="18" s="1"/>
  <c r="L85" i="18"/>
  <c r="L117" i="18" s="1"/>
  <c r="M85" i="18"/>
  <c r="M117" i="18" s="1"/>
  <c r="N85" i="18"/>
  <c r="N117" i="18" s="1"/>
  <c r="O85" i="18"/>
  <c r="O117" i="18" s="1"/>
  <c r="P85" i="18"/>
  <c r="P117" i="18" s="1"/>
  <c r="Q85" i="18"/>
  <c r="Q117" i="18" s="1"/>
  <c r="R85" i="18"/>
  <c r="R117" i="18" s="1"/>
  <c r="S85" i="18"/>
  <c r="S117" i="18" s="1"/>
  <c r="T85" i="18"/>
  <c r="T117" i="18" s="1"/>
  <c r="E86" i="18"/>
  <c r="E118" i="18" s="1"/>
  <c r="F86" i="18"/>
  <c r="F118" i="18" s="1"/>
  <c r="G86" i="18"/>
  <c r="G118" i="18" s="1"/>
  <c r="H86" i="18"/>
  <c r="H118" i="18" s="1"/>
  <c r="I86" i="18"/>
  <c r="I118" i="18" s="1"/>
  <c r="J86" i="18"/>
  <c r="J118" i="18" s="1"/>
  <c r="K86" i="18"/>
  <c r="K118" i="18" s="1"/>
  <c r="L86" i="18"/>
  <c r="L118" i="18" s="1"/>
  <c r="M86" i="18"/>
  <c r="M118" i="18" s="1"/>
  <c r="N86" i="18"/>
  <c r="N118" i="18" s="1"/>
  <c r="O86" i="18"/>
  <c r="O118" i="18" s="1"/>
  <c r="P86" i="18"/>
  <c r="P118" i="18" s="1"/>
  <c r="Q86" i="18"/>
  <c r="Q118" i="18" s="1"/>
  <c r="R86" i="18"/>
  <c r="R118" i="18" s="1"/>
  <c r="S86" i="18"/>
  <c r="S118" i="18" s="1"/>
  <c r="T86" i="18"/>
  <c r="T118" i="18" s="1"/>
  <c r="E87" i="18"/>
  <c r="E119" i="18" s="1"/>
  <c r="F87" i="18"/>
  <c r="F119" i="18" s="1"/>
  <c r="G87" i="18"/>
  <c r="G119" i="18" s="1"/>
  <c r="H87" i="18"/>
  <c r="H119" i="18" s="1"/>
  <c r="I87" i="18"/>
  <c r="I119" i="18" s="1"/>
  <c r="J87" i="18"/>
  <c r="J119" i="18" s="1"/>
  <c r="K87" i="18"/>
  <c r="K119" i="18" s="1"/>
  <c r="L87" i="18"/>
  <c r="L119" i="18" s="1"/>
  <c r="M87" i="18"/>
  <c r="M119" i="18" s="1"/>
  <c r="N87" i="18"/>
  <c r="N119" i="18" s="1"/>
  <c r="O87" i="18"/>
  <c r="O119" i="18" s="1"/>
  <c r="P87" i="18"/>
  <c r="P119" i="18" s="1"/>
  <c r="Q87" i="18"/>
  <c r="Q119" i="18" s="1"/>
  <c r="R87" i="18"/>
  <c r="R119" i="18" s="1"/>
  <c r="S87" i="18"/>
  <c r="S119" i="18" s="1"/>
  <c r="T87" i="18"/>
  <c r="T119" i="18" s="1"/>
  <c r="E88" i="18"/>
  <c r="E120" i="18" s="1"/>
  <c r="F88" i="18"/>
  <c r="F120" i="18" s="1"/>
  <c r="F40" i="1"/>
  <c r="F72" i="1" s="1"/>
  <c r="F104" i="1" s="1"/>
  <c r="G40" i="1"/>
  <c r="G72" i="1" s="1"/>
  <c r="G104" i="1" s="1"/>
  <c r="H40" i="1"/>
  <c r="H72" i="1" s="1"/>
  <c r="H104" i="1" s="1"/>
  <c r="I40" i="1"/>
  <c r="I72" i="1" s="1"/>
  <c r="I104" i="1" s="1"/>
  <c r="K40" i="1"/>
  <c r="K72" i="1" s="1"/>
  <c r="K104" i="1" s="1"/>
  <c r="L40" i="1"/>
  <c r="L72" i="1" s="1"/>
  <c r="L104" i="1" s="1"/>
  <c r="N40" i="1"/>
  <c r="N72" i="1" s="1"/>
  <c r="N104" i="1" s="1"/>
  <c r="O40" i="1"/>
  <c r="O72" i="1" s="1"/>
  <c r="O104" i="1" s="1"/>
  <c r="Q40" i="1"/>
  <c r="Q72" i="1" s="1"/>
  <c r="Q104" i="1" s="1"/>
  <c r="R40" i="1"/>
  <c r="R72" i="1" s="1"/>
  <c r="R104" i="1" s="1"/>
  <c r="T40" i="1"/>
  <c r="T72" i="1" s="1"/>
  <c r="T104" i="1" s="1"/>
  <c r="E41" i="1"/>
  <c r="E73" i="1" s="1"/>
  <c r="E105" i="1" s="1"/>
  <c r="G41" i="1"/>
  <c r="G73" i="1" s="1"/>
  <c r="G105" i="1" s="1"/>
  <c r="H41" i="1"/>
  <c r="H73" i="1" s="1"/>
  <c r="H105" i="1" s="1"/>
  <c r="I41" i="1"/>
  <c r="I73" i="1" s="1"/>
  <c r="I105" i="1" s="1"/>
  <c r="J41" i="1"/>
  <c r="J73" i="1" s="1"/>
  <c r="J105" i="1" s="1"/>
  <c r="L41" i="1"/>
  <c r="L73" i="1" s="1"/>
  <c r="L105" i="1" s="1"/>
  <c r="N41" i="1"/>
  <c r="N73" i="1" s="1"/>
  <c r="N105" i="1" s="1"/>
  <c r="O41" i="1"/>
  <c r="O73" i="1" s="1"/>
  <c r="O105" i="1" s="1"/>
  <c r="Q41" i="1"/>
  <c r="Q73" i="1" s="1"/>
  <c r="Q105" i="1" s="1"/>
  <c r="R41" i="1"/>
  <c r="R73" i="1" s="1"/>
  <c r="R105" i="1" s="1"/>
  <c r="T41" i="1"/>
  <c r="T73" i="1" s="1"/>
  <c r="T105" i="1" s="1"/>
  <c r="E42" i="1"/>
  <c r="E74" i="1" s="1"/>
  <c r="E106" i="1" s="1"/>
  <c r="G42" i="1"/>
  <c r="G74" i="1" s="1"/>
  <c r="G106" i="1" s="1"/>
  <c r="H42" i="1"/>
  <c r="H74" i="1" s="1"/>
  <c r="H106" i="1" s="1"/>
  <c r="I42" i="1"/>
  <c r="I74" i="1" s="1"/>
  <c r="I106" i="1" s="1"/>
  <c r="J42" i="1"/>
  <c r="J74" i="1" s="1"/>
  <c r="J106" i="1" s="1"/>
  <c r="L42" i="1"/>
  <c r="L74" i="1" s="1"/>
  <c r="L106" i="1" s="1"/>
  <c r="N42" i="1"/>
  <c r="N74" i="1" s="1"/>
  <c r="N106" i="1" s="1"/>
  <c r="O42" i="1"/>
  <c r="O74" i="1" s="1"/>
  <c r="O106" i="1" s="1"/>
  <c r="Q42" i="1"/>
  <c r="Q74" i="1" s="1"/>
  <c r="Q106" i="1" s="1"/>
  <c r="R42" i="1"/>
  <c r="R74" i="1" s="1"/>
  <c r="R106" i="1" s="1"/>
  <c r="T42" i="1"/>
  <c r="T74" i="1" s="1"/>
  <c r="T106" i="1" s="1"/>
  <c r="F43" i="1"/>
  <c r="F75" i="1" s="1"/>
  <c r="F107" i="1" s="1"/>
  <c r="G43" i="1"/>
  <c r="G75" i="1" s="1"/>
  <c r="G107" i="1" s="1"/>
  <c r="H43" i="1"/>
  <c r="H75" i="1" s="1"/>
  <c r="H107" i="1" s="1"/>
  <c r="I43" i="1"/>
  <c r="I75" i="1" s="1"/>
  <c r="I107" i="1" s="1"/>
  <c r="J43" i="1"/>
  <c r="J75" i="1" s="1"/>
  <c r="J107" i="1" s="1"/>
  <c r="L43" i="1"/>
  <c r="L75" i="1" s="1"/>
  <c r="L107" i="1" s="1"/>
  <c r="N43" i="1"/>
  <c r="N75" i="1" s="1"/>
  <c r="N107" i="1" s="1"/>
  <c r="O43" i="1"/>
  <c r="O75" i="1" s="1"/>
  <c r="O107" i="1" s="1"/>
  <c r="Q43" i="1"/>
  <c r="Q75" i="1" s="1"/>
  <c r="Q107" i="1" s="1"/>
  <c r="R43" i="1"/>
  <c r="R75" i="1" s="1"/>
  <c r="R107" i="1" s="1"/>
  <c r="T43" i="1"/>
  <c r="T75" i="1" s="1"/>
  <c r="T107" i="1" s="1"/>
  <c r="E44" i="1"/>
  <c r="E76" i="1" s="1"/>
  <c r="E108" i="1" s="1"/>
  <c r="G44" i="1"/>
  <c r="G76" i="1" s="1"/>
  <c r="G108" i="1" s="1"/>
  <c r="H44" i="1"/>
  <c r="H76" i="1" s="1"/>
  <c r="H108" i="1" s="1"/>
  <c r="I44" i="1"/>
  <c r="I76" i="1" s="1"/>
  <c r="I108" i="1" s="1"/>
  <c r="J44" i="1"/>
  <c r="J76" i="1" s="1"/>
  <c r="J108" i="1" s="1"/>
  <c r="L44" i="1"/>
  <c r="L76" i="1" s="1"/>
  <c r="L108" i="1" s="1"/>
  <c r="N44" i="1"/>
  <c r="N76" i="1" s="1"/>
  <c r="N108" i="1" s="1"/>
  <c r="O44" i="1"/>
  <c r="O76" i="1" s="1"/>
  <c r="O108" i="1" s="1"/>
  <c r="Q44" i="1"/>
  <c r="Q76" i="1" s="1"/>
  <c r="Q108" i="1" s="1"/>
  <c r="R44" i="1"/>
  <c r="R76" i="1" s="1"/>
  <c r="R108" i="1" s="1"/>
  <c r="T44" i="1"/>
  <c r="T76" i="1" s="1"/>
  <c r="T108" i="1" s="1"/>
  <c r="E45" i="1"/>
  <c r="E77" i="1" s="1"/>
  <c r="E109" i="1" s="1"/>
  <c r="G45" i="1"/>
  <c r="G77" i="1" s="1"/>
  <c r="G109" i="1" s="1"/>
  <c r="H45" i="1"/>
  <c r="H77" i="1" s="1"/>
  <c r="H109" i="1" s="1"/>
  <c r="I45" i="1"/>
  <c r="I77" i="1" s="1"/>
  <c r="I109" i="1" s="1"/>
  <c r="J45" i="1"/>
  <c r="J77" i="1" s="1"/>
  <c r="J109" i="1" s="1"/>
  <c r="L45" i="1"/>
  <c r="L77" i="1" s="1"/>
  <c r="L109" i="1" s="1"/>
  <c r="N45" i="1"/>
  <c r="N77" i="1" s="1"/>
  <c r="N109" i="1" s="1"/>
  <c r="O45" i="1"/>
  <c r="O77" i="1" s="1"/>
  <c r="O109" i="1" s="1"/>
  <c r="Q45" i="1"/>
  <c r="Q77" i="1" s="1"/>
  <c r="Q109" i="1" s="1"/>
  <c r="R45" i="1"/>
  <c r="R77" i="1" s="1"/>
  <c r="R109" i="1" s="1"/>
  <c r="T45" i="1"/>
  <c r="T77" i="1" s="1"/>
  <c r="T109" i="1" s="1"/>
  <c r="E46" i="1"/>
  <c r="E78" i="1" s="1"/>
  <c r="E110" i="1" s="1"/>
  <c r="G46" i="1"/>
  <c r="G78" i="1" s="1"/>
  <c r="G110" i="1" s="1"/>
  <c r="H46" i="1"/>
  <c r="H78" i="1" s="1"/>
  <c r="H110" i="1" s="1"/>
  <c r="I46" i="1"/>
  <c r="I78" i="1" s="1"/>
  <c r="I110" i="1" s="1"/>
  <c r="J46" i="1"/>
  <c r="J78" i="1" s="1"/>
  <c r="J110" i="1" s="1"/>
  <c r="L46" i="1"/>
  <c r="L78" i="1" s="1"/>
  <c r="L110" i="1" s="1"/>
  <c r="N46" i="1"/>
  <c r="N78" i="1" s="1"/>
  <c r="N110" i="1" s="1"/>
  <c r="O46" i="1"/>
  <c r="O78" i="1" s="1"/>
  <c r="O110" i="1" s="1"/>
  <c r="Q46" i="1"/>
  <c r="Q78" i="1" s="1"/>
  <c r="Q110" i="1" s="1"/>
  <c r="R46" i="1"/>
  <c r="R78" i="1" s="1"/>
  <c r="R110" i="1" s="1"/>
  <c r="T46" i="1"/>
  <c r="T78" i="1" s="1"/>
  <c r="T110" i="1" s="1"/>
  <c r="F47" i="1"/>
  <c r="F79" i="1" s="1"/>
  <c r="F111" i="1" s="1"/>
  <c r="G47" i="1"/>
  <c r="G79" i="1" s="1"/>
  <c r="G111" i="1" s="1"/>
  <c r="H47" i="1"/>
  <c r="H79" i="1" s="1"/>
  <c r="H111" i="1" s="1"/>
  <c r="I47" i="1"/>
  <c r="I79" i="1" s="1"/>
  <c r="I111" i="1" s="1"/>
  <c r="J47" i="1"/>
  <c r="J79" i="1" s="1"/>
  <c r="J111" i="1" s="1"/>
  <c r="L47" i="1"/>
  <c r="L79" i="1" s="1"/>
  <c r="L111" i="1" s="1"/>
  <c r="N47" i="1"/>
  <c r="N79" i="1" s="1"/>
  <c r="N111" i="1" s="1"/>
  <c r="O47" i="1"/>
  <c r="O79" i="1" s="1"/>
  <c r="O111" i="1" s="1"/>
  <c r="Q47" i="1"/>
  <c r="Q79" i="1" s="1"/>
  <c r="Q111" i="1" s="1"/>
  <c r="R47" i="1"/>
  <c r="R79" i="1" s="1"/>
  <c r="R111" i="1" s="1"/>
  <c r="T47" i="1"/>
  <c r="T79" i="1" s="1"/>
  <c r="T111" i="1" s="1"/>
  <c r="E48" i="1"/>
  <c r="E80" i="1" s="1"/>
  <c r="E112" i="1" s="1"/>
  <c r="F48" i="1"/>
  <c r="F80" i="1" s="1"/>
  <c r="F112" i="1" s="1"/>
  <c r="I48" i="1"/>
  <c r="I80" i="1" s="1"/>
  <c r="I112" i="1" s="1"/>
  <c r="J48" i="1"/>
  <c r="J80" i="1" s="1"/>
  <c r="J112" i="1" s="1"/>
  <c r="L48" i="1"/>
  <c r="L80" i="1" s="1"/>
  <c r="L112" i="1" s="1"/>
  <c r="N48" i="1"/>
  <c r="N80" i="1" s="1"/>
  <c r="N112" i="1" s="1"/>
  <c r="O48" i="1"/>
  <c r="O80" i="1" s="1"/>
  <c r="O112" i="1" s="1"/>
  <c r="Q48" i="1"/>
  <c r="Q80" i="1" s="1"/>
  <c r="Q112" i="1" s="1"/>
  <c r="R48" i="1"/>
  <c r="R80" i="1" s="1"/>
  <c r="R112" i="1" s="1"/>
  <c r="T48" i="1"/>
  <c r="T80" i="1" s="1"/>
  <c r="T112" i="1" s="1"/>
  <c r="E49" i="1"/>
  <c r="E81" i="1" s="1"/>
  <c r="E113" i="1" s="1"/>
  <c r="F49" i="1"/>
  <c r="F81" i="1" s="1"/>
  <c r="F113" i="1" s="1"/>
  <c r="H49" i="1"/>
  <c r="H81" i="1" s="1"/>
  <c r="H113" i="1" s="1"/>
  <c r="I49" i="1"/>
  <c r="I81" i="1" s="1"/>
  <c r="I113" i="1" s="1"/>
  <c r="J49" i="1"/>
  <c r="J81" i="1" s="1"/>
  <c r="J113" i="1" s="1"/>
  <c r="L49" i="1"/>
  <c r="L81" i="1" s="1"/>
  <c r="L113" i="1" s="1"/>
  <c r="N49" i="1"/>
  <c r="N81" i="1" s="1"/>
  <c r="N113" i="1" s="1"/>
  <c r="O49" i="1"/>
  <c r="O81" i="1" s="1"/>
  <c r="O113" i="1" s="1"/>
  <c r="Q49" i="1"/>
  <c r="Q81" i="1" s="1"/>
  <c r="Q113" i="1" s="1"/>
  <c r="R49" i="1"/>
  <c r="R81" i="1" s="1"/>
  <c r="R113" i="1" s="1"/>
  <c r="T49" i="1"/>
  <c r="T81" i="1" s="1"/>
  <c r="T113" i="1" s="1"/>
  <c r="F50" i="1"/>
  <c r="F82" i="1" s="1"/>
  <c r="F114" i="1" s="1"/>
  <c r="G50" i="1"/>
  <c r="G82" i="1" s="1"/>
  <c r="G114" i="1" s="1"/>
  <c r="H50" i="1"/>
  <c r="H82" i="1" s="1"/>
  <c r="H114" i="1" s="1"/>
  <c r="I50" i="1"/>
  <c r="I82" i="1" s="1"/>
  <c r="I114" i="1" s="1"/>
  <c r="J50" i="1"/>
  <c r="J82" i="1" s="1"/>
  <c r="J114" i="1" s="1"/>
  <c r="L50" i="1"/>
  <c r="L82" i="1" s="1"/>
  <c r="L114" i="1" s="1"/>
  <c r="N50" i="1"/>
  <c r="N82" i="1" s="1"/>
  <c r="N114" i="1" s="1"/>
  <c r="O50" i="1"/>
  <c r="O82" i="1" s="1"/>
  <c r="O114" i="1" s="1"/>
  <c r="Q50" i="1"/>
  <c r="Q82" i="1" s="1"/>
  <c r="Q114" i="1" s="1"/>
  <c r="R50" i="1"/>
  <c r="R82" i="1" s="1"/>
  <c r="R114" i="1" s="1"/>
  <c r="T50" i="1"/>
  <c r="T82" i="1" s="1"/>
  <c r="T114" i="1" s="1"/>
  <c r="E51" i="1"/>
  <c r="E83" i="1" s="1"/>
  <c r="E115" i="1" s="1"/>
  <c r="G51" i="1"/>
  <c r="G83" i="1" s="1"/>
  <c r="G115" i="1" s="1"/>
  <c r="H51" i="1"/>
  <c r="H83" i="1" s="1"/>
  <c r="H115" i="1" s="1"/>
  <c r="I51" i="1"/>
  <c r="I83" i="1" s="1"/>
  <c r="I115" i="1" s="1"/>
  <c r="J51" i="1"/>
  <c r="J83" i="1" s="1"/>
  <c r="J115" i="1" s="1"/>
  <c r="L51" i="1"/>
  <c r="L83" i="1" s="1"/>
  <c r="L115" i="1" s="1"/>
  <c r="N51" i="1"/>
  <c r="N83" i="1" s="1"/>
  <c r="N115" i="1" s="1"/>
  <c r="O51" i="1"/>
  <c r="O83" i="1" s="1"/>
  <c r="O115" i="1" s="1"/>
  <c r="Q51" i="1"/>
  <c r="Q83" i="1" s="1"/>
  <c r="Q115" i="1" s="1"/>
  <c r="R51" i="1"/>
  <c r="R83" i="1" s="1"/>
  <c r="R115" i="1" s="1"/>
  <c r="T51" i="1"/>
  <c r="T83" i="1" s="1"/>
  <c r="T115" i="1" s="1"/>
  <c r="E52" i="1"/>
  <c r="E84" i="1" s="1"/>
  <c r="E116" i="1" s="1"/>
  <c r="F52" i="1"/>
  <c r="F84" i="1" s="1"/>
  <c r="F116" i="1" s="1"/>
  <c r="G52" i="1"/>
  <c r="G84" i="1" s="1"/>
  <c r="G116" i="1" s="1"/>
  <c r="H52" i="1"/>
  <c r="H84" i="1" s="1"/>
  <c r="H116" i="1" s="1"/>
  <c r="I52" i="1"/>
  <c r="I84" i="1" s="1"/>
  <c r="I116" i="1" s="1"/>
  <c r="J52" i="1"/>
  <c r="J84" i="1" s="1"/>
  <c r="J116" i="1" s="1"/>
  <c r="K52" i="1"/>
  <c r="K84" i="1" s="1"/>
  <c r="K116" i="1" s="1"/>
  <c r="L52" i="1"/>
  <c r="L84" i="1" s="1"/>
  <c r="L116" i="1" s="1"/>
  <c r="M52" i="1"/>
  <c r="M84" i="1" s="1"/>
  <c r="M116" i="1" s="1"/>
  <c r="N52" i="1"/>
  <c r="N84" i="1" s="1"/>
  <c r="N116" i="1" s="1"/>
  <c r="O52" i="1"/>
  <c r="O84" i="1" s="1"/>
  <c r="O116" i="1" s="1"/>
  <c r="P52" i="1"/>
  <c r="P84" i="1" s="1"/>
  <c r="P116" i="1" s="1"/>
  <c r="Q52" i="1"/>
  <c r="Q84" i="1" s="1"/>
  <c r="Q116" i="1" s="1"/>
  <c r="R52" i="1"/>
  <c r="R84" i="1" s="1"/>
  <c r="R116" i="1" s="1"/>
  <c r="S52" i="1"/>
  <c r="S84" i="1" s="1"/>
  <c r="S116" i="1" s="1"/>
  <c r="T52" i="1"/>
  <c r="T84" i="1" s="1"/>
  <c r="T116" i="1" s="1"/>
  <c r="E53" i="1"/>
  <c r="E85" i="1" s="1"/>
  <c r="E117" i="1" s="1"/>
  <c r="F53" i="1"/>
  <c r="F85" i="1" s="1"/>
  <c r="F117" i="1" s="1"/>
  <c r="G53" i="1"/>
  <c r="G85" i="1" s="1"/>
  <c r="G117" i="1" s="1"/>
  <c r="H53" i="1"/>
  <c r="H85" i="1" s="1"/>
  <c r="H117" i="1" s="1"/>
  <c r="I53" i="1"/>
  <c r="I85" i="1" s="1"/>
  <c r="I117" i="1" s="1"/>
  <c r="J53" i="1"/>
  <c r="J85" i="1" s="1"/>
  <c r="J117" i="1" s="1"/>
  <c r="K53" i="1"/>
  <c r="K85" i="1" s="1"/>
  <c r="K117" i="1" s="1"/>
  <c r="L53" i="1"/>
  <c r="L85" i="1" s="1"/>
  <c r="L117" i="1" s="1"/>
  <c r="M53" i="1"/>
  <c r="M85" i="1" s="1"/>
  <c r="M117" i="1" s="1"/>
  <c r="N53" i="1"/>
  <c r="N85" i="1" s="1"/>
  <c r="N117" i="1" s="1"/>
  <c r="O53" i="1"/>
  <c r="O85" i="1" s="1"/>
  <c r="O117" i="1" s="1"/>
  <c r="P53" i="1"/>
  <c r="P85" i="1" s="1"/>
  <c r="P117" i="1" s="1"/>
  <c r="Q53" i="1"/>
  <c r="Q85" i="1" s="1"/>
  <c r="Q117" i="1" s="1"/>
  <c r="R53" i="1"/>
  <c r="R85" i="1" s="1"/>
  <c r="R117" i="1" s="1"/>
  <c r="S53" i="1"/>
  <c r="S85" i="1" s="1"/>
  <c r="S117" i="1" s="1"/>
  <c r="T53" i="1"/>
  <c r="T85" i="1" s="1"/>
  <c r="T117" i="1" s="1"/>
  <c r="E54" i="1"/>
  <c r="E86" i="1" s="1"/>
  <c r="E118" i="1" s="1"/>
  <c r="F54" i="1"/>
  <c r="F86" i="1" s="1"/>
  <c r="F118" i="1" s="1"/>
  <c r="G54" i="1"/>
  <c r="G86" i="1" s="1"/>
  <c r="G118" i="1" s="1"/>
  <c r="H54" i="1"/>
  <c r="H86" i="1" s="1"/>
  <c r="H118" i="1" s="1"/>
  <c r="I54" i="1"/>
  <c r="I86" i="1" s="1"/>
  <c r="I118" i="1" s="1"/>
  <c r="J54" i="1"/>
  <c r="J86" i="1" s="1"/>
  <c r="J118" i="1" s="1"/>
  <c r="K54" i="1"/>
  <c r="K86" i="1" s="1"/>
  <c r="K118" i="1" s="1"/>
  <c r="L54" i="1"/>
  <c r="L86" i="1" s="1"/>
  <c r="L118" i="1" s="1"/>
  <c r="M54" i="1"/>
  <c r="M86" i="1" s="1"/>
  <c r="M118" i="1" s="1"/>
  <c r="N54" i="1"/>
  <c r="N86" i="1" s="1"/>
  <c r="N118" i="1" s="1"/>
  <c r="O54" i="1"/>
  <c r="O86" i="1" s="1"/>
  <c r="O118" i="1" s="1"/>
  <c r="P54" i="1"/>
  <c r="P86" i="1" s="1"/>
  <c r="P118" i="1" s="1"/>
  <c r="Q54" i="1"/>
  <c r="Q86" i="1" s="1"/>
  <c r="Q118" i="1" s="1"/>
  <c r="R54" i="1"/>
  <c r="R86" i="1" s="1"/>
  <c r="R118" i="1" s="1"/>
  <c r="S54" i="1"/>
  <c r="S86" i="1" s="1"/>
  <c r="S118" i="1" s="1"/>
  <c r="T54" i="1"/>
  <c r="T86" i="1" s="1"/>
  <c r="T118" i="1" s="1"/>
  <c r="E55" i="1"/>
  <c r="E87" i="1" s="1"/>
  <c r="E119" i="1" s="1"/>
  <c r="F55" i="1"/>
  <c r="F87" i="1" s="1"/>
  <c r="F119" i="1" s="1"/>
  <c r="G55" i="1"/>
  <c r="G87" i="1" s="1"/>
  <c r="G119" i="1" s="1"/>
  <c r="H55" i="1"/>
  <c r="H87" i="1" s="1"/>
  <c r="H119" i="1" s="1"/>
  <c r="I55" i="1"/>
  <c r="I87" i="1" s="1"/>
  <c r="I119" i="1" s="1"/>
  <c r="J55" i="1"/>
  <c r="J87" i="1" s="1"/>
  <c r="J119" i="1" s="1"/>
  <c r="K55" i="1"/>
  <c r="K87" i="1" s="1"/>
  <c r="K119" i="1" s="1"/>
  <c r="L55" i="1"/>
  <c r="L87" i="1" s="1"/>
  <c r="L119" i="1" s="1"/>
  <c r="M55" i="1"/>
  <c r="M87" i="1" s="1"/>
  <c r="M119" i="1" s="1"/>
  <c r="N55" i="1"/>
  <c r="N87" i="1" s="1"/>
  <c r="N119" i="1" s="1"/>
  <c r="O55" i="1"/>
  <c r="O87" i="1" s="1"/>
  <c r="O119" i="1" s="1"/>
  <c r="P55" i="1"/>
  <c r="P87" i="1" s="1"/>
  <c r="P119" i="1" s="1"/>
  <c r="Q55" i="1"/>
  <c r="Q87" i="1" s="1"/>
  <c r="Q119" i="1" s="1"/>
  <c r="R55" i="1"/>
  <c r="R87" i="1" s="1"/>
  <c r="R119" i="1" s="1"/>
  <c r="S55" i="1"/>
  <c r="S87" i="1" s="1"/>
  <c r="S119" i="1" s="1"/>
  <c r="T55" i="1"/>
  <c r="T87" i="1" s="1"/>
  <c r="T119" i="1" s="1"/>
  <c r="E56" i="1"/>
  <c r="E88" i="1" s="1"/>
  <c r="E120" i="1" s="1"/>
  <c r="F56" i="1"/>
  <c r="F88" i="1" s="1"/>
  <c r="F120" i="1" s="1"/>
  <c r="G56" i="1"/>
  <c r="G88" i="1" s="1"/>
  <c r="G120" i="1" s="1"/>
  <c r="H56" i="1"/>
  <c r="H88" i="1" s="1"/>
  <c r="H120" i="1" s="1"/>
  <c r="I56" i="1"/>
  <c r="I88" i="1" s="1"/>
  <c r="I120" i="1" s="1"/>
  <c r="J56" i="1"/>
  <c r="J88" i="1" s="1"/>
  <c r="J120" i="1" s="1"/>
  <c r="K56" i="1"/>
  <c r="K88" i="1" s="1"/>
  <c r="K120" i="1" s="1"/>
  <c r="L56" i="1"/>
  <c r="L88" i="1" s="1"/>
  <c r="L120" i="1" s="1"/>
  <c r="M56" i="1"/>
  <c r="M88" i="1" s="1"/>
  <c r="M120" i="1" s="1"/>
  <c r="N56" i="1"/>
  <c r="N88" i="1" s="1"/>
  <c r="N120" i="1" s="1"/>
  <c r="O56" i="1"/>
  <c r="O88" i="1" s="1"/>
  <c r="O120" i="1" s="1"/>
  <c r="P56" i="1"/>
  <c r="P88" i="1" s="1"/>
  <c r="P120" i="1" s="1"/>
  <c r="Q56" i="1"/>
  <c r="Q88" i="1" s="1"/>
  <c r="Q120" i="1" s="1"/>
  <c r="R56" i="1"/>
  <c r="R88" i="1" s="1"/>
  <c r="R120" i="1" s="1"/>
  <c r="S56" i="1"/>
  <c r="S88" i="1" s="1"/>
  <c r="S120" i="1" s="1"/>
  <c r="T56" i="1"/>
  <c r="T88" i="1" s="1"/>
  <c r="T120" i="1" s="1"/>
  <c r="E57" i="1"/>
  <c r="E89" i="1" s="1"/>
  <c r="E121" i="1" s="1"/>
  <c r="F57" i="1"/>
  <c r="F89" i="1" s="1"/>
  <c r="F121" i="1" s="1"/>
  <c r="G57" i="1"/>
  <c r="G89" i="1" s="1"/>
  <c r="G121" i="1" s="1"/>
  <c r="H57" i="1"/>
  <c r="H89" i="1" s="1"/>
  <c r="H121" i="1" s="1"/>
  <c r="I57" i="1"/>
  <c r="I89" i="1" s="1"/>
  <c r="I121" i="1" s="1"/>
  <c r="J57" i="1"/>
  <c r="J89" i="1" s="1"/>
  <c r="J121" i="1" s="1"/>
  <c r="K57" i="1"/>
  <c r="K89" i="1" s="1"/>
  <c r="K121" i="1" s="1"/>
  <c r="L57" i="1"/>
  <c r="L89" i="1" s="1"/>
  <c r="L121" i="1" s="1"/>
  <c r="M57" i="1"/>
  <c r="M89" i="1" s="1"/>
  <c r="M121" i="1" s="1"/>
  <c r="N57" i="1"/>
  <c r="N89" i="1" s="1"/>
  <c r="N121" i="1" s="1"/>
  <c r="O57" i="1"/>
  <c r="O89" i="1" s="1"/>
  <c r="O121" i="1" s="1"/>
  <c r="P57" i="1"/>
  <c r="P89" i="1" s="1"/>
  <c r="P121" i="1" s="1"/>
  <c r="Q57" i="1"/>
  <c r="Q89" i="1" s="1"/>
  <c r="Q121" i="1" s="1"/>
  <c r="R57" i="1"/>
  <c r="R89" i="1" s="1"/>
  <c r="R121" i="1" s="1"/>
  <c r="S57" i="1"/>
  <c r="S89" i="1" s="1"/>
  <c r="S121" i="1" s="1"/>
  <c r="T57" i="1"/>
  <c r="T89" i="1" s="1"/>
  <c r="T121" i="1" s="1"/>
  <c r="E58" i="1"/>
  <c r="E90" i="1" s="1"/>
  <c r="E122" i="1" s="1"/>
  <c r="F58" i="1"/>
  <c r="F90" i="1" s="1"/>
  <c r="F122" i="1" s="1"/>
  <c r="G58" i="1"/>
  <c r="G90" i="1" s="1"/>
  <c r="G122" i="1" s="1"/>
  <c r="H58" i="1"/>
  <c r="H90" i="1" s="1"/>
  <c r="H122" i="1" s="1"/>
  <c r="I58" i="1"/>
  <c r="I90" i="1" s="1"/>
  <c r="I122" i="1" s="1"/>
  <c r="J58" i="1"/>
  <c r="J90" i="1" s="1"/>
  <c r="J122" i="1" s="1"/>
  <c r="K58" i="1"/>
  <c r="K90" i="1" s="1"/>
  <c r="K122" i="1" s="1"/>
  <c r="L58" i="1"/>
  <c r="L90" i="1" s="1"/>
  <c r="L122" i="1" s="1"/>
  <c r="M58" i="1"/>
  <c r="M90" i="1" s="1"/>
  <c r="M122" i="1" s="1"/>
  <c r="N58" i="1"/>
  <c r="N90" i="1" s="1"/>
  <c r="N122" i="1" s="1"/>
  <c r="O58" i="1"/>
  <c r="O90" i="1" s="1"/>
  <c r="O122" i="1" s="1"/>
  <c r="P58" i="1"/>
  <c r="P90" i="1" s="1"/>
  <c r="P122" i="1" s="1"/>
  <c r="Q58" i="1"/>
  <c r="Q90" i="1" s="1"/>
  <c r="Q122" i="1" s="1"/>
  <c r="R58" i="1"/>
  <c r="R90" i="1" s="1"/>
  <c r="R122" i="1" s="1"/>
  <c r="S58" i="1"/>
  <c r="S90" i="1" s="1"/>
  <c r="S122" i="1" s="1"/>
  <c r="T58" i="1"/>
  <c r="T90" i="1" s="1"/>
  <c r="T122" i="1" s="1"/>
  <c r="E59" i="1"/>
  <c r="E91" i="1" s="1"/>
  <c r="E123" i="1" s="1"/>
  <c r="F59" i="1"/>
  <c r="F91" i="1" s="1"/>
  <c r="F123" i="1" s="1"/>
  <c r="G59" i="1"/>
  <c r="G91" i="1" s="1"/>
  <c r="G123" i="1" s="1"/>
  <c r="H59" i="1"/>
  <c r="H91" i="1" s="1"/>
  <c r="H123" i="1" s="1"/>
  <c r="I59" i="1"/>
  <c r="I91" i="1" s="1"/>
  <c r="I123" i="1" s="1"/>
  <c r="J59" i="1"/>
  <c r="J91" i="1" s="1"/>
  <c r="J123" i="1" s="1"/>
  <c r="K59" i="1"/>
  <c r="K91" i="1" s="1"/>
  <c r="K123" i="1" s="1"/>
  <c r="L59" i="1"/>
  <c r="L91" i="1" s="1"/>
  <c r="L123" i="1" s="1"/>
  <c r="M59" i="1"/>
  <c r="M91" i="1" s="1"/>
  <c r="M123" i="1" s="1"/>
  <c r="N59" i="1"/>
  <c r="N91" i="1" s="1"/>
  <c r="N123" i="1" s="1"/>
  <c r="O59" i="1"/>
  <c r="O91" i="1" s="1"/>
  <c r="O123" i="1" s="1"/>
  <c r="P59" i="1"/>
  <c r="P91" i="1" s="1"/>
  <c r="P123" i="1" s="1"/>
  <c r="Q59" i="1"/>
  <c r="Q91" i="1" s="1"/>
  <c r="Q123" i="1" s="1"/>
  <c r="R59" i="1"/>
  <c r="R91" i="1" s="1"/>
  <c r="R123" i="1" s="1"/>
  <c r="S59" i="1"/>
  <c r="S91" i="1" s="1"/>
  <c r="S123" i="1" s="1"/>
  <c r="T59" i="1"/>
  <c r="T91" i="1" s="1"/>
  <c r="T123" i="1" s="1"/>
  <c r="E60" i="1"/>
  <c r="E92" i="1" s="1"/>
  <c r="E124" i="1" s="1"/>
  <c r="F60" i="1"/>
  <c r="F92" i="1" s="1"/>
  <c r="F124" i="1" s="1"/>
  <c r="G60" i="1"/>
  <c r="G92" i="1" s="1"/>
  <c r="G124" i="1" s="1"/>
  <c r="H60" i="1"/>
  <c r="H92" i="1" s="1"/>
  <c r="H124" i="1" s="1"/>
  <c r="I60" i="1"/>
  <c r="I92" i="1" s="1"/>
  <c r="I124" i="1" s="1"/>
  <c r="J60" i="1"/>
  <c r="J92" i="1" s="1"/>
  <c r="J124" i="1" s="1"/>
  <c r="K60" i="1"/>
  <c r="K92" i="1" s="1"/>
  <c r="K124" i="1" s="1"/>
  <c r="L60" i="1"/>
  <c r="L92" i="1" s="1"/>
  <c r="L124" i="1" s="1"/>
  <c r="M60" i="1"/>
  <c r="M92" i="1" s="1"/>
  <c r="M124" i="1" s="1"/>
  <c r="N60" i="1"/>
  <c r="N92" i="1" s="1"/>
  <c r="N124" i="1" s="1"/>
  <c r="O60" i="1"/>
  <c r="O92" i="1" s="1"/>
  <c r="O124" i="1" s="1"/>
  <c r="P60" i="1"/>
  <c r="P92" i="1" s="1"/>
  <c r="P124" i="1" s="1"/>
  <c r="Q60" i="1"/>
  <c r="Q92" i="1" s="1"/>
  <c r="Q124" i="1" s="1"/>
  <c r="R60" i="1"/>
  <c r="R92" i="1" s="1"/>
  <c r="R124" i="1" s="1"/>
  <c r="S60" i="1"/>
  <c r="S92" i="1" s="1"/>
  <c r="S124" i="1" s="1"/>
  <c r="T60" i="1"/>
  <c r="T92" i="1" s="1"/>
  <c r="T124" i="1" s="1"/>
  <c r="E61" i="1"/>
  <c r="E93" i="1" s="1"/>
  <c r="E125" i="1" s="1"/>
  <c r="F61" i="1"/>
  <c r="F93" i="1" s="1"/>
  <c r="F125" i="1" s="1"/>
  <c r="G61" i="1"/>
  <c r="G93" i="1" s="1"/>
  <c r="G125" i="1" s="1"/>
  <c r="H61" i="1"/>
  <c r="H93" i="1" s="1"/>
  <c r="H125" i="1" s="1"/>
  <c r="I61" i="1"/>
  <c r="I93" i="1" s="1"/>
  <c r="I125" i="1" s="1"/>
  <c r="J61" i="1"/>
  <c r="J93" i="1" s="1"/>
  <c r="J125" i="1" s="1"/>
  <c r="K61" i="1"/>
  <c r="K93" i="1" s="1"/>
  <c r="K125" i="1" s="1"/>
  <c r="L61" i="1"/>
  <c r="L93" i="1" s="1"/>
  <c r="L125" i="1" s="1"/>
  <c r="M61" i="1"/>
  <c r="M93" i="1" s="1"/>
  <c r="M125" i="1" s="1"/>
  <c r="N61" i="1"/>
  <c r="N93" i="1" s="1"/>
  <c r="N125" i="1" s="1"/>
  <c r="O61" i="1"/>
  <c r="O93" i="1" s="1"/>
  <c r="O125" i="1" s="1"/>
  <c r="P61" i="1"/>
  <c r="P93" i="1" s="1"/>
  <c r="P125" i="1" s="1"/>
  <c r="Q61" i="1"/>
  <c r="Q93" i="1" s="1"/>
  <c r="Q125" i="1" s="1"/>
  <c r="R61" i="1"/>
  <c r="R93" i="1" s="1"/>
  <c r="R125" i="1" s="1"/>
  <c r="S61" i="1"/>
  <c r="S93" i="1" s="1"/>
  <c r="S125" i="1" s="1"/>
  <c r="T61" i="1"/>
  <c r="T93" i="1" s="1"/>
  <c r="T125" i="1" s="1"/>
  <c r="E62" i="1"/>
  <c r="E94" i="1" s="1"/>
  <c r="E126" i="1" s="1"/>
  <c r="F62" i="1"/>
  <c r="F94" i="1" s="1"/>
  <c r="F126" i="1" s="1"/>
  <c r="G62" i="1"/>
  <c r="G94" i="1" s="1"/>
  <c r="G126" i="1" s="1"/>
  <c r="H62" i="1"/>
  <c r="H94" i="1" s="1"/>
  <c r="H126" i="1" s="1"/>
  <c r="I62" i="1"/>
  <c r="I94" i="1" s="1"/>
  <c r="I126" i="1" s="1"/>
  <c r="J62" i="1"/>
  <c r="J94" i="1" s="1"/>
  <c r="J126" i="1" s="1"/>
  <c r="K62" i="1"/>
  <c r="K94" i="1" s="1"/>
  <c r="K126" i="1" s="1"/>
  <c r="L62" i="1"/>
  <c r="L94" i="1" s="1"/>
  <c r="L126" i="1" s="1"/>
  <c r="M62" i="1"/>
  <c r="M94" i="1" s="1"/>
  <c r="M126" i="1" s="1"/>
  <c r="N62" i="1"/>
  <c r="N94" i="1" s="1"/>
  <c r="N126" i="1" s="1"/>
  <c r="O62" i="1"/>
  <c r="O94" i="1" s="1"/>
  <c r="O126" i="1" s="1"/>
  <c r="P62" i="1"/>
  <c r="P94" i="1" s="1"/>
  <c r="P126" i="1" s="1"/>
  <c r="Q62" i="1"/>
  <c r="Q94" i="1" s="1"/>
  <c r="Q126" i="1" s="1"/>
  <c r="R62" i="1"/>
  <c r="R94" i="1" s="1"/>
  <c r="R126" i="1" s="1"/>
  <c r="S62" i="1"/>
  <c r="S94" i="1" s="1"/>
  <c r="S126" i="1" s="1"/>
  <c r="T62" i="1"/>
  <c r="T94" i="1" s="1"/>
  <c r="T126" i="1" s="1"/>
  <c r="E63" i="1"/>
  <c r="E95" i="1" s="1"/>
  <c r="F63" i="1"/>
  <c r="F95" i="1" s="1"/>
  <c r="G63" i="1"/>
  <c r="G95" i="1" s="1"/>
  <c r="H63" i="1"/>
  <c r="H95" i="1" s="1"/>
  <c r="I63" i="1"/>
  <c r="I95" i="1" s="1"/>
  <c r="J63" i="1"/>
  <c r="J95" i="1" s="1"/>
  <c r="K63" i="1"/>
  <c r="K95" i="1" s="1"/>
  <c r="L63" i="1"/>
  <c r="L95" i="1" s="1"/>
  <c r="M63" i="1"/>
  <c r="M95" i="1" s="1"/>
  <c r="N63" i="1"/>
  <c r="N95" i="1" s="1"/>
  <c r="O63" i="1"/>
  <c r="O95" i="1" s="1"/>
  <c r="P63" i="1"/>
  <c r="P95" i="1" s="1"/>
  <c r="Q63" i="1"/>
  <c r="Q95" i="1" s="1"/>
  <c r="R63" i="1"/>
  <c r="R95" i="1" s="1"/>
  <c r="S63" i="1"/>
  <c r="S95" i="1" s="1"/>
  <c r="T63" i="1"/>
  <c r="T95" i="1" s="1"/>
  <c r="E64" i="1"/>
  <c r="E96" i="1" s="1"/>
  <c r="F64" i="1"/>
  <c r="F96" i="1" s="1"/>
  <c r="G64" i="1"/>
  <c r="G96" i="1" s="1"/>
  <c r="H64" i="1"/>
  <c r="H96" i="1" s="1"/>
  <c r="I64" i="1"/>
  <c r="I96" i="1" s="1"/>
  <c r="J64" i="1"/>
  <c r="J96" i="1" s="1"/>
  <c r="K64" i="1"/>
  <c r="K96" i="1" s="1"/>
  <c r="L64" i="1"/>
  <c r="L96" i="1" s="1"/>
  <c r="M64" i="1"/>
  <c r="M96" i="1" s="1"/>
  <c r="N64" i="1"/>
  <c r="N96" i="1" s="1"/>
  <c r="O64" i="1"/>
  <c r="O96" i="1" s="1"/>
  <c r="P64" i="1"/>
  <c r="P96" i="1" s="1"/>
  <c r="Q64" i="1"/>
  <c r="Q96" i="1" s="1"/>
  <c r="R64" i="1"/>
  <c r="R96" i="1" s="1"/>
  <c r="S64" i="1"/>
  <c r="S96" i="1" s="1"/>
  <c r="T64" i="1"/>
  <c r="T96" i="1" s="1"/>
  <c r="E65" i="1"/>
  <c r="E97" i="1" s="1"/>
  <c r="F65" i="1"/>
  <c r="F97" i="1" s="1"/>
  <c r="G65" i="1"/>
  <c r="G97" i="1" s="1"/>
  <c r="H65" i="1"/>
  <c r="H97" i="1" s="1"/>
  <c r="I65" i="1"/>
  <c r="I97" i="1" s="1"/>
  <c r="J65" i="1"/>
  <c r="J97" i="1" s="1"/>
  <c r="K65" i="1"/>
  <c r="K97" i="1" s="1"/>
  <c r="L65" i="1"/>
  <c r="L97" i="1" s="1"/>
  <c r="M65" i="1"/>
  <c r="M97" i="1" s="1"/>
  <c r="N65" i="1"/>
  <c r="N97" i="1" s="1"/>
  <c r="O65" i="1"/>
  <c r="O97" i="1" s="1"/>
  <c r="P65" i="1"/>
  <c r="P97" i="1" s="1"/>
  <c r="Q65" i="1"/>
  <c r="Q97" i="1" s="1"/>
  <c r="R65" i="1"/>
  <c r="R97" i="1" s="1"/>
  <c r="S65" i="1"/>
  <c r="S97" i="1" s="1"/>
  <c r="T65" i="1"/>
  <c r="T97" i="1" s="1"/>
  <c r="E66" i="1"/>
  <c r="E98" i="1" s="1"/>
  <c r="F66" i="1"/>
  <c r="F98" i="1" s="1"/>
  <c r="G66" i="1"/>
  <c r="G98" i="1" s="1"/>
  <c r="H66" i="1"/>
  <c r="H98" i="1" s="1"/>
  <c r="I66" i="1"/>
  <c r="I98" i="1" s="1"/>
  <c r="J66" i="1"/>
  <c r="J98" i="1" s="1"/>
  <c r="K66" i="1"/>
  <c r="K98" i="1" s="1"/>
  <c r="L66" i="1"/>
  <c r="L98" i="1" s="1"/>
  <c r="M66" i="1"/>
  <c r="M98" i="1" s="1"/>
  <c r="N66" i="1"/>
  <c r="N98" i="1" s="1"/>
  <c r="O66" i="1"/>
  <c r="O98" i="1" s="1"/>
  <c r="P66" i="1"/>
  <c r="P98" i="1" s="1"/>
  <c r="Q66" i="1"/>
  <c r="Q98" i="1" s="1"/>
  <c r="R66" i="1"/>
  <c r="R98" i="1" s="1"/>
  <c r="S66" i="1"/>
  <c r="S98" i="1" s="1"/>
  <c r="T66" i="1"/>
  <c r="T98" i="1" s="1"/>
  <c r="E67" i="1"/>
  <c r="E99" i="1" s="1"/>
  <c r="F67" i="1"/>
  <c r="F99" i="1" s="1"/>
  <c r="G67" i="1"/>
  <c r="G99" i="1" s="1"/>
  <c r="H67" i="1"/>
  <c r="H99" i="1" s="1"/>
  <c r="I67" i="1"/>
  <c r="J67" i="1"/>
  <c r="K67" i="1"/>
  <c r="L67" i="1"/>
  <c r="M67" i="1"/>
  <c r="N67" i="1"/>
  <c r="O67" i="1"/>
  <c r="P67" i="1"/>
  <c r="Q67" i="1"/>
  <c r="R67" i="1"/>
  <c r="S67" i="1"/>
  <c r="T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I99" i="1"/>
  <c r="J99" i="1"/>
  <c r="K99" i="1"/>
  <c r="L99" i="1"/>
  <c r="M99" i="1"/>
  <c r="N99" i="1"/>
  <c r="O99" i="1"/>
  <c r="P99" i="1"/>
  <c r="Q99" i="1"/>
  <c r="R99" i="1"/>
  <c r="S99" i="1"/>
  <c r="T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T39" i="1"/>
  <c r="T71" i="1" s="1"/>
  <c r="T103" i="1" s="1"/>
  <c r="S39" i="1"/>
  <c r="S71" i="1" s="1"/>
  <c r="S103" i="1" s="1"/>
  <c r="R39" i="1"/>
  <c r="R71" i="1" s="1"/>
  <c r="R103" i="1" s="1"/>
  <c r="Q39" i="1"/>
  <c r="Q71" i="1" s="1"/>
  <c r="Q103" i="1" s="1"/>
  <c r="P39" i="1"/>
  <c r="P71" i="1" s="1"/>
  <c r="P103" i="1" s="1"/>
  <c r="O39" i="1"/>
  <c r="O71" i="1" s="1"/>
  <c r="O103" i="1" s="1"/>
  <c r="N39" i="1"/>
  <c r="N71" i="1" s="1"/>
  <c r="N103" i="1" s="1"/>
  <c r="M39" i="1"/>
  <c r="M71" i="1" s="1"/>
  <c r="M103" i="1" s="1"/>
  <c r="L39" i="1"/>
  <c r="L71" i="1" s="1"/>
  <c r="L103" i="1" s="1"/>
  <c r="K39" i="1"/>
  <c r="K71" i="1" s="1"/>
  <c r="K103" i="1" s="1"/>
  <c r="J39" i="1"/>
  <c r="J71" i="1" s="1"/>
  <c r="J103" i="1" s="1"/>
  <c r="I39" i="1"/>
  <c r="I71" i="1" s="1"/>
  <c r="I103" i="1" s="1"/>
  <c r="H39" i="1"/>
  <c r="H71" i="1" s="1"/>
  <c r="H103" i="1" s="1"/>
  <c r="G39" i="1"/>
  <c r="G71" i="1" s="1"/>
  <c r="G103" i="1" s="1"/>
  <c r="F39" i="1"/>
  <c r="F71" i="1" s="1"/>
  <c r="F103" i="1" s="1"/>
  <c r="E39" i="1"/>
  <c r="E71" i="1" s="1"/>
  <c r="E103" i="1" s="1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E41" i="17"/>
  <c r="F41" i="17"/>
  <c r="G41" i="17"/>
  <c r="H41" i="17"/>
  <c r="I41" i="17"/>
  <c r="J41" i="17"/>
  <c r="K41" i="17"/>
  <c r="K73" i="17" s="1"/>
  <c r="K105" i="17" s="1"/>
  <c r="L41" i="17"/>
  <c r="M41" i="17"/>
  <c r="N41" i="17"/>
  <c r="O41" i="17"/>
  <c r="P41" i="17"/>
  <c r="Q41" i="17"/>
  <c r="R41" i="17"/>
  <c r="S41" i="17"/>
  <c r="T41" i="17"/>
  <c r="E42" i="17"/>
  <c r="F42" i="17"/>
  <c r="G42" i="17"/>
  <c r="H42" i="17"/>
  <c r="I42" i="17"/>
  <c r="J42" i="17"/>
  <c r="J74" i="17" s="1"/>
  <c r="J106" i="17" s="1"/>
  <c r="K42" i="17"/>
  <c r="K74" i="17" s="1"/>
  <c r="K106" i="17" s="1"/>
  <c r="L42" i="17"/>
  <c r="M42" i="17"/>
  <c r="N42" i="17"/>
  <c r="O42" i="17"/>
  <c r="P42" i="17"/>
  <c r="Q42" i="17"/>
  <c r="R42" i="17"/>
  <c r="S42" i="17"/>
  <c r="T42" i="17"/>
  <c r="E43" i="17"/>
  <c r="F43" i="17"/>
  <c r="G43" i="17"/>
  <c r="H43" i="17"/>
  <c r="I43" i="17"/>
  <c r="J43" i="17"/>
  <c r="J75" i="17" s="1"/>
  <c r="J107" i="17" s="1"/>
  <c r="K43" i="17"/>
  <c r="K75" i="17" s="1"/>
  <c r="K107" i="17" s="1"/>
  <c r="L43" i="17"/>
  <c r="M43" i="17"/>
  <c r="N43" i="17"/>
  <c r="O43" i="17"/>
  <c r="P43" i="17"/>
  <c r="Q43" i="17"/>
  <c r="R43" i="17"/>
  <c r="S43" i="17"/>
  <c r="T43" i="17"/>
  <c r="E44" i="17"/>
  <c r="F44" i="17"/>
  <c r="G44" i="17"/>
  <c r="H44" i="17"/>
  <c r="I44" i="17"/>
  <c r="J44" i="17"/>
  <c r="J76" i="17" s="1"/>
  <c r="J108" i="17" s="1"/>
  <c r="K44" i="17"/>
  <c r="K76" i="17" s="1"/>
  <c r="K108" i="17" s="1"/>
  <c r="L44" i="17"/>
  <c r="M44" i="17"/>
  <c r="N44" i="17"/>
  <c r="O44" i="17"/>
  <c r="P44" i="17"/>
  <c r="Q44" i="17"/>
  <c r="R44" i="17"/>
  <c r="S44" i="17"/>
  <c r="T44" i="17"/>
  <c r="E45" i="17"/>
  <c r="F45" i="17"/>
  <c r="G45" i="17"/>
  <c r="H45" i="17"/>
  <c r="I45" i="17"/>
  <c r="J45" i="17"/>
  <c r="J77" i="17" s="1"/>
  <c r="J109" i="17" s="1"/>
  <c r="K45" i="17"/>
  <c r="K77" i="17" s="1"/>
  <c r="K109" i="17" s="1"/>
  <c r="L45" i="17"/>
  <c r="M45" i="17"/>
  <c r="N45" i="17"/>
  <c r="O45" i="17"/>
  <c r="P45" i="17"/>
  <c r="Q45" i="17"/>
  <c r="R45" i="17"/>
  <c r="S45" i="17"/>
  <c r="T45" i="17"/>
  <c r="E46" i="17"/>
  <c r="F46" i="17"/>
  <c r="G46" i="17"/>
  <c r="H46" i="17"/>
  <c r="I46" i="17"/>
  <c r="J46" i="17"/>
  <c r="J78" i="17" s="1"/>
  <c r="J110" i="17" s="1"/>
  <c r="K46" i="17"/>
  <c r="L46" i="17"/>
  <c r="M46" i="17"/>
  <c r="N46" i="17"/>
  <c r="O46" i="17"/>
  <c r="P46" i="17"/>
  <c r="Q46" i="17"/>
  <c r="R46" i="17"/>
  <c r="S46" i="17"/>
  <c r="T46" i="17"/>
  <c r="E47" i="17"/>
  <c r="F47" i="17"/>
  <c r="G47" i="17"/>
  <c r="H47" i="17"/>
  <c r="I47" i="17"/>
  <c r="I79" i="17" s="1"/>
  <c r="I111" i="17" s="1"/>
  <c r="J47" i="17"/>
  <c r="J79" i="17" s="1"/>
  <c r="J111" i="17" s="1"/>
  <c r="K47" i="17"/>
  <c r="K79" i="17" s="1"/>
  <c r="K111" i="17" s="1"/>
  <c r="L47" i="17"/>
  <c r="M47" i="17"/>
  <c r="N47" i="17"/>
  <c r="O47" i="17"/>
  <c r="P47" i="17"/>
  <c r="Q47" i="17"/>
  <c r="R47" i="17"/>
  <c r="S47" i="17"/>
  <c r="T47" i="17"/>
  <c r="E48" i="17"/>
  <c r="F48" i="17"/>
  <c r="G48" i="17"/>
  <c r="H48" i="17"/>
  <c r="I48" i="17"/>
  <c r="I80" i="17" s="1"/>
  <c r="I112" i="17" s="1"/>
  <c r="J48" i="17"/>
  <c r="J80" i="17" s="1"/>
  <c r="J112" i="17" s="1"/>
  <c r="K48" i="17"/>
  <c r="K80" i="17" s="1"/>
  <c r="K112" i="17" s="1"/>
  <c r="L48" i="17"/>
  <c r="M48" i="17"/>
  <c r="N48" i="17"/>
  <c r="O48" i="17"/>
  <c r="P48" i="17"/>
  <c r="Q48" i="17"/>
  <c r="R48" i="17"/>
  <c r="S48" i="17"/>
  <c r="T48" i="17"/>
  <c r="E49" i="17"/>
  <c r="F49" i="17"/>
  <c r="G49" i="17"/>
  <c r="H49" i="17"/>
  <c r="I49" i="17"/>
  <c r="J49" i="17"/>
  <c r="J81" i="17" s="1"/>
  <c r="J113" i="17" s="1"/>
  <c r="K49" i="17"/>
  <c r="K81" i="17" s="1"/>
  <c r="K113" i="17" s="1"/>
  <c r="L49" i="17"/>
  <c r="M49" i="17"/>
  <c r="N49" i="17"/>
  <c r="O49" i="17"/>
  <c r="P49" i="17"/>
  <c r="Q49" i="17"/>
  <c r="R49" i="17"/>
  <c r="S49" i="17"/>
  <c r="T49" i="17"/>
  <c r="E50" i="17"/>
  <c r="F50" i="17"/>
  <c r="G50" i="17"/>
  <c r="H50" i="17"/>
  <c r="H82" i="17" s="1"/>
  <c r="H114" i="17" s="1"/>
  <c r="I50" i="17"/>
  <c r="J50" i="17"/>
  <c r="J82" i="17" s="1"/>
  <c r="J114" i="17" s="1"/>
  <c r="K50" i="17"/>
  <c r="K82" i="17" s="1"/>
  <c r="K114" i="17" s="1"/>
  <c r="L50" i="17"/>
  <c r="M50" i="17"/>
  <c r="N50" i="17"/>
  <c r="O50" i="17"/>
  <c r="P50" i="17"/>
  <c r="Q50" i="17"/>
  <c r="R50" i="17"/>
  <c r="S50" i="17"/>
  <c r="T50" i="17"/>
  <c r="E51" i="17"/>
  <c r="F51" i="17"/>
  <c r="G51" i="17"/>
  <c r="H51" i="17"/>
  <c r="I51" i="17"/>
  <c r="J51" i="17"/>
  <c r="J83" i="17" s="1"/>
  <c r="J115" i="17" s="1"/>
  <c r="K51" i="17"/>
  <c r="K83" i="17" s="1"/>
  <c r="K115" i="17" s="1"/>
  <c r="L51" i="17"/>
  <c r="M51" i="17"/>
  <c r="N51" i="17"/>
  <c r="O51" i="17"/>
  <c r="P51" i="17"/>
  <c r="Q51" i="17"/>
  <c r="R51" i="17"/>
  <c r="S51" i="17"/>
  <c r="T51" i="17"/>
  <c r="E52" i="17"/>
  <c r="F52" i="17"/>
  <c r="G52" i="17"/>
  <c r="H52" i="17"/>
  <c r="I52" i="17"/>
  <c r="J52" i="17"/>
  <c r="J84" i="17" s="1"/>
  <c r="J116" i="17" s="1"/>
  <c r="K52" i="17"/>
  <c r="K84" i="17" s="1"/>
  <c r="K116" i="17" s="1"/>
  <c r="L52" i="17"/>
  <c r="M52" i="17"/>
  <c r="N52" i="17"/>
  <c r="O52" i="17"/>
  <c r="P52" i="17"/>
  <c r="Q52" i="17"/>
  <c r="R52" i="17"/>
  <c r="S52" i="17"/>
  <c r="T52" i="17"/>
  <c r="E53" i="17"/>
  <c r="F53" i="17"/>
  <c r="G53" i="17"/>
  <c r="H53" i="17"/>
  <c r="I53" i="17"/>
  <c r="J53" i="17"/>
  <c r="J85" i="17" s="1"/>
  <c r="J117" i="17" s="1"/>
  <c r="K53" i="17"/>
  <c r="K85" i="17" s="1"/>
  <c r="K117" i="17" s="1"/>
  <c r="L53" i="17"/>
  <c r="M53" i="17"/>
  <c r="N53" i="17"/>
  <c r="O53" i="17"/>
  <c r="P53" i="17"/>
  <c r="Q53" i="17"/>
  <c r="R53" i="17"/>
  <c r="S53" i="17"/>
  <c r="T53" i="17"/>
  <c r="E54" i="17"/>
  <c r="F54" i="17"/>
  <c r="G54" i="17"/>
  <c r="H54" i="17"/>
  <c r="I54" i="17"/>
  <c r="J54" i="17"/>
  <c r="J86" i="17" s="1"/>
  <c r="J118" i="17" s="1"/>
  <c r="K54" i="17"/>
  <c r="K86" i="17" s="1"/>
  <c r="K118" i="17" s="1"/>
  <c r="L54" i="17"/>
  <c r="M54" i="17"/>
  <c r="N54" i="17"/>
  <c r="O54" i="17"/>
  <c r="P54" i="17"/>
  <c r="Q54" i="17"/>
  <c r="R54" i="17"/>
  <c r="S54" i="17"/>
  <c r="T54" i="17"/>
  <c r="E55" i="17"/>
  <c r="F55" i="17"/>
  <c r="G55" i="17"/>
  <c r="H55" i="17"/>
  <c r="I55" i="17"/>
  <c r="J55" i="17"/>
  <c r="K55" i="17"/>
  <c r="K87" i="17" s="1"/>
  <c r="K119" i="17" s="1"/>
  <c r="L55" i="17"/>
  <c r="M55" i="17"/>
  <c r="N55" i="17"/>
  <c r="O55" i="17"/>
  <c r="P55" i="17"/>
  <c r="Q55" i="17"/>
  <c r="R55" i="17"/>
  <c r="S55" i="17"/>
  <c r="T55" i="17"/>
  <c r="E56" i="17"/>
  <c r="F56" i="17"/>
  <c r="G56" i="17"/>
  <c r="H56" i="17"/>
  <c r="I56" i="17"/>
  <c r="J56" i="17"/>
  <c r="K56" i="17"/>
  <c r="K88" i="17" s="1"/>
  <c r="K120" i="17" s="1"/>
  <c r="L56" i="17"/>
  <c r="M56" i="17"/>
  <c r="N56" i="17"/>
  <c r="O56" i="17"/>
  <c r="P56" i="17"/>
  <c r="Q56" i="17"/>
  <c r="R56" i="17"/>
  <c r="S56" i="17"/>
  <c r="T56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E72" i="17"/>
  <c r="F72" i="17"/>
  <c r="G72" i="17"/>
  <c r="H72" i="17"/>
  <c r="I72" i="17"/>
  <c r="J72" i="17"/>
  <c r="K72" i="17"/>
  <c r="K104" i="17" s="1"/>
  <c r="L72" i="17"/>
  <c r="M72" i="17"/>
  <c r="N72" i="17"/>
  <c r="O72" i="17"/>
  <c r="P72" i="17"/>
  <c r="Q72" i="17"/>
  <c r="R72" i="17"/>
  <c r="S72" i="17"/>
  <c r="T72" i="17"/>
  <c r="E73" i="17"/>
  <c r="F73" i="17"/>
  <c r="G73" i="17"/>
  <c r="H73" i="17"/>
  <c r="I73" i="17"/>
  <c r="J73" i="17"/>
  <c r="J105" i="17" s="1"/>
  <c r="L73" i="17"/>
  <c r="M73" i="17"/>
  <c r="N73" i="17"/>
  <c r="O73" i="17"/>
  <c r="P73" i="17"/>
  <c r="Q73" i="17"/>
  <c r="R73" i="17"/>
  <c r="S73" i="17"/>
  <c r="T73" i="17"/>
  <c r="E74" i="17"/>
  <c r="F74" i="17"/>
  <c r="G74" i="17"/>
  <c r="H74" i="17"/>
  <c r="I74" i="17"/>
  <c r="L74" i="17"/>
  <c r="M74" i="17"/>
  <c r="N74" i="17"/>
  <c r="O74" i="17"/>
  <c r="P74" i="17"/>
  <c r="Q74" i="17"/>
  <c r="R74" i="17"/>
  <c r="S74" i="17"/>
  <c r="T74" i="17"/>
  <c r="E75" i="17"/>
  <c r="F75" i="17"/>
  <c r="G75" i="17"/>
  <c r="H75" i="17"/>
  <c r="I75" i="17"/>
  <c r="L75" i="17"/>
  <c r="M75" i="17"/>
  <c r="N75" i="17"/>
  <c r="O75" i="17"/>
  <c r="P75" i="17"/>
  <c r="Q75" i="17"/>
  <c r="R75" i="17"/>
  <c r="S75" i="17"/>
  <c r="T75" i="17"/>
  <c r="E76" i="17"/>
  <c r="F76" i="17"/>
  <c r="G76" i="17"/>
  <c r="H76" i="17"/>
  <c r="I76" i="17"/>
  <c r="L76" i="17"/>
  <c r="M76" i="17"/>
  <c r="N76" i="17"/>
  <c r="O76" i="17"/>
  <c r="P76" i="17"/>
  <c r="Q76" i="17"/>
  <c r="R76" i="17"/>
  <c r="S76" i="17"/>
  <c r="T76" i="17"/>
  <c r="E77" i="17"/>
  <c r="F77" i="17"/>
  <c r="G77" i="17"/>
  <c r="H77" i="17"/>
  <c r="I77" i="17"/>
  <c r="L77" i="17"/>
  <c r="M77" i="17"/>
  <c r="N77" i="17"/>
  <c r="O77" i="17"/>
  <c r="P77" i="17"/>
  <c r="Q77" i="17"/>
  <c r="R77" i="17"/>
  <c r="S77" i="17"/>
  <c r="T77" i="17"/>
  <c r="E78" i="17"/>
  <c r="F78" i="17"/>
  <c r="G78" i="17"/>
  <c r="H78" i="17"/>
  <c r="I78" i="17"/>
  <c r="K78" i="17"/>
  <c r="K110" i="17" s="1"/>
  <c r="L78" i="17"/>
  <c r="M78" i="17"/>
  <c r="N78" i="17"/>
  <c r="O78" i="17"/>
  <c r="P78" i="17"/>
  <c r="Q78" i="17"/>
  <c r="Q110" i="17" s="1"/>
  <c r="R78" i="17"/>
  <c r="R110" i="17" s="1"/>
  <c r="S78" i="17"/>
  <c r="S110" i="17" s="1"/>
  <c r="T78" i="17"/>
  <c r="T110" i="17" s="1"/>
  <c r="E79" i="17"/>
  <c r="E111" i="17" s="1"/>
  <c r="F79" i="17"/>
  <c r="F111" i="17" s="1"/>
  <c r="G79" i="17"/>
  <c r="G111" i="17" s="1"/>
  <c r="H79" i="17"/>
  <c r="H111" i="17" s="1"/>
  <c r="L79" i="17"/>
  <c r="L111" i="17" s="1"/>
  <c r="M79" i="17"/>
  <c r="M111" i="17" s="1"/>
  <c r="N79" i="17"/>
  <c r="N111" i="17" s="1"/>
  <c r="O79" i="17"/>
  <c r="O111" i="17" s="1"/>
  <c r="P79" i="17"/>
  <c r="P111" i="17" s="1"/>
  <c r="Q79" i="17"/>
  <c r="Q111" i="17" s="1"/>
  <c r="R79" i="17"/>
  <c r="R111" i="17" s="1"/>
  <c r="S79" i="17"/>
  <c r="S111" i="17" s="1"/>
  <c r="T79" i="17"/>
  <c r="T111" i="17" s="1"/>
  <c r="E80" i="17"/>
  <c r="E112" i="17" s="1"/>
  <c r="F80" i="17"/>
  <c r="F112" i="17" s="1"/>
  <c r="G80" i="17"/>
  <c r="G112" i="17" s="1"/>
  <c r="H80" i="17"/>
  <c r="H112" i="17" s="1"/>
  <c r="L80" i="17"/>
  <c r="L112" i="17" s="1"/>
  <c r="M80" i="17"/>
  <c r="M112" i="17" s="1"/>
  <c r="N80" i="17"/>
  <c r="N112" i="17" s="1"/>
  <c r="O80" i="17"/>
  <c r="O112" i="17" s="1"/>
  <c r="P80" i="17"/>
  <c r="P112" i="17" s="1"/>
  <c r="Q80" i="17"/>
  <c r="Q112" i="17" s="1"/>
  <c r="R80" i="17"/>
  <c r="R112" i="17" s="1"/>
  <c r="S80" i="17"/>
  <c r="S112" i="17" s="1"/>
  <c r="T80" i="17"/>
  <c r="T112" i="17" s="1"/>
  <c r="E81" i="17"/>
  <c r="E113" i="17" s="1"/>
  <c r="F81" i="17"/>
  <c r="F113" i="17" s="1"/>
  <c r="G81" i="17"/>
  <c r="G113" i="17" s="1"/>
  <c r="H81" i="17"/>
  <c r="H113" i="17" s="1"/>
  <c r="I81" i="17"/>
  <c r="I113" i="17" s="1"/>
  <c r="L81" i="17"/>
  <c r="L113" i="17" s="1"/>
  <c r="M81" i="17"/>
  <c r="M113" i="17" s="1"/>
  <c r="N81" i="17"/>
  <c r="N113" i="17" s="1"/>
  <c r="O81" i="17"/>
  <c r="O113" i="17" s="1"/>
  <c r="P81" i="17"/>
  <c r="P113" i="17" s="1"/>
  <c r="Q81" i="17"/>
  <c r="Q113" i="17" s="1"/>
  <c r="R81" i="17"/>
  <c r="R113" i="17" s="1"/>
  <c r="S81" i="17"/>
  <c r="S113" i="17" s="1"/>
  <c r="T81" i="17"/>
  <c r="T113" i="17" s="1"/>
  <c r="E82" i="17"/>
  <c r="E114" i="17" s="1"/>
  <c r="F82" i="17"/>
  <c r="F114" i="17" s="1"/>
  <c r="G82" i="17"/>
  <c r="G114" i="17" s="1"/>
  <c r="I82" i="17"/>
  <c r="I114" i="17" s="1"/>
  <c r="L82" i="17"/>
  <c r="L114" i="17" s="1"/>
  <c r="M82" i="17"/>
  <c r="M114" i="17" s="1"/>
  <c r="N82" i="17"/>
  <c r="N114" i="17" s="1"/>
  <c r="O82" i="17"/>
  <c r="O114" i="17" s="1"/>
  <c r="P82" i="17"/>
  <c r="P114" i="17" s="1"/>
  <c r="Q82" i="17"/>
  <c r="Q114" i="17" s="1"/>
  <c r="R82" i="17"/>
  <c r="R114" i="17" s="1"/>
  <c r="S82" i="17"/>
  <c r="S114" i="17" s="1"/>
  <c r="T82" i="17"/>
  <c r="T114" i="17" s="1"/>
  <c r="E83" i="17"/>
  <c r="E115" i="17" s="1"/>
  <c r="F83" i="17"/>
  <c r="F115" i="17" s="1"/>
  <c r="G83" i="17"/>
  <c r="G115" i="17" s="1"/>
  <c r="H83" i="17"/>
  <c r="H115" i="17" s="1"/>
  <c r="I83" i="17"/>
  <c r="I115" i="17" s="1"/>
  <c r="L83" i="17"/>
  <c r="L115" i="17" s="1"/>
  <c r="M83" i="17"/>
  <c r="M115" i="17" s="1"/>
  <c r="N83" i="17"/>
  <c r="N115" i="17" s="1"/>
  <c r="O83" i="17"/>
  <c r="O115" i="17" s="1"/>
  <c r="P83" i="17"/>
  <c r="P115" i="17" s="1"/>
  <c r="Q83" i="17"/>
  <c r="Q115" i="17" s="1"/>
  <c r="R83" i="17"/>
  <c r="R115" i="17" s="1"/>
  <c r="S83" i="17"/>
  <c r="S115" i="17" s="1"/>
  <c r="T83" i="17"/>
  <c r="T115" i="17" s="1"/>
  <c r="E84" i="17"/>
  <c r="E116" i="17" s="1"/>
  <c r="F84" i="17"/>
  <c r="F116" i="17" s="1"/>
  <c r="G84" i="17"/>
  <c r="G116" i="17" s="1"/>
  <c r="H84" i="17"/>
  <c r="H116" i="17" s="1"/>
  <c r="I84" i="17"/>
  <c r="I116" i="17" s="1"/>
  <c r="L84" i="17"/>
  <c r="L116" i="17" s="1"/>
  <c r="M84" i="17"/>
  <c r="M116" i="17" s="1"/>
  <c r="N84" i="17"/>
  <c r="N116" i="17" s="1"/>
  <c r="O84" i="17"/>
  <c r="O116" i="17" s="1"/>
  <c r="P84" i="17"/>
  <c r="P116" i="17" s="1"/>
  <c r="Q84" i="17"/>
  <c r="Q116" i="17" s="1"/>
  <c r="R84" i="17"/>
  <c r="R116" i="17" s="1"/>
  <c r="S84" i="17"/>
  <c r="S116" i="17" s="1"/>
  <c r="T84" i="17"/>
  <c r="T116" i="17" s="1"/>
  <c r="E85" i="17"/>
  <c r="E117" i="17" s="1"/>
  <c r="F85" i="17"/>
  <c r="F117" i="17" s="1"/>
  <c r="G85" i="17"/>
  <c r="G117" i="17" s="1"/>
  <c r="H85" i="17"/>
  <c r="H117" i="17" s="1"/>
  <c r="I85" i="17"/>
  <c r="I117" i="17" s="1"/>
  <c r="L85" i="17"/>
  <c r="L117" i="17" s="1"/>
  <c r="M85" i="17"/>
  <c r="M117" i="17" s="1"/>
  <c r="N85" i="17"/>
  <c r="N117" i="17" s="1"/>
  <c r="O85" i="17"/>
  <c r="O117" i="17" s="1"/>
  <c r="P85" i="17"/>
  <c r="P117" i="17" s="1"/>
  <c r="Q85" i="17"/>
  <c r="Q117" i="17" s="1"/>
  <c r="R85" i="17"/>
  <c r="R117" i="17" s="1"/>
  <c r="S85" i="17"/>
  <c r="S117" i="17" s="1"/>
  <c r="T85" i="17"/>
  <c r="T117" i="17" s="1"/>
  <c r="E86" i="17"/>
  <c r="E118" i="17" s="1"/>
  <c r="F86" i="17"/>
  <c r="F118" i="17" s="1"/>
  <c r="G86" i="17"/>
  <c r="G118" i="17" s="1"/>
  <c r="H86" i="17"/>
  <c r="H118" i="17" s="1"/>
  <c r="I86" i="17"/>
  <c r="I118" i="17" s="1"/>
  <c r="L86" i="17"/>
  <c r="L118" i="17" s="1"/>
  <c r="M86" i="17"/>
  <c r="M118" i="17" s="1"/>
  <c r="N86" i="17"/>
  <c r="N118" i="17" s="1"/>
  <c r="O86" i="17"/>
  <c r="O118" i="17" s="1"/>
  <c r="P86" i="17"/>
  <c r="P118" i="17" s="1"/>
  <c r="Q86" i="17"/>
  <c r="Q118" i="17" s="1"/>
  <c r="R86" i="17"/>
  <c r="R118" i="17" s="1"/>
  <c r="S86" i="17"/>
  <c r="S118" i="17" s="1"/>
  <c r="T86" i="17"/>
  <c r="T118" i="17" s="1"/>
  <c r="E87" i="17"/>
  <c r="E119" i="17" s="1"/>
  <c r="F87" i="17"/>
  <c r="F119" i="17" s="1"/>
  <c r="G87" i="17"/>
  <c r="G119" i="17" s="1"/>
  <c r="H87" i="17"/>
  <c r="H119" i="17" s="1"/>
  <c r="I87" i="17"/>
  <c r="I119" i="17" s="1"/>
  <c r="J87" i="17"/>
  <c r="J119" i="17" s="1"/>
  <c r="L87" i="17"/>
  <c r="L119" i="17" s="1"/>
  <c r="M87" i="17"/>
  <c r="M119" i="17" s="1"/>
  <c r="N87" i="17"/>
  <c r="N119" i="17" s="1"/>
  <c r="O87" i="17"/>
  <c r="O119" i="17" s="1"/>
  <c r="P87" i="17"/>
  <c r="P119" i="17" s="1"/>
  <c r="Q87" i="17"/>
  <c r="Q119" i="17" s="1"/>
  <c r="R87" i="17"/>
  <c r="R119" i="17" s="1"/>
  <c r="S87" i="17"/>
  <c r="S119" i="17" s="1"/>
  <c r="T87" i="17"/>
  <c r="T119" i="17" s="1"/>
  <c r="E88" i="17"/>
  <c r="E120" i="17" s="1"/>
  <c r="F88" i="17"/>
  <c r="F120" i="17" s="1"/>
  <c r="G88" i="17"/>
  <c r="G120" i="17" s="1"/>
  <c r="H88" i="17"/>
  <c r="H120" i="17" s="1"/>
  <c r="I88" i="17"/>
  <c r="I120" i="17" s="1"/>
  <c r="J88" i="17"/>
  <c r="J120" i="17" s="1"/>
  <c r="L88" i="17"/>
  <c r="L120" i="17" s="1"/>
  <c r="M88" i="17"/>
  <c r="M120" i="17" s="1"/>
  <c r="N88" i="17"/>
  <c r="N120" i="17" s="1"/>
  <c r="O88" i="17"/>
  <c r="O120" i="17" s="1"/>
  <c r="P88" i="17"/>
  <c r="P120" i="17" s="1"/>
  <c r="Q88" i="17"/>
  <c r="Q120" i="17" s="1"/>
  <c r="R88" i="17"/>
  <c r="R120" i="17" s="1"/>
  <c r="S88" i="17"/>
  <c r="S120" i="17" s="1"/>
  <c r="T88" i="17"/>
  <c r="T120" i="17" s="1"/>
  <c r="E89" i="17"/>
  <c r="E121" i="17" s="1"/>
  <c r="F89" i="17"/>
  <c r="F121" i="17" s="1"/>
  <c r="G89" i="17"/>
  <c r="G121" i="17" s="1"/>
  <c r="H89" i="17"/>
  <c r="H121" i="17" s="1"/>
  <c r="I89" i="17"/>
  <c r="I121" i="17" s="1"/>
  <c r="J89" i="17"/>
  <c r="J121" i="17" s="1"/>
  <c r="K89" i="17"/>
  <c r="K121" i="17" s="1"/>
  <c r="L89" i="17"/>
  <c r="L121" i="17" s="1"/>
  <c r="M89" i="17"/>
  <c r="M121" i="17" s="1"/>
  <c r="N89" i="17"/>
  <c r="N121" i="17" s="1"/>
  <c r="O89" i="17"/>
  <c r="O121" i="17" s="1"/>
  <c r="P89" i="17"/>
  <c r="P121" i="17" s="1"/>
  <c r="Q89" i="17"/>
  <c r="Q121" i="17" s="1"/>
  <c r="R89" i="17"/>
  <c r="R121" i="17" s="1"/>
  <c r="S89" i="17"/>
  <c r="S121" i="17" s="1"/>
  <c r="T89" i="17"/>
  <c r="T121" i="17" s="1"/>
  <c r="E90" i="17"/>
  <c r="E122" i="17" s="1"/>
  <c r="F90" i="17"/>
  <c r="F122" i="17" s="1"/>
  <c r="G90" i="17"/>
  <c r="G122" i="17" s="1"/>
  <c r="H90" i="17"/>
  <c r="H122" i="17" s="1"/>
  <c r="I90" i="17"/>
  <c r="I122" i="17" s="1"/>
  <c r="J90" i="17"/>
  <c r="J122" i="17" s="1"/>
  <c r="K90" i="17"/>
  <c r="K122" i="17" s="1"/>
  <c r="L90" i="17"/>
  <c r="L122" i="17" s="1"/>
  <c r="M90" i="17"/>
  <c r="M122" i="17" s="1"/>
  <c r="N90" i="17"/>
  <c r="N122" i="17" s="1"/>
  <c r="O90" i="17"/>
  <c r="O122" i="17" s="1"/>
  <c r="P90" i="17"/>
  <c r="P122" i="17" s="1"/>
  <c r="Q90" i="17"/>
  <c r="Q122" i="17" s="1"/>
  <c r="R90" i="17"/>
  <c r="R122" i="17" s="1"/>
  <c r="S90" i="17"/>
  <c r="S122" i="17" s="1"/>
  <c r="T90" i="17"/>
  <c r="T122" i="17" s="1"/>
  <c r="E91" i="17"/>
  <c r="E123" i="17" s="1"/>
  <c r="F91" i="17"/>
  <c r="F123" i="17" s="1"/>
  <c r="G91" i="17"/>
  <c r="G123" i="17" s="1"/>
  <c r="H91" i="17"/>
  <c r="H123" i="17" s="1"/>
  <c r="I91" i="17"/>
  <c r="I123" i="17" s="1"/>
  <c r="J91" i="17"/>
  <c r="J123" i="17" s="1"/>
  <c r="K91" i="17"/>
  <c r="K123" i="17" s="1"/>
  <c r="L91" i="17"/>
  <c r="L123" i="17" s="1"/>
  <c r="M91" i="17"/>
  <c r="M123" i="17" s="1"/>
  <c r="N91" i="17"/>
  <c r="N123" i="17" s="1"/>
  <c r="O91" i="17"/>
  <c r="O123" i="17" s="1"/>
  <c r="P91" i="17"/>
  <c r="P123" i="17" s="1"/>
  <c r="Q91" i="17"/>
  <c r="Q123" i="17" s="1"/>
  <c r="R91" i="17"/>
  <c r="R123" i="17" s="1"/>
  <c r="S91" i="17"/>
  <c r="S123" i="17" s="1"/>
  <c r="T91" i="17"/>
  <c r="T123" i="17" s="1"/>
  <c r="E92" i="17"/>
  <c r="E124" i="17" s="1"/>
  <c r="F92" i="17"/>
  <c r="F124" i="17" s="1"/>
  <c r="G92" i="17"/>
  <c r="G124" i="17" s="1"/>
  <c r="H92" i="17"/>
  <c r="H124" i="17" s="1"/>
  <c r="I92" i="17"/>
  <c r="I124" i="17" s="1"/>
  <c r="J92" i="17"/>
  <c r="J124" i="17" s="1"/>
  <c r="K92" i="17"/>
  <c r="K124" i="17" s="1"/>
  <c r="L92" i="17"/>
  <c r="L124" i="17" s="1"/>
  <c r="M92" i="17"/>
  <c r="M124" i="17" s="1"/>
  <c r="N92" i="17"/>
  <c r="N124" i="17" s="1"/>
  <c r="O92" i="17"/>
  <c r="O124" i="17" s="1"/>
  <c r="P92" i="17"/>
  <c r="P124" i="17" s="1"/>
  <c r="Q92" i="17"/>
  <c r="Q124" i="17" s="1"/>
  <c r="R92" i="17"/>
  <c r="R124" i="17" s="1"/>
  <c r="S92" i="17"/>
  <c r="S124" i="17" s="1"/>
  <c r="T92" i="17"/>
  <c r="T124" i="17" s="1"/>
  <c r="E93" i="17"/>
  <c r="E125" i="17" s="1"/>
  <c r="F93" i="17"/>
  <c r="F125" i="17" s="1"/>
  <c r="G93" i="17"/>
  <c r="G125" i="17" s="1"/>
  <c r="H93" i="17"/>
  <c r="H125" i="17" s="1"/>
  <c r="I93" i="17"/>
  <c r="I125" i="17" s="1"/>
  <c r="J93" i="17"/>
  <c r="J125" i="17" s="1"/>
  <c r="K93" i="17"/>
  <c r="K125" i="17" s="1"/>
  <c r="L93" i="17"/>
  <c r="L125" i="17" s="1"/>
  <c r="M93" i="17"/>
  <c r="M125" i="17" s="1"/>
  <c r="N93" i="17"/>
  <c r="N125" i="17" s="1"/>
  <c r="O93" i="17"/>
  <c r="O125" i="17" s="1"/>
  <c r="P93" i="17"/>
  <c r="P125" i="17" s="1"/>
  <c r="Q93" i="17"/>
  <c r="Q125" i="17" s="1"/>
  <c r="R93" i="17"/>
  <c r="R125" i="17" s="1"/>
  <c r="S93" i="17"/>
  <c r="S125" i="17" s="1"/>
  <c r="T93" i="17"/>
  <c r="T125" i="17" s="1"/>
  <c r="E94" i="17"/>
  <c r="E126" i="17" s="1"/>
  <c r="F94" i="17"/>
  <c r="F126" i="17" s="1"/>
  <c r="G94" i="17"/>
  <c r="G126" i="17" s="1"/>
  <c r="H94" i="17"/>
  <c r="H126" i="17" s="1"/>
  <c r="I94" i="17"/>
  <c r="I126" i="17" s="1"/>
  <c r="J94" i="17"/>
  <c r="J126" i="17" s="1"/>
  <c r="K94" i="17"/>
  <c r="K126" i="17" s="1"/>
  <c r="L94" i="17"/>
  <c r="L126" i="17" s="1"/>
  <c r="M94" i="17"/>
  <c r="M126" i="17" s="1"/>
  <c r="N94" i="17"/>
  <c r="N126" i="17" s="1"/>
  <c r="O94" i="17"/>
  <c r="O126" i="17" s="1"/>
  <c r="P94" i="17"/>
  <c r="P126" i="17" s="1"/>
  <c r="Q94" i="17"/>
  <c r="Q126" i="17" s="1"/>
  <c r="R94" i="17"/>
  <c r="R126" i="17" s="1"/>
  <c r="S94" i="17"/>
  <c r="S126" i="17" s="1"/>
  <c r="T94" i="17"/>
  <c r="T126" i="17" s="1"/>
  <c r="E95" i="17"/>
  <c r="F95" i="17"/>
  <c r="G95" i="17"/>
  <c r="H95" i="17"/>
  <c r="I95" i="17"/>
  <c r="J95" i="17"/>
  <c r="K95" i="17"/>
  <c r="L95" i="17"/>
  <c r="M95" i="17"/>
  <c r="N95" i="17"/>
  <c r="O95" i="17"/>
  <c r="P95" i="17"/>
  <c r="Q95" i="17"/>
  <c r="R95" i="17"/>
  <c r="S95" i="17"/>
  <c r="T95" i="17"/>
  <c r="E96" i="17"/>
  <c r="F96" i="17"/>
  <c r="G96" i="17"/>
  <c r="H96" i="17"/>
  <c r="I96" i="17"/>
  <c r="J96" i="17"/>
  <c r="K96" i="17"/>
  <c r="L96" i="17"/>
  <c r="M96" i="17"/>
  <c r="N96" i="17"/>
  <c r="O96" i="17"/>
  <c r="P96" i="17"/>
  <c r="Q96" i="17"/>
  <c r="R96" i="17"/>
  <c r="S96" i="17"/>
  <c r="T96" i="17"/>
  <c r="E97" i="17"/>
  <c r="F97" i="17"/>
  <c r="G97" i="17"/>
  <c r="H97" i="17"/>
  <c r="I97" i="17"/>
  <c r="J97" i="17"/>
  <c r="K97" i="17"/>
  <c r="L97" i="17"/>
  <c r="M97" i="17"/>
  <c r="N97" i="17"/>
  <c r="O97" i="17"/>
  <c r="P97" i="17"/>
  <c r="Q97" i="17"/>
  <c r="R97" i="17"/>
  <c r="S97" i="17"/>
  <c r="T97" i="17"/>
  <c r="E98" i="17"/>
  <c r="F98" i="17"/>
  <c r="G98" i="17"/>
  <c r="H98" i="17"/>
  <c r="I98" i="17"/>
  <c r="J98" i="17"/>
  <c r="K98" i="17"/>
  <c r="L98" i="17"/>
  <c r="M98" i="17"/>
  <c r="N98" i="17"/>
  <c r="O98" i="17"/>
  <c r="P98" i="17"/>
  <c r="Q98" i="17"/>
  <c r="R98" i="17"/>
  <c r="S98" i="17"/>
  <c r="T98" i="17"/>
  <c r="E99" i="17"/>
  <c r="F99" i="17"/>
  <c r="G99" i="17"/>
  <c r="H99" i="17"/>
  <c r="I99" i="17"/>
  <c r="J99" i="17"/>
  <c r="K99" i="17"/>
  <c r="L99" i="17"/>
  <c r="M99" i="17"/>
  <c r="N99" i="17"/>
  <c r="O99" i="17"/>
  <c r="P99" i="17"/>
  <c r="Q99" i="17"/>
  <c r="R99" i="17"/>
  <c r="S99" i="17"/>
  <c r="T99" i="17"/>
  <c r="E100" i="17"/>
  <c r="F100" i="17"/>
  <c r="G100" i="17"/>
  <c r="H100" i="17"/>
  <c r="I100" i="17"/>
  <c r="J100" i="17"/>
  <c r="K100" i="17"/>
  <c r="L100" i="17"/>
  <c r="M100" i="17"/>
  <c r="N100" i="17"/>
  <c r="O100" i="17"/>
  <c r="P100" i="17"/>
  <c r="Q100" i="17"/>
  <c r="R100" i="17"/>
  <c r="S100" i="17"/>
  <c r="T100" i="17"/>
  <c r="E101" i="17"/>
  <c r="F101" i="17"/>
  <c r="G101" i="17"/>
  <c r="H101" i="17"/>
  <c r="I101" i="17"/>
  <c r="J101" i="17"/>
  <c r="K101" i="17"/>
  <c r="L101" i="17"/>
  <c r="M101" i="17"/>
  <c r="N101" i="17"/>
  <c r="O101" i="17"/>
  <c r="P101" i="17"/>
  <c r="Q101" i="17"/>
  <c r="R101" i="17"/>
  <c r="S101" i="17"/>
  <c r="T101" i="17"/>
  <c r="E102" i="17"/>
  <c r="F102" i="17"/>
  <c r="G102" i="17"/>
  <c r="H102" i="17"/>
  <c r="I102" i="17"/>
  <c r="J102" i="17"/>
  <c r="K102" i="17"/>
  <c r="L102" i="17"/>
  <c r="M102" i="17"/>
  <c r="N102" i="17"/>
  <c r="O102" i="17"/>
  <c r="P102" i="17"/>
  <c r="Q102" i="17"/>
  <c r="R102" i="17"/>
  <c r="S102" i="17"/>
  <c r="T102" i="17"/>
  <c r="E104" i="17"/>
  <c r="F104" i="17"/>
  <c r="G104" i="17"/>
  <c r="H104" i="17"/>
  <c r="I104" i="17"/>
  <c r="J104" i="17"/>
  <c r="L104" i="17"/>
  <c r="M104" i="17"/>
  <c r="N104" i="17"/>
  <c r="O104" i="17"/>
  <c r="P104" i="17"/>
  <c r="Q104" i="17"/>
  <c r="R104" i="17"/>
  <c r="S104" i="17"/>
  <c r="T104" i="17"/>
  <c r="E105" i="17"/>
  <c r="F105" i="17"/>
  <c r="G105" i="17"/>
  <c r="H105" i="17"/>
  <c r="I105" i="17"/>
  <c r="L105" i="17"/>
  <c r="M105" i="17"/>
  <c r="N105" i="17"/>
  <c r="O105" i="17"/>
  <c r="P105" i="17"/>
  <c r="Q105" i="17"/>
  <c r="R105" i="17"/>
  <c r="S105" i="17"/>
  <c r="T105" i="17"/>
  <c r="E106" i="17"/>
  <c r="F106" i="17"/>
  <c r="G106" i="17"/>
  <c r="H106" i="17"/>
  <c r="I106" i="17"/>
  <c r="L106" i="17"/>
  <c r="M106" i="17"/>
  <c r="N106" i="17"/>
  <c r="O106" i="17"/>
  <c r="P106" i="17"/>
  <c r="Q106" i="17"/>
  <c r="R106" i="17"/>
  <c r="S106" i="17"/>
  <c r="T106" i="17"/>
  <c r="E107" i="17"/>
  <c r="F107" i="17"/>
  <c r="G107" i="17"/>
  <c r="H107" i="17"/>
  <c r="I107" i="17"/>
  <c r="L107" i="17"/>
  <c r="M107" i="17"/>
  <c r="N107" i="17"/>
  <c r="O107" i="17"/>
  <c r="P107" i="17"/>
  <c r="Q107" i="17"/>
  <c r="R107" i="17"/>
  <c r="S107" i="17"/>
  <c r="T107" i="17"/>
  <c r="E108" i="17"/>
  <c r="F108" i="17"/>
  <c r="G108" i="17"/>
  <c r="H108" i="17"/>
  <c r="I108" i="17"/>
  <c r="L108" i="17"/>
  <c r="M108" i="17"/>
  <c r="N108" i="17"/>
  <c r="O108" i="17"/>
  <c r="P108" i="17"/>
  <c r="Q108" i="17"/>
  <c r="R108" i="17"/>
  <c r="S108" i="17"/>
  <c r="T108" i="17"/>
  <c r="E109" i="17"/>
  <c r="F109" i="17"/>
  <c r="G109" i="17"/>
  <c r="H109" i="17"/>
  <c r="I109" i="17"/>
  <c r="L109" i="17"/>
  <c r="M109" i="17"/>
  <c r="N109" i="17"/>
  <c r="O109" i="17"/>
  <c r="P109" i="17"/>
  <c r="Q109" i="17"/>
  <c r="R109" i="17"/>
  <c r="S109" i="17"/>
  <c r="T109" i="17"/>
  <c r="E110" i="17"/>
  <c r="F110" i="17"/>
  <c r="G110" i="17"/>
  <c r="H110" i="17"/>
  <c r="I110" i="17"/>
  <c r="L110" i="17"/>
  <c r="M110" i="17"/>
  <c r="N110" i="17"/>
  <c r="O110" i="17"/>
  <c r="P110" i="17"/>
  <c r="C9" i="17"/>
  <c r="C10" i="17"/>
  <c r="C11" i="17"/>
  <c r="C12" i="17"/>
  <c r="C13" i="17"/>
  <c r="C14" i="17"/>
  <c r="C15" i="17"/>
  <c r="C16" i="17"/>
  <c r="C17" i="17"/>
  <c r="C18" i="17"/>
  <c r="C8" i="17"/>
  <c r="C21" i="17"/>
  <c r="C20" i="17"/>
  <c r="E40" i="16"/>
  <c r="F40" i="16"/>
  <c r="H40" i="16"/>
  <c r="I40" i="16"/>
  <c r="I72" i="16" s="1"/>
  <c r="I104" i="16" s="1"/>
  <c r="K40" i="16"/>
  <c r="L40" i="16"/>
  <c r="N40" i="16"/>
  <c r="O40" i="16"/>
  <c r="Q40" i="16"/>
  <c r="R40" i="16"/>
  <c r="T40" i="16"/>
  <c r="E41" i="16"/>
  <c r="F41" i="16"/>
  <c r="G41" i="16"/>
  <c r="H41" i="16"/>
  <c r="I41" i="16"/>
  <c r="J41" i="16"/>
  <c r="K41" i="16"/>
  <c r="K73" i="16" s="1"/>
  <c r="K105" i="16" s="1"/>
  <c r="L41" i="16"/>
  <c r="M41" i="16"/>
  <c r="N41" i="16"/>
  <c r="O41" i="16"/>
  <c r="P41" i="16"/>
  <c r="Q41" i="16"/>
  <c r="R41" i="16"/>
  <c r="S41" i="16"/>
  <c r="T41" i="16"/>
  <c r="E42" i="16"/>
  <c r="F42" i="16"/>
  <c r="G42" i="16"/>
  <c r="H42" i="16"/>
  <c r="I42" i="16"/>
  <c r="J42" i="16"/>
  <c r="K42" i="16"/>
  <c r="K74" i="16" s="1"/>
  <c r="K106" i="16" s="1"/>
  <c r="L42" i="16"/>
  <c r="M42" i="16"/>
  <c r="N42" i="16"/>
  <c r="O42" i="16"/>
  <c r="P42" i="16"/>
  <c r="Q42" i="16"/>
  <c r="R42" i="16"/>
  <c r="S42" i="16"/>
  <c r="T42" i="16"/>
  <c r="E43" i="16"/>
  <c r="F43" i="16"/>
  <c r="G43" i="16"/>
  <c r="H43" i="16"/>
  <c r="I43" i="16"/>
  <c r="J43" i="16"/>
  <c r="K43" i="16"/>
  <c r="K75" i="16" s="1"/>
  <c r="K107" i="16" s="1"/>
  <c r="L43" i="16"/>
  <c r="M43" i="16"/>
  <c r="N43" i="16"/>
  <c r="O43" i="16"/>
  <c r="P43" i="16"/>
  <c r="Q43" i="16"/>
  <c r="R43" i="16"/>
  <c r="S43" i="16"/>
  <c r="T43" i="16"/>
  <c r="E44" i="16"/>
  <c r="F44" i="16"/>
  <c r="G44" i="16"/>
  <c r="H44" i="16"/>
  <c r="I44" i="16"/>
  <c r="J44" i="16"/>
  <c r="K44" i="16"/>
  <c r="K76" i="16" s="1"/>
  <c r="K108" i="16" s="1"/>
  <c r="L44" i="16"/>
  <c r="M44" i="16"/>
  <c r="N44" i="16"/>
  <c r="O44" i="16"/>
  <c r="P44" i="16"/>
  <c r="Q44" i="16"/>
  <c r="R44" i="16"/>
  <c r="S44" i="16"/>
  <c r="T44" i="16"/>
  <c r="E45" i="16"/>
  <c r="F45" i="16"/>
  <c r="G45" i="16"/>
  <c r="H45" i="16"/>
  <c r="H77" i="16" s="1"/>
  <c r="H109" i="16" s="1"/>
  <c r="I45" i="16"/>
  <c r="I77" i="16" s="1"/>
  <c r="I109" i="16" s="1"/>
  <c r="J45" i="16"/>
  <c r="K45" i="16"/>
  <c r="L45" i="16"/>
  <c r="M45" i="16"/>
  <c r="N45" i="16"/>
  <c r="O45" i="16"/>
  <c r="P45" i="16"/>
  <c r="Q45" i="16"/>
  <c r="R45" i="16"/>
  <c r="S45" i="16"/>
  <c r="T45" i="16"/>
  <c r="E46" i="16"/>
  <c r="F46" i="16"/>
  <c r="G46" i="16"/>
  <c r="H46" i="16"/>
  <c r="H78" i="16" s="1"/>
  <c r="H110" i="16" s="1"/>
  <c r="I46" i="16"/>
  <c r="I78" i="16" s="1"/>
  <c r="I110" i="16" s="1"/>
  <c r="J46" i="16"/>
  <c r="K46" i="16"/>
  <c r="K78" i="16" s="1"/>
  <c r="K110" i="16" s="1"/>
  <c r="L46" i="16"/>
  <c r="M46" i="16"/>
  <c r="N46" i="16"/>
  <c r="O46" i="16"/>
  <c r="P46" i="16"/>
  <c r="Q46" i="16"/>
  <c r="R46" i="16"/>
  <c r="S46" i="16"/>
  <c r="T46" i="16"/>
  <c r="E47" i="16"/>
  <c r="F47" i="16"/>
  <c r="G47" i="16"/>
  <c r="H47" i="16"/>
  <c r="I47" i="16"/>
  <c r="J47" i="16"/>
  <c r="K47" i="16"/>
  <c r="K79" i="16" s="1"/>
  <c r="K111" i="16" s="1"/>
  <c r="L47" i="16"/>
  <c r="M47" i="16"/>
  <c r="N47" i="16"/>
  <c r="O47" i="16"/>
  <c r="P47" i="16"/>
  <c r="Q47" i="16"/>
  <c r="R47" i="16"/>
  <c r="S47" i="16"/>
  <c r="T47" i="16"/>
  <c r="E48" i="16"/>
  <c r="F48" i="16"/>
  <c r="G48" i="16"/>
  <c r="H48" i="16"/>
  <c r="H80" i="16" s="1"/>
  <c r="H112" i="16" s="1"/>
  <c r="I48" i="16"/>
  <c r="J48" i="16"/>
  <c r="K48" i="16"/>
  <c r="K80" i="16" s="1"/>
  <c r="K112" i="16" s="1"/>
  <c r="L48" i="16"/>
  <c r="M48" i="16"/>
  <c r="N48" i="16"/>
  <c r="O48" i="16"/>
  <c r="P48" i="16"/>
  <c r="Q48" i="16"/>
  <c r="R48" i="16"/>
  <c r="S48" i="16"/>
  <c r="T48" i="16"/>
  <c r="E49" i="16"/>
  <c r="F49" i="16"/>
  <c r="G49" i="16"/>
  <c r="H49" i="16"/>
  <c r="H81" i="16" s="1"/>
  <c r="H113" i="16" s="1"/>
  <c r="I49" i="16"/>
  <c r="J49" i="16"/>
  <c r="J81" i="16" s="1"/>
  <c r="J113" i="16" s="1"/>
  <c r="K49" i="16"/>
  <c r="K81" i="16" s="1"/>
  <c r="K113" i="16" s="1"/>
  <c r="L49" i="16"/>
  <c r="M49" i="16"/>
  <c r="N49" i="16"/>
  <c r="O49" i="16"/>
  <c r="P49" i="16"/>
  <c r="Q49" i="16"/>
  <c r="R49" i="16"/>
  <c r="S49" i="16"/>
  <c r="T49" i="16"/>
  <c r="E50" i="16"/>
  <c r="F50" i="16"/>
  <c r="G50" i="16"/>
  <c r="H50" i="16"/>
  <c r="I50" i="16"/>
  <c r="J50" i="16"/>
  <c r="K50" i="16"/>
  <c r="K82" i="16" s="1"/>
  <c r="K114" i="16" s="1"/>
  <c r="L50" i="16"/>
  <c r="M50" i="16"/>
  <c r="N50" i="16"/>
  <c r="O50" i="16"/>
  <c r="P50" i="16"/>
  <c r="Q50" i="16"/>
  <c r="R50" i="16"/>
  <c r="S50" i="16"/>
  <c r="T50" i="16"/>
  <c r="E51" i="16"/>
  <c r="F51" i="16"/>
  <c r="G51" i="16"/>
  <c r="H51" i="16"/>
  <c r="H83" i="16" s="1"/>
  <c r="H115" i="16" s="1"/>
  <c r="I51" i="16"/>
  <c r="I83" i="16" s="1"/>
  <c r="I115" i="16" s="1"/>
  <c r="J51" i="16"/>
  <c r="K51" i="16"/>
  <c r="K83" i="16" s="1"/>
  <c r="K115" i="16" s="1"/>
  <c r="L51" i="16"/>
  <c r="M51" i="16"/>
  <c r="N51" i="16"/>
  <c r="O51" i="16"/>
  <c r="P51" i="16"/>
  <c r="Q51" i="16"/>
  <c r="R51" i="16"/>
  <c r="S51" i="16"/>
  <c r="T51" i="16"/>
  <c r="E52" i="16"/>
  <c r="F52" i="16"/>
  <c r="G52" i="16"/>
  <c r="H52" i="16"/>
  <c r="H84" i="16" s="1"/>
  <c r="H116" i="16" s="1"/>
  <c r="I52" i="16"/>
  <c r="J52" i="16"/>
  <c r="J84" i="16" s="1"/>
  <c r="J116" i="16" s="1"/>
  <c r="K52" i="16"/>
  <c r="K84" i="16" s="1"/>
  <c r="K116" i="16" s="1"/>
  <c r="L52" i="16"/>
  <c r="M52" i="16"/>
  <c r="N52" i="16"/>
  <c r="O52" i="16"/>
  <c r="P52" i="16"/>
  <c r="Q52" i="16"/>
  <c r="R52" i="16"/>
  <c r="S52" i="16"/>
  <c r="T52" i="16"/>
  <c r="E53" i="16"/>
  <c r="F53" i="16"/>
  <c r="G53" i="16"/>
  <c r="H53" i="16"/>
  <c r="H85" i="16" s="1"/>
  <c r="H117" i="16" s="1"/>
  <c r="I53" i="16"/>
  <c r="J53" i="16"/>
  <c r="K53" i="16"/>
  <c r="K85" i="16" s="1"/>
  <c r="K117" i="16" s="1"/>
  <c r="L53" i="16"/>
  <c r="M53" i="16"/>
  <c r="N53" i="16"/>
  <c r="O53" i="16"/>
  <c r="P53" i="16"/>
  <c r="Q53" i="16"/>
  <c r="R53" i="16"/>
  <c r="S53" i="16"/>
  <c r="T53" i="16"/>
  <c r="E54" i="16"/>
  <c r="F54" i="16"/>
  <c r="G54" i="16"/>
  <c r="H54" i="16"/>
  <c r="H86" i="16" s="1"/>
  <c r="H118" i="16" s="1"/>
  <c r="I54" i="16"/>
  <c r="I86" i="16" s="1"/>
  <c r="I118" i="16" s="1"/>
  <c r="J54" i="16"/>
  <c r="K54" i="16"/>
  <c r="K86" i="16" s="1"/>
  <c r="K118" i="16" s="1"/>
  <c r="L54" i="16"/>
  <c r="M54" i="16"/>
  <c r="N54" i="16"/>
  <c r="O54" i="16"/>
  <c r="P54" i="16"/>
  <c r="Q54" i="16"/>
  <c r="R54" i="16"/>
  <c r="S54" i="16"/>
  <c r="T54" i="16"/>
  <c r="E55" i="16"/>
  <c r="F55" i="16"/>
  <c r="G55" i="16"/>
  <c r="H55" i="16"/>
  <c r="H87" i="16" s="1"/>
  <c r="H119" i="16" s="1"/>
  <c r="I55" i="16"/>
  <c r="I87" i="16" s="1"/>
  <c r="I119" i="16" s="1"/>
  <c r="J55" i="16"/>
  <c r="K55" i="16"/>
  <c r="K87" i="16" s="1"/>
  <c r="K119" i="16" s="1"/>
  <c r="L55" i="16"/>
  <c r="M55" i="16"/>
  <c r="N55" i="16"/>
  <c r="O55" i="16"/>
  <c r="P55" i="16"/>
  <c r="Q55" i="16"/>
  <c r="R55" i="16"/>
  <c r="S55" i="16"/>
  <c r="T55" i="16"/>
  <c r="E56" i="16"/>
  <c r="F56" i="16"/>
  <c r="G56" i="16"/>
  <c r="H56" i="16"/>
  <c r="I56" i="16"/>
  <c r="J56" i="16"/>
  <c r="K56" i="16"/>
  <c r="K88" i="16" s="1"/>
  <c r="K120" i="16" s="1"/>
  <c r="L56" i="16"/>
  <c r="M56" i="16"/>
  <c r="N56" i="16"/>
  <c r="O56" i="16"/>
  <c r="P56" i="16"/>
  <c r="Q56" i="16"/>
  <c r="R56" i="16"/>
  <c r="S56" i="16"/>
  <c r="T56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Q89" i="16" s="1"/>
  <c r="Q121" i="16" s="1"/>
  <c r="R57" i="16"/>
  <c r="R89" i="16" s="1"/>
  <c r="R121" i="16" s="1"/>
  <c r="S57" i="16"/>
  <c r="S89" i="16" s="1"/>
  <c r="S121" i="16" s="1"/>
  <c r="T57" i="16"/>
  <c r="T89" i="16" s="1"/>
  <c r="T121" i="16" s="1"/>
  <c r="E58" i="16"/>
  <c r="E90" i="16" s="1"/>
  <c r="E122" i="16" s="1"/>
  <c r="F58" i="16"/>
  <c r="F90" i="16" s="1"/>
  <c r="F122" i="16" s="1"/>
  <c r="G58" i="16"/>
  <c r="G90" i="16" s="1"/>
  <c r="G122" i="16" s="1"/>
  <c r="H58" i="16"/>
  <c r="H90" i="16" s="1"/>
  <c r="H122" i="16" s="1"/>
  <c r="I58" i="16"/>
  <c r="I90" i="16" s="1"/>
  <c r="I122" i="16" s="1"/>
  <c r="J58" i="16"/>
  <c r="J90" i="16" s="1"/>
  <c r="J122" i="16" s="1"/>
  <c r="K58" i="16"/>
  <c r="K90" i="16" s="1"/>
  <c r="K122" i="16" s="1"/>
  <c r="L58" i="16"/>
  <c r="L90" i="16" s="1"/>
  <c r="L122" i="16" s="1"/>
  <c r="M58" i="16"/>
  <c r="M90" i="16" s="1"/>
  <c r="M122" i="16" s="1"/>
  <c r="N58" i="16"/>
  <c r="N90" i="16" s="1"/>
  <c r="N122" i="16" s="1"/>
  <c r="O58" i="16"/>
  <c r="O90" i="16" s="1"/>
  <c r="O122" i="16" s="1"/>
  <c r="P58" i="16"/>
  <c r="P90" i="16" s="1"/>
  <c r="P122" i="16" s="1"/>
  <c r="Q58" i="16"/>
  <c r="Q90" i="16" s="1"/>
  <c r="Q122" i="16" s="1"/>
  <c r="R58" i="16"/>
  <c r="R90" i="16" s="1"/>
  <c r="R122" i="16" s="1"/>
  <c r="S58" i="16"/>
  <c r="S90" i="16" s="1"/>
  <c r="S122" i="16" s="1"/>
  <c r="T58" i="16"/>
  <c r="T90" i="16" s="1"/>
  <c r="T122" i="16" s="1"/>
  <c r="E59" i="16"/>
  <c r="E91" i="16" s="1"/>
  <c r="E123" i="16" s="1"/>
  <c r="F59" i="16"/>
  <c r="F91" i="16" s="1"/>
  <c r="F123" i="16" s="1"/>
  <c r="G59" i="16"/>
  <c r="G91" i="16" s="1"/>
  <c r="G123" i="16" s="1"/>
  <c r="H59" i="16"/>
  <c r="H91" i="16" s="1"/>
  <c r="H123" i="16" s="1"/>
  <c r="I59" i="16"/>
  <c r="I91" i="16" s="1"/>
  <c r="I123" i="16" s="1"/>
  <c r="J59" i="16"/>
  <c r="J91" i="16" s="1"/>
  <c r="J123" i="16" s="1"/>
  <c r="K59" i="16"/>
  <c r="K91" i="16" s="1"/>
  <c r="K123" i="16" s="1"/>
  <c r="L59" i="16"/>
  <c r="L91" i="16" s="1"/>
  <c r="L123" i="16" s="1"/>
  <c r="M59" i="16"/>
  <c r="M91" i="16" s="1"/>
  <c r="M123" i="16" s="1"/>
  <c r="N59" i="16"/>
  <c r="N91" i="16" s="1"/>
  <c r="N123" i="16" s="1"/>
  <c r="O59" i="16"/>
  <c r="O91" i="16" s="1"/>
  <c r="O123" i="16" s="1"/>
  <c r="P59" i="16"/>
  <c r="P91" i="16" s="1"/>
  <c r="P123" i="16" s="1"/>
  <c r="Q59" i="16"/>
  <c r="Q91" i="16" s="1"/>
  <c r="Q123" i="16" s="1"/>
  <c r="R59" i="16"/>
  <c r="R91" i="16" s="1"/>
  <c r="R123" i="16" s="1"/>
  <c r="S59" i="16"/>
  <c r="S91" i="16" s="1"/>
  <c r="S123" i="16" s="1"/>
  <c r="T59" i="16"/>
  <c r="T91" i="16" s="1"/>
  <c r="T123" i="16" s="1"/>
  <c r="E60" i="16"/>
  <c r="E92" i="16" s="1"/>
  <c r="E124" i="16" s="1"/>
  <c r="F60" i="16"/>
  <c r="F92" i="16" s="1"/>
  <c r="F124" i="16" s="1"/>
  <c r="G60" i="16"/>
  <c r="G92" i="16" s="1"/>
  <c r="G124" i="16" s="1"/>
  <c r="H60" i="16"/>
  <c r="H92" i="16" s="1"/>
  <c r="H124" i="16" s="1"/>
  <c r="I60" i="16"/>
  <c r="I92" i="16" s="1"/>
  <c r="I124" i="16" s="1"/>
  <c r="J60" i="16"/>
  <c r="J92" i="16" s="1"/>
  <c r="J124" i="16" s="1"/>
  <c r="K60" i="16"/>
  <c r="K92" i="16" s="1"/>
  <c r="K124" i="16" s="1"/>
  <c r="L60" i="16"/>
  <c r="L92" i="16" s="1"/>
  <c r="L124" i="16" s="1"/>
  <c r="M60" i="16"/>
  <c r="M92" i="16" s="1"/>
  <c r="M124" i="16" s="1"/>
  <c r="N60" i="16"/>
  <c r="N92" i="16" s="1"/>
  <c r="N124" i="16" s="1"/>
  <c r="O60" i="16"/>
  <c r="O92" i="16" s="1"/>
  <c r="O124" i="16" s="1"/>
  <c r="P60" i="16"/>
  <c r="P92" i="16" s="1"/>
  <c r="P124" i="16" s="1"/>
  <c r="Q60" i="16"/>
  <c r="Q92" i="16" s="1"/>
  <c r="Q124" i="16" s="1"/>
  <c r="R60" i="16"/>
  <c r="R92" i="16" s="1"/>
  <c r="R124" i="16" s="1"/>
  <c r="S60" i="16"/>
  <c r="S92" i="16" s="1"/>
  <c r="S124" i="16" s="1"/>
  <c r="T60" i="16"/>
  <c r="T92" i="16" s="1"/>
  <c r="T124" i="16" s="1"/>
  <c r="E61" i="16"/>
  <c r="E93" i="16" s="1"/>
  <c r="E125" i="16" s="1"/>
  <c r="F61" i="16"/>
  <c r="F93" i="16" s="1"/>
  <c r="F125" i="16" s="1"/>
  <c r="G61" i="16"/>
  <c r="G93" i="16" s="1"/>
  <c r="G125" i="16" s="1"/>
  <c r="H61" i="16"/>
  <c r="H93" i="16" s="1"/>
  <c r="H125" i="16" s="1"/>
  <c r="I61" i="16"/>
  <c r="I93" i="16" s="1"/>
  <c r="I125" i="16" s="1"/>
  <c r="J61" i="16"/>
  <c r="J93" i="16" s="1"/>
  <c r="J125" i="16" s="1"/>
  <c r="K61" i="16"/>
  <c r="K93" i="16" s="1"/>
  <c r="K125" i="16" s="1"/>
  <c r="L61" i="16"/>
  <c r="L93" i="16" s="1"/>
  <c r="L125" i="16" s="1"/>
  <c r="M61" i="16"/>
  <c r="M93" i="16" s="1"/>
  <c r="M125" i="16" s="1"/>
  <c r="N61" i="16"/>
  <c r="N93" i="16" s="1"/>
  <c r="N125" i="16" s="1"/>
  <c r="O61" i="16"/>
  <c r="O93" i="16" s="1"/>
  <c r="O125" i="16" s="1"/>
  <c r="P61" i="16"/>
  <c r="P93" i="16" s="1"/>
  <c r="P125" i="16" s="1"/>
  <c r="Q61" i="16"/>
  <c r="Q93" i="16" s="1"/>
  <c r="Q125" i="16" s="1"/>
  <c r="R61" i="16"/>
  <c r="R93" i="16" s="1"/>
  <c r="R125" i="16" s="1"/>
  <c r="S61" i="16"/>
  <c r="S93" i="16" s="1"/>
  <c r="S125" i="16" s="1"/>
  <c r="T61" i="16"/>
  <c r="T93" i="16" s="1"/>
  <c r="T125" i="16" s="1"/>
  <c r="E62" i="16"/>
  <c r="E94" i="16" s="1"/>
  <c r="E126" i="16" s="1"/>
  <c r="F62" i="16"/>
  <c r="F94" i="16" s="1"/>
  <c r="F126" i="16" s="1"/>
  <c r="G62" i="16"/>
  <c r="G94" i="16" s="1"/>
  <c r="G126" i="16" s="1"/>
  <c r="H62" i="16"/>
  <c r="H94" i="16" s="1"/>
  <c r="H126" i="16" s="1"/>
  <c r="I62" i="16"/>
  <c r="I94" i="16" s="1"/>
  <c r="I126" i="16" s="1"/>
  <c r="J62" i="16"/>
  <c r="J94" i="16" s="1"/>
  <c r="J126" i="16" s="1"/>
  <c r="K62" i="16"/>
  <c r="K94" i="16" s="1"/>
  <c r="K126" i="16" s="1"/>
  <c r="L62" i="16"/>
  <c r="L94" i="16" s="1"/>
  <c r="L126" i="16" s="1"/>
  <c r="M62" i="16"/>
  <c r="M94" i="16" s="1"/>
  <c r="M126" i="16" s="1"/>
  <c r="N62" i="16"/>
  <c r="N94" i="16" s="1"/>
  <c r="N126" i="16" s="1"/>
  <c r="O62" i="16"/>
  <c r="O94" i="16" s="1"/>
  <c r="O126" i="16" s="1"/>
  <c r="P62" i="16"/>
  <c r="P94" i="16" s="1"/>
  <c r="P126" i="16" s="1"/>
  <c r="Q62" i="16"/>
  <c r="Q94" i="16" s="1"/>
  <c r="Q126" i="16" s="1"/>
  <c r="R62" i="16"/>
  <c r="R94" i="16" s="1"/>
  <c r="R126" i="16" s="1"/>
  <c r="S62" i="16"/>
  <c r="S94" i="16" s="1"/>
  <c r="S126" i="16" s="1"/>
  <c r="T62" i="16"/>
  <c r="T94" i="16" s="1"/>
  <c r="T126" i="16" s="1"/>
  <c r="E63" i="16"/>
  <c r="E95" i="16" s="1"/>
  <c r="F63" i="16"/>
  <c r="F95" i="16" s="1"/>
  <c r="G63" i="16"/>
  <c r="G95" i="16" s="1"/>
  <c r="H63" i="16"/>
  <c r="H95" i="16" s="1"/>
  <c r="I63" i="16"/>
  <c r="I95" i="16" s="1"/>
  <c r="J63" i="16"/>
  <c r="J95" i="16" s="1"/>
  <c r="K63" i="16"/>
  <c r="K95" i="16" s="1"/>
  <c r="L63" i="16"/>
  <c r="L95" i="16" s="1"/>
  <c r="M63" i="16"/>
  <c r="M95" i="16" s="1"/>
  <c r="N63" i="16"/>
  <c r="N95" i="16" s="1"/>
  <c r="O63" i="16"/>
  <c r="O95" i="16" s="1"/>
  <c r="P63" i="16"/>
  <c r="P95" i="16" s="1"/>
  <c r="Q63" i="16"/>
  <c r="Q95" i="16" s="1"/>
  <c r="R63" i="16"/>
  <c r="R95" i="16" s="1"/>
  <c r="S63" i="16"/>
  <c r="S95" i="16" s="1"/>
  <c r="T63" i="16"/>
  <c r="T95" i="16" s="1"/>
  <c r="E64" i="16"/>
  <c r="E96" i="16" s="1"/>
  <c r="F64" i="16"/>
  <c r="F96" i="16" s="1"/>
  <c r="G64" i="16"/>
  <c r="G96" i="16" s="1"/>
  <c r="H64" i="16"/>
  <c r="H96" i="16" s="1"/>
  <c r="I64" i="16"/>
  <c r="I96" i="16" s="1"/>
  <c r="J64" i="16"/>
  <c r="J96" i="16" s="1"/>
  <c r="K64" i="16"/>
  <c r="K96" i="16" s="1"/>
  <c r="L64" i="16"/>
  <c r="L96" i="16" s="1"/>
  <c r="M64" i="16"/>
  <c r="M96" i="16" s="1"/>
  <c r="N64" i="16"/>
  <c r="N96" i="16" s="1"/>
  <c r="O64" i="16"/>
  <c r="O96" i="16" s="1"/>
  <c r="P64" i="16"/>
  <c r="P96" i="16" s="1"/>
  <c r="Q64" i="16"/>
  <c r="Q96" i="16" s="1"/>
  <c r="R64" i="16"/>
  <c r="R96" i="16" s="1"/>
  <c r="S64" i="16"/>
  <c r="S96" i="16" s="1"/>
  <c r="T64" i="16"/>
  <c r="T96" i="16" s="1"/>
  <c r="E65" i="16"/>
  <c r="E97" i="16" s="1"/>
  <c r="F65" i="16"/>
  <c r="F97" i="16" s="1"/>
  <c r="G65" i="16"/>
  <c r="G97" i="16" s="1"/>
  <c r="H65" i="16"/>
  <c r="H97" i="16" s="1"/>
  <c r="I65" i="16"/>
  <c r="I97" i="16" s="1"/>
  <c r="J65" i="16"/>
  <c r="J97" i="16" s="1"/>
  <c r="K65" i="16"/>
  <c r="K97" i="16" s="1"/>
  <c r="L65" i="16"/>
  <c r="L97" i="16" s="1"/>
  <c r="M65" i="16"/>
  <c r="M97" i="16" s="1"/>
  <c r="N65" i="16"/>
  <c r="N97" i="16" s="1"/>
  <c r="O65" i="16"/>
  <c r="O97" i="16" s="1"/>
  <c r="P65" i="16"/>
  <c r="P97" i="16" s="1"/>
  <c r="Q65" i="16"/>
  <c r="Q97" i="16" s="1"/>
  <c r="R65" i="16"/>
  <c r="R97" i="16" s="1"/>
  <c r="S65" i="16"/>
  <c r="S97" i="16" s="1"/>
  <c r="T65" i="16"/>
  <c r="T97" i="16" s="1"/>
  <c r="E66" i="16"/>
  <c r="E98" i="16" s="1"/>
  <c r="F66" i="16"/>
  <c r="F98" i="16" s="1"/>
  <c r="G66" i="16"/>
  <c r="G98" i="16" s="1"/>
  <c r="H66" i="16"/>
  <c r="H98" i="16" s="1"/>
  <c r="I66" i="16"/>
  <c r="I98" i="16" s="1"/>
  <c r="J66" i="16"/>
  <c r="J98" i="16" s="1"/>
  <c r="K66" i="16"/>
  <c r="K98" i="16" s="1"/>
  <c r="L66" i="16"/>
  <c r="L98" i="16" s="1"/>
  <c r="M66" i="16"/>
  <c r="M98" i="16" s="1"/>
  <c r="N66" i="16"/>
  <c r="N98" i="16" s="1"/>
  <c r="O66" i="16"/>
  <c r="O98" i="16" s="1"/>
  <c r="P66" i="16"/>
  <c r="P98" i="16" s="1"/>
  <c r="Q66" i="16"/>
  <c r="Q98" i="16" s="1"/>
  <c r="R66" i="16"/>
  <c r="R98" i="16" s="1"/>
  <c r="S66" i="16"/>
  <c r="S98" i="16" s="1"/>
  <c r="T66" i="16"/>
  <c r="T98" i="16" s="1"/>
  <c r="E67" i="16"/>
  <c r="E99" i="16" s="1"/>
  <c r="F67" i="16"/>
  <c r="F99" i="16" s="1"/>
  <c r="G67" i="16"/>
  <c r="G99" i="16" s="1"/>
  <c r="H67" i="16"/>
  <c r="H99" i="16" s="1"/>
  <c r="I67" i="16"/>
  <c r="I99" i="16" s="1"/>
  <c r="J67" i="16"/>
  <c r="J99" i="16" s="1"/>
  <c r="K67" i="16"/>
  <c r="K99" i="16" s="1"/>
  <c r="L67" i="16"/>
  <c r="L99" i="16" s="1"/>
  <c r="M67" i="16"/>
  <c r="M99" i="16" s="1"/>
  <c r="N67" i="16"/>
  <c r="N99" i="16" s="1"/>
  <c r="O67" i="16"/>
  <c r="O99" i="16" s="1"/>
  <c r="P67" i="16"/>
  <c r="P99" i="16" s="1"/>
  <c r="Q67" i="16"/>
  <c r="Q99" i="16" s="1"/>
  <c r="R67" i="16"/>
  <c r="R99" i="16" s="1"/>
  <c r="S67" i="16"/>
  <c r="S99" i="16" s="1"/>
  <c r="T67" i="16"/>
  <c r="T99" i="16" s="1"/>
  <c r="E68" i="16"/>
  <c r="E100" i="16" s="1"/>
  <c r="F68" i="16"/>
  <c r="F100" i="16" s="1"/>
  <c r="G68" i="16"/>
  <c r="G100" i="16" s="1"/>
  <c r="H68" i="16"/>
  <c r="H100" i="16" s="1"/>
  <c r="I68" i="16"/>
  <c r="I100" i="16" s="1"/>
  <c r="J68" i="16"/>
  <c r="J100" i="16" s="1"/>
  <c r="K68" i="16"/>
  <c r="K100" i="16" s="1"/>
  <c r="L68" i="16"/>
  <c r="L100" i="16" s="1"/>
  <c r="M68" i="16"/>
  <c r="M100" i="16" s="1"/>
  <c r="N68" i="16"/>
  <c r="N100" i="16" s="1"/>
  <c r="O68" i="16"/>
  <c r="O100" i="16" s="1"/>
  <c r="P68" i="16"/>
  <c r="P100" i="16" s="1"/>
  <c r="Q68" i="16"/>
  <c r="Q100" i="16" s="1"/>
  <c r="R68" i="16"/>
  <c r="R100" i="16" s="1"/>
  <c r="S68" i="16"/>
  <c r="S100" i="16" s="1"/>
  <c r="T68" i="16"/>
  <c r="T100" i="16" s="1"/>
  <c r="E69" i="16"/>
  <c r="E101" i="16" s="1"/>
  <c r="F69" i="16"/>
  <c r="F101" i="16" s="1"/>
  <c r="G69" i="16"/>
  <c r="G101" i="16" s="1"/>
  <c r="H69" i="16"/>
  <c r="H101" i="16" s="1"/>
  <c r="I69" i="16"/>
  <c r="I101" i="16" s="1"/>
  <c r="J69" i="16"/>
  <c r="J101" i="16" s="1"/>
  <c r="K69" i="16"/>
  <c r="K101" i="16" s="1"/>
  <c r="L69" i="16"/>
  <c r="L101" i="16" s="1"/>
  <c r="M69" i="16"/>
  <c r="M101" i="16" s="1"/>
  <c r="N69" i="16"/>
  <c r="N101" i="16" s="1"/>
  <c r="O69" i="16"/>
  <c r="O101" i="16" s="1"/>
  <c r="P69" i="16"/>
  <c r="P101" i="16" s="1"/>
  <c r="Q69" i="16"/>
  <c r="Q101" i="16" s="1"/>
  <c r="R69" i="16"/>
  <c r="R101" i="16" s="1"/>
  <c r="S69" i="16"/>
  <c r="S101" i="16" s="1"/>
  <c r="T69" i="16"/>
  <c r="T101" i="16" s="1"/>
  <c r="E70" i="16"/>
  <c r="E102" i="16" s="1"/>
  <c r="F70" i="16"/>
  <c r="F102" i="16" s="1"/>
  <c r="G70" i="16"/>
  <c r="G102" i="16" s="1"/>
  <c r="H70" i="16"/>
  <c r="H102" i="16" s="1"/>
  <c r="I70" i="16"/>
  <c r="I102" i="16" s="1"/>
  <c r="J70" i="16"/>
  <c r="J102" i="16" s="1"/>
  <c r="K70" i="16"/>
  <c r="K102" i="16" s="1"/>
  <c r="L70" i="16"/>
  <c r="L102" i="16" s="1"/>
  <c r="M70" i="16"/>
  <c r="M102" i="16" s="1"/>
  <c r="N70" i="16"/>
  <c r="N102" i="16" s="1"/>
  <c r="O70" i="16"/>
  <c r="O102" i="16" s="1"/>
  <c r="P70" i="16"/>
  <c r="P102" i="16" s="1"/>
  <c r="Q70" i="16"/>
  <c r="Q102" i="16" s="1"/>
  <c r="R70" i="16"/>
  <c r="R102" i="16" s="1"/>
  <c r="S70" i="16"/>
  <c r="S102" i="16" s="1"/>
  <c r="T70" i="16"/>
  <c r="T102" i="16" s="1"/>
  <c r="E72" i="16"/>
  <c r="E104" i="16" s="1"/>
  <c r="F72" i="16"/>
  <c r="F104" i="16" s="1"/>
  <c r="H72" i="16"/>
  <c r="H104" i="16" s="1"/>
  <c r="K72" i="16"/>
  <c r="K104" i="16" s="1"/>
  <c r="L72" i="16"/>
  <c r="L104" i="16" s="1"/>
  <c r="N72" i="16"/>
  <c r="N104" i="16" s="1"/>
  <c r="O72" i="16"/>
  <c r="O104" i="16" s="1"/>
  <c r="Q72" i="16"/>
  <c r="Q104" i="16" s="1"/>
  <c r="R72" i="16"/>
  <c r="R104" i="16" s="1"/>
  <c r="T72" i="16"/>
  <c r="T104" i="16" s="1"/>
  <c r="E73" i="16"/>
  <c r="E105" i="16" s="1"/>
  <c r="F73" i="16"/>
  <c r="F105" i="16" s="1"/>
  <c r="G73" i="16"/>
  <c r="G105" i="16" s="1"/>
  <c r="H73" i="16"/>
  <c r="H105" i="16" s="1"/>
  <c r="I73" i="16"/>
  <c r="I105" i="16" s="1"/>
  <c r="J73" i="16"/>
  <c r="J105" i="16" s="1"/>
  <c r="L73" i="16"/>
  <c r="L105" i="16" s="1"/>
  <c r="M73" i="16"/>
  <c r="M105" i="16" s="1"/>
  <c r="N73" i="16"/>
  <c r="N105" i="16" s="1"/>
  <c r="O73" i="16"/>
  <c r="O105" i="16" s="1"/>
  <c r="P73" i="16"/>
  <c r="P105" i="16" s="1"/>
  <c r="Q73" i="16"/>
  <c r="Q105" i="16" s="1"/>
  <c r="R73" i="16"/>
  <c r="R105" i="16" s="1"/>
  <c r="S73" i="16"/>
  <c r="S105" i="16" s="1"/>
  <c r="T73" i="16"/>
  <c r="T105" i="16" s="1"/>
  <c r="E74" i="16"/>
  <c r="E106" i="16" s="1"/>
  <c r="F74" i="16"/>
  <c r="F106" i="16" s="1"/>
  <c r="G74" i="16"/>
  <c r="G106" i="16" s="1"/>
  <c r="H74" i="16"/>
  <c r="H106" i="16" s="1"/>
  <c r="I74" i="16"/>
  <c r="I106" i="16" s="1"/>
  <c r="J74" i="16"/>
  <c r="J106" i="16" s="1"/>
  <c r="L74" i="16"/>
  <c r="L106" i="16" s="1"/>
  <c r="M74" i="16"/>
  <c r="M106" i="16" s="1"/>
  <c r="N74" i="16"/>
  <c r="N106" i="16" s="1"/>
  <c r="O74" i="16"/>
  <c r="O106" i="16" s="1"/>
  <c r="P74" i="16"/>
  <c r="P106" i="16" s="1"/>
  <c r="Q74" i="16"/>
  <c r="Q106" i="16" s="1"/>
  <c r="R74" i="16"/>
  <c r="R106" i="16" s="1"/>
  <c r="S74" i="16"/>
  <c r="S106" i="16" s="1"/>
  <c r="T74" i="16"/>
  <c r="T106" i="16" s="1"/>
  <c r="E75" i="16"/>
  <c r="E107" i="16" s="1"/>
  <c r="F75" i="16"/>
  <c r="F107" i="16" s="1"/>
  <c r="G75" i="16"/>
  <c r="G107" i="16" s="1"/>
  <c r="H75" i="16"/>
  <c r="H107" i="16" s="1"/>
  <c r="I75" i="16"/>
  <c r="I107" i="16" s="1"/>
  <c r="J75" i="16"/>
  <c r="J107" i="16" s="1"/>
  <c r="L75" i="16"/>
  <c r="L107" i="16" s="1"/>
  <c r="M75" i="16"/>
  <c r="M107" i="16" s="1"/>
  <c r="N75" i="16"/>
  <c r="N107" i="16" s="1"/>
  <c r="O75" i="16"/>
  <c r="O107" i="16" s="1"/>
  <c r="P75" i="16"/>
  <c r="P107" i="16" s="1"/>
  <c r="Q75" i="16"/>
  <c r="Q107" i="16" s="1"/>
  <c r="R75" i="16"/>
  <c r="R107" i="16" s="1"/>
  <c r="S75" i="16"/>
  <c r="S107" i="16" s="1"/>
  <c r="T75" i="16"/>
  <c r="T107" i="16" s="1"/>
  <c r="E76" i="16"/>
  <c r="E108" i="16" s="1"/>
  <c r="F76" i="16"/>
  <c r="F108" i="16" s="1"/>
  <c r="G76" i="16"/>
  <c r="G108" i="16" s="1"/>
  <c r="H76" i="16"/>
  <c r="H108" i="16" s="1"/>
  <c r="I76" i="16"/>
  <c r="I108" i="16" s="1"/>
  <c r="J76" i="16"/>
  <c r="J108" i="16" s="1"/>
  <c r="L76" i="16"/>
  <c r="L108" i="16" s="1"/>
  <c r="M76" i="16"/>
  <c r="M108" i="16" s="1"/>
  <c r="N76" i="16"/>
  <c r="N108" i="16" s="1"/>
  <c r="O76" i="16"/>
  <c r="O108" i="16" s="1"/>
  <c r="P76" i="16"/>
  <c r="P108" i="16" s="1"/>
  <c r="Q76" i="16"/>
  <c r="Q108" i="16" s="1"/>
  <c r="R76" i="16"/>
  <c r="R108" i="16" s="1"/>
  <c r="S76" i="16"/>
  <c r="S108" i="16" s="1"/>
  <c r="T76" i="16"/>
  <c r="T108" i="16" s="1"/>
  <c r="E77" i="16"/>
  <c r="E109" i="16" s="1"/>
  <c r="F77" i="16"/>
  <c r="F109" i="16" s="1"/>
  <c r="G77" i="16"/>
  <c r="G109" i="16" s="1"/>
  <c r="J77" i="16"/>
  <c r="J109" i="16" s="1"/>
  <c r="K77" i="16"/>
  <c r="K109" i="16" s="1"/>
  <c r="L77" i="16"/>
  <c r="L109" i="16" s="1"/>
  <c r="M77" i="16"/>
  <c r="M109" i="16" s="1"/>
  <c r="N77" i="16"/>
  <c r="N109" i="16" s="1"/>
  <c r="O77" i="16"/>
  <c r="O109" i="16" s="1"/>
  <c r="P77" i="16"/>
  <c r="P109" i="16" s="1"/>
  <c r="Q77" i="16"/>
  <c r="Q109" i="16" s="1"/>
  <c r="R77" i="16"/>
  <c r="R109" i="16" s="1"/>
  <c r="S77" i="16"/>
  <c r="S109" i="16" s="1"/>
  <c r="T77" i="16"/>
  <c r="T109" i="16" s="1"/>
  <c r="E78" i="16"/>
  <c r="E110" i="16" s="1"/>
  <c r="F78" i="16"/>
  <c r="F110" i="16" s="1"/>
  <c r="G78" i="16"/>
  <c r="G110" i="16" s="1"/>
  <c r="J78" i="16"/>
  <c r="J110" i="16" s="1"/>
  <c r="L78" i="16"/>
  <c r="L110" i="16" s="1"/>
  <c r="M78" i="16"/>
  <c r="M110" i="16" s="1"/>
  <c r="N78" i="16"/>
  <c r="N110" i="16" s="1"/>
  <c r="O78" i="16"/>
  <c r="O110" i="16" s="1"/>
  <c r="P78" i="16"/>
  <c r="P110" i="16" s="1"/>
  <c r="Q78" i="16"/>
  <c r="Q110" i="16" s="1"/>
  <c r="R78" i="16"/>
  <c r="R110" i="16" s="1"/>
  <c r="S78" i="16"/>
  <c r="S110" i="16" s="1"/>
  <c r="T78" i="16"/>
  <c r="T110" i="16" s="1"/>
  <c r="E79" i="16"/>
  <c r="E111" i="16" s="1"/>
  <c r="F79" i="16"/>
  <c r="F111" i="16" s="1"/>
  <c r="G79" i="16"/>
  <c r="G111" i="16" s="1"/>
  <c r="H79" i="16"/>
  <c r="H111" i="16" s="1"/>
  <c r="I79" i="16"/>
  <c r="I111" i="16" s="1"/>
  <c r="J79" i="16"/>
  <c r="J111" i="16" s="1"/>
  <c r="L79" i="16"/>
  <c r="L111" i="16" s="1"/>
  <c r="M79" i="16"/>
  <c r="M111" i="16" s="1"/>
  <c r="N79" i="16"/>
  <c r="N111" i="16" s="1"/>
  <c r="O79" i="16"/>
  <c r="O111" i="16" s="1"/>
  <c r="P79" i="16"/>
  <c r="P111" i="16" s="1"/>
  <c r="Q79" i="16"/>
  <c r="Q111" i="16" s="1"/>
  <c r="R79" i="16"/>
  <c r="R111" i="16" s="1"/>
  <c r="S79" i="16"/>
  <c r="S111" i="16" s="1"/>
  <c r="T79" i="16"/>
  <c r="T111" i="16" s="1"/>
  <c r="E80" i="16"/>
  <c r="E112" i="16" s="1"/>
  <c r="F80" i="16"/>
  <c r="F112" i="16" s="1"/>
  <c r="G80" i="16"/>
  <c r="G112" i="16" s="1"/>
  <c r="I80" i="16"/>
  <c r="I112" i="16" s="1"/>
  <c r="J80" i="16"/>
  <c r="J112" i="16" s="1"/>
  <c r="L80" i="16"/>
  <c r="L112" i="16" s="1"/>
  <c r="M80" i="16"/>
  <c r="M112" i="16" s="1"/>
  <c r="N80" i="16"/>
  <c r="N112" i="16" s="1"/>
  <c r="O80" i="16"/>
  <c r="O112" i="16" s="1"/>
  <c r="P80" i="16"/>
  <c r="P112" i="16" s="1"/>
  <c r="Q80" i="16"/>
  <c r="Q112" i="16" s="1"/>
  <c r="R80" i="16"/>
  <c r="R112" i="16" s="1"/>
  <c r="S80" i="16"/>
  <c r="S112" i="16" s="1"/>
  <c r="T80" i="16"/>
  <c r="T112" i="16" s="1"/>
  <c r="E81" i="16"/>
  <c r="E113" i="16" s="1"/>
  <c r="F81" i="16"/>
  <c r="F113" i="16" s="1"/>
  <c r="G81" i="16"/>
  <c r="G113" i="16" s="1"/>
  <c r="I81" i="16"/>
  <c r="I113" i="16" s="1"/>
  <c r="L81" i="16"/>
  <c r="L113" i="16" s="1"/>
  <c r="M81" i="16"/>
  <c r="M113" i="16" s="1"/>
  <c r="N81" i="16"/>
  <c r="N113" i="16" s="1"/>
  <c r="O81" i="16"/>
  <c r="O113" i="16" s="1"/>
  <c r="P81" i="16"/>
  <c r="P113" i="16" s="1"/>
  <c r="Q81" i="16"/>
  <c r="Q113" i="16" s="1"/>
  <c r="R81" i="16"/>
  <c r="R113" i="16" s="1"/>
  <c r="S81" i="16"/>
  <c r="S113" i="16" s="1"/>
  <c r="T81" i="16"/>
  <c r="T113" i="16" s="1"/>
  <c r="E82" i="16"/>
  <c r="E114" i="16" s="1"/>
  <c r="F82" i="16"/>
  <c r="F114" i="16" s="1"/>
  <c r="G82" i="16"/>
  <c r="G114" i="16" s="1"/>
  <c r="H82" i="16"/>
  <c r="H114" i="16" s="1"/>
  <c r="I82" i="16"/>
  <c r="I114" i="16" s="1"/>
  <c r="J82" i="16"/>
  <c r="J114" i="16" s="1"/>
  <c r="L82" i="16"/>
  <c r="L114" i="16" s="1"/>
  <c r="M82" i="16"/>
  <c r="M114" i="16" s="1"/>
  <c r="N82" i="16"/>
  <c r="N114" i="16" s="1"/>
  <c r="O82" i="16"/>
  <c r="O114" i="16" s="1"/>
  <c r="P82" i="16"/>
  <c r="P114" i="16" s="1"/>
  <c r="Q82" i="16"/>
  <c r="Q114" i="16" s="1"/>
  <c r="R82" i="16"/>
  <c r="R114" i="16" s="1"/>
  <c r="S82" i="16"/>
  <c r="S114" i="16" s="1"/>
  <c r="T82" i="16"/>
  <c r="T114" i="16" s="1"/>
  <c r="E83" i="16"/>
  <c r="E115" i="16" s="1"/>
  <c r="F83" i="16"/>
  <c r="F115" i="16" s="1"/>
  <c r="G83" i="16"/>
  <c r="G115" i="16" s="1"/>
  <c r="J83" i="16"/>
  <c r="J115" i="16" s="1"/>
  <c r="L83" i="16"/>
  <c r="L115" i="16" s="1"/>
  <c r="M83" i="16"/>
  <c r="M115" i="16" s="1"/>
  <c r="N83" i="16"/>
  <c r="N115" i="16" s="1"/>
  <c r="O83" i="16"/>
  <c r="O115" i="16" s="1"/>
  <c r="P83" i="16"/>
  <c r="P115" i="16" s="1"/>
  <c r="Q83" i="16"/>
  <c r="Q115" i="16" s="1"/>
  <c r="R83" i="16"/>
  <c r="R115" i="16" s="1"/>
  <c r="S83" i="16"/>
  <c r="S115" i="16" s="1"/>
  <c r="T83" i="16"/>
  <c r="T115" i="16" s="1"/>
  <c r="E84" i="16"/>
  <c r="E116" i="16" s="1"/>
  <c r="F84" i="16"/>
  <c r="F116" i="16" s="1"/>
  <c r="G84" i="16"/>
  <c r="G116" i="16" s="1"/>
  <c r="I84" i="16"/>
  <c r="I116" i="16" s="1"/>
  <c r="L84" i="16"/>
  <c r="L116" i="16" s="1"/>
  <c r="M84" i="16"/>
  <c r="M116" i="16" s="1"/>
  <c r="N84" i="16"/>
  <c r="N116" i="16" s="1"/>
  <c r="O84" i="16"/>
  <c r="O116" i="16" s="1"/>
  <c r="P84" i="16"/>
  <c r="P116" i="16" s="1"/>
  <c r="Q84" i="16"/>
  <c r="Q116" i="16" s="1"/>
  <c r="R84" i="16"/>
  <c r="R116" i="16" s="1"/>
  <c r="S84" i="16"/>
  <c r="S116" i="16" s="1"/>
  <c r="T84" i="16"/>
  <c r="T116" i="16" s="1"/>
  <c r="E85" i="16"/>
  <c r="E117" i="16" s="1"/>
  <c r="F85" i="16"/>
  <c r="F117" i="16" s="1"/>
  <c r="G85" i="16"/>
  <c r="G117" i="16" s="1"/>
  <c r="I85" i="16"/>
  <c r="I117" i="16" s="1"/>
  <c r="J85" i="16"/>
  <c r="J117" i="16" s="1"/>
  <c r="L85" i="16"/>
  <c r="L117" i="16" s="1"/>
  <c r="M85" i="16"/>
  <c r="M117" i="16" s="1"/>
  <c r="N85" i="16"/>
  <c r="N117" i="16" s="1"/>
  <c r="O85" i="16"/>
  <c r="O117" i="16" s="1"/>
  <c r="P85" i="16"/>
  <c r="P117" i="16" s="1"/>
  <c r="Q85" i="16"/>
  <c r="Q117" i="16" s="1"/>
  <c r="R85" i="16"/>
  <c r="R117" i="16" s="1"/>
  <c r="S85" i="16"/>
  <c r="S117" i="16" s="1"/>
  <c r="T85" i="16"/>
  <c r="T117" i="16" s="1"/>
  <c r="E86" i="16"/>
  <c r="E118" i="16" s="1"/>
  <c r="F86" i="16"/>
  <c r="F118" i="16" s="1"/>
  <c r="G86" i="16"/>
  <c r="G118" i="16" s="1"/>
  <c r="J86" i="16"/>
  <c r="J118" i="16" s="1"/>
  <c r="L86" i="16"/>
  <c r="L118" i="16" s="1"/>
  <c r="M86" i="16"/>
  <c r="M118" i="16" s="1"/>
  <c r="N86" i="16"/>
  <c r="N118" i="16" s="1"/>
  <c r="O86" i="16"/>
  <c r="O118" i="16" s="1"/>
  <c r="P86" i="16"/>
  <c r="P118" i="16" s="1"/>
  <c r="Q86" i="16"/>
  <c r="Q118" i="16" s="1"/>
  <c r="R86" i="16"/>
  <c r="R118" i="16" s="1"/>
  <c r="S86" i="16"/>
  <c r="S118" i="16" s="1"/>
  <c r="T86" i="16"/>
  <c r="T118" i="16" s="1"/>
  <c r="E87" i="16"/>
  <c r="E119" i="16" s="1"/>
  <c r="F87" i="16"/>
  <c r="F119" i="16" s="1"/>
  <c r="G87" i="16"/>
  <c r="G119" i="16" s="1"/>
  <c r="J87" i="16"/>
  <c r="J119" i="16" s="1"/>
  <c r="L87" i="16"/>
  <c r="L119" i="16" s="1"/>
  <c r="M87" i="16"/>
  <c r="M119" i="16" s="1"/>
  <c r="N87" i="16"/>
  <c r="N119" i="16" s="1"/>
  <c r="O87" i="16"/>
  <c r="O119" i="16" s="1"/>
  <c r="P87" i="16"/>
  <c r="P119" i="16" s="1"/>
  <c r="Q87" i="16"/>
  <c r="Q119" i="16" s="1"/>
  <c r="R87" i="16"/>
  <c r="R119" i="16" s="1"/>
  <c r="S87" i="16"/>
  <c r="S119" i="16" s="1"/>
  <c r="T87" i="16"/>
  <c r="T119" i="16" s="1"/>
  <c r="E88" i="16"/>
  <c r="E120" i="16" s="1"/>
  <c r="F88" i="16"/>
  <c r="F120" i="16" s="1"/>
  <c r="G88" i="16"/>
  <c r="G120" i="16" s="1"/>
  <c r="H88" i="16"/>
  <c r="H120" i="16" s="1"/>
  <c r="I88" i="16"/>
  <c r="I120" i="16" s="1"/>
  <c r="J88" i="16"/>
  <c r="J120" i="16" s="1"/>
  <c r="L88" i="16"/>
  <c r="L120" i="16" s="1"/>
  <c r="M88" i="16"/>
  <c r="M120" i="16" s="1"/>
  <c r="N88" i="16"/>
  <c r="N120" i="16" s="1"/>
  <c r="O88" i="16"/>
  <c r="O120" i="16" s="1"/>
  <c r="P88" i="16"/>
  <c r="P120" i="16" s="1"/>
  <c r="Q88" i="16"/>
  <c r="Q120" i="16" s="1"/>
  <c r="R88" i="16"/>
  <c r="R120" i="16" s="1"/>
  <c r="S88" i="16"/>
  <c r="S120" i="16" s="1"/>
  <c r="T88" i="16"/>
  <c r="T120" i="16" s="1"/>
  <c r="E89" i="16"/>
  <c r="E121" i="16" s="1"/>
  <c r="F89" i="16"/>
  <c r="F121" i="16" s="1"/>
  <c r="G89" i="16"/>
  <c r="G121" i="16" s="1"/>
  <c r="H89" i="16"/>
  <c r="H121" i="16" s="1"/>
  <c r="I89" i="16"/>
  <c r="I121" i="16" s="1"/>
  <c r="J89" i="16"/>
  <c r="J121" i="16" s="1"/>
  <c r="K89" i="16"/>
  <c r="K121" i="16" s="1"/>
  <c r="L89" i="16"/>
  <c r="L121" i="16" s="1"/>
  <c r="M89" i="16"/>
  <c r="M121" i="16" s="1"/>
  <c r="N89" i="16"/>
  <c r="N121" i="16" s="1"/>
  <c r="O89" i="16"/>
  <c r="O121" i="16" s="1"/>
  <c r="P89" i="16"/>
  <c r="P121" i="16" s="1"/>
  <c r="C24" i="16"/>
  <c r="C12" i="16"/>
  <c r="C13" i="16"/>
  <c r="C14" i="16"/>
  <c r="C15" i="16"/>
  <c r="C16" i="16"/>
  <c r="C17" i="16"/>
  <c r="C18" i="16"/>
  <c r="C19" i="16"/>
  <c r="C20" i="16"/>
  <c r="C21" i="16"/>
  <c r="C22" i="16"/>
  <c r="C11" i="16"/>
  <c r="C9" i="16"/>
  <c r="J57" i="15"/>
  <c r="J89" i="15" s="1"/>
  <c r="J121" i="15" s="1"/>
  <c r="E40" i="15"/>
  <c r="F40" i="15"/>
  <c r="H40" i="15"/>
  <c r="K40" i="15"/>
  <c r="L40" i="15"/>
  <c r="M40" i="15"/>
  <c r="N40" i="15"/>
  <c r="O40" i="15"/>
  <c r="Q40" i="15"/>
  <c r="R40" i="15"/>
  <c r="T40" i="15"/>
  <c r="E41" i="15"/>
  <c r="F41" i="15"/>
  <c r="I41" i="15"/>
  <c r="I73" i="15" s="1"/>
  <c r="I105" i="15" s="1"/>
  <c r="K41" i="15"/>
  <c r="K73" i="15" s="1"/>
  <c r="K105" i="15" s="1"/>
  <c r="L41" i="15"/>
  <c r="L73" i="15" s="1"/>
  <c r="L105" i="15" s="1"/>
  <c r="M41" i="15"/>
  <c r="M73" i="15" s="1"/>
  <c r="M105" i="15" s="1"/>
  <c r="N41" i="15"/>
  <c r="N73" i="15" s="1"/>
  <c r="N105" i="15" s="1"/>
  <c r="O41" i="15"/>
  <c r="O73" i="15" s="1"/>
  <c r="O105" i="15" s="1"/>
  <c r="P41" i="15"/>
  <c r="P73" i="15" s="1"/>
  <c r="P105" i="15" s="1"/>
  <c r="Q41" i="15"/>
  <c r="Q73" i="15" s="1"/>
  <c r="Q105" i="15" s="1"/>
  <c r="R41" i="15"/>
  <c r="R73" i="15" s="1"/>
  <c r="R105" i="15" s="1"/>
  <c r="S41" i="15"/>
  <c r="S73" i="15" s="1"/>
  <c r="S105" i="15" s="1"/>
  <c r="T41" i="15"/>
  <c r="T73" i="15" s="1"/>
  <c r="T105" i="15" s="1"/>
  <c r="E42" i="15"/>
  <c r="E74" i="15" s="1"/>
  <c r="E106" i="15" s="1"/>
  <c r="F42" i="15"/>
  <c r="F74" i="15" s="1"/>
  <c r="F106" i="15" s="1"/>
  <c r="G42" i="15"/>
  <c r="G74" i="15" s="1"/>
  <c r="G106" i="15" s="1"/>
  <c r="H42" i="15"/>
  <c r="H74" i="15" s="1"/>
  <c r="H106" i="15" s="1"/>
  <c r="I42" i="15"/>
  <c r="I74" i="15" s="1"/>
  <c r="I106" i="15" s="1"/>
  <c r="J42" i="15"/>
  <c r="J74" i="15" s="1"/>
  <c r="J106" i="15" s="1"/>
  <c r="K42" i="15"/>
  <c r="K74" i="15" s="1"/>
  <c r="K106" i="15" s="1"/>
  <c r="L42" i="15"/>
  <c r="L74" i="15" s="1"/>
  <c r="L106" i="15" s="1"/>
  <c r="M42" i="15"/>
  <c r="M74" i="15" s="1"/>
  <c r="M106" i="15" s="1"/>
  <c r="N42" i="15"/>
  <c r="N74" i="15" s="1"/>
  <c r="N106" i="15" s="1"/>
  <c r="O42" i="15"/>
  <c r="O74" i="15" s="1"/>
  <c r="O106" i="15" s="1"/>
  <c r="P42" i="15"/>
  <c r="P74" i="15" s="1"/>
  <c r="P106" i="15" s="1"/>
  <c r="Q42" i="15"/>
  <c r="Q74" i="15" s="1"/>
  <c r="Q106" i="15" s="1"/>
  <c r="R42" i="15"/>
  <c r="R74" i="15" s="1"/>
  <c r="R106" i="15" s="1"/>
  <c r="S42" i="15"/>
  <c r="S74" i="15" s="1"/>
  <c r="S106" i="15" s="1"/>
  <c r="T42" i="15"/>
  <c r="T74" i="15" s="1"/>
  <c r="T106" i="15" s="1"/>
  <c r="E43" i="15"/>
  <c r="E75" i="15" s="1"/>
  <c r="E107" i="15" s="1"/>
  <c r="F43" i="15"/>
  <c r="F75" i="15" s="1"/>
  <c r="F107" i="15" s="1"/>
  <c r="G43" i="15"/>
  <c r="G75" i="15" s="1"/>
  <c r="G107" i="15" s="1"/>
  <c r="H43" i="15"/>
  <c r="H75" i="15" s="1"/>
  <c r="H107" i="15" s="1"/>
  <c r="I43" i="15"/>
  <c r="I75" i="15" s="1"/>
  <c r="I107" i="15" s="1"/>
  <c r="J43" i="15"/>
  <c r="J75" i="15" s="1"/>
  <c r="J107" i="15" s="1"/>
  <c r="K43" i="15"/>
  <c r="K75" i="15" s="1"/>
  <c r="K107" i="15" s="1"/>
  <c r="L43" i="15"/>
  <c r="L75" i="15" s="1"/>
  <c r="L107" i="15" s="1"/>
  <c r="M43" i="15"/>
  <c r="M75" i="15" s="1"/>
  <c r="M107" i="15" s="1"/>
  <c r="N43" i="15"/>
  <c r="N75" i="15" s="1"/>
  <c r="N107" i="15" s="1"/>
  <c r="O43" i="15"/>
  <c r="O75" i="15" s="1"/>
  <c r="O107" i="15" s="1"/>
  <c r="P43" i="15"/>
  <c r="P75" i="15" s="1"/>
  <c r="P107" i="15" s="1"/>
  <c r="Q43" i="15"/>
  <c r="Q75" i="15" s="1"/>
  <c r="Q107" i="15" s="1"/>
  <c r="R43" i="15"/>
  <c r="R75" i="15" s="1"/>
  <c r="R107" i="15" s="1"/>
  <c r="S43" i="15"/>
  <c r="S75" i="15" s="1"/>
  <c r="S107" i="15" s="1"/>
  <c r="T43" i="15"/>
  <c r="T75" i="15" s="1"/>
  <c r="T107" i="15" s="1"/>
  <c r="E44" i="15"/>
  <c r="E76" i="15" s="1"/>
  <c r="E108" i="15" s="1"/>
  <c r="F44" i="15"/>
  <c r="F76" i="15" s="1"/>
  <c r="F108" i="15" s="1"/>
  <c r="G44" i="15"/>
  <c r="G76" i="15" s="1"/>
  <c r="G108" i="15" s="1"/>
  <c r="H44" i="15"/>
  <c r="H76" i="15" s="1"/>
  <c r="H108" i="15" s="1"/>
  <c r="I44" i="15"/>
  <c r="I76" i="15" s="1"/>
  <c r="I108" i="15" s="1"/>
  <c r="J44" i="15"/>
  <c r="J76" i="15" s="1"/>
  <c r="J108" i="15" s="1"/>
  <c r="K44" i="15"/>
  <c r="K76" i="15" s="1"/>
  <c r="K108" i="15" s="1"/>
  <c r="L44" i="15"/>
  <c r="L76" i="15" s="1"/>
  <c r="L108" i="15" s="1"/>
  <c r="M44" i="15"/>
  <c r="M76" i="15" s="1"/>
  <c r="M108" i="15" s="1"/>
  <c r="N44" i="15"/>
  <c r="N76" i="15" s="1"/>
  <c r="N108" i="15" s="1"/>
  <c r="O44" i="15"/>
  <c r="O76" i="15" s="1"/>
  <c r="O108" i="15" s="1"/>
  <c r="P44" i="15"/>
  <c r="P76" i="15" s="1"/>
  <c r="P108" i="15" s="1"/>
  <c r="Q44" i="15"/>
  <c r="Q76" i="15" s="1"/>
  <c r="Q108" i="15" s="1"/>
  <c r="R44" i="15"/>
  <c r="R76" i="15" s="1"/>
  <c r="R108" i="15" s="1"/>
  <c r="S44" i="15"/>
  <c r="S76" i="15" s="1"/>
  <c r="S108" i="15" s="1"/>
  <c r="T44" i="15"/>
  <c r="T76" i="15" s="1"/>
  <c r="T108" i="15" s="1"/>
  <c r="E45" i="15"/>
  <c r="E77" i="15" s="1"/>
  <c r="E109" i="15" s="1"/>
  <c r="F45" i="15"/>
  <c r="F77" i="15" s="1"/>
  <c r="F109" i="15" s="1"/>
  <c r="G45" i="15"/>
  <c r="G77" i="15" s="1"/>
  <c r="G109" i="15" s="1"/>
  <c r="H45" i="15"/>
  <c r="H77" i="15" s="1"/>
  <c r="H109" i="15" s="1"/>
  <c r="I45" i="15"/>
  <c r="I77" i="15" s="1"/>
  <c r="I109" i="15" s="1"/>
  <c r="J45" i="15"/>
  <c r="J77" i="15" s="1"/>
  <c r="J109" i="15" s="1"/>
  <c r="K45" i="15"/>
  <c r="K77" i="15" s="1"/>
  <c r="K109" i="15" s="1"/>
  <c r="L45" i="15"/>
  <c r="L77" i="15" s="1"/>
  <c r="L109" i="15" s="1"/>
  <c r="M45" i="15"/>
  <c r="M77" i="15" s="1"/>
  <c r="M109" i="15" s="1"/>
  <c r="N45" i="15"/>
  <c r="N77" i="15" s="1"/>
  <c r="N109" i="15" s="1"/>
  <c r="O45" i="15"/>
  <c r="O77" i="15" s="1"/>
  <c r="O109" i="15" s="1"/>
  <c r="P45" i="15"/>
  <c r="P77" i="15" s="1"/>
  <c r="P109" i="15" s="1"/>
  <c r="Q45" i="15"/>
  <c r="Q77" i="15" s="1"/>
  <c r="Q109" i="15" s="1"/>
  <c r="R45" i="15"/>
  <c r="R77" i="15" s="1"/>
  <c r="R109" i="15" s="1"/>
  <c r="S45" i="15"/>
  <c r="S77" i="15" s="1"/>
  <c r="S109" i="15" s="1"/>
  <c r="T45" i="15"/>
  <c r="T77" i="15" s="1"/>
  <c r="T109" i="15" s="1"/>
  <c r="E46" i="15"/>
  <c r="E78" i="15" s="1"/>
  <c r="E110" i="15" s="1"/>
  <c r="F46" i="15"/>
  <c r="F78" i="15" s="1"/>
  <c r="F110" i="15" s="1"/>
  <c r="G46" i="15"/>
  <c r="G78" i="15" s="1"/>
  <c r="G110" i="15" s="1"/>
  <c r="H46" i="15"/>
  <c r="H78" i="15" s="1"/>
  <c r="H110" i="15" s="1"/>
  <c r="I46" i="15"/>
  <c r="I78" i="15" s="1"/>
  <c r="I110" i="15" s="1"/>
  <c r="J46" i="15"/>
  <c r="J78" i="15" s="1"/>
  <c r="J110" i="15" s="1"/>
  <c r="K46" i="15"/>
  <c r="K78" i="15" s="1"/>
  <c r="K110" i="15" s="1"/>
  <c r="L46" i="15"/>
  <c r="L78" i="15" s="1"/>
  <c r="L110" i="15" s="1"/>
  <c r="M46" i="15"/>
  <c r="M78" i="15" s="1"/>
  <c r="M110" i="15" s="1"/>
  <c r="N46" i="15"/>
  <c r="N78" i="15" s="1"/>
  <c r="N110" i="15" s="1"/>
  <c r="O46" i="15"/>
  <c r="O78" i="15" s="1"/>
  <c r="O110" i="15" s="1"/>
  <c r="P46" i="15"/>
  <c r="P78" i="15" s="1"/>
  <c r="P110" i="15" s="1"/>
  <c r="Q46" i="15"/>
  <c r="Q78" i="15" s="1"/>
  <c r="Q110" i="15" s="1"/>
  <c r="R46" i="15"/>
  <c r="R78" i="15" s="1"/>
  <c r="R110" i="15" s="1"/>
  <c r="S46" i="15"/>
  <c r="S78" i="15" s="1"/>
  <c r="S110" i="15" s="1"/>
  <c r="T46" i="15"/>
  <c r="T78" i="15" s="1"/>
  <c r="T110" i="15" s="1"/>
  <c r="E47" i="15"/>
  <c r="E79" i="15" s="1"/>
  <c r="E111" i="15" s="1"/>
  <c r="F47" i="15"/>
  <c r="F79" i="15" s="1"/>
  <c r="F111" i="15" s="1"/>
  <c r="G47" i="15"/>
  <c r="G79" i="15" s="1"/>
  <c r="G111" i="15" s="1"/>
  <c r="H47" i="15"/>
  <c r="H79" i="15" s="1"/>
  <c r="H111" i="15" s="1"/>
  <c r="I47" i="15"/>
  <c r="I79" i="15" s="1"/>
  <c r="I111" i="15" s="1"/>
  <c r="J47" i="15"/>
  <c r="J79" i="15" s="1"/>
  <c r="J111" i="15" s="1"/>
  <c r="K47" i="15"/>
  <c r="K79" i="15" s="1"/>
  <c r="K111" i="15" s="1"/>
  <c r="L47" i="15"/>
  <c r="L79" i="15" s="1"/>
  <c r="L111" i="15" s="1"/>
  <c r="M47" i="15"/>
  <c r="M79" i="15" s="1"/>
  <c r="M111" i="15" s="1"/>
  <c r="N47" i="15"/>
  <c r="N79" i="15" s="1"/>
  <c r="N111" i="15" s="1"/>
  <c r="O47" i="15"/>
  <c r="O79" i="15" s="1"/>
  <c r="O111" i="15" s="1"/>
  <c r="P47" i="15"/>
  <c r="P79" i="15" s="1"/>
  <c r="P111" i="15" s="1"/>
  <c r="Q47" i="15"/>
  <c r="Q79" i="15" s="1"/>
  <c r="Q111" i="15" s="1"/>
  <c r="R47" i="15"/>
  <c r="R79" i="15" s="1"/>
  <c r="R111" i="15" s="1"/>
  <c r="S47" i="15"/>
  <c r="S79" i="15" s="1"/>
  <c r="S111" i="15" s="1"/>
  <c r="T47" i="15"/>
  <c r="T79" i="15" s="1"/>
  <c r="T111" i="15" s="1"/>
  <c r="E48" i="15"/>
  <c r="E80" i="15" s="1"/>
  <c r="E112" i="15" s="1"/>
  <c r="F48" i="15"/>
  <c r="F80" i="15" s="1"/>
  <c r="F112" i="15" s="1"/>
  <c r="G48" i="15"/>
  <c r="G80" i="15" s="1"/>
  <c r="G112" i="15" s="1"/>
  <c r="H48" i="15"/>
  <c r="H80" i="15" s="1"/>
  <c r="H112" i="15" s="1"/>
  <c r="I48" i="15"/>
  <c r="I80" i="15" s="1"/>
  <c r="I112" i="15" s="1"/>
  <c r="J48" i="15"/>
  <c r="J80" i="15" s="1"/>
  <c r="J112" i="15" s="1"/>
  <c r="K48" i="15"/>
  <c r="K80" i="15" s="1"/>
  <c r="K112" i="15" s="1"/>
  <c r="L48" i="15"/>
  <c r="L80" i="15" s="1"/>
  <c r="L112" i="15" s="1"/>
  <c r="M48" i="15"/>
  <c r="M80" i="15" s="1"/>
  <c r="M112" i="15" s="1"/>
  <c r="N48" i="15"/>
  <c r="N80" i="15" s="1"/>
  <c r="N112" i="15" s="1"/>
  <c r="O48" i="15"/>
  <c r="O80" i="15" s="1"/>
  <c r="O112" i="15" s="1"/>
  <c r="P48" i="15"/>
  <c r="P80" i="15" s="1"/>
  <c r="P112" i="15" s="1"/>
  <c r="Q48" i="15"/>
  <c r="Q80" i="15" s="1"/>
  <c r="Q112" i="15" s="1"/>
  <c r="R48" i="15"/>
  <c r="R80" i="15" s="1"/>
  <c r="R112" i="15" s="1"/>
  <c r="S48" i="15"/>
  <c r="S80" i="15" s="1"/>
  <c r="S112" i="15" s="1"/>
  <c r="T48" i="15"/>
  <c r="T80" i="15" s="1"/>
  <c r="T112" i="15" s="1"/>
  <c r="E49" i="15"/>
  <c r="E81" i="15" s="1"/>
  <c r="E113" i="15" s="1"/>
  <c r="F49" i="15"/>
  <c r="F81" i="15" s="1"/>
  <c r="F113" i="15" s="1"/>
  <c r="G49" i="15"/>
  <c r="G81" i="15" s="1"/>
  <c r="G113" i="15" s="1"/>
  <c r="H49" i="15"/>
  <c r="H81" i="15" s="1"/>
  <c r="H113" i="15" s="1"/>
  <c r="I49" i="15"/>
  <c r="I81" i="15" s="1"/>
  <c r="I113" i="15" s="1"/>
  <c r="J49" i="15"/>
  <c r="J81" i="15" s="1"/>
  <c r="J113" i="15" s="1"/>
  <c r="K49" i="15"/>
  <c r="K81" i="15" s="1"/>
  <c r="K113" i="15" s="1"/>
  <c r="L49" i="15"/>
  <c r="L81" i="15" s="1"/>
  <c r="L113" i="15" s="1"/>
  <c r="M49" i="15"/>
  <c r="M81" i="15" s="1"/>
  <c r="M113" i="15" s="1"/>
  <c r="N49" i="15"/>
  <c r="N81" i="15" s="1"/>
  <c r="N113" i="15" s="1"/>
  <c r="O49" i="15"/>
  <c r="O81" i="15" s="1"/>
  <c r="O113" i="15" s="1"/>
  <c r="P49" i="15"/>
  <c r="P81" i="15" s="1"/>
  <c r="P113" i="15" s="1"/>
  <c r="Q49" i="15"/>
  <c r="Q81" i="15" s="1"/>
  <c r="Q113" i="15" s="1"/>
  <c r="R49" i="15"/>
  <c r="R81" i="15" s="1"/>
  <c r="R113" i="15" s="1"/>
  <c r="S49" i="15"/>
  <c r="S81" i="15" s="1"/>
  <c r="S113" i="15" s="1"/>
  <c r="T49" i="15"/>
  <c r="T81" i="15" s="1"/>
  <c r="T113" i="15" s="1"/>
  <c r="E50" i="15"/>
  <c r="E82" i="15" s="1"/>
  <c r="E114" i="15" s="1"/>
  <c r="F50" i="15"/>
  <c r="F82" i="15" s="1"/>
  <c r="F114" i="15" s="1"/>
  <c r="G50" i="15"/>
  <c r="G82" i="15" s="1"/>
  <c r="G114" i="15" s="1"/>
  <c r="H50" i="15"/>
  <c r="H82" i="15" s="1"/>
  <c r="H114" i="15" s="1"/>
  <c r="I50" i="15"/>
  <c r="I82" i="15" s="1"/>
  <c r="I114" i="15" s="1"/>
  <c r="J50" i="15"/>
  <c r="J82" i="15" s="1"/>
  <c r="J114" i="15" s="1"/>
  <c r="K50" i="15"/>
  <c r="K82" i="15" s="1"/>
  <c r="K114" i="15" s="1"/>
  <c r="L50" i="15"/>
  <c r="L82" i="15" s="1"/>
  <c r="L114" i="15" s="1"/>
  <c r="M50" i="15"/>
  <c r="M82" i="15" s="1"/>
  <c r="M114" i="15" s="1"/>
  <c r="N50" i="15"/>
  <c r="N82" i="15" s="1"/>
  <c r="N114" i="15" s="1"/>
  <c r="O50" i="15"/>
  <c r="O82" i="15" s="1"/>
  <c r="O114" i="15" s="1"/>
  <c r="P50" i="15"/>
  <c r="P82" i="15" s="1"/>
  <c r="P114" i="15" s="1"/>
  <c r="Q50" i="15"/>
  <c r="Q82" i="15" s="1"/>
  <c r="Q114" i="15" s="1"/>
  <c r="R50" i="15"/>
  <c r="R82" i="15" s="1"/>
  <c r="R114" i="15" s="1"/>
  <c r="S50" i="15"/>
  <c r="S82" i="15" s="1"/>
  <c r="S114" i="15" s="1"/>
  <c r="T50" i="15"/>
  <c r="T82" i="15" s="1"/>
  <c r="T114" i="15" s="1"/>
  <c r="E51" i="15"/>
  <c r="E83" i="15" s="1"/>
  <c r="E115" i="15" s="1"/>
  <c r="F51" i="15"/>
  <c r="F83" i="15" s="1"/>
  <c r="F115" i="15" s="1"/>
  <c r="G51" i="15"/>
  <c r="G83" i="15" s="1"/>
  <c r="G115" i="15" s="1"/>
  <c r="H51" i="15"/>
  <c r="H83" i="15" s="1"/>
  <c r="H115" i="15" s="1"/>
  <c r="I51" i="15"/>
  <c r="I83" i="15" s="1"/>
  <c r="I115" i="15" s="1"/>
  <c r="J51" i="15"/>
  <c r="J83" i="15" s="1"/>
  <c r="J115" i="15" s="1"/>
  <c r="K51" i="15"/>
  <c r="K83" i="15" s="1"/>
  <c r="K115" i="15" s="1"/>
  <c r="L51" i="15"/>
  <c r="L83" i="15" s="1"/>
  <c r="L115" i="15" s="1"/>
  <c r="M51" i="15"/>
  <c r="M83" i="15" s="1"/>
  <c r="M115" i="15" s="1"/>
  <c r="N51" i="15"/>
  <c r="N83" i="15" s="1"/>
  <c r="N115" i="15" s="1"/>
  <c r="O51" i="15"/>
  <c r="O83" i="15" s="1"/>
  <c r="O115" i="15" s="1"/>
  <c r="P51" i="15"/>
  <c r="P83" i="15" s="1"/>
  <c r="P115" i="15" s="1"/>
  <c r="Q51" i="15"/>
  <c r="Q83" i="15" s="1"/>
  <c r="Q115" i="15" s="1"/>
  <c r="R51" i="15"/>
  <c r="R83" i="15" s="1"/>
  <c r="R115" i="15" s="1"/>
  <c r="S51" i="15"/>
  <c r="S83" i="15" s="1"/>
  <c r="S115" i="15" s="1"/>
  <c r="T51" i="15"/>
  <c r="T83" i="15" s="1"/>
  <c r="T115" i="15" s="1"/>
  <c r="E52" i="15"/>
  <c r="E84" i="15" s="1"/>
  <c r="E116" i="15" s="1"/>
  <c r="F52" i="15"/>
  <c r="F84" i="15" s="1"/>
  <c r="F116" i="15" s="1"/>
  <c r="G52" i="15"/>
  <c r="G84" i="15" s="1"/>
  <c r="G116" i="15" s="1"/>
  <c r="H52" i="15"/>
  <c r="H84" i="15" s="1"/>
  <c r="H116" i="15" s="1"/>
  <c r="I52" i="15"/>
  <c r="I84" i="15" s="1"/>
  <c r="I116" i="15" s="1"/>
  <c r="J52" i="15"/>
  <c r="J84" i="15" s="1"/>
  <c r="J116" i="15" s="1"/>
  <c r="K52" i="15"/>
  <c r="K84" i="15" s="1"/>
  <c r="K116" i="15" s="1"/>
  <c r="L52" i="15"/>
  <c r="L84" i="15" s="1"/>
  <c r="L116" i="15" s="1"/>
  <c r="M52" i="15"/>
  <c r="M84" i="15" s="1"/>
  <c r="M116" i="15" s="1"/>
  <c r="N52" i="15"/>
  <c r="N84" i="15" s="1"/>
  <c r="N116" i="15" s="1"/>
  <c r="O52" i="15"/>
  <c r="O84" i="15" s="1"/>
  <c r="O116" i="15" s="1"/>
  <c r="P52" i="15"/>
  <c r="P84" i="15" s="1"/>
  <c r="P116" i="15" s="1"/>
  <c r="Q52" i="15"/>
  <c r="Q84" i="15" s="1"/>
  <c r="Q116" i="15" s="1"/>
  <c r="R52" i="15"/>
  <c r="R84" i="15" s="1"/>
  <c r="R116" i="15" s="1"/>
  <c r="S52" i="15"/>
  <c r="S84" i="15" s="1"/>
  <c r="S116" i="15" s="1"/>
  <c r="T52" i="15"/>
  <c r="T84" i="15" s="1"/>
  <c r="T116" i="15" s="1"/>
  <c r="E53" i="15"/>
  <c r="E85" i="15" s="1"/>
  <c r="E117" i="15" s="1"/>
  <c r="F53" i="15"/>
  <c r="F85" i="15" s="1"/>
  <c r="F117" i="15" s="1"/>
  <c r="G53" i="15"/>
  <c r="G85" i="15" s="1"/>
  <c r="G117" i="15" s="1"/>
  <c r="H53" i="15"/>
  <c r="H85" i="15" s="1"/>
  <c r="H117" i="15" s="1"/>
  <c r="I53" i="15"/>
  <c r="I85" i="15" s="1"/>
  <c r="I117" i="15" s="1"/>
  <c r="J53" i="15"/>
  <c r="J85" i="15" s="1"/>
  <c r="J117" i="15" s="1"/>
  <c r="K53" i="15"/>
  <c r="K85" i="15" s="1"/>
  <c r="K117" i="15" s="1"/>
  <c r="L53" i="15"/>
  <c r="L85" i="15" s="1"/>
  <c r="L117" i="15" s="1"/>
  <c r="M53" i="15"/>
  <c r="M85" i="15" s="1"/>
  <c r="M117" i="15" s="1"/>
  <c r="N53" i="15"/>
  <c r="N85" i="15" s="1"/>
  <c r="N117" i="15" s="1"/>
  <c r="O53" i="15"/>
  <c r="O85" i="15" s="1"/>
  <c r="O117" i="15" s="1"/>
  <c r="P53" i="15"/>
  <c r="P85" i="15" s="1"/>
  <c r="P117" i="15" s="1"/>
  <c r="Q53" i="15"/>
  <c r="Q85" i="15" s="1"/>
  <c r="Q117" i="15" s="1"/>
  <c r="R53" i="15"/>
  <c r="R85" i="15" s="1"/>
  <c r="R117" i="15" s="1"/>
  <c r="S53" i="15"/>
  <c r="S85" i="15" s="1"/>
  <c r="S117" i="15" s="1"/>
  <c r="T53" i="15"/>
  <c r="T85" i="15" s="1"/>
  <c r="T117" i="15" s="1"/>
  <c r="E54" i="15"/>
  <c r="E86" i="15" s="1"/>
  <c r="E118" i="15" s="1"/>
  <c r="F54" i="15"/>
  <c r="F86" i="15" s="1"/>
  <c r="F118" i="15" s="1"/>
  <c r="G54" i="15"/>
  <c r="G86" i="15" s="1"/>
  <c r="G118" i="15" s="1"/>
  <c r="H54" i="15"/>
  <c r="H86" i="15" s="1"/>
  <c r="H118" i="15" s="1"/>
  <c r="I54" i="15"/>
  <c r="I86" i="15" s="1"/>
  <c r="I118" i="15" s="1"/>
  <c r="J54" i="15"/>
  <c r="J86" i="15" s="1"/>
  <c r="J118" i="15" s="1"/>
  <c r="K54" i="15"/>
  <c r="K86" i="15" s="1"/>
  <c r="K118" i="15" s="1"/>
  <c r="L54" i="15"/>
  <c r="L86" i="15" s="1"/>
  <c r="L118" i="15" s="1"/>
  <c r="M54" i="15"/>
  <c r="M86" i="15" s="1"/>
  <c r="M118" i="15" s="1"/>
  <c r="N54" i="15"/>
  <c r="N86" i="15" s="1"/>
  <c r="N118" i="15" s="1"/>
  <c r="O54" i="15"/>
  <c r="O86" i="15" s="1"/>
  <c r="O118" i="15" s="1"/>
  <c r="P54" i="15"/>
  <c r="P86" i="15" s="1"/>
  <c r="P118" i="15" s="1"/>
  <c r="Q54" i="15"/>
  <c r="Q86" i="15" s="1"/>
  <c r="Q118" i="15" s="1"/>
  <c r="R54" i="15"/>
  <c r="R86" i="15" s="1"/>
  <c r="R118" i="15" s="1"/>
  <c r="S54" i="15"/>
  <c r="S86" i="15" s="1"/>
  <c r="S118" i="15" s="1"/>
  <c r="T54" i="15"/>
  <c r="T86" i="15" s="1"/>
  <c r="T118" i="15" s="1"/>
  <c r="E55" i="15"/>
  <c r="E87" i="15" s="1"/>
  <c r="E119" i="15" s="1"/>
  <c r="F55" i="15"/>
  <c r="F87" i="15" s="1"/>
  <c r="F119" i="15" s="1"/>
  <c r="G55" i="15"/>
  <c r="G87" i="15" s="1"/>
  <c r="G119" i="15" s="1"/>
  <c r="H55" i="15"/>
  <c r="H87" i="15" s="1"/>
  <c r="H119" i="15" s="1"/>
  <c r="I55" i="15"/>
  <c r="I87" i="15" s="1"/>
  <c r="I119" i="15" s="1"/>
  <c r="J55" i="15"/>
  <c r="J87" i="15" s="1"/>
  <c r="J119" i="15" s="1"/>
  <c r="K55" i="15"/>
  <c r="K87" i="15" s="1"/>
  <c r="K119" i="15" s="1"/>
  <c r="L55" i="15"/>
  <c r="L87" i="15" s="1"/>
  <c r="L119" i="15" s="1"/>
  <c r="M55" i="15"/>
  <c r="M87" i="15" s="1"/>
  <c r="M119" i="15" s="1"/>
  <c r="N55" i="15"/>
  <c r="N87" i="15" s="1"/>
  <c r="N119" i="15" s="1"/>
  <c r="O55" i="15"/>
  <c r="O87" i="15" s="1"/>
  <c r="O119" i="15" s="1"/>
  <c r="P55" i="15"/>
  <c r="P87" i="15" s="1"/>
  <c r="P119" i="15" s="1"/>
  <c r="Q55" i="15"/>
  <c r="Q87" i="15" s="1"/>
  <c r="Q119" i="15" s="1"/>
  <c r="R55" i="15"/>
  <c r="R87" i="15" s="1"/>
  <c r="R119" i="15" s="1"/>
  <c r="S55" i="15"/>
  <c r="S87" i="15" s="1"/>
  <c r="S119" i="15" s="1"/>
  <c r="T55" i="15"/>
  <c r="T87" i="15" s="1"/>
  <c r="T119" i="15" s="1"/>
  <c r="E56" i="15"/>
  <c r="E88" i="15" s="1"/>
  <c r="E120" i="15" s="1"/>
  <c r="F56" i="15"/>
  <c r="F88" i="15" s="1"/>
  <c r="F120" i="15" s="1"/>
  <c r="G56" i="15"/>
  <c r="G88" i="15" s="1"/>
  <c r="G120" i="15" s="1"/>
  <c r="H56" i="15"/>
  <c r="H88" i="15" s="1"/>
  <c r="H120" i="15" s="1"/>
  <c r="I56" i="15"/>
  <c r="I88" i="15" s="1"/>
  <c r="I120" i="15" s="1"/>
  <c r="J56" i="15"/>
  <c r="J88" i="15" s="1"/>
  <c r="J120" i="15" s="1"/>
  <c r="K56" i="15"/>
  <c r="K88" i="15" s="1"/>
  <c r="K120" i="15" s="1"/>
  <c r="L56" i="15"/>
  <c r="L88" i="15" s="1"/>
  <c r="L120" i="15" s="1"/>
  <c r="M56" i="15"/>
  <c r="M88" i="15" s="1"/>
  <c r="M120" i="15" s="1"/>
  <c r="N56" i="15"/>
  <c r="N88" i="15" s="1"/>
  <c r="N120" i="15" s="1"/>
  <c r="O56" i="15"/>
  <c r="O88" i="15" s="1"/>
  <c r="O120" i="15" s="1"/>
  <c r="P56" i="15"/>
  <c r="P88" i="15" s="1"/>
  <c r="P120" i="15" s="1"/>
  <c r="Q56" i="15"/>
  <c r="Q88" i="15" s="1"/>
  <c r="Q120" i="15" s="1"/>
  <c r="R56" i="15"/>
  <c r="R88" i="15" s="1"/>
  <c r="R120" i="15" s="1"/>
  <c r="S56" i="15"/>
  <c r="S88" i="15" s="1"/>
  <c r="S120" i="15" s="1"/>
  <c r="T56" i="15"/>
  <c r="T88" i="15" s="1"/>
  <c r="T120" i="15" s="1"/>
  <c r="E57" i="15"/>
  <c r="E89" i="15" s="1"/>
  <c r="E121" i="15" s="1"/>
  <c r="F57" i="15"/>
  <c r="F89" i="15" s="1"/>
  <c r="F121" i="15" s="1"/>
  <c r="G57" i="15"/>
  <c r="G89" i="15" s="1"/>
  <c r="G121" i="15" s="1"/>
  <c r="H57" i="15"/>
  <c r="H89" i="15" s="1"/>
  <c r="H121" i="15" s="1"/>
  <c r="I57" i="15"/>
  <c r="I89" i="15" s="1"/>
  <c r="I121" i="15" s="1"/>
  <c r="K57" i="15"/>
  <c r="K89" i="15" s="1"/>
  <c r="K121" i="15" s="1"/>
  <c r="L57" i="15"/>
  <c r="L89" i="15" s="1"/>
  <c r="L121" i="15" s="1"/>
  <c r="M57" i="15"/>
  <c r="M89" i="15" s="1"/>
  <c r="M121" i="15" s="1"/>
  <c r="N57" i="15"/>
  <c r="N89" i="15" s="1"/>
  <c r="N121" i="15" s="1"/>
  <c r="O57" i="15"/>
  <c r="O89" i="15" s="1"/>
  <c r="O121" i="15" s="1"/>
  <c r="P57" i="15"/>
  <c r="P89" i="15" s="1"/>
  <c r="P121" i="15" s="1"/>
  <c r="Q57" i="15"/>
  <c r="Q89" i="15" s="1"/>
  <c r="Q121" i="15" s="1"/>
  <c r="R57" i="15"/>
  <c r="R89" i="15" s="1"/>
  <c r="R121" i="15" s="1"/>
  <c r="S57" i="15"/>
  <c r="S89" i="15" s="1"/>
  <c r="S121" i="15" s="1"/>
  <c r="T57" i="15"/>
  <c r="T89" i="15" s="1"/>
  <c r="T121" i="15" s="1"/>
  <c r="E58" i="15"/>
  <c r="E90" i="15" s="1"/>
  <c r="E122" i="15" s="1"/>
  <c r="F58" i="15"/>
  <c r="F90" i="15" s="1"/>
  <c r="F122" i="15" s="1"/>
  <c r="G58" i="15"/>
  <c r="G90" i="15" s="1"/>
  <c r="G122" i="15" s="1"/>
  <c r="H58" i="15"/>
  <c r="H90" i="15" s="1"/>
  <c r="H122" i="15" s="1"/>
  <c r="I58" i="15"/>
  <c r="I90" i="15" s="1"/>
  <c r="I122" i="15" s="1"/>
  <c r="J58" i="15"/>
  <c r="J90" i="15" s="1"/>
  <c r="J122" i="15" s="1"/>
  <c r="K58" i="15"/>
  <c r="K90" i="15" s="1"/>
  <c r="K122" i="15" s="1"/>
  <c r="L58" i="15"/>
  <c r="L90" i="15" s="1"/>
  <c r="L122" i="15" s="1"/>
  <c r="M58" i="15"/>
  <c r="M90" i="15" s="1"/>
  <c r="M122" i="15" s="1"/>
  <c r="N58" i="15"/>
  <c r="N90" i="15" s="1"/>
  <c r="N122" i="15" s="1"/>
  <c r="O58" i="15"/>
  <c r="O90" i="15" s="1"/>
  <c r="O122" i="15" s="1"/>
  <c r="P58" i="15"/>
  <c r="P90" i="15" s="1"/>
  <c r="P122" i="15" s="1"/>
  <c r="Q58" i="15"/>
  <c r="Q90" i="15" s="1"/>
  <c r="Q122" i="15" s="1"/>
  <c r="R58" i="15"/>
  <c r="R90" i="15" s="1"/>
  <c r="R122" i="15" s="1"/>
  <c r="S58" i="15"/>
  <c r="S90" i="15" s="1"/>
  <c r="S122" i="15" s="1"/>
  <c r="T58" i="15"/>
  <c r="T90" i="15" s="1"/>
  <c r="T122" i="15" s="1"/>
  <c r="E59" i="15"/>
  <c r="E91" i="15" s="1"/>
  <c r="E123" i="15" s="1"/>
  <c r="F59" i="15"/>
  <c r="F91" i="15" s="1"/>
  <c r="F123" i="15" s="1"/>
  <c r="G59" i="15"/>
  <c r="G91" i="15" s="1"/>
  <c r="G123" i="15" s="1"/>
  <c r="H59" i="15"/>
  <c r="H91" i="15" s="1"/>
  <c r="H123" i="15" s="1"/>
  <c r="I59" i="15"/>
  <c r="I91" i="15" s="1"/>
  <c r="I123" i="15" s="1"/>
  <c r="J59" i="15"/>
  <c r="J91" i="15" s="1"/>
  <c r="J123" i="15" s="1"/>
  <c r="K59" i="15"/>
  <c r="K91" i="15" s="1"/>
  <c r="K123" i="15" s="1"/>
  <c r="L59" i="15"/>
  <c r="L91" i="15" s="1"/>
  <c r="L123" i="15" s="1"/>
  <c r="M59" i="15"/>
  <c r="M91" i="15" s="1"/>
  <c r="M123" i="15" s="1"/>
  <c r="N59" i="15"/>
  <c r="N91" i="15" s="1"/>
  <c r="N123" i="15" s="1"/>
  <c r="O59" i="15"/>
  <c r="O91" i="15" s="1"/>
  <c r="O123" i="15" s="1"/>
  <c r="P59" i="15"/>
  <c r="P91" i="15" s="1"/>
  <c r="P123" i="15" s="1"/>
  <c r="Q59" i="15"/>
  <c r="Q91" i="15" s="1"/>
  <c r="Q123" i="15" s="1"/>
  <c r="R59" i="15"/>
  <c r="R91" i="15" s="1"/>
  <c r="R123" i="15" s="1"/>
  <c r="S59" i="15"/>
  <c r="S91" i="15" s="1"/>
  <c r="S123" i="15" s="1"/>
  <c r="T59" i="15"/>
  <c r="T91" i="15" s="1"/>
  <c r="T123" i="15" s="1"/>
  <c r="E60" i="15"/>
  <c r="E92" i="15" s="1"/>
  <c r="E124" i="15" s="1"/>
  <c r="F60" i="15"/>
  <c r="F92" i="15" s="1"/>
  <c r="F124" i="15" s="1"/>
  <c r="G60" i="15"/>
  <c r="G92" i="15" s="1"/>
  <c r="G124" i="15" s="1"/>
  <c r="H60" i="15"/>
  <c r="H92" i="15" s="1"/>
  <c r="H124" i="15" s="1"/>
  <c r="I60" i="15"/>
  <c r="I92" i="15" s="1"/>
  <c r="I124" i="15" s="1"/>
  <c r="J60" i="15"/>
  <c r="J92" i="15" s="1"/>
  <c r="J124" i="15" s="1"/>
  <c r="K60" i="15"/>
  <c r="K92" i="15" s="1"/>
  <c r="K124" i="15" s="1"/>
  <c r="L60" i="15"/>
  <c r="L92" i="15" s="1"/>
  <c r="L124" i="15" s="1"/>
  <c r="M60" i="15"/>
  <c r="M92" i="15" s="1"/>
  <c r="M124" i="15" s="1"/>
  <c r="N60" i="15"/>
  <c r="N92" i="15" s="1"/>
  <c r="N124" i="15" s="1"/>
  <c r="O60" i="15"/>
  <c r="O92" i="15" s="1"/>
  <c r="O124" i="15" s="1"/>
  <c r="P60" i="15"/>
  <c r="P92" i="15" s="1"/>
  <c r="P124" i="15" s="1"/>
  <c r="Q60" i="15"/>
  <c r="Q92" i="15" s="1"/>
  <c r="Q124" i="15" s="1"/>
  <c r="R60" i="15"/>
  <c r="R92" i="15" s="1"/>
  <c r="R124" i="15" s="1"/>
  <c r="S60" i="15"/>
  <c r="S92" i="15" s="1"/>
  <c r="S124" i="15" s="1"/>
  <c r="T60" i="15"/>
  <c r="T92" i="15" s="1"/>
  <c r="T124" i="15" s="1"/>
  <c r="E61" i="15"/>
  <c r="E93" i="15" s="1"/>
  <c r="E125" i="15" s="1"/>
  <c r="F61" i="15"/>
  <c r="F93" i="15" s="1"/>
  <c r="F125" i="15" s="1"/>
  <c r="G61" i="15"/>
  <c r="G93" i="15" s="1"/>
  <c r="G125" i="15" s="1"/>
  <c r="H61" i="15"/>
  <c r="H93" i="15" s="1"/>
  <c r="H125" i="15" s="1"/>
  <c r="I61" i="15"/>
  <c r="I93" i="15" s="1"/>
  <c r="I125" i="15" s="1"/>
  <c r="J61" i="15"/>
  <c r="J93" i="15" s="1"/>
  <c r="J125" i="15" s="1"/>
  <c r="K61" i="15"/>
  <c r="K93" i="15" s="1"/>
  <c r="K125" i="15" s="1"/>
  <c r="L61" i="15"/>
  <c r="L93" i="15" s="1"/>
  <c r="L125" i="15" s="1"/>
  <c r="M61" i="15"/>
  <c r="M93" i="15" s="1"/>
  <c r="M125" i="15" s="1"/>
  <c r="N61" i="15"/>
  <c r="N93" i="15" s="1"/>
  <c r="N125" i="15" s="1"/>
  <c r="O61" i="15"/>
  <c r="O93" i="15" s="1"/>
  <c r="O125" i="15" s="1"/>
  <c r="P61" i="15"/>
  <c r="P93" i="15" s="1"/>
  <c r="P125" i="15" s="1"/>
  <c r="Q61" i="15"/>
  <c r="Q93" i="15" s="1"/>
  <c r="Q125" i="15" s="1"/>
  <c r="R61" i="15"/>
  <c r="R93" i="15" s="1"/>
  <c r="R125" i="15" s="1"/>
  <c r="S61" i="15"/>
  <c r="S93" i="15" s="1"/>
  <c r="S125" i="15" s="1"/>
  <c r="T61" i="15"/>
  <c r="T93" i="15" s="1"/>
  <c r="T125" i="15" s="1"/>
  <c r="E62" i="15"/>
  <c r="E94" i="15" s="1"/>
  <c r="E126" i="15" s="1"/>
  <c r="F62" i="15"/>
  <c r="F94" i="15" s="1"/>
  <c r="F126" i="15" s="1"/>
  <c r="G62" i="15"/>
  <c r="G94" i="15" s="1"/>
  <c r="G126" i="15" s="1"/>
  <c r="H62" i="15"/>
  <c r="H94" i="15" s="1"/>
  <c r="H126" i="15" s="1"/>
  <c r="I62" i="15"/>
  <c r="I94" i="15" s="1"/>
  <c r="I126" i="15" s="1"/>
  <c r="J62" i="15"/>
  <c r="J94" i="15" s="1"/>
  <c r="J126" i="15" s="1"/>
  <c r="K62" i="15"/>
  <c r="K94" i="15" s="1"/>
  <c r="K126" i="15" s="1"/>
  <c r="L62" i="15"/>
  <c r="L94" i="15" s="1"/>
  <c r="L126" i="15" s="1"/>
  <c r="M62" i="15"/>
  <c r="M94" i="15" s="1"/>
  <c r="M126" i="15" s="1"/>
  <c r="N62" i="15"/>
  <c r="N94" i="15" s="1"/>
  <c r="N126" i="15" s="1"/>
  <c r="O62" i="15"/>
  <c r="O94" i="15" s="1"/>
  <c r="O126" i="15" s="1"/>
  <c r="P62" i="15"/>
  <c r="P94" i="15" s="1"/>
  <c r="P126" i="15" s="1"/>
  <c r="Q62" i="15"/>
  <c r="Q94" i="15" s="1"/>
  <c r="Q126" i="15" s="1"/>
  <c r="R62" i="15"/>
  <c r="R94" i="15" s="1"/>
  <c r="R126" i="15" s="1"/>
  <c r="S62" i="15"/>
  <c r="S94" i="15" s="1"/>
  <c r="S126" i="15" s="1"/>
  <c r="T62" i="15"/>
  <c r="T94" i="15" s="1"/>
  <c r="T126" i="15" s="1"/>
  <c r="E63" i="15"/>
  <c r="E95" i="15" s="1"/>
  <c r="F63" i="15"/>
  <c r="F95" i="15" s="1"/>
  <c r="G63" i="15"/>
  <c r="G95" i="15" s="1"/>
  <c r="H63" i="15"/>
  <c r="H95" i="15" s="1"/>
  <c r="I63" i="15"/>
  <c r="I95" i="15" s="1"/>
  <c r="J63" i="15"/>
  <c r="J95" i="15" s="1"/>
  <c r="K63" i="15"/>
  <c r="K95" i="15" s="1"/>
  <c r="L63" i="15"/>
  <c r="L95" i="15" s="1"/>
  <c r="M63" i="15"/>
  <c r="M95" i="15" s="1"/>
  <c r="N63" i="15"/>
  <c r="N95" i="15" s="1"/>
  <c r="O63" i="15"/>
  <c r="O95" i="15" s="1"/>
  <c r="P63" i="15"/>
  <c r="P95" i="15" s="1"/>
  <c r="Q63" i="15"/>
  <c r="Q95" i="15" s="1"/>
  <c r="R63" i="15"/>
  <c r="R95" i="15" s="1"/>
  <c r="S63" i="15"/>
  <c r="S95" i="15" s="1"/>
  <c r="T63" i="15"/>
  <c r="T95" i="15" s="1"/>
  <c r="E64" i="15"/>
  <c r="E96" i="15" s="1"/>
  <c r="F64" i="15"/>
  <c r="F96" i="15" s="1"/>
  <c r="G64" i="15"/>
  <c r="G96" i="15" s="1"/>
  <c r="H64" i="15"/>
  <c r="H96" i="15" s="1"/>
  <c r="I64" i="15"/>
  <c r="I96" i="15" s="1"/>
  <c r="J64" i="15"/>
  <c r="J96" i="15" s="1"/>
  <c r="K64" i="15"/>
  <c r="K96" i="15" s="1"/>
  <c r="L64" i="15"/>
  <c r="L96" i="15" s="1"/>
  <c r="M64" i="15"/>
  <c r="M96" i="15" s="1"/>
  <c r="N64" i="15"/>
  <c r="N96" i="15" s="1"/>
  <c r="O64" i="15"/>
  <c r="O96" i="15" s="1"/>
  <c r="P64" i="15"/>
  <c r="P96" i="15" s="1"/>
  <c r="Q64" i="15"/>
  <c r="Q96" i="15" s="1"/>
  <c r="R64" i="15"/>
  <c r="R96" i="15" s="1"/>
  <c r="S64" i="15"/>
  <c r="S96" i="15" s="1"/>
  <c r="T64" i="15"/>
  <c r="T96" i="15" s="1"/>
  <c r="E65" i="15"/>
  <c r="E97" i="15" s="1"/>
  <c r="F65" i="15"/>
  <c r="F97" i="15" s="1"/>
  <c r="G65" i="15"/>
  <c r="G97" i="15" s="1"/>
  <c r="H65" i="15"/>
  <c r="H97" i="15" s="1"/>
  <c r="I65" i="15"/>
  <c r="I97" i="15" s="1"/>
  <c r="J65" i="15"/>
  <c r="J97" i="15" s="1"/>
  <c r="K65" i="15"/>
  <c r="K97" i="15" s="1"/>
  <c r="L65" i="15"/>
  <c r="L97" i="15" s="1"/>
  <c r="M65" i="15"/>
  <c r="N65" i="15"/>
  <c r="O65" i="15"/>
  <c r="P65" i="15"/>
  <c r="Q65" i="15"/>
  <c r="R65" i="15"/>
  <c r="S65" i="15"/>
  <c r="T65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S69" i="15"/>
  <c r="T69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E72" i="15"/>
  <c r="F72" i="15"/>
  <c r="H72" i="15"/>
  <c r="K72" i="15"/>
  <c r="L72" i="15"/>
  <c r="M72" i="15"/>
  <c r="N72" i="15"/>
  <c r="O72" i="15"/>
  <c r="Q72" i="15"/>
  <c r="R72" i="15"/>
  <c r="T72" i="15"/>
  <c r="E73" i="15"/>
  <c r="F73" i="15"/>
  <c r="M97" i="15"/>
  <c r="N97" i="15"/>
  <c r="O97" i="15"/>
  <c r="P97" i="15"/>
  <c r="Q97" i="15"/>
  <c r="R97" i="15"/>
  <c r="S97" i="15"/>
  <c r="T97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R98" i="15"/>
  <c r="S98" i="15"/>
  <c r="T98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R99" i="15"/>
  <c r="S99" i="15"/>
  <c r="T99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R100" i="15"/>
  <c r="S100" i="15"/>
  <c r="T100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R101" i="15"/>
  <c r="S101" i="15"/>
  <c r="T101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R102" i="15"/>
  <c r="S102" i="15"/>
  <c r="T102" i="15"/>
  <c r="E104" i="15"/>
  <c r="F104" i="15"/>
  <c r="H104" i="15"/>
  <c r="K104" i="15"/>
  <c r="L104" i="15"/>
  <c r="M104" i="15"/>
  <c r="N104" i="15"/>
  <c r="O104" i="15"/>
  <c r="Q104" i="15"/>
  <c r="R104" i="15"/>
  <c r="T104" i="15"/>
  <c r="E105" i="15"/>
  <c r="F105" i="15"/>
  <c r="C24" i="15"/>
  <c r="C25" i="15"/>
  <c r="C12" i="25"/>
  <c r="C11" i="25"/>
  <c r="C10" i="25"/>
  <c r="C9" i="25"/>
  <c r="C8" i="25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4" i="20"/>
  <c r="C13" i="20"/>
  <c r="C12" i="20"/>
  <c r="C11" i="20"/>
  <c r="C10" i="20"/>
  <c r="C9" i="20"/>
  <c r="C8" i="20"/>
  <c r="C8" i="16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G96" i="22" l="1"/>
  <c r="P96" i="22"/>
  <c r="M96" i="22"/>
  <c r="H96" i="22"/>
  <c r="K96" i="22"/>
  <c r="P95" i="22"/>
  <c r="M95" i="22"/>
  <c r="K95" i="22"/>
  <c r="F95" i="22"/>
  <c r="F94" i="22"/>
  <c r="F157" i="22" s="1"/>
  <c r="P94" i="22"/>
  <c r="P157" i="22" s="1"/>
  <c r="M94" i="22"/>
  <c r="M157" i="22" s="1"/>
  <c r="K94" i="22"/>
  <c r="K157" i="22" s="1"/>
  <c r="H94" i="22"/>
  <c r="H157" i="22" s="1"/>
  <c r="P93" i="22"/>
  <c r="P156" i="22" s="1"/>
  <c r="K93" i="22"/>
  <c r="K156" i="22" s="1"/>
  <c r="E93" i="22"/>
  <c r="E156" i="22" s="1"/>
  <c r="P92" i="22"/>
  <c r="P155" i="22" s="1"/>
  <c r="M92" i="22"/>
  <c r="M155" i="22" s="1"/>
  <c r="K92" i="22"/>
  <c r="K155" i="22" s="1"/>
  <c r="H92" i="22"/>
  <c r="H155" i="22" s="1"/>
  <c r="F92" i="22"/>
  <c r="F155" i="22" s="1"/>
  <c r="P91" i="22"/>
  <c r="P154" i="22" s="1"/>
  <c r="M91" i="22"/>
  <c r="M154" i="22" s="1"/>
  <c r="F91" i="22"/>
  <c r="F154" i="22" s="1"/>
  <c r="K91" i="22"/>
  <c r="K154" i="22" s="1"/>
  <c r="K89" i="22"/>
  <c r="K152" i="22" s="1"/>
  <c r="I89" i="22"/>
  <c r="I152" i="22" s="1"/>
  <c r="M89" i="22"/>
  <c r="M152" i="22" s="1"/>
  <c r="P89" i="22"/>
  <c r="P152" i="22" s="1"/>
  <c r="G89" i="22"/>
  <c r="G152" i="22" s="1"/>
  <c r="H88" i="22"/>
  <c r="H151" i="22" s="1"/>
  <c r="L88" i="22"/>
  <c r="L151" i="22" s="1"/>
  <c r="P88" i="22"/>
  <c r="P151" i="22" s="1"/>
  <c r="K88" i="22"/>
  <c r="K151" i="22" s="1"/>
  <c r="G88" i="22"/>
  <c r="G151" i="22" s="1"/>
  <c r="F86" i="22"/>
  <c r="F149" i="22" s="1"/>
  <c r="M86" i="22"/>
  <c r="M149" i="22" s="1"/>
  <c r="K86" i="22"/>
  <c r="K149" i="22" s="1"/>
  <c r="P86" i="22"/>
  <c r="P149" i="22" s="1"/>
  <c r="F84" i="22"/>
  <c r="F147" i="22" s="1"/>
  <c r="K84" i="22"/>
  <c r="K147" i="22" s="1"/>
  <c r="M84" i="22"/>
  <c r="M147" i="22" s="1"/>
  <c r="P84" i="22"/>
  <c r="P147" i="22" s="1"/>
  <c r="G83" i="22"/>
  <c r="G146" i="22" s="1"/>
  <c r="M83" i="22"/>
  <c r="M146" i="22" s="1"/>
  <c r="P83" i="22"/>
  <c r="P146" i="22" s="1"/>
  <c r="H83" i="22"/>
  <c r="H146" i="22" s="1"/>
  <c r="K83" i="22"/>
  <c r="K146" i="22" s="1"/>
  <c r="M82" i="22"/>
  <c r="M145" i="22" s="1"/>
  <c r="P82" i="22"/>
  <c r="P145" i="22" s="1"/>
  <c r="F82" i="22"/>
  <c r="F145" i="22" s="1"/>
  <c r="K82" i="22"/>
  <c r="K145" i="22" s="1"/>
  <c r="G81" i="22"/>
  <c r="G144" i="22" s="1"/>
  <c r="M81" i="22"/>
  <c r="M144" i="22" s="1"/>
  <c r="K81" i="22"/>
  <c r="K144" i="22" s="1"/>
  <c r="P81" i="22"/>
  <c r="P144" i="22" s="1"/>
  <c r="M80" i="22"/>
  <c r="M143" i="22" s="1"/>
  <c r="K80" i="22"/>
  <c r="K143" i="22" s="1"/>
  <c r="G80" i="22"/>
  <c r="G143" i="22" s="1"/>
  <c r="P80" i="22"/>
  <c r="P143" i="22" s="1"/>
  <c r="P78" i="22"/>
  <c r="P141" i="22" s="1"/>
  <c r="K78" i="22"/>
  <c r="K141" i="22" s="1"/>
  <c r="F78" i="22"/>
  <c r="F141" i="22" s="1"/>
  <c r="M78" i="22"/>
  <c r="M141" i="22" s="1"/>
  <c r="P76" i="22"/>
  <c r="P139" i="22" s="1"/>
  <c r="M76" i="22"/>
  <c r="M139" i="22" s="1"/>
  <c r="H76" i="22"/>
  <c r="H139" i="22" s="1"/>
  <c r="F76" i="22"/>
  <c r="F139" i="22" s="1"/>
  <c r="J76" i="22"/>
  <c r="J139" i="22" s="1"/>
  <c r="M75" i="22"/>
  <c r="M138" i="22" s="1"/>
  <c r="J75" i="22"/>
  <c r="J138" i="22" s="1"/>
  <c r="P75" i="22"/>
  <c r="P138" i="22" s="1"/>
  <c r="F75" i="22"/>
  <c r="F138" i="22" s="1"/>
  <c r="E74" i="22"/>
  <c r="E137" i="22" s="1"/>
  <c r="P74" i="22"/>
  <c r="P137" i="22" s="1"/>
  <c r="M74" i="22"/>
  <c r="M137" i="22" s="1"/>
  <c r="J74" i="22"/>
  <c r="J137" i="22" s="1"/>
  <c r="M73" i="22"/>
  <c r="M136" i="22" s="1"/>
  <c r="P73" i="22"/>
  <c r="P136" i="22" s="1"/>
  <c r="J73" i="22"/>
  <c r="J136" i="22" s="1"/>
  <c r="F73" i="22"/>
  <c r="F136" i="22" s="1"/>
  <c r="H73" i="22"/>
  <c r="H136" i="22" s="1"/>
  <c r="E72" i="22"/>
  <c r="E135" i="22" s="1"/>
  <c r="M72" i="22"/>
  <c r="M135" i="22" s="1"/>
  <c r="J72" i="22"/>
  <c r="J135" i="22" s="1"/>
  <c r="P72" i="22"/>
  <c r="P135" i="22" s="1"/>
  <c r="H71" i="22"/>
  <c r="H134" i="22" s="1"/>
  <c r="L71" i="22"/>
  <c r="L134" i="22" s="1"/>
  <c r="F71" i="22"/>
  <c r="F134" i="22" s="1"/>
  <c r="J71" i="22"/>
  <c r="J134" i="22" s="1"/>
  <c r="P71" i="22"/>
  <c r="P134" i="22" s="1"/>
  <c r="E151" i="20"/>
  <c r="E72" i="19"/>
  <c r="E104" i="19" s="1"/>
  <c r="E127" i="19"/>
  <c r="F44" i="25"/>
  <c r="F76" i="25" s="1"/>
  <c r="F108" i="25" s="1"/>
  <c r="P44" i="25"/>
  <c r="P76" i="25" s="1"/>
  <c r="P108" i="25" s="1"/>
  <c r="S44" i="25"/>
  <c r="S76" i="25" s="1"/>
  <c r="S108" i="25" s="1"/>
  <c r="K44" i="25"/>
  <c r="K76" i="25" s="1"/>
  <c r="K108" i="25" s="1"/>
  <c r="M44" i="25"/>
  <c r="M76" i="25" s="1"/>
  <c r="M108" i="25" s="1"/>
  <c r="H44" i="25"/>
  <c r="H76" i="25" s="1"/>
  <c r="H108" i="25" s="1"/>
  <c r="S43" i="25"/>
  <c r="S75" i="25" s="1"/>
  <c r="S107" i="25" s="1"/>
  <c r="E43" i="25"/>
  <c r="E75" i="25" s="1"/>
  <c r="E107" i="25" s="1"/>
  <c r="K43" i="25"/>
  <c r="K75" i="25" s="1"/>
  <c r="K107" i="25" s="1"/>
  <c r="M43" i="25"/>
  <c r="M75" i="25" s="1"/>
  <c r="M107" i="25" s="1"/>
  <c r="P43" i="25"/>
  <c r="P75" i="25" s="1"/>
  <c r="P107" i="25" s="1"/>
  <c r="F42" i="25"/>
  <c r="F74" i="25" s="1"/>
  <c r="F106" i="25" s="1"/>
  <c r="H42" i="25"/>
  <c r="H74" i="25" s="1"/>
  <c r="H106" i="25" s="1"/>
  <c r="K42" i="25"/>
  <c r="K74" i="25" s="1"/>
  <c r="K106" i="25" s="1"/>
  <c r="M42" i="25"/>
  <c r="M74" i="25" s="1"/>
  <c r="M106" i="25" s="1"/>
  <c r="P42" i="25"/>
  <c r="P74" i="25" s="1"/>
  <c r="P106" i="25" s="1"/>
  <c r="S42" i="25"/>
  <c r="S74" i="25" s="1"/>
  <c r="S106" i="25" s="1"/>
  <c r="K41" i="25"/>
  <c r="K73" i="25" s="1"/>
  <c r="K105" i="25" s="1"/>
  <c r="L41" i="25"/>
  <c r="L73" i="25" s="1"/>
  <c r="L105" i="25" s="1"/>
  <c r="P41" i="25"/>
  <c r="P73" i="25" s="1"/>
  <c r="P105" i="25" s="1"/>
  <c r="S41" i="25"/>
  <c r="S73" i="25" s="1"/>
  <c r="S105" i="25" s="1"/>
  <c r="E41" i="25"/>
  <c r="E73" i="25" s="1"/>
  <c r="E105" i="25" s="1"/>
  <c r="S40" i="25"/>
  <c r="S72" i="25" s="1"/>
  <c r="S104" i="25" s="1"/>
  <c r="F40" i="25"/>
  <c r="F72" i="25" s="1"/>
  <c r="F104" i="25" s="1"/>
  <c r="K40" i="25"/>
  <c r="K72" i="25" s="1"/>
  <c r="K104" i="25" s="1"/>
  <c r="M40" i="25"/>
  <c r="M72" i="25" s="1"/>
  <c r="M104" i="25" s="1"/>
  <c r="P40" i="25"/>
  <c r="P72" i="25" s="1"/>
  <c r="P104" i="25" s="1"/>
  <c r="P57" i="23"/>
  <c r="P89" i="23" s="1"/>
  <c r="P121" i="23" s="1"/>
  <c r="K57" i="23"/>
  <c r="K89" i="23" s="1"/>
  <c r="K121" i="23" s="1"/>
  <c r="F57" i="23"/>
  <c r="F89" i="23" s="1"/>
  <c r="F121" i="23" s="1"/>
  <c r="H57" i="23"/>
  <c r="H89" i="23" s="1"/>
  <c r="H121" i="23" s="1"/>
  <c r="S57" i="23"/>
  <c r="S89" i="23" s="1"/>
  <c r="S121" i="23" s="1"/>
  <c r="M57" i="23"/>
  <c r="M89" i="23" s="1"/>
  <c r="M121" i="23" s="1"/>
  <c r="F56" i="23"/>
  <c r="F88" i="23" s="1"/>
  <c r="F120" i="23" s="1"/>
  <c r="K56" i="23"/>
  <c r="K88" i="23" s="1"/>
  <c r="K120" i="23" s="1"/>
  <c r="M56" i="23"/>
  <c r="M88" i="23" s="1"/>
  <c r="M120" i="23" s="1"/>
  <c r="S56" i="23"/>
  <c r="S88" i="23" s="1"/>
  <c r="S120" i="23" s="1"/>
  <c r="P56" i="23"/>
  <c r="P88" i="23" s="1"/>
  <c r="P120" i="23" s="1"/>
  <c r="S55" i="23"/>
  <c r="S87" i="23" s="1"/>
  <c r="S119" i="23" s="1"/>
  <c r="P55" i="23"/>
  <c r="P87" i="23" s="1"/>
  <c r="P119" i="23" s="1"/>
  <c r="M55" i="23"/>
  <c r="M87" i="23" s="1"/>
  <c r="M119" i="23" s="1"/>
  <c r="K55" i="23"/>
  <c r="K87" i="23" s="1"/>
  <c r="K119" i="23" s="1"/>
  <c r="F55" i="23"/>
  <c r="F87" i="23" s="1"/>
  <c r="F119" i="23" s="1"/>
  <c r="S54" i="23"/>
  <c r="S86" i="23" s="1"/>
  <c r="S118" i="23" s="1"/>
  <c r="P54" i="23"/>
  <c r="P86" i="23" s="1"/>
  <c r="P118" i="23" s="1"/>
  <c r="M54" i="23"/>
  <c r="M86" i="23" s="1"/>
  <c r="M118" i="23" s="1"/>
  <c r="K54" i="23"/>
  <c r="K86" i="23" s="1"/>
  <c r="K118" i="23" s="1"/>
  <c r="H54" i="23"/>
  <c r="H86" i="23" s="1"/>
  <c r="H118" i="23" s="1"/>
  <c r="F54" i="23"/>
  <c r="F86" i="23" s="1"/>
  <c r="F118" i="23" s="1"/>
  <c r="S53" i="23"/>
  <c r="S85" i="23" s="1"/>
  <c r="S117" i="23" s="1"/>
  <c r="E53" i="23"/>
  <c r="E85" i="23" s="1"/>
  <c r="E117" i="23" s="1"/>
  <c r="K53" i="23"/>
  <c r="K85" i="23" s="1"/>
  <c r="K117" i="23" s="1"/>
  <c r="M53" i="23"/>
  <c r="M85" i="23" s="1"/>
  <c r="M117" i="23" s="1"/>
  <c r="P53" i="23"/>
  <c r="P85" i="23" s="1"/>
  <c r="P117" i="23" s="1"/>
  <c r="S52" i="23"/>
  <c r="S84" i="23" s="1"/>
  <c r="S116" i="23" s="1"/>
  <c r="M52" i="23"/>
  <c r="M84" i="23" s="1"/>
  <c r="M116" i="23" s="1"/>
  <c r="K52" i="23"/>
  <c r="K84" i="23" s="1"/>
  <c r="K116" i="23" s="1"/>
  <c r="F52" i="23"/>
  <c r="F84" i="23" s="1"/>
  <c r="F116" i="23" s="1"/>
  <c r="P52" i="23"/>
  <c r="P84" i="23" s="1"/>
  <c r="P116" i="23" s="1"/>
  <c r="S51" i="23"/>
  <c r="S83" i="23" s="1"/>
  <c r="S115" i="23" s="1"/>
  <c r="P51" i="23"/>
  <c r="P83" i="23" s="1"/>
  <c r="P115" i="23" s="1"/>
  <c r="M51" i="23"/>
  <c r="M83" i="23" s="1"/>
  <c r="M115" i="23" s="1"/>
  <c r="K51" i="23"/>
  <c r="K83" i="23" s="1"/>
  <c r="K115" i="23" s="1"/>
  <c r="H51" i="23"/>
  <c r="H83" i="23" s="1"/>
  <c r="H115" i="23" s="1"/>
  <c r="F51" i="23"/>
  <c r="F83" i="23" s="1"/>
  <c r="F115" i="23" s="1"/>
  <c r="H50" i="23"/>
  <c r="H82" i="23" s="1"/>
  <c r="H114" i="23" s="1"/>
  <c r="P50" i="23"/>
  <c r="P82" i="23" s="1"/>
  <c r="P114" i="23" s="1"/>
  <c r="S50" i="23"/>
  <c r="S82" i="23" s="1"/>
  <c r="S114" i="23" s="1"/>
  <c r="M50" i="23"/>
  <c r="M82" i="23" s="1"/>
  <c r="M114" i="23" s="1"/>
  <c r="K50" i="23"/>
  <c r="K82" i="23" s="1"/>
  <c r="K114" i="23" s="1"/>
  <c r="H111" i="20"/>
  <c r="F111" i="20"/>
  <c r="K111" i="20"/>
  <c r="H110" i="20"/>
  <c r="F110" i="20"/>
  <c r="K110" i="20"/>
  <c r="K109" i="20"/>
  <c r="E109" i="20"/>
  <c r="K108" i="20"/>
  <c r="H108" i="20"/>
  <c r="K107" i="20"/>
  <c r="H107" i="20"/>
  <c r="G107" i="20"/>
  <c r="K106" i="20"/>
  <c r="F106" i="20"/>
  <c r="H106" i="20"/>
  <c r="H105" i="20"/>
  <c r="F105" i="20"/>
  <c r="K105" i="20"/>
  <c r="K104" i="20"/>
  <c r="H104" i="20"/>
  <c r="F104" i="20"/>
  <c r="K103" i="20"/>
  <c r="H103" i="20"/>
  <c r="F103" i="20"/>
  <c r="K102" i="20"/>
  <c r="E102" i="20"/>
  <c r="G101" i="20"/>
  <c r="F101" i="20"/>
  <c r="K101" i="20"/>
  <c r="K100" i="20"/>
  <c r="H100" i="20"/>
  <c r="F100" i="20"/>
  <c r="F99" i="20"/>
  <c r="K99" i="20"/>
  <c r="H99" i="20"/>
  <c r="S98" i="20"/>
  <c r="M98" i="20"/>
  <c r="K98" i="20"/>
  <c r="I98" i="20"/>
  <c r="G98" i="20"/>
  <c r="P98" i="20"/>
  <c r="G97" i="20"/>
  <c r="I97" i="20"/>
  <c r="K97" i="20"/>
  <c r="M97" i="20"/>
  <c r="P97" i="20"/>
  <c r="S97" i="20"/>
  <c r="F96" i="20"/>
  <c r="H96" i="20"/>
  <c r="K96" i="20"/>
  <c r="M96" i="20"/>
  <c r="S96" i="20"/>
  <c r="P96" i="20"/>
  <c r="S95" i="20"/>
  <c r="P95" i="20"/>
  <c r="M95" i="20"/>
  <c r="K95" i="20"/>
  <c r="H95" i="20"/>
  <c r="F95" i="20"/>
  <c r="G94" i="20"/>
  <c r="G166" i="20" s="1"/>
  <c r="S94" i="20"/>
  <c r="S166" i="20" s="1"/>
  <c r="K94" i="20"/>
  <c r="K166" i="20" s="1"/>
  <c r="P94" i="20"/>
  <c r="P166" i="20" s="1"/>
  <c r="M94" i="20"/>
  <c r="M166" i="20" s="1"/>
  <c r="I94" i="20"/>
  <c r="I166" i="20" s="1"/>
  <c r="S93" i="20"/>
  <c r="S165" i="20" s="1"/>
  <c r="E93" i="20"/>
  <c r="E165" i="20" s="1"/>
  <c r="K93" i="20"/>
  <c r="K165" i="20" s="1"/>
  <c r="M93" i="20"/>
  <c r="M165" i="20" s="1"/>
  <c r="P93" i="20"/>
  <c r="P165" i="20" s="1"/>
  <c r="S92" i="20"/>
  <c r="S164" i="20" s="1"/>
  <c r="P92" i="20"/>
  <c r="P164" i="20" s="1"/>
  <c r="I92" i="20"/>
  <c r="I164" i="20" s="1"/>
  <c r="M92" i="20"/>
  <c r="M164" i="20" s="1"/>
  <c r="K92" i="20"/>
  <c r="K164" i="20" s="1"/>
  <c r="G92" i="20"/>
  <c r="G164" i="20" s="1"/>
  <c r="F91" i="20"/>
  <c r="F163" i="20" s="1"/>
  <c r="S91" i="20"/>
  <c r="S163" i="20" s="1"/>
  <c r="P91" i="20"/>
  <c r="P163" i="20" s="1"/>
  <c r="M91" i="20"/>
  <c r="M163" i="20" s="1"/>
  <c r="K91" i="20"/>
  <c r="K163" i="20" s="1"/>
  <c r="H91" i="20"/>
  <c r="H163" i="20" s="1"/>
  <c r="S90" i="20"/>
  <c r="S162" i="20" s="1"/>
  <c r="P90" i="20"/>
  <c r="P162" i="20" s="1"/>
  <c r="M90" i="20"/>
  <c r="M162" i="20" s="1"/>
  <c r="K90" i="20"/>
  <c r="K162" i="20" s="1"/>
  <c r="F90" i="20"/>
  <c r="F162" i="20" s="1"/>
  <c r="H90" i="20"/>
  <c r="H162" i="20" s="1"/>
  <c r="F89" i="20"/>
  <c r="F161" i="20" s="1"/>
  <c r="S89" i="20"/>
  <c r="S161" i="20" s="1"/>
  <c r="P89" i="20"/>
  <c r="P161" i="20" s="1"/>
  <c r="M89" i="20"/>
  <c r="M161" i="20" s="1"/>
  <c r="K89" i="20"/>
  <c r="K161" i="20" s="1"/>
  <c r="H89" i="20"/>
  <c r="H161" i="20" s="1"/>
  <c r="S88" i="20"/>
  <c r="S160" i="20" s="1"/>
  <c r="P88" i="20"/>
  <c r="P160" i="20" s="1"/>
  <c r="M88" i="20"/>
  <c r="M160" i="20" s="1"/>
  <c r="K88" i="20"/>
  <c r="K160" i="20" s="1"/>
  <c r="E88" i="20"/>
  <c r="E160" i="20" s="1"/>
  <c r="M86" i="20"/>
  <c r="M158" i="20" s="1"/>
  <c r="S86" i="20"/>
  <c r="S158" i="20" s="1"/>
  <c r="P86" i="20"/>
  <c r="P158" i="20" s="1"/>
  <c r="K86" i="20"/>
  <c r="K158" i="20" s="1"/>
  <c r="E86" i="20"/>
  <c r="E158" i="20" s="1"/>
  <c r="K85" i="20"/>
  <c r="K157" i="20" s="1"/>
  <c r="H85" i="20"/>
  <c r="H157" i="20" s="1"/>
  <c r="S85" i="20"/>
  <c r="S157" i="20" s="1"/>
  <c r="P85" i="20"/>
  <c r="P157" i="20" s="1"/>
  <c r="M85" i="20"/>
  <c r="M157" i="20" s="1"/>
  <c r="M84" i="20"/>
  <c r="M156" i="20" s="1"/>
  <c r="K84" i="20"/>
  <c r="K156" i="20" s="1"/>
  <c r="I84" i="20"/>
  <c r="I156" i="20" s="1"/>
  <c r="P84" i="20"/>
  <c r="P156" i="20" s="1"/>
  <c r="S84" i="20"/>
  <c r="S156" i="20" s="1"/>
  <c r="P83" i="20"/>
  <c r="P155" i="20" s="1"/>
  <c r="S83" i="20"/>
  <c r="S155" i="20" s="1"/>
  <c r="M83" i="20"/>
  <c r="M155" i="20" s="1"/>
  <c r="K83" i="20"/>
  <c r="K155" i="20" s="1"/>
  <c r="H83" i="20"/>
  <c r="H155" i="20" s="1"/>
  <c r="K82" i="20"/>
  <c r="K154" i="20" s="1"/>
  <c r="S82" i="20"/>
  <c r="S154" i="20" s="1"/>
  <c r="P82" i="20"/>
  <c r="P154" i="20" s="1"/>
  <c r="M82" i="20"/>
  <c r="M154" i="20" s="1"/>
  <c r="E82" i="20"/>
  <c r="E154" i="20" s="1"/>
  <c r="S81" i="20"/>
  <c r="S153" i="20" s="1"/>
  <c r="P81" i="20"/>
  <c r="P153" i="20" s="1"/>
  <c r="M81" i="20"/>
  <c r="M153" i="20" s="1"/>
  <c r="K81" i="20"/>
  <c r="K153" i="20" s="1"/>
  <c r="E81" i="20"/>
  <c r="S80" i="20"/>
  <c r="S152" i="20" s="1"/>
  <c r="F80" i="20"/>
  <c r="F152" i="20" s="1"/>
  <c r="P80" i="20"/>
  <c r="P152" i="20" s="1"/>
  <c r="N80" i="20"/>
  <c r="N152" i="20" s="1"/>
  <c r="K80" i="20"/>
  <c r="K152" i="20" s="1"/>
  <c r="M80" i="20"/>
  <c r="M152" i="20" s="1"/>
  <c r="P40" i="16"/>
  <c r="P72" i="16" s="1"/>
  <c r="P104" i="16" s="1"/>
  <c r="S40" i="16"/>
  <c r="S72" i="16" s="1"/>
  <c r="S104" i="16" s="1"/>
  <c r="J40" i="16"/>
  <c r="J72" i="16" s="1"/>
  <c r="J104" i="16" s="1"/>
  <c r="M40" i="16"/>
  <c r="M72" i="16" s="1"/>
  <c r="M104" i="16" s="1"/>
  <c r="G40" i="16"/>
  <c r="G72" i="16" s="1"/>
  <c r="G104" i="16" s="1"/>
  <c r="G41" i="15"/>
  <c r="G73" i="15" s="1"/>
  <c r="G105" i="15" s="1"/>
  <c r="H41" i="15"/>
  <c r="H73" i="15" s="1"/>
  <c r="H105" i="15" s="1"/>
  <c r="J41" i="15"/>
  <c r="J73" i="15" s="1"/>
  <c r="J105" i="15" s="1"/>
  <c r="I40" i="15"/>
  <c r="I72" i="15" s="1"/>
  <c r="I104" i="15" s="1"/>
  <c r="J40" i="15"/>
  <c r="J72" i="15" s="1"/>
  <c r="J104" i="15" s="1"/>
  <c r="P40" i="15"/>
  <c r="P72" i="15" s="1"/>
  <c r="P104" i="15" s="1"/>
  <c r="S40" i="15"/>
  <c r="S72" i="15" s="1"/>
  <c r="S104" i="15" s="1"/>
  <c r="G40" i="15"/>
  <c r="G72" i="15" s="1"/>
  <c r="G104" i="15" s="1"/>
  <c r="H40" i="24"/>
  <c r="H72" i="24" s="1"/>
  <c r="H104" i="24" s="1"/>
  <c r="O40" i="24"/>
  <c r="O72" i="24" s="1"/>
  <c r="O104" i="24" s="1"/>
  <c r="K40" i="24"/>
  <c r="K72" i="24" s="1"/>
  <c r="K104" i="24" s="1"/>
  <c r="R40" i="24"/>
  <c r="R72" i="24" s="1"/>
  <c r="R104" i="24" s="1"/>
  <c r="S80" i="22"/>
  <c r="S143" i="22" s="1"/>
  <c r="S89" i="22"/>
  <c r="S152" i="22" s="1"/>
  <c r="S98" i="22"/>
  <c r="S111" i="22"/>
  <c r="S77" i="22"/>
  <c r="S140" i="22" s="1"/>
  <c r="S86" i="22"/>
  <c r="S149" i="22" s="1"/>
  <c r="S90" i="22"/>
  <c r="S153" i="22" s="1"/>
  <c r="S99" i="22"/>
  <c r="S108" i="22"/>
  <c r="S76" i="22"/>
  <c r="S139" i="22" s="1"/>
  <c r="S85" i="22"/>
  <c r="S148" i="22" s="1"/>
  <c r="S94" i="22"/>
  <c r="S157" i="22" s="1"/>
  <c r="S102" i="22"/>
  <c r="S107" i="22"/>
  <c r="S81" i="22"/>
  <c r="S144" i="22" s="1"/>
  <c r="S95" i="22"/>
  <c r="S103" i="22"/>
  <c r="S112" i="22"/>
  <c r="S78" i="22"/>
  <c r="S141" i="22" s="1"/>
  <c r="S82" i="22"/>
  <c r="S145" i="22" s="1"/>
  <c r="S87" i="22"/>
  <c r="S150" i="22" s="1"/>
  <c r="S91" i="22"/>
  <c r="S154" i="22" s="1"/>
  <c r="S96" i="22"/>
  <c r="S100" i="22"/>
  <c r="S105" i="22"/>
  <c r="S109" i="22"/>
  <c r="S113" i="22"/>
  <c r="S79" i="22"/>
  <c r="S142" i="22" s="1"/>
  <c r="S83" i="22"/>
  <c r="S146" i="22" s="1"/>
  <c r="S88" i="22"/>
  <c r="S151" i="22" s="1"/>
  <c r="S93" i="22"/>
  <c r="S156" i="22" s="1"/>
  <c r="S97" i="22"/>
  <c r="S101" i="22"/>
  <c r="S106" i="22"/>
  <c r="S110" i="22"/>
  <c r="C21" i="26"/>
  <c r="C20" i="26"/>
  <c r="C16" i="26"/>
  <c r="C17" i="26"/>
  <c r="C15" i="26"/>
  <c r="C9" i="26"/>
  <c r="C10" i="26"/>
  <c r="C11" i="26"/>
  <c r="C12" i="26"/>
  <c r="C8" i="26"/>
  <c r="C19" i="1"/>
  <c r="C18" i="1"/>
  <c r="C17" i="1"/>
  <c r="C16" i="1"/>
  <c r="C15" i="1"/>
  <c r="C14" i="1"/>
  <c r="C13" i="1"/>
  <c r="C12" i="1"/>
  <c r="C11" i="1"/>
  <c r="C10" i="1"/>
  <c r="C9" i="1"/>
  <c r="C8" i="1"/>
  <c r="E153" i="20" l="1"/>
  <c r="E167" i="20"/>
  <c r="P51" i="1"/>
  <c r="P83" i="1" s="1"/>
  <c r="P115" i="1" s="1"/>
  <c r="M51" i="1"/>
  <c r="M83" i="1" s="1"/>
  <c r="M115" i="1" s="1"/>
  <c r="K51" i="1"/>
  <c r="K83" i="1" s="1"/>
  <c r="K115" i="1" s="1"/>
  <c r="F51" i="1"/>
  <c r="F83" i="1" s="1"/>
  <c r="F115" i="1" s="1"/>
  <c r="S51" i="1"/>
  <c r="S83" i="1" s="1"/>
  <c r="S115" i="1" s="1"/>
  <c r="M50" i="1"/>
  <c r="M82" i="1" s="1"/>
  <c r="M114" i="1" s="1"/>
  <c r="S50" i="1"/>
  <c r="S82" i="1" s="1"/>
  <c r="S114" i="1" s="1"/>
  <c r="P50" i="1"/>
  <c r="P82" i="1" s="1"/>
  <c r="P114" i="1" s="1"/>
  <c r="K50" i="1"/>
  <c r="K82" i="1" s="1"/>
  <c r="K114" i="1" s="1"/>
  <c r="E50" i="1"/>
  <c r="E82" i="1" s="1"/>
  <c r="E114" i="1" s="1"/>
  <c r="G49" i="1"/>
  <c r="G81" i="1" s="1"/>
  <c r="G113" i="1" s="1"/>
  <c r="S49" i="1"/>
  <c r="S81" i="1" s="1"/>
  <c r="S113" i="1" s="1"/>
  <c r="P49" i="1"/>
  <c r="P81" i="1" s="1"/>
  <c r="P113" i="1" s="1"/>
  <c r="M49" i="1"/>
  <c r="M81" i="1" s="1"/>
  <c r="M113" i="1" s="1"/>
  <c r="K49" i="1"/>
  <c r="K81" i="1" s="1"/>
  <c r="K113" i="1" s="1"/>
  <c r="S48" i="1"/>
  <c r="S80" i="1" s="1"/>
  <c r="S112" i="1" s="1"/>
  <c r="P48" i="1"/>
  <c r="P80" i="1" s="1"/>
  <c r="P112" i="1" s="1"/>
  <c r="M48" i="1"/>
  <c r="M80" i="1" s="1"/>
  <c r="M112" i="1" s="1"/>
  <c r="K48" i="1"/>
  <c r="K80" i="1" s="1"/>
  <c r="K112" i="1" s="1"/>
  <c r="H48" i="1"/>
  <c r="H80" i="1" s="1"/>
  <c r="H112" i="1" s="1"/>
  <c r="G48" i="1"/>
  <c r="G80" i="1" s="1"/>
  <c r="G112" i="1" s="1"/>
  <c r="S47" i="1"/>
  <c r="S79" i="1" s="1"/>
  <c r="S111" i="1" s="1"/>
  <c r="P47" i="1"/>
  <c r="P79" i="1" s="1"/>
  <c r="P111" i="1" s="1"/>
  <c r="K47" i="1"/>
  <c r="K79" i="1" s="1"/>
  <c r="K111" i="1" s="1"/>
  <c r="E47" i="1"/>
  <c r="E79" i="1" s="1"/>
  <c r="E111" i="1" s="1"/>
  <c r="M47" i="1"/>
  <c r="M79" i="1" s="1"/>
  <c r="M111" i="1" s="1"/>
  <c r="K46" i="1"/>
  <c r="K78" i="1" s="1"/>
  <c r="K110" i="1" s="1"/>
  <c r="M46" i="1"/>
  <c r="M78" i="1" s="1"/>
  <c r="M110" i="1" s="1"/>
  <c r="P46" i="1"/>
  <c r="P78" i="1" s="1"/>
  <c r="P110" i="1" s="1"/>
  <c r="S46" i="1"/>
  <c r="S78" i="1" s="1"/>
  <c r="S110" i="1" s="1"/>
  <c r="F46" i="1"/>
  <c r="F78" i="1" s="1"/>
  <c r="F110" i="1" s="1"/>
  <c r="S45" i="1"/>
  <c r="S77" i="1" s="1"/>
  <c r="S109" i="1" s="1"/>
  <c r="P45" i="1"/>
  <c r="P77" i="1" s="1"/>
  <c r="P109" i="1" s="1"/>
  <c r="M45" i="1"/>
  <c r="M77" i="1" s="1"/>
  <c r="M109" i="1" s="1"/>
  <c r="K45" i="1"/>
  <c r="K77" i="1" s="1"/>
  <c r="K109" i="1" s="1"/>
  <c r="F45" i="1"/>
  <c r="F77" i="1" s="1"/>
  <c r="F109" i="1" s="1"/>
  <c r="P44" i="1"/>
  <c r="P76" i="1" s="1"/>
  <c r="P108" i="1" s="1"/>
  <c r="S44" i="1"/>
  <c r="S76" i="1" s="1"/>
  <c r="S108" i="1" s="1"/>
  <c r="M44" i="1"/>
  <c r="M76" i="1" s="1"/>
  <c r="M108" i="1" s="1"/>
  <c r="K44" i="1"/>
  <c r="K76" i="1" s="1"/>
  <c r="K108" i="1" s="1"/>
  <c r="F44" i="1"/>
  <c r="F76" i="1" s="1"/>
  <c r="F108" i="1" s="1"/>
  <c r="S43" i="1"/>
  <c r="S75" i="1" s="1"/>
  <c r="S107" i="1" s="1"/>
  <c r="P43" i="1"/>
  <c r="P75" i="1" s="1"/>
  <c r="P107" i="1" s="1"/>
  <c r="M43" i="1"/>
  <c r="M75" i="1" s="1"/>
  <c r="M107" i="1" s="1"/>
  <c r="K43" i="1"/>
  <c r="K75" i="1" s="1"/>
  <c r="K107" i="1" s="1"/>
  <c r="E43" i="1"/>
  <c r="E75" i="1" s="1"/>
  <c r="E107" i="1" s="1"/>
  <c r="S42" i="1"/>
  <c r="S74" i="1" s="1"/>
  <c r="S106" i="1" s="1"/>
  <c r="M42" i="1"/>
  <c r="M74" i="1" s="1"/>
  <c r="M106" i="1" s="1"/>
  <c r="P42" i="1"/>
  <c r="P74" i="1" s="1"/>
  <c r="P106" i="1" s="1"/>
  <c r="K42" i="1"/>
  <c r="K74" i="1" s="1"/>
  <c r="K106" i="1" s="1"/>
  <c r="F42" i="1"/>
  <c r="F74" i="1" s="1"/>
  <c r="F106" i="1" s="1"/>
  <c r="K41" i="1"/>
  <c r="K73" i="1" s="1"/>
  <c r="K105" i="1" s="1"/>
  <c r="S41" i="1"/>
  <c r="S73" i="1" s="1"/>
  <c r="S105" i="1" s="1"/>
  <c r="P41" i="1"/>
  <c r="P73" i="1" s="1"/>
  <c r="P105" i="1" s="1"/>
  <c r="M41" i="1"/>
  <c r="M73" i="1" s="1"/>
  <c r="M105" i="1" s="1"/>
  <c r="F41" i="1"/>
  <c r="F73" i="1" s="1"/>
  <c r="F105" i="1" s="1"/>
  <c r="E40" i="1"/>
  <c r="E72" i="1" s="1"/>
  <c r="E104" i="1" s="1"/>
  <c r="J40" i="1"/>
  <c r="J72" i="1" s="1"/>
  <c r="J104" i="1" s="1"/>
  <c r="M40" i="1"/>
  <c r="M72" i="1" s="1"/>
  <c r="M104" i="1" s="1"/>
  <c r="P40" i="1"/>
  <c r="P72" i="1" s="1"/>
  <c r="P104" i="1" s="1"/>
  <c r="S40" i="1"/>
  <c r="S72" i="1" s="1"/>
  <c r="S104" i="1" s="1"/>
  <c r="P49" i="26"/>
  <c r="P81" i="26" s="1"/>
  <c r="P113" i="26" s="1"/>
  <c r="M49" i="26"/>
  <c r="M81" i="26" s="1"/>
  <c r="M113" i="26" s="1"/>
  <c r="N49" i="26"/>
  <c r="N81" i="26" s="1"/>
  <c r="N113" i="26" s="1"/>
  <c r="S49" i="26"/>
  <c r="S81" i="26" s="1"/>
  <c r="S113" i="26" s="1"/>
  <c r="G49" i="26"/>
  <c r="G81" i="26" s="1"/>
  <c r="G113" i="26" s="1"/>
  <c r="K49" i="26"/>
  <c r="K81" i="26" s="1"/>
  <c r="K113" i="26" s="1"/>
  <c r="P42" i="26"/>
  <c r="P74" i="26" s="1"/>
  <c r="P106" i="26" s="1"/>
  <c r="M42" i="26"/>
  <c r="M74" i="26" s="1"/>
  <c r="M106" i="26" s="1"/>
  <c r="N42" i="26"/>
  <c r="N74" i="26" s="1"/>
  <c r="N106" i="26" s="1"/>
  <c r="S42" i="26"/>
  <c r="S74" i="26" s="1"/>
  <c r="S106" i="26" s="1"/>
  <c r="F42" i="26"/>
  <c r="F74" i="26" s="1"/>
  <c r="F106" i="26" s="1"/>
  <c r="K42" i="26"/>
  <c r="K74" i="26" s="1"/>
  <c r="K106" i="26" s="1"/>
  <c r="P40" i="26"/>
  <c r="P72" i="26" s="1"/>
  <c r="P104" i="26" s="1"/>
  <c r="M40" i="26"/>
  <c r="M72" i="26" s="1"/>
  <c r="M104" i="26" s="1"/>
  <c r="N40" i="26"/>
  <c r="N72" i="26" s="1"/>
  <c r="N104" i="26" s="1"/>
  <c r="S40" i="26"/>
  <c r="S72" i="26" s="1"/>
  <c r="S104" i="26" s="1"/>
  <c r="F40" i="26"/>
  <c r="F72" i="26" s="1"/>
  <c r="F104" i="26" s="1"/>
  <c r="K40" i="26"/>
  <c r="K72" i="26" s="1"/>
  <c r="K104" i="26" s="1"/>
  <c r="P41" i="26"/>
  <c r="P73" i="26" s="1"/>
  <c r="P105" i="26" s="1"/>
  <c r="M41" i="26"/>
  <c r="M73" i="26" s="1"/>
  <c r="M105" i="26" s="1"/>
  <c r="K41" i="26"/>
  <c r="K73" i="26" s="1"/>
  <c r="K105" i="26" s="1"/>
  <c r="F41" i="26"/>
  <c r="F73" i="26" s="1"/>
  <c r="F105" i="26" s="1"/>
  <c r="N41" i="26"/>
  <c r="N73" i="26" s="1"/>
  <c r="N105" i="26" s="1"/>
  <c r="S41" i="26"/>
  <c r="S73" i="26" s="1"/>
  <c r="S105" i="26" s="1"/>
  <c r="H52" i="26"/>
  <c r="H84" i="26" s="1"/>
  <c r="H116" i="26" s="1"/>
  <c r="P52" i="26"/>
  <c r="P84" i="26" s="1"/>
  <c r="P116" i="26" s="1"/>
  <c r="K52" i="26"/>
  <c r="K84" i="26" s="1"/>
  <c r="K116" i="26" s="1"/>
  <c r="G52" i="26"/>
  <c r="G84" i="26" s="1"/>
  <c r="G116" i="26" s="1"/>
  <c r="S52" i="26"/>
  <c r="S84" i="26" s="1"/>
  <c r="S116" i="26" s="1"/>
  <c r="M52" i="26"/>
  <c r="M84" i="26" s="1"/>
  <c r="M116" i="26" s="1"/>
  <c r="N52" i="26"/>
  <c r="N84" i="26" s="1"/>
  <c r="N116" i="26" s="1"/>
  <c r="H43" i="26"/>
  <c r="H75" i="26" s="1"/>
  <c r="H107" i="26" s="1"/>
  <c r="P43" i="26"/>
  <c r="P75" i="26" s="1"/>
  <c r="P107" i="26" s="1"/>
  <c r="M43" i="26"/>
  <c r="M75" i="26" s="1"/>
  <c r="M107" i="26" s="1"/>
  <c r="G43" i="26"/>
  <c r="G75" i="26" s="1"/>
  <c r="G107" i="26" s="1"/>
  <c r="N43" i="26"/>
  <c r="N75" i="26" s="1"/>
  <c r="N107" i="26" s="1"/>
  <c r="S43" i="26"/>
  <c r="S75" i="26" s="1"/>
  <c r="S107" i="26" s="1"/>
  <c r="K43" i="26"/>
  <c r="K75" i="26" s="1"/>
  <c r="K107" i="26" s="1"/>
  <c r="P48" i="26"/>
  <c r="P80" i="26" s="1"/>
  <c r="P112" i="26" s="1"/>
  <c r="M48" i="26"/>
  <c r="M80" i="26" s="1"/>
  <c r="M112" i="26" s="1"/>
  <c r="F48" i="26"/>
  <c r="F80" i="26" s="1"/>
  <c r="F112" i="26" s="1"/>
  <c r="N48" i="26"/>
  <c r="N80" i="26" s="1"/>
  <c r="N112" i="26" s="1"/>
  <c r="S48" i="26"/>
  <c r="S80" i="26" s="1"/>
  <c r="S112" i="26" s="1"/>
  <c r="K48" i="26"/>
  <c r="K80" i="26" s="1"/>
  <c r="K112" i="26" s="1"/>
  <c r="H44" i="26"/>
  <c r="H76" i="26" s="1"/>
  <c r="H108" i="26" s="1"/>
  <c r="P44" i="26"/>
  <c r="P76" i="26" s="1"/>
  <c r="P108" i="26" s="1"/>
  <c r="M44" i="26"/>
  <c r="M76" i="26" s="1"/>
  <c r="M108" i="26" s="1"/>
  <c r="K44" i="26"/>
  <c r="K76" i="26" s="1"/>
  <c r="K108" i="26" s="1"/>
  <c r="G44" i="26"/>
  <c r="G76" i="26" s="1"/>
  <c r="G108" i="26" s="1"/>
  <c r="N44" i="26"/>
  <c r="N76" i="26" s="1"/>
  <c r="N108" i="26" s="1"/>
  <c r="S44" i="26"/>
  <c r="S76" i="26" s="1"/>
  <c r="S108" i="26" s="1"/>
  <c r="H47" i="26"/>
  <c r="H79" i="26" s="1"/>
  <c r="H111" i="26" s="1"/>
  <c r="P47" i="26"/>
  <c r="P79" i="26" s="1"/>
  <c r="P111" i="26" s="1"/>
  <c r="M47" i="26"/>
  <c r="M79" i="26" s="1"/>
  <c r="M111" i="26" s="1"/>
  <c r="K47" i="26"/>
  <c r="K79" i="26" s="1"/>
  <c r="K111" i="26" s="1"/>
  <c r="G47" i="26"/>
  <c r="G79" i="26" s="1"/>
  <c r="G111" i="26" s="1"/>
  <c r="N47" i="26"/>
  <c r="N79" i="26" s="1"/>
  <c r="N111" i="26" s="1"/>
  <c r="S47" i="26"/>
  <c r="S79" i="26" s="1"/>
  <c r="S111" i="26" s="1"/>
  <c r="F53" i="26"/>
  <c r="F85" i="26" s="1"/>
  <c r="F117" i="26" s="1"/>
  <c r="M53" i="26"/>
  <c r="M85" i="26" s="1"/>
  <c r="M117" i="26" s="1"/>
  <c r="N53" i="26"/>
  <c r="N85" i="26" s="1"/>
  <c r="N117" i="26" s="1"/>
  <c r="S53" i="26"/>
  <c r="S85" i="26" s="1"/>
  <c r="S117" i="26" s="1"/>
  <c r="K53" i="26"/>
  <c r="K85" i="26" s="1"/>
  <c r="K117" i="26" s="1"/>
  <c r="P53" i="26"/>
  <c r="P85" i="26" s="1"/>
  <c r="P117" i="26" s="1"/>
  <c r="T39" i="18"/>
  <c r="T71" i="18" s="1"/>
  <c r="T103" i="18" s="1"/>
  <c r="S39" i="18"/>
  <c r="S71" i="18" s="1"/>
  <c r="S103" i="18" s="1"/>
  <c r="R39" i="18"/>
  <c r="R71" i="18" s="1"/>
  <c r="R103" i="18" s="1"/>
  <c r="Q39" i="18"/>
  <c r="Q71" i="18" s="1"/>
  <c r="Q103" i="18" s="1"/>
  <c r="P39" i="18"/>
  <c r="P71" i="18" s="1"/>
  <c r="P103" i="18" s="1"/>
  <c r="O39" i="18"/>
  <c r="O71" i="18" s="1"/>
  <c r="O103" i="18" s="1"/>
  <c r="N39" i="18"/>
  <c r="N71" i="18" s="1"/>
  <c r="N103" i="18" s="1"/>
  <c r="M39" i="18"/>
  <c r="M71" i="18" s="1"/>
  <c r="M103" i="18" s="1"/>
  <c r="L39" i="18"/>
  <c r="L71" i="18" s="1"/>
  <c r="L103" i="18" s="1"/>
  <c r="K39" i="18"/>
  <c r="K71" i="18" s="1"/>
  <c r="K103" i="18" s="1"/>
  <c r="J39" i="18"/>
  <c r="J71" i="18" s="1"/>
  <c r="J103" i="18" s="1"/>
  <c r="I39" i="18"/>
  <c r="I71" i="18" s="1"/>
  <c r="I103" i="18" s="1"/>
  <c r="H39" i="18"/>
  <c r="H71" i="18" s="1"/>
  <c r="H103" i="18" s="1"/>
  <c r="G39" i="18"/>
  <c r="G71" i="18" s="1"/>
  <c r="G103" i="18" s="1"/>
  <c r="F39" i="18"/>
  <c r="F71" i="18" s="1"/>
  <c r="F103" i="18" s="1"/>
  <c r="E39" i="18"/>
  <c r="T133" i="22"/>
  <c r="S133" i="22"/>
  <c r="T39" i="17"/>
  <c r="T71" i="17" s="1"/>
  <c r="T103" i="17" s="1"/>
  <c r="S39" i="17"/>
  <c r="S71" i="17" s="1"/>
  <c r="S103" i="17" s="1"/>
  <c r="R39" i="17"/>
  <c r="R71" i="17" s="1"/>
  <c r="R103" i="17" s="1"/>
  <c r="Q39" i="17"/>
  <c r="Q71" i="17" s="1"/>
  <c r="Q103" i="17" s="1"/>
  <c r="P39" i="17"/>
  <c r="P71" i="17" s="1"/>
  <c r="P103" i="17" s="1"/>
  <c r="O39" i="17"/>
  <c r="O71" i="17" s="1"/>
  <c r="O103" i="17" s="1"/>
  <c r="N39" i="17"/>
  <c r="N71" i="17" s="1"/>
  <c r="N103" i="17" s="1"/>
  <c r="M39" i="17"/>
  <c r="M71" i="17" s="1"/>
  <c r="M103" i="17" s="1"/>
  <c r="L39" i="17"/>
  <c r="L71" i="17" s="1"/>
  <c r="L103" i="17" s="1"/>
  <c r="K39" i="17"/>
  <c r="K71" i="17" s="1"/>
  <c r="K103" i="17" s="1"/>
  <c r="J39" i="17"/>
  <c r="J71" i="17" s="1"/>
  <c r="J103" i="17" s="1"/>
  <c r="I39" i="17"/>
  <c r="I71" i="17" s="1"/>
  <c r="I103" i="17" s="1"/>
  <c r="H39" i="17"/>
  <c r="H71" i="17" s="1"/>
  <c r="H103" i="17" s="1"/>
  <c r="G39" i="17"/>
  <c r="G71" i="17" s="1"/>
  <c r="G103" i="17" s="1"/>
  <c r="F39" i="17"/>
  <c r="E39" i="17"/>
  <c r="T39" i="16"/>
  <c r="T71" i="16" s="1"/>
  <c r="T103" i="16" s="1"/>
  <c r="S39" i="16"/>
  <c r="S71" i="16" s="1"/>
  <c r="S103" i="16" s="1"/>
  <c r="R39" i="16"/>
  <c r="R71" i="16" s="1"/>
  <c r="R103" i="16" s="1"/>
  <c r="Q39" i="16"/>
  <c r="Q71" i="16" s="1"/>
  <c r="Q103" i="16" s="1"/>
  <c r="P39" i="16"/>
  <c r="P71" i="16" s="1"/>
  <c r="P103" i="16" s="1"/>
  <c r="O39" i="16"/>
  <c r="O71" i="16" s="1"/>
  <c r="O103" i="16" s="1"/>
  <c r="N39" i="16"/>
  <c r="N71" i="16" s="1"/>
  <c r="N103" i="16" s="1"/>
  <c r="M39" i="16"/>
  <c r="M71" i="16" s="1"/>
  <c r="M103" i="16" s="1"/>
  <c r="L39" i="16"/>
  <c r="L71" i="16" s="1"/>
  <c r="L103" i="16" s="1"/>
  <c r="K39" i="16"/>
  <c r="K71" i="16" s="1"/>
  <c r="K103" i="16" s="1"/>
  <c r="J39" i="16"/>
  <c r="J71" i="16" s="1"/>
  <c r="J103" i="16" s="1"/>
  <c r="I39" i="16"/>
  <c r="I71" i="16" s="1"/>
  <c r="I103" i="16" s="1"/>
  <c r="H39" i="16"/>
  <c r="H71" i="16" s="1"/>
  <c r="H103" i="16" s="1"/>
  <c r="G39" i="16"/>
  <c r="G71" i="16" s="1"/>
  <c r="G103" i="16" s="1"/>
  <c r="F39" i="16"/>
  <c r="E39" i="16"/>
  <c r="E71" i="16" s="1"/>
  <c r="E103" i="16" s="1"/>
  <c r="T39" i="15"/>
  <c r="T71" i="15" s="1"/>
  <c r="T103" i="15" s="1"/>
  <c r="S39" i="15"/>
  <c r="S71" i="15" s="1"/>
  <c r="S103" i="15" s="1"/>
  <c r="R39" i="15"/>
  <c r="R71" i="15" s="1"/>
  <c r="R103" i="15" s="1"/>
  <c r="Q39" i="15"/>
  <c r="Q71" i="15" s="1"/>
  <c r="Q103" i="15" s="1"/>
  <c r="P39" i="15"/>
  <c r="P71" i="15" s="1"/>
  <c r="P103" i="15" s="1"/>
  <c r="O39" i="15"/>
  <c r="O71" i="15" s="1"/>
  <c r="O103" i="15" s="1"/>
  <c r="N39" i="15"/>
  <c r="N71" i="15" s="1"/>
  <c r="N103" i="15" s="1"/>
  <c r="M39" i="15"/>
  <c r="M71" i="15" s="1"/>
  <c r="M103" i="15" s="1"/>
  <c r="L39" i="15"/>
  <c r="L71" i="15" s="1"/>
  <c r="L103" i="15" s="1"/>
  <c r="K39" i="15"/>
  <c r="K71" i="15" s="1"/>
  <c r="K103" i="15" s="1"/>
  <c r="J39" i="15"/>
  <c r="J71" i="15" s="1"/>
  <c r="J103" i="15" s="1"/>
  <c r="I39" i="15"/>
  <c r="I71" i="15" s="1"/>
  <c r="I103" i="15" s="1"/>
  <c r="H39" i="15"/>
  <c r="H71" i="15" s="1"/>
  <c r="H103" i="15" s="1"/>
  <c r="G39" i="15"/>
  <c r="G71" i="15" s="1"/>
  <c r="G103" i="15" s="1"/>
  <c r="F39" i="15"/>
  <c r="F71" i="15" s="1"/>
  <c r="F103" i="15" s="1"/>
  <c r="E39" i="15"/>
  <c r="E71" i="15" s="1"/>
  <c r="E103" i="15" s="1"/>
  <c r="F35" i="27"/>
  <c r="B3" i="26"/>
  <c r="B3" i="25"/>
  <c r="B3" i="24"/>
  <c r="B3" i="23"/>
  <c r="B3" i="22"/>
  <c r="B3" i="21"/>
  <c r="B3" i="20"/>
  <c r="B3" i="19"/>
  <c r="B3" i="18"/>
  <c r="B3" i="17"/>
  <c r="B3" i="16"/>
  <c r="B3" i="15"/>
  <c r="B3" i="1"/>
  <c r="E71" i="18" l="1"/>
  <c r="E103" i="18" s="1"/>
  <c r="F127" i="17"/>
  <c r="F71" i="17"/>
  <c r="F103" i="17" s="1"/>
  <c r="E71" i="17"/>
  <c r="F71" i="16"/>
  <c r="E158" i="22"/>
  <c r="D12" i="2" s="1"/>
  <c r="J167" i="20"/>
  <c r="K167" i="20"/>
  <c r="S167" i="20"/>
  <c r="L167" i="20"/>
  <c r="T167" i="20"/>
  <c r="M167" i="20"/>
  <c r="I167" i="20"/>
  <c r="R167" i="20"/>
  <c r="F167" i="20"/>
  <c r="N167" i="20"/>
  <c r="Q167" i="20"/>
  <c r="G167" i="20"/>
  <c r="O167" i="20"/>
  <c r="N10" i="2" s="1"/>
  <c r="H167" i="20"/>
  <c r="G10" i="2" s="1"/>
  <c r="P167" i="20"/>
  <c r="F127" i="1"/>
  <c r="E4" i="2" s="1"/>
  <c r="T127" i="1"/>
  <c r="S4" i="2" s="1"/>
  <c r="G127" i="1"/>
  <c r="F4" i="2" s="1"/>
  <c r="E127" i="1"/>
  <c r="D4" i="2" s="1"/>
  <c r="Q127" i="1"/>
  <c r="P4" i="2" s="1"/>
  <c r="P127" i="1"/>
  <c r="O4" i="2" s="1"/>
  <c r="H127" i="1"/>
  <c r="G4" i="2" s="1"/>
  <c r="I127" i="1"/>
  <c r="H4" i="2" s="1"/>
  <c r="O127" i="1"/>
  <c r="N4" i="2" s="1"/>
  <c r="L127" i="1"/>
  <c r="K4" i="2" s="1"/>
  <c r="F127" i="26"/>
  <c r="E16" i="2" s="1"/>
  <c r="F127" i="25"/>
  <c r="E15" i="2" s="1"/>
  <c r="G127" i="25"/>
  <c r="F15" i="2" s="1"/>
  <c r="F127" i="24"/>
  <c r="E14" i="2" s="1"/>
  <c r="G127" i="24"/>
  <c r="F14" i="2" s="1"/>
  <c r="I127" i="23"/>
  <c r="H13" i="2" s="1"/>
  <c r="Q127" i="23"/>
  <c r="P13" i="2" s="1"/>
  <c r="K127" i="23"/>
  <c r="J13" i="2" s="1"/>
  <c r="S127" i="23"/>
  <c r="R13" i="2" s="1"/>
  <c r="G127" i="23"/>
  <c r="F13" i="2" s="1"/>
  <c r="F158" i="22"/>
  <c r="E12" i="2" s="1"/>
  <c r="H127" i="21"/>
  <c r="G11" i="2" s="1"/>
  <c r="D9" i="2"/>
  <c r="R127" i="19"/>
  <c r="Q9" i="2" s="1"/>
  <c r="F127" i="19"/>
  <c r="E9" i="2" s="1"/>
  <c r="G127" i="19"/>
  <c r="F9" i="2" s="1"/>
  <c r="P127" i="18"/>
  <c r="O8" i="2" s="1"/>
  <c r="I127" i="18"/>
  <c r="H8" i="2" s="1"/>
  <c r="K127" i="18"/>
  <c r="J8" i="2" s="1"/>
  <c r="S127" i="18"/>
  <c r="R8" i="2" s="1"/>
  <c r="M127" i="18"/>
  <c r="L8" i="2" s="1"/>
  <c r="G127" i="18"/>
  <c r="F8" i="2" s="1"/>
  <c r="O127" i="18"/>
  <c r="N8" i="2" s="1"/>
  <c r="E7" i="2"/>
  <c r="I127" i="17"/>
  <c r="H7" i="2" s="1"/>
  <c r="K127" i="17"/>
  <c r="J7" i="2" s="1"/>
  <c r="S127" i="15"/>
  <c r="R5" i="2" s="1"/>
  <c r="T127" i="15"/>
  <c r="S5" i="2" s="1"/>
  <c r="E127" i="18" l="1"/>
  <c r="E103" i="17"/>
  <c r="E127" i="17"/>
  <c r="D7" i="2" s="1"/>
  <c r="F103" i="16"/>
  <c r="F127" i="16"/>
  <c r="E6" i="2" s="1"/>
  <c r="D10" i="2"/>
  <c r="P127" i="25"/>
  <c r="O15" i="2" s="1"/>
  <c r="L127" i="21"/>
  <c r="K11" i="2" s="1"/>
  <c r="R127" i="21"/>
  <c r="Q11" i="2" s="1"/>
  <c r="J127" i="21"/>
  <c r="I11" i="2" s="1"/>
  <c r="T127" i="26"/>
  <c r="S16" i="2" s="1"/>
  <c r="L127" i="26"/>
  <c r="K16" i="2" s="1"/>
  <c r="R127" i="1"/>
  <c r="Q4" i="2" s="1"/>
  <c r="K127" i="1"/>
  <c r="J4" i="2" s="1"/>
  <c r="J127" i="24"/>
  <c r="I14" i="2" s="1"/>
  <c r="E127" i="24"/>
  <c r="D14" i="2" s="1"/>
  <c r="P127" i="23"/>
  <c r="O13" i="2" s="1"/>
  <c r="L127" i="19"/>
  <c r="K9" i="2" s="1"/>
  <c r="T127" i="25"/>
  <c r="S15" i="2" s="1"/>
  <c r="R10" i="2"/>
  <c r="D8" i="2"/>
  <c r="H127" i="18"/>
  <c r="G8" i="2" s="1"/>
  <c r="G158" i="22"/>
  <c r="F12" i="2" s="1"/>
  <c r="F127" i="18"/>
  <c r="E8" i="2" s="1"/>
  <c r="L127" i="17"/>
  <c r="K7" i="2" s="1"/>
  <c r="P127" i="15"/>
  <c r="O5" i="2" s="1"/>
  <c r="R158" i="22"/>
  <c r="Q12" i="2" s="1"/>
  <c r="T158" i="22"/>
  <c r="S12" i="2" s="1"/>
  <c r="R127" i="17"/>
  <c r="Q7" i="2" s="1"/>
  <c r="S127" i="1"/>
  <c r="R4" i="2" s="1"/>
  <c r="M127" i="15"/>
  <c r="L5" i="2" s="1"/>
  <c r="J127" i="15"/>
  <c r="I5" i="2" s="1"/>
  <c r="R127" i="18"/>
  <c r="Q8" i="2" s="1"/>
  <c r="F127" i="21"/>
  <c r="E11" i="2" s="1"/>
  <c r="H127" i="24"/>
  <c r="G14" i="2" s="1"/>
  <c r="R127" i="25"/>
  <c r="Q15" i="2" s="1"/>
  <c r="J127" i="1"/>
  <c r="I4" i="2" s="1"/>
  <c r="H127" i="17"/>
  <c r="G7" i="2" s="1"/>
  <c r="J10" i="2"/>
  <c r="L158" i="22"/>
  <c r="K12" i="2" s="1"/>
  <c r="J127" i="25"/>
  <c r="I15" i="2" s="1"/>
  <c r="P127" i="26"/>
  <c r="O16" i="2" s="1"/>
  <c r="H127" i="23"/>
  <c r="G13" i="2" s="1"/>
  <c r="E127" i="15"/>
  <c r="D5" i="2" s="1"/>
  <c r="M127" i="16"/>
  <c r="L6" i="2" s="1"/>
  <c r="L127" i="18"/>
  <c r="K8" i="2" s="1"/>
  <c r="J127" i="23"/>
  <c r="I13" i="2" s="1"/>
  <c r="R127" i="26"/>
  <c r="Q16" i="2" s="1"/>
  <c r="H127" i="26"/>
  <c r="G16" i="2" s="1"/>
  <c r="M127" i="1"/>
  <c r="L4" i="2" s="1"/>
  <c r="N127" i="16"/>
  <c r="M6" i="2" s="1"/>
  <c r="E127" i="16"/>
  <c r="D6" i="2" s="1"/>
  <c r="O127" i="17"/>
  <c r="N7" i="2" s="1"/>
  <c r="R127" i="24"/>
  <c r="Q14" i="2" s="1"/>
  <c r="M127" i="24"/>
  <c r="L14" i="2" s="1"/>
  <c r="J127" i="26"/>
  <c r="I16" i="2" s="1"/>
  <c r="N127" i="1"/>
  <c r="M4" i="2" s="1"/>
  <c r="S127" i="26"/>
  <c r="R16" i="2" s="1"/>
  <c r="E127" i="26"/>
  <c r="D16" i="2" s="1"/>
  <c r="K127" i="26"/>
  <c r="J16" i="2" s="1"/>
  <c r="Q127" i="26"/>
  <c r="P16" i="2" s="1"/>
  <c r="M127" i="26"/>
  <c r="L16" i="2" s="1"/>
  <c r="I127" i="26"/>
  <c r="H16" i="2" s="1"/>
  <c r="N127" i="26"/>
  <c r="M16" i="2" s="1"/>
  <c r="O127" i="26"/>
  <c r="N16" i="2" s="1"/>
  <c r="G127" i="26"/>
  <c r="F16" i="2" s="1"/>
  <c r="L127" i="25"/>
  <c r="K15" i="2" s="1"/>
  <c r="H127" i="25"/>
  <c r="G15" i="2" s="1"/>
  <c r="M127" i="25"/>
  <c r="L15" i="2" s="1"/>
  <c r="S127" i="25"/>
  <c r="R15" i="2" s="1"/>
  <c r="K127" i="25"/>
  <c r="J15" i="2" s="1"/>
  <c r="Q127" i="25"/>
  <c r="P15" i="2" s="1"/>
  <c r="E127" i="25"/>
  <c r="D15" i="2" s="1"/>
  <c r="N127" i="25"/>
  <c r="M15" i="2" s="1"/>
  <c r="I127" i="25"/>
  <c r="H15" i="2" s="1"/>
  <c r="O127" i="25"/>
  <c r="N15" i="2" s="1"/>
  <c r="P127" i="24"/>
  <c r="O14" i="2" s="1"/>
  <c r="S127" i="24"/>
  <c r="R14" i="2" s="1"/>
  <c r="Q127" i="24"/>
  <c r="P14" i="2" s="1"/>
  <c r="O127" i="24"/>
  <c r="N14" i="2" s="1"/>
  <c r="K127" i="24"/>
  <c r="J14" i="2" s="1"/>
  <c r="I127" i="24"/>
  <c r="H14" i="2" s="1"/>
  <c r="T127" i="24"/>
  <c r="S14" i="2" s="1"/>
  <c r="N127" i="24"/>
  <c r="M14" i="2" s="1"/>
  <c r="L127" i="24"/>
  <c r="K14" i="2" s="1"/>
  <c r="O127" i="23"/>
  <c r="N13" i="2" s="1"/>
  <c r="T127" i="23"/>
  <c r="S13" i="2" s="1"/>
  <c r="L127" i="23"/>
  <c r="K13" i="2" s="1"/>
  <c r="N127" i="23"/>
  <c r="M13" i="2" s="1"/>
  <c r="F127" i="23"/>
  <c r="E13" i="2" s="1"/>
  <c r="M127" i="23"/>
  <c r="L13" i="2" s="1"/>
  <c r="R127" i="23"/>
  <c r="Q13" i="2" s="1"/>
  <c r="E127" i="23"/>
  <c r="D13" i="2" s="1"/>
  <c r="P158" i="22"/>
  <c r="O12" i="2" s="1"/>
  <c r="H158" i="22"/>
  <c r="G12" i="2" s="1"/>
  <c r="S158" i="22"/>
  <c r="R12" i="2" s="1"/>
  <c r="O158" i="22"/>
  <c r="N12" i="2" s="1"/>
  <c r="J158" i="22"/>
  <c r="I12" i="2" s="1"/>
  <c r="K158" i="22"/>
  <c r="J12" i="2" s="1"/>
  <c r="Q158" i="22"/>
  <c r="P12" i="2" s="1"/>
  <c r="N158" i="22"/>
  <c r="M12" i="2" s="1"/>
  <c r="I158" i="22"/>
  <c r="H12" i="2" s="1"/>
  <c r="M158" i="22"/>
  <c r="L12" i="2" s="1"/>
  <c r="S127" i="21"/>
  <c r="R11" i="2" s="1"/>
  <c r="G127" i="21"/>
  <c r="F11" i="2" s="1"/>
  <c r="K127" i="21"/>
  <c r="J11" i="2" s="1"/>
  <c r="Q127" i="21"/>
  <c r="P11" i="2" s="1"/>
  <c r="P127" i="21"/>
  <c r="O11" i="2" s="1"/>
  <c r="I127" i="21"/>
  <c r="H11" i="2" s="1"/>
  <c r="M127" i="21"/>
  <c r="L11" i="2" s="1"/>
  <c r="O127" i="21"/>
  <c r="N11" i="2" s="1"/>
  <c r="N127" i="21"/>
  <c r="M11" i="2" s="1"/>
  <c r="T127" i="21"/>
  <c r="S11" i="2" s="1"/>
  <c r="E127" i="21"/>
  <c r="D11" i="2" s="1"/>
  <c r="H10" i="2"/>
  <c r="S10" i="2"/>
  <c r="P10" i="2"/>
  <c r="K10" i="2"/>
  <c r="O10" i="2"/>
  <c r="L10" i="2"/>
  <c r="Q10" i="2"/>
  <c r="M10" i="2"/>
  <c r="I10" i="2"/>
  <c r="E10" i="2"/>
  <c r="F10" i="2"/>
  <c r="P127" i="19"/>
  <c r="O9" i="2" s="1"/>
  <c r="S127" i="19"/>
  <c r="R9" i="2" s="1"/>
  <c r="K127" i="19"/>
  <c r="J9" i="2" s="1"/>
  <c r="M127" i="19"/>
  <c r="L9" i="2" s="1"/>
  <c r="H127" i="19"/>
  <c r="G9" i="2" s="1"/>
  <c r="J127" i="19"/>
  <c r="I9" i="2" s="1"/>
  <c r="Q127" i="19"/>
  <c r="P9" i="2" s="1"/>
  <c r="O127" i="19"/>
  <c r="N9" i="2" s="1"/>
  <c r="I127" i="19"/>
  <c r="H9" i="2" s="1"/>
  <c r="T127" i="19"/>
  <c r="S9" i="2" s="1"/>
  <c r="N127" i="19"/>
  <c r="M9" i="2" s="1"/>
  <c r="N127" i="18"/>
  <c r="M8" i="2" s="1"/>
  <c r="T127" i="18"/>
  <c r="S8" i="2" s="1"/>
  <c r="Q127" i="18"/>
  <c r="P8" i="2" s="1"/>
  <c r="J127" i="18"/>
  <c r="I8" i="2" s="1"/>
  <c r="N127" i="17"/>
  <c r="M7" i="2" s="1"/>
  <c r="S127" i="17"/>
  <c r="R7" i="2" s="1"/>
  <c r="M127" i="17"/>
  <c r="L7" i="2" s="1"/>
  <c r="G127" i="17"/>
  <c r="F7" i="2" s="1"/>
  <c r="J127" i="17"/>
  <c r="I7" i="2" s="1"/>
  <c r="P127" i="17"/>
  <c r="O7" i="2" s="1"/>
  <c r="T127" i="17"/>
  <c r="S7" i="2" s="1"/>
  <c r="Q127" i="17"/>
  <c r="P7" i="2" s="1"/>
  <c r="O127" i="16"/>
  <c r="N6" i="2" s="1"/>
  <c r="I127" i="16"/>
  <c r="H6" i="2" s="1"/>
  <c r="G127" i="16"/>
  <c r="F6" i="2" s="1"/>
  <c r="L127" i="16"/>
  <c r="K6" i="2" s="1"/>
  <c r="Q127" i="16"/>
  <c r="P6" i="2" s="1"/>
  <c r="T127" i="16"/>
  <c r="S6" i="2" s="1"/>
  <c r="P127" i="16"/>
  <c r="O6" i="2" s="1"/>
  <c r="S127" i="16"/>
  <c r="R6" i="2" s="1"/>
  <c r="J127" i="16"/>
  <c r="I6" i="2" s="1"/>
  <c r="H127" i="16"/>
  <c r="G6" i="2" s="1"/>
  <c r="K127" i="16"/>
  <c r="J6" i="2" s="1"/>
  <c r="R127" i="16"/>
  <c r="Q6" i="2" s="1"/>
  <c r="R127" i="15"/>
  <c r="Q5" i="2" s="1"/>
  <c r="H127" i="15"/>
  <c r="G5" i="2" s="1"/>
  <c r="N127" i="15"/>
  <c r="M5" i="2" s="1"/>
  <c r="L127" i="15"/>
  <c r="K5" i="2" s="1"/>
  <c r="F127" i="15"/>
  <c r="E5" i="2" s="1"/>
  <c r="Q127" i="15"/>
  <c r="P5" i="2" s="1"/>
  <c r="O127" i="15"/>
  <c r="N5" i="2" s="1"/>
  <c r="I127" i="15"/>
  <c r="H5" i="2" s="1"/>
  <c r="G127" i="15"/>
  <c r="F5" i="2" s="1"/>
  <c r="K127" i="15"/>
  <c r="J5" i="2" s="1"/>
  <c r="S18" i="2" l="1"/>
  <c r="O18" i="2"/>
  <c r="K18" i="2"/>
  <c r="H18" i="2"/>
  <c r="G18" i="2"/>
  <c r="P18" i="2"/>
  <c r="D18" i="2"/>
  <c r="J18" i="2"/>
  <c r="E18" i="2"/>
  <c r="F18" i="2"/>
  <c r="Q18" i="2"/>
  <c r="N18" i="2"/>
  <c r="L18" i="2"/>
  <c r="I18" i="2"/>
  <c r="R18" i="2"/>
  <c r="M18" i="2"/>
  <c r="H19" i="2" l="1"/>
  <c r="H20" i="2" s="1"/>
</calcChain>
</file>

<file path=xl/sharedStrings.xml><?xml version="1.0" encoding="utf-8"?>
<sst xmlns="http://schemas.openxmlformats.org/spreadsheetml/2006/main" count="1805" uniqueCount="134">
  <si>
    <t>PROGRAMA DE MANUTENÇÃORODOVIÁRIA</t>
  </si>
  <si>
    <t>S.R.E.</t>
  </si>
  <si>
    <t>CONDIÇÃO DO PAVIMENTO</t>
  </si>
  <si>
    <t>BOM</t>
  </si>
  <si>
    <t>REM. L</t>
  </si>
  <si>
    <t>BUR. I</t>
  </si>
  <si>
    <t>BUR. L</t>
  </si>
  <si>
    <t>LEGENDA</t>
  </si>
  <si>
    <t>REM. I.</t>
  </si>
  <si>
    <t>REM. I</t>
  </si>
  <si>
    <t>REMENDOS ISOLADOS</t>
  </si>
  <si>
    <t>REMENDOS AO LONGO</t>
  </si>
  <si>
    <t>BURACOS ISOLADOS</t>
  </si>
  <si>
    <t>BURACOS AO LONGO</t>
  </si>
  <si>
    <t>ATÉ 10 REMENDOS/KM</t>
  </si>
  <si>
    <t>MAIS DE 10 REMENDOS/KM</t>
  </si>
  <si>
    <t>ATÉ 5 BURACOS/KM</t>
  </si>
  <si>
    <t>MAIS DE 5 BURACOS/KM</t>
  </si>
  <si>
    <t>VEGETAÇÃO</t>
  </si>
  <si>
    <t>ADEQ.</t>
  </si>
  <si>
    <t>LIMPOS</t>
  </si>
  <si>
    <t>SUJOS</t>
  </si>
  <si>
    <t>SIN. HOR.</t>
  </si>
  <si>
    <t>REG.</t>
  </si>
  <si>
    <t>INEXIST.</t>
  </si>
  <si>
    <t>SIN. VERTICAL</t>
  </si>
  <si>
    <t>POUCAS</t>
  </si>
  <si>
    <t>DATA:</t>
  </si>
  <si>
    <t>TÉCNICO RESP.</t>
  </si>
  <si>
    <t>INÍCIO
(KM)</t>
  </si>
  <si>
    <t>FIM
(KM)</t>
  </si>
  <si>
    <t>DAN.</t>
  </si>
  <si>
    <t>ELEM. DE DRENAGEM</t>
  </si>
  <si>
    <t>SENTIDO</t>
  </si>
  <si>
    <t>OBSERV.</t>
  </si>
  <si>
    <t>INADED.</t>
  </si>
  <si>
    <t>RODOVIAS PAVIMENTADAS</t>
  </si>
  <si>
    <t>Nº DO TRECHO</t>
  </si>
  <si>
    <t>TRECHO</t>
  </si>
  <si>
    <t>FICHA DE INSPEÇÃO:</t>
  </si>
  <si>
    <t>RODOVIA TO-141 - TRECHO PALMEIRÓPOLIS - DIVISA TO-GO</t>
  </si>
  <si>
    <t>RODOVIA TO-280 - TRECHO NATIVIDADE - ALMAS</t>
  </si>
  <si>
    <t>RODOVIA TO-280 - TRECHO SÃO VALÉRIO DE NATIVIDADE - NATIVIDADE</t>
  </si>
  <si>
    <t>RODOVIA TO-280 - TRECHO ENTR. BR-242 - SÃO VALÉRIO DE NATIVIDADE</t>
  </si>
  <si>
    <t>RODOVIA TO-296 - TRECHO SÃO SALVADOR DO TOCANTINS - PARANÃ</t>
  </si>
  <si>
    <t>RODOVIA TO-296 - TRECHO JAÚ DO TOCANTINS - SÃO SALVADOR DO TOCANTINS</t>
  </si>
  <si>
    <t>RODOVIA TO-296 - TALISMÃ - ENTR. TO-498 (JAÚ DO TOCANTINS)</t>
  </si>
  <si>
    <t>RODOVIA TO-365 - TRECHO IPUEIRAS - SILVANÓPOLIS</t>
  </si>
  <si>
    <t>RODOVIA TO-373 - TRECHO ALVORADA - ENTR. BR-242</t>
  </si>
  <si>
    <t>RODOVIA TO-387 - TRECHO PALMEIRÓPOLIS - SÃO SALVADOR DO TOCANTINS</t>
  </si>
  <si>
    <t>RODOVIA TO-387 - TRECHO PALMEIRÓPOLIS - DIVISA TO-GO</t>
  </si>
  <si>
    <t>RODOVIA TO-498 - TRECHO JAÚ DO TOCANTINS - ENTR. TO-373 (SANTA CRUZ)</t>
  </si>
  <si>
    <t>RODOVIA TO-498 - TRECHO JAÚ DO TOCANTINS - ENTR. TO-387</t>
  </si>
  <si>
    <t>PERCORRIDO NO MÊS</t>
  </si>
  <si>
    <t>TOTAL</t>
  </si>
  <si>
    <t>% DA EXTENSÃO DA MALHA:</t>
  </si>
  <si>
    <t>LOTE</t>
  </si>
  <si>
    <t>S.R.E</t>
  </si>
  <si>
    <t>TIPO</t>
  </si>
  <si>
    <t>141ETO0110</t>
  </si>
  <si>
    <t>PALMEIRÓPOLIS *TRECHO URBANO* - DIV TO-GO</t>
  </si>
  <si>
    <t>PPS</t>
  </si>
  <si>
    <t>280ETO0150</t>
  </si>
  <si>
    <t>ENTR. TO-040 (ALMAS) - ENTR. BR-010-TO-050</t>
  </si>
  <si>
    <t>280ETO0175</t>
  </si>
  <si>
    <t>ENTR.TO-050 - BR-010 (NATIVIDADE ACESSO SUL) - ENTR. TO-486</t>
  </si>
  <si>
    <t>280ETO0180</t>
  </si>
  <si>
    <t>ENTR. TO-486 - ENTR. TO-482</t>
  </si>
  <si>
    <t>280ETO0190</t>
  </si>
  <si>
    <t>ENTR.TO-482 - SÃO VALÉRIO DA NATIVIDADE *TRECHO URBANO*</t>
  </si>
  <si>
    <t>280ETO0191</t>
  </si>
  <si>
    <t>SÃO VALÉRIO DA NATIVIDADE *TRECHO URBANO*</t>
  </si>
  <si>
    <t>PSU</t>
  </si>
  <si>
    <t>280ETO0200</t>
  </si>
  <si>
    <t>SÃO VALÉRIO DA NATIVIDADE *TRECHO URBANO* - ENTR. TO-490</t>
  </si>
  <si>
    <t>280ETO0210</t>
  </si>
  <si>
    <t>ENTR. TO-490 - ENTR.TO-373</t>
  </si>
  <si>
    <t>280ETO0220</t>
  </si>
  <si>
    <t>ENTR. TO-373 - ENTR. BR-242</t>
  </si>
  <si>
    <t>ACESSO</t>
  </si>
  <si>
    <t>ENTR. TO-280 - UHE (PEIXE ANGICAL)</t>
  </si>
  <si>
    <t>296ETO0220</t>
  </si>
  <si>
    <t>ENTR. BR-242 (PARANÃ) - SÃO SALVADOR DO TOCANTINS *TRECHO URBANO*</t>
  </si>
  <si>
    <t>296ETO0230</t>
  </si>
  <si>
    <t>SÃO SALVADOR DO TOCANTINS *TRECHO URBANO* - ENTR. TO-387</t>
  </si>
  <si>
    <t>296ETO0261</t>
  </si>
  <si>
    <t>JAÚ DO TOCANTINS *TRECHO URBANO*</t>
  </si>
  <si>
    <t>296ETO0262</t>
  </si>
  <si>
    <t>296ETO0300</t>
  </si>
  <si>
    <t>ENTR. TO-498 - ENTR. TO-495</t>
  </si>
  <si>
    <t>296ETO0310</t>
  </si>
  <si>
    <t>ENTR. TO-495 - ENTR. BR-153</t>
  </si>
  <si>
    <t>365ETO0191</t>
  </si>
  <si>
    <t>IPUEIRAS *TRECHO URBANO*</t>
  </si>
  <si>
    <t>373ETO0190</t>
  </si>
  <si>
    <t>ENTR. BR-242 - ENTR. TO-498 (SANTA CRUZ)</t>
  </si>
  <si>
    <t>373ETO0200</t>
  </si>
  <si>
    <t>ENTR. TO-498 (SANTA CRUZ) - VILA UNIÃO</t>
  </si>
  <si>
    <t>373ETO0210</t>
  </si>
  <si>
    <t>VILA UNIÃO - CANA BRAVA</t>
  </si>
  <si>
    <t>373ETO0220</t>
  </si>
  <si>
    <t>CANA BRAVA - ENTR. BR-153 ALVORADA *TRECHO URBANO*</t>
  </si>
  <si>
    <t>387ETO0170</t>
  </si>
  <si>
    <t>ENTR. TO-296 - PALMEIRÓPOLIS *TRECHO URBANO*</t>
  </si>
  <si>
    <t>387ETO0171</t>
  </si>
  <si>
    <t>PERÍMETRO URBANO DE PALMEIRÓPOLIS</t>
  </si>
  <si>
    <t>387ETO0172</t>
  </si>
  <si>
    <t>387ETO0200</t>
  </si>
  <si>
    <t>PALMEIRÓPOLIS *TRECHO URBANO* - ENTR. TO-498</t>
  </si>
  <si>
    <t>387ETO0210</t>
  </si>
  <si>
    <t>ENTR. TO-498 - BARROLÂNDIA</t>
  </si>
  <si>
    <t>387ETO0220</t>
  </si>
  <si>
    <t>BARROLÂNDIA - DIV TO-GO</t>
  </si>
  <si>
    <t>498ETO0010</t>
  </si>
  <si>
    <t>ENTR. TO-373 (SANTA CRUZ) - ENTR. TO-296</t>
  </si>
  <si>
    <t>296ETO0290</t>
  </si>
  <si>
    <t>JAÚ DO TOCANTINS *TRECHO URBANO* - ENTR. TO-498</t>
  </si>
  <si>
    <t>498ETO0050</t>
  </si>
  <si>
    <t>JAÚ DO TOCANTINS *TRECHO URBANO* - NOVO HORIZONTE</t>
  </si>
  <si>
    <t>498ETO0080</t>
  </si>
  <si>
    <t>NOVO HORIZONTE - MONTEIRÓPOLIS</t>
  </si>
  <si>
    <t>498ETO0090</t>
  </si>
  <si>
    <t>MONTEIRÓPOLIS - ENTR. TO-387</t>
  </si>
  <si>
    <t>N.</t>
  </si>
  <si>
    <t>EXT. (KM)</t>
  </si>
  <si>
    <t>REGIÃO:</t>
  </si>
  <si>
    <t>RELAÇÃO DE SEGMENTOS PAVIMENTADOS R.12</t>
  </si>
  <si>
    <t>SUBTRECHOS</t>
  </si>
  <si>
    <t>C</t>
  </si>
  <si>
    <t>X</t>
  </si>
  <si>
    <t>D</t>
  </si>
  <si>
    <t>387ETO0110</t>
  </si>
  <si>
    <t>URBANO</t>
  </si>
  <si>
    <t>ENG. THIAGO TORQUATO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</si>
</sst>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5"/>
      <color rgb="FFFF0000"/>
      <name val="Times New Roman"/>
      <family val="1"/>
    </font>
    <font>
      <sz val="15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10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0" fontId="7" fillId="0" borderId="3" xfId="1" applyFont="1" applyBorder="1" applyAlignment="1">
      <alignment vertical="center"/>
    </xf>
    <xf numFmtId="4" fontId="11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" fontId="11" fillId="0" borderId="3" xfId="0" applyNumberFormat="1" applyFont="1" applyBorder="1" applyAlignment="1">
      <alignment vertical="center"/>
    </xf>
    <xf numFmtId="10" fontId="11" fillId="0" borderId="3" xfId="2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5" xfId="0" applyFont="1" applyBorder="1"/>
    <xf numFmtId="0" fontId="13" fillId="0" borderId="5" xfId="0" applyFont="1" applyBorder="1" applyAlignment="1">
      <alignment horizontal="center"/>
    </xf>
    <xf numFmtId="2" fontId="13" fillId="0" borderId="3" xfId="0" applyNumberFormat="1" applyFont="1" applyBorder="1"/>
    <xf numFmtId="0" fontId="13" fillId="0" borderId="4" xfId="0" applyFont="1" applyBorder="1"/>
    <xf numFmtId="0" fontId="13" fillId="0" borderId="6" xfId="0" applyFont="1" applyBorder="1"/>
    <xf numFmtId="0" fontId="1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" fontId="1" fillId="3" borderId="3" xfId="0" applyNumberFormat="1" applyFont="1" applyFill="1" applyBorder="1" applyAlignment="1">
      <alignment horizontal="center" vertical="center"/>
    </xf>
    <xf numFmtId="0" fontId="1" fillId="2" borderId="9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" fillId="3" borderId="8" xfId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" fontId="8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3">
    <cellStyle name="Normal" xfId="0" builtinId="0"/>
    <cellStyle name="Normal 9" xfId="1" xr:uid="{F8D9944F-528D-44D9-B95F-8DA620BB9BBD}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21-487A-AF5C-9A5B53FCE807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21-487A-AF5C-9A5B53FCE807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221-487A-AF5C-9A5B53FCE80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221-487A-AF5C-9A5B53FCE80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221-487A-AF5C-9A5B53FCE807}"/>
              </c:ext>
            </c:extLst>
          </c:dPt>
          <c:dLbls>
            <c:dLbl>
              <c:idx val="1"/>
              <c:layout>
                <c:manualLayout>
                  <c:x val="0.1130326800435275"/>
                  <c:y val="-0.1287484048082402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21-487A-AF5C-9A5B53FCE807}"/>
                </c:ext>
              </c:extLst>
            </c:dLbl>
            <c:dLbl>
              <c:idx val="2"/>
              <c:layout>
                <c:manualLayout>
                  <c:x val="0.11248546792641718"/>
                  <c:y val="6.55535065091105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21-487A-AF5C-9A5B53FCE807}"/>
                </c:ext>
              </c:extLst>
            </c:dLbl>
            <c:dLbl>
              <c:idx val="3"/>
              <c:layout>
                <c:manualLayout>
                  <c:x val="5.2159085580602685E-2"/>
                  <c:y val="3.748978258059700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21-487A-AF5C-9A5B53FCE8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21-487A-AF5C-9A5B53FCE80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'224'!$E$127:$I$127</c:f>
              <c:numCache>
                <c:formatCode>General</c:formatCode>
                <c:ptCount val="5"/>
                <c:pt idx="0">
                  <c:v>14.1</c:v>
                </c:pt>
                <c:pt idx="1">
                  <c:v>7.2</c:v>
                </c:pt>
                <c:pt idx="2">
                  <c:v>4.8999999999999995</c:v>
                </c:pt>
                <c:pt idx="3">
                  <c:v>9.8999999999999986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21-487A-AF5C-9A5B53FCE807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221-487A-AF5C-9A5B53FCE8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221-487A-AF5C-9A5B53FCE8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221-487A-AF5C-9A5B53FCE8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221-487A-AF5C-9A5B53FCE8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221-487A-AF5C-9A5B53FCE80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'224'!$E$127:$I$127</c:f>
              <c:numCache>
                <c:formatCode>General</c:formatCode>
                <c:ptCount val="5"/>
                <c:pt idx="0">
                  <c:v>14.1</c:v>
                </c:pt>
                <c:pt idx="1">
                  <c:v>7.2</c:v>
                </c:pt>
                <c:pt idx="2">
                  <c:v>4.8999999999999995</c:v>
                </c:pt>
                <c:pt idx="3">
                  <c:v>9.8999999999999986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221-487A-AF5C-9A5B53FCE807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221-487A-AF5C-9A5B53FCE8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221-487A-AF5C-9A5B53FCE8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221-487A-AF5C-9A5B53FCE8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221-487A-AF5C-9A5B53FCE8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221-487A-AF5C-9A5B53FCE80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'224'!$E$127:$I$127</c:f>
              <c:numCache>
                <c:formatCode>General</c:formatCode>
                <c:ptCount val="5"/>
                <c:pt idx="0">
                  <c:v>14.1</c:v>
                </c:pt>
                <c:pt idx="1">
                  <c:v>7.2</c:v>
                </c:pt>
                <c:pt idx="2">
                  <c:v>4.8999999999999995</c:v>
                </c:pt>
                <c:pt idx="3">
                  <c:v>9.8999999999999986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221-487A-AF5C-9A5B53FCE80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229813792960925"/>
          <c:y val="0.38533296309797899"/>
          <c:w val="0.18029796800334341"/>
          <c:h val="0.4127301318369489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74-4CDD-A843-A23557DC0AD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74-4CDD-A843-A23557DC0ADD}"/>
              </c:ext>
            </c:extLst>
          </c:dPt>
          <c:dLbls>
            <c:dLbl>
              <c:idx val="1"/>
              <c:layout>
                <c:manualLayout>
                  <c:x val="9.9242241432063241E-2"/>
                  <c:y val="-0.2969792848079489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74-4CDD-A843-A23557DC0AD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'224'!$J$127:$K$127</c:f>
              <c:numCache>
                <c:formatCode>General</c:formatCode>
                <c:ptCount val="2"/>
                <c:pt idx="0">
                  <c:v>26.2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74-4CDD-A843-A23557DC0A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074-4CDD-A843-A23557DC0AD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074-4CDD-A843-A23557DC0AD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074-4CDD-A843-A23557DC0AD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074-4CDD-A843-A23557DC0AD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074-4CDD-A843-A23557DC0AD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'224'!$J$6:$K$6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074-4CDD-A843-A23557DC0ADD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074-4CDD-A843-A23557DC0AD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074-4CDD-A843-A23557DC0ADD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074-4CDD-A843-A23557DC0ADD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074-4CDD-A843-A23557DC0ADD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074-4CDD-A843-A23557DC0ADD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074-4CDD-A843-A23557DC0ADD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3322611214302"/>
          <c:y val="0.50915218826170794"/>
          <c:w val="0.16719815896971693"/>
          <c:h val="0.1650920527347795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A3-41A8-A1D6-CFAD031C56E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A3-41A8-A1D6-CFAD031C56E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A3-41A8-A1D6-CFAD031C56E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A3-41A8-A1D6-CFAD031C56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A3-41A8-A1D6-CFAD031C56E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'224'!$L$127:$N$127</c:f>
              <c:numCache>
                <c:formatCode>General</c:formatCode>
                <c:ptCount val="3"/>
                <c:pt idx="0">
                  <c:v>0</c:v>
                </c:pt>
                <c:pt idx="1">
                  <c:v>26.2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A3-41A8-A1D6-CFAD031C56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BF-49D9-8C6B-2828F17E2DD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BF-49D9-8C6B-2828F17E2DD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BF-49D9-8C6B-2828F17E2DD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BF-49D9-8C6B-2828F17E2D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BF-49D9-8C6B-2828F17E2DD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'224'!$O$127:$Q$127</c:f>
              <c:numCache>
                <c:formatCode>General</c:formatCode>
                <c:ptCount val="3"/>
                <c:pt idx="0">
                  <c:v>0</c:v>
                </c:pt>
                <c:pt idx="1">
                  <c:v>26.2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BF-49D9-8C6B-2828F17E2DD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B0-4151-813B-4F7F0996E00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B0-4151-813B-4F7F0996E00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B0-4151-813B-4F7F0996E00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B0-4151-813B-4F7F0996E00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B0-4151-813B-4F7F0996E0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'224'!$R$127:$T$127</c:f>
              <c:numCache>
                <c:formatCode>General</c:formatCode>
                <c:ptCount val="3"/>
                <c:pt idx="0">
                  <c:v>0</c:v>
                </c:pt>
                <c:pt idx="1">
                  <c:v>26.2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B0-4151-813B-4F7F0996E00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749340427890477"/>
          <c:y val="0.22188292652596198"/>
          <c:w val="0.43740538742933155"/>
          <c:h val="0.72159782304565134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AA-4234-B3E1-705C95BD8D06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AA-4234-B3E1-705C95BD8D06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AA-4234-B3E1-705C95BD8D0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AA-4234-B3E1-705C95BD8D0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AA-4234-B3E1-705C95BD8D0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AA-4234-B3E1-705C95BD8D06}"/>
                </c:ext>
              </c:extLst>
            </c:dLbl>
            <c:dLbl>
              <c:idx val="1"/>
              <c:layout>
                <c:manualLayout>
                  <c:x val="-6.1736111111111054E-2"/>
                  <c:y val="0.10232054093567251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095486111111112"/>
                      <c:h val="0.112563961988304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6AA-4234-B3E1-705C95BD8D0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'225'!$E$127:$I$127</c:f>
              <c:numCache>
                <c:formatCode>General</c:formatCode>
                <c:ptCount val="5"/>
                <c:pt idx="0">
                  <c:v>0</c:v>
                </c:pt>
                <c:pt idx="1">
                  <c:v>20.100000000000001</c:v>
                </c:pt>
                <c:pt idx="2">
                  <c:v>67.600000000000009</c:v>
                </c:pt>
                <c:pt idx="3">
                  <c:v>0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AA-4234-B3E1-705C95BD8D06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6AA-4234-B3E1-705C95BD8D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6AA-4234-B3E1-705C95BD8D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6AA-4234-B3E1-705C95BD8D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6AA-4234-B3E1-705C95BD8D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6AA-4234-B3E1-705C95BD8D0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'225'!$E$127:$I$127</c:f>
              <c:numCache>
                <c:formatCode>General</c:formatCode>
                <c:ptCount val="5"/>
                <c:pt idx="0">
                  <c:v>0</c:v>
                </c:pt>
                <c:pt idx="1">
                  <c:v>20.100000000000001</c:v>
                </c:pt>
                <c:pt idx="2">
                  <c:v>67.600000000000009</c:v>
                </c:pt>
                <c:pt idx="3">
                  <c:v>0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6AA-4234-B3E1-705C95BD8D06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6AA-4234-B3E1-705C95BD8D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6AA-4234-B3E1-705C95BD8D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6AA-4234-B3E1-705C95BD8D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6AA-4234-B3E1-705C95BD8D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6AA-4234-B3E1-705C95BD8D0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'225'!$E$127:$I$127</c:f>
              <c:numCache>
                <c:formatCode>General</c:formatCode>
                <c:ptCount val="5"/>
                <c:pt idx="0">
                  <c:v>0</c:v>
                </c:pt>
                <c:pt idx="1">
                  <c:v>20.100000000000001</c:v>
                </c:pt>
                <c:pt idx="2">
                  <c:v>67.600000000000009</c:v>
                </c:pt>
                <c:pt idx="3">
                  <c:v>0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6AA-4234-B3E1-705C95BD8D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7A-4ACF-96C1-B3B49B290B6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7A-4ACF-96C1-B3B49B290B6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7A-4ACF-96C1-B3B49B290B6C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7A-4ACF-96C1-B3B49B290B6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'225'!$L$127:$N$127</c:f>
              <c:numCache>
                <c:formatCode>General</c:formatCode>
                <c:ptCount val="3"/>
                <c:pt idx="0">
                  <c:v>6.5</c:v>
                </c:pt>
                <c:pt idx="1">
                  <c:v>45.499999999999993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7A-4ACF-96C1-B3B49B290B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1F-4C11-8C26-DAFCB902688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1F-4C11-8C26-DAFCB902688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1F-4C11-8C26-DAFCB902688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F-4C11-8C26-DAFCB90268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1F-4C11-8C26-DAFCB902688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'225'!$O$127:$Q$127</c:f>
              <c:numCache>
                <c:formatCode>General</c:formatCode>
                <c:ptCount val="3"/>
                <c:pt idx="0">
                  <c:v>0</c:v>
                </c:pt>
                <c:pt idx="1">
                  <c:v>76.2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1F-4C11-8C26-DAFCB902688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F6-4CC9-9781-E04108B5224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F6-4CC9-9781-E04108B5224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F6-4CC9-9781-E04108B5224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F6-4CC9-9781-E04108B522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F6-4CC9-9781-E04108B5224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'225'!$R$127:$T$127</c:f>
              <c:numCache>
                <c:formatCode>General</c:formatCode>
                <c:ptCount val="3"/>
                <c:pt idx="0">
                  <c:v>0</c:v>
                </c:pt>
                <c:pt idx="1">
                  <c:v>76.2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F6-4CC9-9781-E04108B522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E5-4F1C-8815-941D81962B7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E5-4F1C-8815-941D81962B70}"/>
              </c:ext>
            </c:extLst>
          </c:dPt>
          <c:dLbls>
            <c:dLbl>
              <c:idx val="0"/>
              <c:layout>
                <c:manualLayout>
                  <c:x val="1.0148842592592593E-2"/>
                  <c:y val="-1.476096491228070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E5-4F1C-8815-941D81962B7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'225'!$J$127:$K$127</c:f>
              <c:numCache>
                <c:formatCode>General</c:formatCode>
                <c:ptCount val="2"/>
                <c:pt idx="0">
                  <c:v>76.2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E5-4F1C-8815-941D81962B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7E5-4F1C-8815-941D81962B7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7E5-4F1C-8815-941D81962B7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7E5-4F1C-8815-941D81962B7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7E5-4F1C-8815-941D81962B7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7E5-4F1C-8815-941D81962B7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'226'!$J$6:$K$6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7E5-4F1C-8815-941D81962B7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7E5-4F1C-8815-941D81962B7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7E5-4F1C-8815-941D81962B7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7E5-4F1C-8815-941D81962B7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7E5-4F1C-8815-941D81962B7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7E5-4F1C-8815-941D81962B7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7E5-4F1C-8815-941D81962B7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976964251338169"/>
          <c:y val="0.24373072248611535"/>
          <c:w val="0.42128255531941156"/>
          <c:h val="0.69039916954677061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7A-4D61-948E-E6D5E1C2ACB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7A-4D61-948E-E6D5E1C2ACB2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7A-4D61-948E-E6D5E1C2ACB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7A-4D61-948E-E6D5E1C2ACB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7A-4D61-948E-E6D5E1C2ACB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7A-4D61-948E-E6D5E1C2ACB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'226'!$E$127:$I$127</c:f>
              <c:numCache>
                <c:formatCode>General</c:formatCode>
                <c:ptCount val="5"/>
                <c:pt idx="0">
                  <c:v>0</c:v>
                </c:pt>
                <c:pt idx="1">
                  <c:v>27.099999999999998</c:v>
                </c:pt>
                <c:pt idx="2">
                  <c:v>37.930000000000007</c:v>
                </c:pt>
                <c:pt idx="3">
                  <c:v>19.190000000000001</c:v>
                </c:pt>
                <c:pt idx="4">
                  <c:v>35.03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7A-4D61-948E-E6D5E1C2ACB2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07A-4D61-948E-E6D5E1C2AC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07A-4D61-948E-E6D5E1C2AC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07A-4D61-948E-E6D5E1C2AC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07A-4D61-948E-E6D5E1C2AC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07A-4D61-948E-E6D5E1C2ACB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'226'!$E$127:$I$127</c:f>
              <c:numCache>
                <c:formatCode>General</c:formatCode>
                <c:ptCount val="5"/>
                <c:pt idx="0">
                  <c:v>0</c:v>
                </c:pt>
                <c:pt idx="1">
                  <c:v>27.099999999999998</c:v>
                </c:pt>
                <c:pt idx="2">
                  <c:v>37.930000000000007</c:v>
                </c:pt>
                <c:pt idx="3">
                  <c:v>19.190000000000001</c:v>
                </c:pt>
                <c:pt idx="4">
                  <c:v>35.03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7A-4D61-948E-E6D5E1C2ACB2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07A-4D61-948E-E6D5E1C2AC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07A-4D61-948E-E6D5E1C2AC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07A-4D61-948E-E6D5E1C2AC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07A-4D61-948E-E6D5E1C2AC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07A-4D61-948E-E6D5E1C2ACB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'226'!$E$127:$I$127</c:f>
              <c:numCache>
                <c:formatCode>General</c:formatCode>
                <c:ptCount val="5"/>
                <c:pt idx="0">
                  <c:v>0</c:v>
                </c:pt>
                <c:pt idx="1">
                  <c:v>27.099999999999998</c:v>
                </c:pt>
                <c:pt idx="2">
                  <c:v>37.930000000000007</c:v>
                </c:pt>
                <c:pt idx="3">
                  <c:v>19.190000000000001</c:v>
                </c:pt>
                <c:pt idx="4">
                  <c:v>35.03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07A-4D61-948E-E6D5E1C2ACB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2D2-4163-92E2-F40A280215B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2D2-4163-92E2-F40A280215BA}"/>
              </c:ext>
            </c:extLst>
          </c:dPt>
          <c:dLbls>
            <c:dLbl>
              <c:idx val="0"/>
              <c:layout>
                <c:manualLayout>
                  <c:x val="-8.2782394330899442E-2"/>
                  <c:y val="-0.282050370026241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D2-4163-92E2-F40A280215B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'226'!$J$127:$K$127</c:f>
              <c:numCache>
                <c:formatCode>General</c:formatCode>
                <c:ptCount val="2"/>
                <c:pt idx="0">
                  <c:v>65.03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D2-4163-92E2-F40A280215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12D2-4163-92E2-F40A280215B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12D2-4163-92E2-F40A280215B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12D2-4163-92E2-F40A280215B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12D2-4163-92E2-F40A280215B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12D2-4163-92E2-F40A280215B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'226'!$J$6:$K$6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12D2-4163-92E2-F40A280215BA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12D2-4163-92E2-F40A280215B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12D2-4163-92E2-F40A280215B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12D2-4163-92E2-F40A280215B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12D2-4163-92E2-F40A280215B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12D2-4163-92E2-F40A280215B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2D2-4163-92E2-F40A280215B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FF-41D5-9478-89F2EB86F66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FF-41D5-9478-89F2EB86F66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FF-41D5-9478-89F2EB86F66C}"/>
              </c:ext>
            </c:extLst>
          </c:dPt>
          <c:dLbls>
            <c:dLbl>
              <c:idx val="0"/>
              <c:layout>
                <c:manualLayout>
                  <c:x val="-0.16199425742309201"/>
                  <c:y val="0.1311576499948642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FF-41D5-9478-89F2EB86F6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FF-41D5-9478-89F2EB86F66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'226'!$L$127:$N$127</c:f>
              <c:numCache>
                <c:formatCode>General</c:formatCode>
                <c:ptCount val="3"/>
                <c:pt idx="0">
                  <c:v>13.09</c:v>
                </c:pt>
                <c:pt idx="1">
                  <c:v>29.729999999999997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FF-41D5-9478-89F2EB86F6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58-4E5F-87DD-448E7A34F22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58-4E5F-87DD-448E7A34F22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58-4E5F-87DD-448E7A34F22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58-4E5F-87DD-448E7A34F22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58-4E5F-87DD-448E7A34F22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'226'!$O$127:$Q$127</c:f>
              <c:numCache>
                <c:formatCode>General</c:formatCode>
                <c:ptCount val="3"/>
                <c:pt idx="0">
                  <c:v>0</c:v>
                </c:pt>
                <c:pt idx="1">
                  <c:v>65.03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58-4E5F-87DD-448E7A34F22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3E-4EDD-8B9C-79D450B12DD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3E-4EDD-8B9C-79D450B12DD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3E-4EDD-8B9C-79D450B12DD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3E-4EDD-8B9C-79D450B12D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3E-4EDD-8B9C-79D450B12DD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'226'!$R$6:$T$6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'226'!$R$127:$T$127</c:f>
              <c:numCache>
                <c:formatCode>General</c:formatCode>
                <c:ptCount val="3"/>
                <c:pt idx="0">
                  <c:v>0</c:v>
                </c:pt>
                <c:pt idx="1">
                  <c:v>65.03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3E-4EDD-8B9C-79D450B12D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272634982467712"/>
          <c:y val="0.22753815830341464"/>
          <c:w val="0.43412431530632323"/>
          <c:h val="0.71130551519781671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C7-4301-B565-E53B574CBD16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C7-4301-B565-E53B574CBD16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AC7-4301-B565-E53B574CBD1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AC7-4301-B565-E53B574CBD1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AC7-4301-B565-E53B574CBD1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C7-4301-B565-E53B574CBD1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'227'!$E$127:$I$127</c:f>
              <c:numCache>
                <c:formatCode>General</c:formatCode>
                <c:ptCount val="5"/>
                <c:pt idx="0">
                  <c:v>0</c:v>
                </c:pt>
                <c:pt idx="1">
                  <c:v>36.25</c:v>
                </c:pt>
                <c:pt idx="2">
                  <c:v>6.900000000000003</c:v>
                </c:pt>
                <c:pt idx="3">
                  <c:v>22.059999999999995</c:v>
                </c:pt>
                <c:pt idx="4">
                  <c:v>15.819999999999999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C7-4301-B565-E53B574CBD16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AC7-4301-B565-E53B574CBD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AC7-4301-B565-E53B574CBD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AC7-4301-B565-E53B574CBD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AC7-4301-B565-E53B574CBD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BAC7-4301-B565-E53B574CBD1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'227'!$E$127:$I$127</c:f>
              <c:numCache>
                <c:formatCode>General</c:formatCode>
                <c:ptCount val="5"/>
                <c:pt idx="0">
                  <c:v>0</c:v>
                </c:pt>
                <c:pt idx="1">
                  <c:v>36.25</c:v>
                </c:pt>
                <c:pt idx="2">
                  <c:v>6.900000000000003</c:v>
                </c:pt>
                <c:pt idx="3">
                  <c:v>22.059999999999995</c:v>
                </c:pt>
                <c:pt idx="4">
                  <c:v>15.819999999999999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AC7-4301-B565-E53B574CBD16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AC7-4301-B565-E53B574CBD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AC7-4301-B565-E53B574CBD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AC7-4301-B565-E53B574CBD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AC7-4301-B565-E53B574CBD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AC7-4301-B565-E53B574CBD1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'227'!$E$127:$I$127</c:f>
              <c:numCache>
                <c:formatCode>General</c:formatCode>
                <c:ptCount val="5"/>
                <c:pt idx="0">
                  <c:v>0</c:v>
                </c:pt>
                <c:pt idx="1">
                  <c:v>36.25</c:v>
                </c:pt>
                <c:pt idx="2">
                  <c:v>6.900000000000003</c:v>
                </c:pt>
                <c:pt idx="3">
                  <c:v>22.059999999999995</c:v>
                </c:pt>
                <c:pt idx="4">
                  <c:v>15.819999999999999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AC7-4301-B565-E53B574CBD1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362326147038571"/>
          <c:y val="0.24143363528948406"/>
          <c:w val="0.43370134763054924"/>
          <c:h val="0.7067498654969405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28-4153-9F40-E53BACB83D1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28-4153-9F40-E53BACB83D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'227'!$J$6:$K$6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'227'!$J$127:$K$127</c:f>
              <c:numCache>
                <c:formatCode>General</c:formatCode>
                <c:ptCount val="2"/>
                <c:pt idx="0">
                  <c:v>43.15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28-4153-9F40-E53BACB83D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B728-4153-9F40-E53BACB83D1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B728-4153-9F40-E53BACB83D1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B728-4153-9F40-E53BACB83D1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B728-4153-9F40-E53BACB83D1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B728-4153-9F40-E53BACB83D1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'227'!$J$6:$K$6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B728-4153-9F40-E53BACB83D1B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B728-4153-9F40-E53BACB83D1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B728-4153-9F40-E53BACB83D1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B728-4153-9F40-E53BACB83D1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728-4153-9F40-E53BACB83D1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728-4153-9F40-E53BACB83D1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728-4153-9F40-E53BACB83D1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778912037037036"/>
          <c:y val="4.1186403508771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9C-418A-9FA8-ED3E32DA95A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9C-418A-9FA8-ED3E32DA95A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9C-418A-9FA8-ED3E32DA95AB}"/>
              </c:ext>
            </c:extLst>
          </c:dPt>
          <c:dLbls>
            <c:dLbl>
              <c:idx val="0"/>
              <c:layout>
                <c:manualLayout>
                  <c:x val="2.6921705490030923E-2"/>
                  <c:y val="1.11577893447664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9C-418A-9FA8-ED3E32DA95AB}"/>
                </c:ext>
              </c:extLst>
            </c:dLbl>
            <c:dLbl>
              <c:idx val="1"/>
              <c:layout>
                <c:manualLayout>
                  <c:x val="-0.13482171133003482"/>
                  <c:y val="-0.2518072969919711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9C-418A-9FA8-ED3E32DA95A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'227'!$L$6:$N$6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'227'!$L$127:$N$127</c:f>
              <c:numCache>
                <c:formatCode>General</c:formatCode>
                <c:ptCount val="3"/>
                <c:pt idx="0">
                  <c:v>3.06</c:v>
                </c:pt>
                <c:pt idx="1">
                  <c:v>28.79</c:v>
                </c:pt>
                <c:pt idx="2">
                  <c:v>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9C-418A-9FA8-ED3E32DA95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F1-4676-AE17-F45F69EE95F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F1-4676-AE17-F45F69EE95F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F1-4676-AE17-F45F69EE95F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F1-4676-AE17-F45F69EE95F2}"/>
                </c:ext>
              </c:extLst>
            </c:dLbl>
            <c:dLbl>
              <c:idx val="1"/>
              <c:layout>
                <c:manualLayout>
                  <c:x val="-5.1172677518311734E-2"/>
                  <c:y val="-0.2959241660449500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F1-4676-AE17-F45F69EE95F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'227'!$O$6:$Q$6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'227'!$O$127:$Q$127</c:f>
              <c:numCache>
                <c:formatCode>General</c:formatCode>
                <c:ptCount val="3"/>
                <c:pt idx="0">
                  <c:v>0</c:v>
                </c:pt>
                <c:pt idx="1">
                  <c:v>41.29</c:v>
                </c:pt>
                <c:pt idx="2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F1-4676-AE17-F45F69EE95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5F-4C1C-88A7-EB31BB9B4AD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5F-4C1C-88A7-EB31BB9B4AD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5F-4C1C-88A7-EB31BB9B4AD9}"/>
              </c:ext>
            </c:extLst>
          </c:dPt>
          <c:dLbls>
            <c:dLbl>
              <c:idx val="0"/>
              <c:layout>
                <c:manualLayout>
                  <c:x val="-6.3314187933222604E-2"/>
                  <c:y val="6.8708776407661848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14393947666918"/>
                      <c:h val="7.88437474020162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E5F-4C1C-88A7-EB31BB9B4AD9}"/>
                </c:ext>
              </c:extLst>
            </c:dLbl>
            <c:dLbl>
              <c:idx val="1"/>
              <c:layout>
                <c:manualLayout>
                  <c:x val="0.16254416206153086"/>
                  <c:y val="-0.2475900607392867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F-4C1C-88A7-EB31BB9B4AD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5F-4C1C-88A7-EB31BB9B4AD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'227'!$R$6:$T$6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'227'!$R$127:$T$127</c:f>
              <c:numCache>
                <c:formatCode>General</c:formatCode>
                <c:ptCount val="3"/>
                <c:pt idx="0">
                  <c:v>8.99</c:v>
                </c:pt>
                <c:pt idx="1">
                  <c:v>43.15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5F-4C1C-88A7-EB31BB9B4A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A3-453B-A85E-2D2841074FC9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A3-453B-A85E-2D2841074FC9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A3-453B-A85E-2D2841074FC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A3-453B-A85E-2D2841074FC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A3-453B-A85E-2D2841074FC9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8A3-453B-A85E-2D2841074F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A3-453B-A85E-2D2841074F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A3-453B-A85E-2D2841074F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A3-453B-A85E-2D2841074F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A3-453B-A85E-2D2841074FC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'228'!$E$127:$I$127</c:f>
              <c:numCache>
                <c:formatCode>General</c:formatCode>
                <c:ptCount val="5"/>
                <c:pt idx="0">
                  <c:v>4.3399999999999963</c:v>
                </c:pt>
                <c:pt idx="1">
                  <c:v>50.6</c:v>
                </c:pt>
                <c:pt idx="2">
                  <c:v>0</c:v>
                </c:pt>
                <c:pt idx="3">
                  <c:v>50.6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A3-453B-A85E-2D2841074FC9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8A3-453B-A85E-2D2841074F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8A3-453B-A85E-2D2841074F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8A3-453B-A85E-2D2841074F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8A3-453B-A85E-2D2841074F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8A3-453B-A85E-2D2841074FC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'228'!$E$127:$I$127</c:f>
              <c:numCache>
                <c:formatCode>General</c:formatCode>
                <c:ptCount val="5"/>
                <c:pt idx="0">
                  <c:v>4.3399999999999963</c:v>
                </c:pt>
                <c:pt idx="1">
                  <c:v>50.6</c:v>
                </c:pt>
                <c:pt idx="2">
                  <c:v>0</c:v>
                </c:pt>
                <c:pt idx="3">
                  <c:v>50.6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8A3-453B-A85E-2D2841074FC9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8A3-453B-A85E-2D2841074F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8A3-453B-A85E-2D2841074F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8A3-453B-A85E-2D2841074F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8A3-453B-A85E-2D2841074F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8A3-453B-A85E-2D2841074FC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'228'!$E$127:$I$127</c:f>
              <c:numCache>
                <c:formatCode>General</c:formatCode>
                <c:ptCount val="5"/>
                <c:pt idx="0">
                  <c:v>4.3399999999999963</c:v>
                </c:pt>
                <c:pt idx="1">
                  <c:v>50.6</c:v>
                </c:pt>
                <c:pt idx="2">
                  <c:v>0</c:v>
                </c:pt>
                <c:pt idx="3">
                  <c:v>50.6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8A3-453B-A85E-2D2841074F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9A-452D-A0BE-50EB9360FEB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9A-452D-A0BE-50EB9360FEB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9A-452D-A0BE-50EB9360FEB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'228'!$J$127:$K$127</c:f>
              <c:numCache>
                <c:formatCode>General</c:formatCode>
                <c:ptCount val="2"/>
                <c:pt idx="0">
                  <c:v>0</c:v>
                </c:pt>
                <c:pt idx="1">
                  <c:v>54.94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9A-452D-A0BE-50EB9360FE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A9A-452D-A0BE-50EB9360FE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A9A-452D-A0BE-50EB9360FE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A9A-452D-A0BE-50EB9360FEB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A9A-452D-A0BE-50EB9360FEB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A9A-452D-A0BE-50EB9360FEB5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'228'!$J$6:$K$6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A9A-452D-A0BE-50EB9360FEB5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A9A-452D-A0BE-50EB9360FE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A9A-452D-A0BE-50EB9360FE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A9A-452D-A0BE-50EB9360FEB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A9A-452D-A0BE-50EB9360FEB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A9A-452D-A0BE-50EB9360FEB5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A9A-452D-A0BE-50EB9360FEB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2A-4A0C-9E4F-E2832A9C141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22A-4A0C-9E4F-E2832A9C141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22A-4A0C-9E4F-E2832A9C141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2A-4A0C-9E4F-E2832A9C141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'228'!$L$127:$N$127</c:f>
              <c:numCache>
                <c:formatCode>General</c:formatCode>
                <c:ptCount val="3"/>
                <c:pt idx="0">
                  <c:v>0</c:v>
                </c:pt>
                <c:pt idx="1">
                  <c:v>54.94</c:v>
                </c:pt>
                <c:pt idx="2">
                  <c:v>54.94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A-4A0C-9E4F-E2832A9C14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01-42F8-9752-3C84DAB1B11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01-42F8-9752-3C84DAB1B11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01-42F8-9752-3C84DAB1B11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01-42F8-9752-3C84DAB1B1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01-42F8-9752-3C84DAB1B11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'228'!$O$127:$Q$127</c:f>
              <c:numCache>
                <c:formatCode>General</c:formatCode>
                <c:ptCount val="3"/>
                <c:pt idx="0">
                  <c:v>54.94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01-42F8-9752-3C84DAB1B11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687738335623129"/>
          <c:y val="0.21203834045299003"/>
          <c:w val="0.45675700550105508"/>
          <c:h val="0.7379096907705531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E4-4ADF-9987-7D378305E32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E4-4ADF-9987-7D378305E32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E4-4ADF-9987-7D378305E32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E4-4ADF-9987-7D378305E3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E4-4ADF-9987-7D378305E32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'228'!$R$127:$T$127</c:f>
              <c:numCache>
                <c:formatCode>General</c:formatCode>
                <c:ptCount val="3"/>
                <c:pt idx="0">
                  <c:v>0</c:v>
                </c:pt>
                <c:pt idx="1">
                  <c:v>54.94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E4-4ADF-9987-7D378305E3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09-487D-987B-3579917D550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09-487D-987B-3579917D550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09-487D-987B-3579917D550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409-487D-987B-3579917D550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409-487D-987B-3579917D5503}"/>
              </c:ext>
            </c:extLst>
          </c:dPt>
          <c:dLbls>
            <c:dLbl>
              <c:idx val="0"/>
              <c:layout>
                <c:manualLayout>
                  <c:x val="-5.8796296296296298E-2"/>
                  <c:y val="0.1263585526315789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83449074074075"/>
                      <c:h val="9.39967105263157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409-487D-987B-3579917D550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09-487D-987B-3579917D550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09-487D-987B-3579917D550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09-487D-987B-3579917D550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'229'!$E$127:$I$127</c:f>
              <c:numCache>
                <c:formatCode>General</c:formatCode>
                <c:ptCount val="5"/>
                <c:pt idx="0">
                  <c:v>0.44</c:v>
                </c:pt>
                <c:pt idx="1">
                  <c:v>0</c:v>
                </c:pt>
                <c:pt idx="2">
                  <c:v>1.97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09-487D-987B-3579917D550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409-487D-987B-3579917D55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409-487D-987B-3579917D55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409-487D-987B-3579917D55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409-487D-987B-3579917D55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409-487D-987B-3579917D55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'229'!$E$127:$I$127</c:f>
              <c:numCache>
                <c:formatCode>General</c:formatCode>
                <c:ptCount val="5"/>
                <c:pt idx="0">
                  <c:v>0.44</c:v>
                </c:pt>
                <c:pt idx="1">
                  <c:v>0</c:v>
                </c:pt>
                <c:pt idx="2">
                  <c:v>1.97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409-487D-987B-3579917D550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409-487D-987B-3579917D55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409-487D-987B-3579917D55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409-487D-987B-3579917D55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409-487D-987B-3579917D55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409-487D-987B-3579917D55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'229'!$E$127:$I$127</c:f>
              <c:numCache>
                <c:formatCode>General</c:formatCode>
                <c:ptCount val="5"/>
                <c:pt idx="0">
                  <c:v>0.44</c:v>
                </c:pt>
                <c:pt idx="1">
                  <c:v>0</c:v>
                </c:pt>
                <c:pt idx="2">
                  <c:v>1.97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409-487D-987B-3579917D55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08-4990-BEC5-DD6CE54AB04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08-4990-BEC5-DD6CE54AB048}"/>
              </c:ext>
            </c:extLst>
          </c:dPt>
          <c:dLbls>
            <c:dLbl>
              <c:idx val="0"/>
              <c:layout>
                <c:manualLayout>
                  <c:x val="-4.409722222222217E-2"/>
                  <c:y val="8.4582054093567255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23263888888889"/>
                      <c:h val="8.935489766081870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C08-4990-BEC5-DD6CE54AB04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'229'!$J$127:$K$127</c:f>
              <c:numCache>
                <c:formatCode>General</c:formatCode>
                <c:ptCount val="2"/>
                <c:pt idx="0">
                  <c:v>2.41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08-4990-BEC5-DD6CE54AB0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AC08-4990-BEC5-DD6CE54AB04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AC08-4990-BEC5-DD6CE54AB04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AC08-4990-BEC5-DD6CE54AB04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AC08-4990-BEC5-DD6CE54AB04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AC08-4990-BEC5-DD6CE54AB04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'229'!$J$6:$K$6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C08-4990-BEC5-DD6CE54AB04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C08-4990-BEC5-DD6CE54AB04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C08-4990-BEC5-DD6CE54AB04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AC08-4990-BEC5-DD6CE54AB04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C08-4990-BEC5-DD6CE54AB04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AC08-4990-BEC5-DD6CE54AB04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'229'!$J$6:$K$6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C08-4990-BEC5-DD6CE54AB04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23-48A5-9E45-2431222287F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23-48A5-9E45-2431222287F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23-48A5-9E45-2431222287F7}"/>
              </c:ext>
            </c:extLst>
          </c:dPt>
          <c:dLbls>
            <c:dLbl>
              <c:idx val="0"/>
              <c:layout>
                <c:manualLayout>
                  <c:x val="-2.9398148148148149E-2"/>
                  <c:y val="4.7447551169590645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20833333333334"/>
                      <c:h val="8.935489766081870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723-48A5-9E45-2431222287F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23-48A5-9E45-2431222287F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'229'!$L$127:$N$127</c:f>
              <c:numCache>
                <c:formatCode>General</c:formatCode>
                <c:ptCount val="3"/>
                <c:pt idx="0">
                  <c:v>0.44</c:v>
                </c:pt>
                <c:pt idx="1">
                  <c:v>1.97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23-48A5-9E45-2431222287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D0-4A7F-8F93-97BD467843D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D0-4A7F-8F93-97BD467843D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D0-4A7F-8F93-97BD467843D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D0-4A7F-8F93-97BD467843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D0-4A7F-8F93-97BD467843D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'229'!$O$127:$Q$127</c:f>
              <c:numCache>
                <c:formatCode>General</c:formatCode>
                <c:ptCount val="3"/>
                <c:pt idx="0">
                  <c:v>0</c:v>
                </c:pt>
                <c:pt idx="1">
                  <c:v>2.41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D0-4A7F-8F93-97BD467843D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839052279428316"/>
          <c:y val="4.5869215833821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01-405D-8B52-461870E5D41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01-405D-8B52-461870E5D41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01-405D-8B52-461870E5D41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1-405D-8B52-461870E5D4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1-405D-8B52-461870E5D41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'229'!$R$127:$T$127</c:f>
              <c:numCache>
                <c:formatCode>General</c:formatCode>
                <c:ptCount val="3"/>
                <c:pt idx="0">
                  <c:v>0</c:v>
                </c:pt>
                <c:pt idx="1">
                  <c:v>2.41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01-405D-8B52-461870E5D4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755490696694598"/>
          <c:y val="0.25332361033571621"/>
          <c:w val="0.42991799515299045"/>
          <c:h val="0.6947424890752664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91-456A-98A9-63032F9F922B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91-456A-98A9-63032F9F922B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91-456A-98A9-63032F9F922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791-456A-98A9-63032F9F922B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791-456A-98A9-63032F9F922B}"/>
              </c:ext>
            </c:extLst>
          </c:dPt>
          <c:dLbls>
            <c:dLbl>
              <c:idx val="0"/>
              <c:layout>
                <c:manualLayout>
                  <c:x val="-7.2823690395872409E-3"/>
                  <c:y val="-1.562784687918525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91-456A-98A9-63032F9F922B}"/>
                </c:ext>
              </c:extLst>
            </c:dLbl>
            <c:dLbl>
              <c:idx val="1"/>
              <c:layout>
                <c:manualLayout>
                  <c:x val="-0.14911819483853786"/>
                  <c:y val="-5.3183241930742121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10806231590655"/>
                      <c:h val="8.87318933946958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791-456A-98A9-63032F9F922B}"/>
                </c:ext>
              </c:extLst>
            </c:dLbl>
            <c:dLbl>
              <c:idx val="4"/>
              <c:layout>
                <c:manualLayout>
                  <c:x val="1.9666693828878534E-2"/>
                  <c:y val="-1.511971864213619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91-456A-98A9-63032F9F922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'230'!$E$167:$I$167</c:f>
              <c:numCache>
                <c:formatCode>General</c:formatCode>
                <c:ptCount val="5"/>
                <c:pt idx="0">
                  <c:v>14.319999999999999</c:v>
                </c:pt>
                <c:pt idx="1">
                  <c:v>26.78</c:v>
                </c:pt>
                <c:pt idx="2">
                  <c:v>13.5</c:v>
                </c:pt>
                <c:pt idx="3">
                  <c:v>11.779999999999998</c:v>
                </c:pt>
                <c:pt idx="4">
                  <c:v>39.300000000000004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91-456A-98A9-63032F9F922B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791-456A-98A9-63032F9F92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791-456A-98A9-63032F9F92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791-456A-98A9-63032F9F92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791-456A-98A9-63032F9F92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791-456A-98A9-63032F9F922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'230'!$E$167:$I$167</c:f>
              <c:numCache>
                <c:formatCode>General</c:formatCode>
                <c:ptCount val="5"/>
                <c:pt idx="0">
                  <c:v>14.319999999999999</c:v>
                </c:pt>
                <c:pt idx="1">
                  <c:v>26.78</c:v>
                </c:pt>
                <c:pt idx="2">
                  <c:v>13.5</c:v>
                </c:pt>
                <c:pt idx="3">
                  <c:v>11.779999999999998</c:v>
                </c:pt>
                <c:pt idx="4">
                  <c:v>39.300000000000004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791-456A-98A9-63032F9F922B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791-456A-98A9-63032F9F92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791-456A-98A9-63032F9F92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791-456A-98A9-63032F9F92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791-456A-98A9-63032F9F92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791-456A-98A9-63032F9F922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'230'!$E$167:$I$167</c:f>
              <c:numCache>
                <c:formatCode>General</c:formatCode>
                <c:ptCount val="5"/>
                <c:pt idx="0">
                  <c:v>14.319999999999999</c:v>
                </c:pt>
                <c:pt idx="1">
                  <c:v>26.78</c:v>
                </c:pt>
                <c:pt idx="2">
                  <c:v>13.5</c:v>
                </c:pt>
                <c:pt idx="3">
                  <c:v>11.779999999999998</c:v>
                </c:pt>
                <c:pt idx="4">
                  <c:v>39.300000000000004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791-456A-98A9-63032F9F92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824276985670195"/>
          <c:y val="0.23425237946807201"/>
          <c:w val="0.43657457377335618"/>
          <c:h val="0.70457118832049059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32-4D75-B692-DF60A60344F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32-4D75-B692-DF60A60344F8}"/>
              </c:ext>
            </c:extLst>
          </c:dPt>
          <c:dLbls>
            <c:dLbl>
              <c:idx val="0"/>
              <c:layout>
                <c:manualLayout>
                  <c:x val="0.12841759259259258"/>
                  <c:y val="3.140679824561403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32-4D75-B692-DF60A60344F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'230'!$J$6:$K$6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'230'!$J$167:$K$167</c:f>
              <c:numCache>
                <c:formatCode>General</c:formatCode>
                <c:ptCount val="2"/>
                <c:pt idx="0">
                  <c:v>1</c:v>
                </c:pt>
                <c:pt idx="1">
                  <c:v>61.899999999999991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32-4D75-B692-DF60A60344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C32-4D75-B692-DF60A60344F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C32-4D75-B692-DF60A60344F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C32-4D75-B692-DF60A60344F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C32-4D75-B692-DF60A60344F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C32-4D75-B692-DF60A60344F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'230'!$J$6:$K$6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C32-4D75-B692-DF60A60344F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C32-4D75-B692-DF60A60344F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C32-4D75-B692-DF60A60344F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C32-4D75-B692-DF60A60344F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C32-4D75-B692-DF60A60344F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C32-4D75-B692-DF60A60344F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C32-4D75-B692-DF60A60344F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6B-42A9-8018-191B8F3F6DF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6B-42A9-8018-191B8F3F6DF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6B-42A9-8018-191B8F3F6DF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6B-42A9-8018-191B8F3F6DF6}"/>
                </c:ext>
              </c:extLst>
            </c:dLbl>
            <c:dLbl>
              <c:idx val="1"/>
              <c:layout>
                <c:manualLayout>
                  <c:x val="-3.6128726257333939E-2"/>
                  <c:y val="-0.311237409241731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6B-42A9-8018-191B8F3F6DF6}"/>
                </c:ext>
              </c:extLst>
            </c:dLbl>
            <c:dLbl>
              <c:idx val="2"/>
              <c:layout>
                <c:manualLayout>
                  <c:x val="1.9556319190712015E-2"/>
                  <c:y val="-2.48181547942936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6B-42A9-8018-191B8F3F6DF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'230'!$L$6:$N$6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'230'!$L$167:$N$167</c:f>
              <c:numCache>
                <c:formatCode>General</c:formatCode>
                <c:ptCount val="3"/>
                <c:pt idx="0">
                  <c:v>0</c:v>
                </c:pt>
                <c:pt idx="1">
                  <c:v>38.819999999999993</c:v>
                </c:pt>
                <c:pt idx="2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B-42A9-8018-191B8F3F6D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8B-4FD6-95A3-388A067C423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8B-4FD6-95A3-388A067C423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8B-4FD6-95A3-388A067C423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8B-4FD6-95A3-388A067C42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8B-4FD6-95A3-388A067C423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'230'!$O$6:$Q$6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'230'!$O$167:$Q$167</c:f>
              <c:numCache>
                <c:formatCode>General</c:formatCode>
                <c:ptCount val="3"/>
                <c:pt idx="0">
                  <c:v>0</c:v>
                </c:pt>
                <c:pt idx="1">
                  <c:v>38.819999999999993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8B-4FD6-95A3-388A067C42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45-4EFF-87D9-F172F6657D7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45-4EFF-87D9-F172F6657D7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45-4EFF-87D9-F172F6657D7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45-4EFF-87D9-F172F6657D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45-4EFF-87D9-F172F6657D7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'230'!$R$6:$T$6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'230'!$R$167:$T$167</c:f>
              <c:numCache>
                <c:formatCode>General</c:formatCode>
                <c:ptCount val="3"/>
                <c:pt idx="0">
                  <c:v>0</c:v>
                </c:pt>
                <c:pt idx="1">
                  <c:v>38.819999999999993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45-4EFF-87D9-F172F6657D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60-468C-8A27-46CD38308554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60-468C-8A27-46CD38308554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60-468C-8A27-46CD3830855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60-468C-8A27-46CD3830855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60-468C-8A27-46CD3830855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60-468C-8A27-46CD383085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60-468C-8A27-46CD383085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360-468C-8A27-46CD383085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60-468C-8A27-46CD3830855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'231'!$E$127:$I$127</c:f>
              <c:numCache>
                <c:formatCode>General</c:formatCode>
                <c:ptCount val="5"/>
                <c:pt idx="0">
                  <c:v>0</c:v>
                </c:pt>
                <c:pt idx="1">
                  <c:v>1.1299999999999999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60-468C-8A27-46CD38308554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360-468C-8A27-46CD383085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360-468C-8A27-46CD383085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360-468C-8A27-46CD383085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360-468C-8A27-46CD383085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360-468C-8A27-46CD383085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'231'!$E$127:$I$127</c:f>
              <c:numCache>
                <c:formatCode>General</c:formatCode>
                <c:ptCount val="5"/>
                <c:pt idx="0">
                  <c:v>0</c:v>
                </c:pt>
                <c:pt idx="1">
                  <c:v>1.1299999999999999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360-468C-8A27-46CD38308554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360-468C-8A27-46CD383085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360-468C-8A27-46CD383085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360-468C-8A27-46CD383085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360-468C-8A27-46CD383085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360-468C-8A27-46CD383085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'231'!$E$127:$I$127</c:f>
              <c:numCache>
                <c:formatCode>General</c:formatCode>
                <c:ptCount val="5"/>
                <c:pt idx="0">
                  <c:v>0</c:v>
                </c:pt>
                <c:pt idx="1">
                  <c:v>1.1299999999999999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360-468C-8A27-46CD383085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29F-4E79-993C-F51F1EC7D1F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C29F-4E79-993C-F51F1EC7D1F8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29F-4E79-993C-F51F1EC7D1F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'231'!$J$6:$K$6</c15:sqref>
                  </c15:fullRef>
                </c:ext>
              </c:extLst>
              <c:f>'231'!$J$6:$K$6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'231'!$J$127:$K$127</c15:sqref>
                  </c15:fullRef>
                </c:ext>
              </c:extLst>
              <c:f>'231'!$J$127:$K$127</c:f>
              <c:numCache>
                <c:formatCode>General</c:formatCode>
                <c:ptCount val="2"/>
                <c:pt idx="0">
                  <c:v>1.1299999999999999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29F-4E79-993C-F51F1EC7D1F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C29F-4E79-993C-F51F1EC7D1F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29F-4E79-993C-F51F1EC7D1F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'231'!$J$6:$K$6</c15:sqref>
                  </c15:fullRef>
                </c:ext>
              </c:extLst>
              <c:f>'231'!$J$6:$K$6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'[1]68'!$E$137:$I$137</c15:sqref>
                  </c15:fullRef>
                </c:ext>
              </c:extLst>
              <c:f>'[1]68'!$E$137:$F$137</c:f>
              <c:numCache>
                <c:formatCode>General</c:formatCode>
                <c:ptCount val="2"/>
                <c:pt idx="0">
                  <c:v>18.450000000000003</c:v>
                </c:pt>
                <c:pt idx="1">
                  <c:v>22.46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'[1]68'!$G$137</c15:sqref>
                  <c15:spPr xmlns:c15="http://schemas.microsoft.com/office/drawing/2012/chart"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'[1]68'!$H$137</c15:sqref>
                  <c15:spPr xmlns:c15="http://schemas.microsoft.com/office/drawing/2012/chart"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'[1]68'!$I$137</c15:sqref>
                  <c15:spPr xmlns:c15="http://schemas.microsoft.com/office/drawing/2012/chart"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3-C29F-4E79-993C-F51F1EC7D1F8}"/>
            </c:ext>
          </c:extLst>
        </c:ser>
        <c:ser>
          <c:idx val="3"/>
          <c:order val="2"/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C29F-4E79-993C-F51F1EC7D1F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29F-4E79-993C-F51F1EC7D1F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'231'!$J$6:$K$6</c15:sqref>
                  </c15:fullRef>
                </c:ext>
              </c:extLst>
              <c:f>'231'!$J$6:$K$6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'[1]68'!$E$137:$I$137</c15:sqref>
                  </c15:fullRef>
                </c:ext>
              </c:extLst>
              <c:f>'[1]68'!$E$137:$F$137</c:f>
              <c:numCache>
                <c:formatCode>General</c:formatCode>
                <c:ptCount val="2"/>
                <c:pt idx="0">
                  <c:v>18.450000000000003</c:v>
                </c:pt>
                <c:pt idx="1">
                  <c:v>22.46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'[1]68'!$G$137</c15:sqref>
                  <c15:spPr xmlns:c15="http://schemas.microsoft.com/office/drawing/2012/chart"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'[1]68'!$H$137</c15:sqref>
                  <c15:spPr xmlns:c15="http://schemas.microsoft.com/office/drawing/2012/chart"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  <c15:categoryFilterException>
                  <c15:sqref>'[1]68'!$I$137</c15:sqref>
                  <c15:spPr xmlns:c15="http://schemas.microsoft.com/office/drawing/2012/chart"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9-C29F-4E79-993C-F51F1EC7D1F8}"/>
            </c:ext>
          </c:extLst>
        </c:ser>
        <c:ser>
          <c:idx val="0"/>
          <c:order val="3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C29F-4E79-993C-F51F1EC7D1F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C29F-4E79-993C-F51F1EC7D1F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'231'!$O$6:$Q$6</c15:sqref>
                  </c15:fullRef>
                </c:ext>
              </c:extLst>
              <c:f>'231'!$O$6:$P$6</c:f>
              <c:strCache>
                <c:ptCount val="2"/>
                <c:pt idx="0">
                  <c:v>BOM</c:v>
                </c:pt>
                <c:pt idx="1">
                  <c:v>REG.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'231'!$O$127:$Q$127</c15:sqref>
                  </c15:fullRef>
                </c:ext>
              </c:extLst>
              <c:f>'231'!$O$127:$P$127</c:f>
              <c:numCache>
                <c:formatCode>General</c:formatCode>
                <c:ptCount val="2"/>
                <c:pt idx="0">
                  <c:v>0</c:v>
                </c:pt>
                <c:pt idx="1">
                  <c:v>1.1299999999999999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'231'!$Q$127</c15:sqref>
                  <c15:spPr xmlns:c15="http://schemas.microsoft.com/office/drawing/2012/chart"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F-C29F-4E79-993C-F51F1EC7D1F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7F-478F-BAE9-A91CA9AA09A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7F-478F-BAE9-A91CA9AA09A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7F-478F-BAE9-A91CA9AA09A0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E7F-478F-BAE9-A91CA9AA09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7F-478F-BAE9-A91CA9AA09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7F-478F-BAE9-A91CA9AA09A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'231'!$L$127:$N$127</c:f>
              <c:numCache>
                <c:formatCode>General</c:formatCode>
                <c:ptCount val="3"/>
                <c:pt idx="0">
                  <c:v>1.1299999999999999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F-478F-BAE9-A91CA9AA09A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8E-4367-9C5B-C2ED2DCE907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8E-4367-9C5B-C2ED2DCE907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8E-4367-9C5B-C2ED2DCE907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8E-4367-9C5B-C2ED2DCE90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8E-4367-9C5B-C2ED2DCE907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'231'!$O$127:$Q$127</c:f>
              <c:numCache>
                <c:formatCode>General</c:formatCode>
                <c:ptCount val="3"/>
                <c:pt idx="0">
                  <c:v>0</c:v>
                </c:pt>
                <c:pt idx="1">
                  <c:v>1.1299999999999999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8E-4367-9C5B-C2ED2DCE90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1C-4120-A66E-4A3E15CB4E4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1C-4120-A66E-4A3E15CB4E4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1C-4120-A66E-4A3E15CB4E4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1C-4120-A66E-4A3E15CB4E4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1C-4120-A66E-4A3E15CB4E4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'231'!$R$127:$T$127</c:f>
              <c:numCache>
                <c:formatCode>General</c:formatCode>
                <c:ptCount val="3"/>
                <c:pt idx="0">
                  <c:v>0</c:v>
                </c:pt>
                <c:pt idx="1">
                  <c:v>1.1299999999999999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1C-4120-A66E-4A3E15CB4E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A0-41A2-AF5B-EDE409725D6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A0-41A2-AF5B-EDE409725D6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A0-41A2-AF5B-EDE409725D6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A0-41A2-AF5B-EDE409725D6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A0-41A2-AF5B-EDE409725D6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'233'!$E$158:$I$158</c:f>
              <c:numCache>
                <c:formatCode>General</c:formatCode>
                <c:ptCount val="5"/>
                <c:pt idx="0">
                  <c:v>9</c:v>
                </c:pt>
                <c:pt idx="1">
                  <c:v>57.58</c:v>
                </c:pt>
                <c:pt idx="2">
                  <c:v>33.269999999999996</c:v>
                </c:pt>
                <c:pt idx="3">
                  <c:v>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A0-41A2-AF5B-EDE409725D60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FA0-41A2-AF5B-EDE409725D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FA0-41A2-AF5B-EDE409725D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FA0-41A2-AF5B-EDE409725D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FA0-41A2-AF5B-EDE409725D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FA0-41A2-AF5B-EDE409725D6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'233'!$E$158:$I$158</c:f>
              <c:numCache>
                <c:formatCode>General</c:formatCode>
                <c:ptCount val="5"/>
                <c:pt idx="0">
                  <c:v>9</c:v>
                </c:pt>
                <c:pt idx="1">
                  <c:v>57.58</c:v>
                </c:pt>
                <c:pt idx="2">
                  <c:v>33.269999999999996</c:v>
                </c:pt>
                <c:pt idx="3">
                  <c:v>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FA0-41A2-AF5B-EDE409725D60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FA0-41A2-AF5B-EDE409725D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FA0-41A2-AF5B-EDE409725D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FA0-41A2-AF5B-EDE409725D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FA0-41A2-AF5B-EDE409725D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FA0-41A2-AF5B-EDE409725D6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'233'!$E$158:$I$158</c:f>
              <c:numCache>
                <c:formatCode>General</c:formatCode>
                <c:ptCount val="5"/>
                <c:pt idx="0">
                  <c:v>9</c:v>
                </c:pt>
                <c:pt idx="1">
                  <c:v>57.58</c:v>
                </c:pt>
                <c:pt idx="2">
                  <c:v>33.269999999999996</c:v>
                </c:pt>
                <c:pt idx="3">
                  <c:v>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FA0-41A2-AF5B-EDE409725D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E1-4A69-9FB7-F17D74CAD6A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E1-4A69-9FB7-F17D74CAD6A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'233'!$J$6:$K$6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'233'!$J$158:$K$158</c:f>
              <c:numCache>
                <c:formatCode>General</c:formatCode>
                <c:ptCount val="2"/>
                <c:pt idx="0">
                  <c:v>88.85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E1-4A69-9FB7-F17D74CAD6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0E1-4A69-9FB7-F17D74CAD6A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0E1-4A69-9FB7-F17D74CAD6A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0E1-4A69-9FB7-F17D74CAD6A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0E1-4A69-9FB7-F17D74CAD6A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0E1-4A69-9FB7-F17D74CAD6A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'233'!$J$6:$K$6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0E1-4A69-9FB7-F17D74CAD6A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0E1-4A69-9FB7-F17D74CAD6A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0E1-4A69-9FB7-F17D74CAD6A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0E1-4A69-9FB7-F17D74CAD6A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0E1-4A69-9FB7-F17D74CAD6A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0E1-4A69-9FB7-F17D74CAD6A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0E1-4A69-9FB7-F17D74CAD6A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59-436E-8302-9B892350C18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59-436E-8302-9B892350C18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59-436E-8302-9B892350C18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'233'!$L$6:$N$6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'233'!$L$158:$N$158</c:f>
              <c:numCache>
                <c:formatCode>General</c:formatCode>
                <c:ptCount val="3"/>
                <c:pt idx="0">
                  <c:v>10</c:v>
                </c:pt>
                <c:pt idx="1">
                  <c:v>77.849999999999994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59-436E-8302-9B892350C1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24-407A-A9D7-DA1D1E6BD38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24-407A-A9D7-DA1D1E6BD38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D24-407A-A9D7-DA1D1E6BD38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24-407A-A9D7-DA1D1E6BD38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24-407A-A9D7-DA1D1E6BD38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'233'!$O$6:$Q$6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'233'!$O$158:$Q$158</c:f>
              <c:numCache>
                <c:formatCode>General</c:formatCode>
                <c:ptCount val="3"/>
                <c:pt idx="0">
                  <c:v>0</c:v>
                </c:pt>
                <c:pt idx="1">
                  <c:v>89.85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24-407A-A9D7-DA1D1E6BD3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61-4DD1-AE2D-6879DBBEEF5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61-4DD1-AE2D-6879DBBEEF5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61-4DD1-AE2D-6879DBBEEF5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61-4DD1-AE2D-6879DBBEEF5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E61-4DD1-AE2D-6879DBBEEF5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'233'!$R$6:$T$6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'233'!$R$158:$T$158</c:f>
              <c:numCache>
                <c:formatCode>General</c:formatCode>
                <c:ptCount val="3"/>
                <c:pt idx="0">
                  <c:v>0</c:v>
                </c:pt>
                <c:pt idx="1">
                  <c:v>89.85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61-4DD1-AE2D-6879DBBEEF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942105533604321"/>
          <c:y val="0.21110780783756702"/>
          <c:w val="0.44923412431969162"/>
          <c:h val="0.7249121879782863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5D-4BF4-A87F-446E73AC6C0C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5D-4BF4-A87F-446E73AC6C0C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5D-4BF4-A87F-446E73AC6C0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5D-4BF4-A87F-446E73AC6C0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5D-4BF4-A87F-446E73AC6C0C}"/>
              </c:ext>
            </c:extLst>
          </c:dPt>
          <c:dLbls>
            <c:dLbl>
              <c:idx val="0"/>
              <c:layout>
                <c:manualLayout>
                  <c:x val="8.353854467104331E-2"/>
                  <c:y val="1.88513656342709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5D-4BF4-A87F-446E73AC6C0C}"/>
                </c:ext>
              </c:extLst>
            </c:dLbl>
            <c:dLbl>
              <c:idx val="4"/>
              <c:layout>
                <c:manualLayout>
                  <c:x val="-8.9170388362407649E-2"/>
                  <c:y val="2.428656816508612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55D-4BF4-A87F-446E73AC6C0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'234'!$E$127:$I$127</c:f>
              <c:numCache>
                <c:formatCode>General</c:formatCode>
                <c:ptCount val="5"/>
                <c:pt idx="0">
                  <c:v>3</c:v>
                </c:pt>
                <c:pt idx="1">
                  <c:v>32.120000000000005</c:v>
                </c:pt>
                <c:pt idx="2">
                  <c:v>2.2999999999999989</c:v>
                </c:pt>
                <c:pt idx="3">
                  <c:v>1.7999999999999998</c:v>
                </c:pt>
                <c:pt idx="4">
                  <c:v>24.02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5D-4BF4-A87F-446E73AC6C0C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55D-4BF4-A87F-446E73AC6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55D-4BF4-A87F-446E73AC6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55D-4BF4-A87F-446E73AC6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55D-4BF4-A87F-446E73AC6C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55D-4BF4-A87F-446E73AC6C0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'234'!$E$127:$I$127</c:f>
              <c:numCache>
                <c:formatCode>General</c:formatCode>
                <c:ptCount val="5"/>
                <c:pt idx="0">
                  <c:v>3</c:v>
                </c:pt>
                <c:pt idx="1">
                  <c:v>32.120000000000005</c:v>
                </c:pt>
                <c:pt idx="2">
                  <c:v>2.2999999999999989</c:v>
                </c:pt>
                <c:pt idx="3">
                  <c:v>1.7999999999999998</c:v>
                </c:pt>
                <c:pt idx="4">
                  <c:v>24.02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5D-4BF4-A87F-446E73AC6C0C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55D-4BF4-A87F-446E73AC6C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55D-4BF4-A87F-446E73AC6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55D-4BF4-A87F-446E73AC6C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55D-4BF4-A87F-446E73AC6C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55D-4BF4-A87F-446E73AC6C0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'234'!$E$127:$I$127</c:f>
              <c:numCache>
                <c:formatCode>General</c:formatCode>
                <c:ptCount val="5"/>
                <c:pt idx="0">
                  <c:v>3</c:v>
                </c:pt>
                <c:pt idx="1">
                  <c:v>32.120000000000005</c:v>
                </c:pt>
                <c:pt idx="2">
                  <c:v>2.2999999999999989</c:v>
                </c:pt>
                <c:pt idx="3">
                  <c:v>1.7999999999999998</c:v>
                </c:pt>
                <c:pt idx="4">
                  <c:v>24.02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55D-4BF4-A87F-446E73AC6C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5A-480A-93EA-F95C7565C2F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5A-480A-93EA-F95C7565C2F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5A-480A-93EA-F95C7565C2F3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65A-480A-93EA-F95C7565C2F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'234'!$J$127:$K$127</c:f>
              <c:numCache>
                <c:formatCode>General</c:formatCode>
                <c:ptCount val="2"/>
                <c:pt idx="0">
                  <c:v>0</c:v>
                </c:pt>
                <c:pt idx="1">
                  <c:v>37.42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5A-480A-93EA-F95C7565C2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665A-480A-93EA-F95C7565C2F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665A-480A-93EA-F95C7565C2F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665A-480A-93EA-F95C7565C2F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665A-480A-93EA-F95C7565C2F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665A-480A-93EA-F95C7565C2F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'234'!$J$6:$K$6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665A-480A-93EA-F95C7565C2F3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665A-480A-93EA-F95C7565C2F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665A-480A-93EA-F95C7565C2F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665A-480A-93EA-F95C7565C2F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665A-480A-93EA-F95C7565C2F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665A-480A-93EA-F95C7565C2F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665A-480A-93EA-F95C7565C2F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DA-4F59-B5F3-5D5AFEC96DE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DA-4F59-B5F3-5D5AFEC96DE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DA-4F59-B5F3-5D5AFEC96DE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DA-4F59-B5F3-5D5AFEC96DE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'234'!$L$127:$N$127</c:f>
              <c:numCache>
                <c:formatCode>General</c:formatCode>
                <c:ptCount val="3"/>
                <c:pt idx="0">
                  <c:v>0</c:v>
                </c:pt>
                <c:pt idx="1">
                  <c:v>37.42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A-4F59-B5F3-5D5AFEC96D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A0-4501-8DB7-C7FE366A9E2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A0-4501-8DB7-C7FE366A9E2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A0-4501-8DB7-C7FE366A9E2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A0-4501-8DB7-C7FE366A9E2D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3A0-4501-8DB7-C7FE366A9E2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3A0-4501-8DB7-C7FE366A9E2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'234'!$O$127:$Q$127</c:f>
              <c:numCache>
                <c:formatCode>General</c:formatCode>
                <c:ptCount val="3"/>
                <c:pt idx="0">
                  <c:v>0</c:v>
                </c:pt>
                <c:pt idx="1">
                  <c:v>37.42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A0-4501-8DB7-C7FE366A9E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C5-486F-BBDE-3B56A8CA234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C5-486F-BBDE-3B56A8CA234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C5-486F-BBDE-3B56A8CA234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C5-486F-BBDE-3B56A8CA2346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1C5-486F-BBDE-3B56A8CA234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C5-486F-BBDE-3B56A8CA234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'234'!$R$127:$T$127</c:f>
              <c:numCache>
                <c:formatCode>General</c:formatCode>
                <c:ptCount val="3"/>
                <c:pt idx="0">
                  <c:v>0</c:v>
                </c:pt>
                <c:pt idx="1">
                  <c:v>37.42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5-486F-BBDE-3B56A8CA234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C0-46F5-B0FD-F70864BEBA36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C0-46F5-B0FD-F70864BEBA36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C0-46F5-B0FD-F70864BEBA3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7C0-46F5-B0FD-F70864BEBA3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7C0-46F5-B0FD-F70864BEBA36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C0-46F5-B0FD-F70864BEBA3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'235'!$E$127:$I$127</c:f>
              <c:numCache>
                <c:formatCode>General</c:formatCode>
                <c:ptCount val="5"/>
                <c:pt idx="0">
                  <c:v>3.24</c:v>
                </c:pt>
                <c:pt idx="1">
                  <c:v>5</c:v>
                </c:pt>
                <c:pt idx="2">
                  <c:v>1</c:v>
                </c:pt>
                <c:pt idx="3">
                  <c:v>6.44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C0-46F5-B0FD-F70864BEBA36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7C0-46F5-B0FD-F70864BEBA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7C0-46F5-B0FD-F70864BEBA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7C0-46F5-B0FD-F70864BEBA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7C0-46F5-B0FD-F70864BEBA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7C0-46F5-B0FD-F70864BEBA3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'235'!$E$127:$I$127</c:f>
              <c:numCache>
                <c:formatCode>General</c:formatCode>
                <c:ptCount val="5"/>
                <c:pt idx="0">
                  <c:v>3.24</c:v>
                </c:pt>
                <c:pt idx="1">
                  <c:v>5</c:v>
                </c:pt>
                <c:pt idx="2">
                  <c:v>1</c:v>
                </c:pt>
                <c:pt idx="3">
                  <c:v>6.44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7C0-46F5-B0FD-F70864BEBA36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7C0-46F5-B0FD-F70864BEBA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7C0-46F5-B0FD-F70864BEBA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7C0-46F5-B0FD-F70864BEBA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7C0-46F5-B0FD-F70864BEBA3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7C0-46F5-B0FD-F70864BEBA3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'235'!$E$127:$I$127</c:f>
              <c:numCache>
                <c:formatCode>General</c:formatCode>
                <c:ptCount val="5"/>
                <c:pt idx="0">
                  <c:v>3.24</c:v>
                </c:pt>
                <c:pt idx="1">
                  <c:v>5</c:v>
                </c:pt>
                <c:pt idx="2">
                  <c:v>1</c:v>
                </c:pt>
                <c:pt idx="3">
                  <c:v>6.44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7C0-46F5-B0FD-F70864BEBA3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35-4843-B00C-EE2C6C8E815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35-4843-B00C-EE2C6C8E815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35-4843-B00C-EE2C6C8E815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'235'!$J$127:$K$127</c:f>
              <c:numCache>
                <c:formatCode>General</c:formatCode>
                <c:ptCount val="2"/>
                <c:pt idx="0">
                  <c:v>11.44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35-4843-B00C-EE2C6C8E815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E735-4843-B00C-EE2C6C8E815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E735-4843-B00C-EE2C6C8E815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E735-4843-B00C-EE2C6C8E815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E735-4843-B00C-EE2C6C8E815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E735-4843-B00C-EE2C6C8E815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'235'!$J$6:$K$6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735-4843-B00C-EE2C6C8E815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E735-4843-B00C-EE2C6C8E815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735-4843-B00C-EE2C6C8E815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735-4843-B00C-EE2C6C8E815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735-4843-B00C-EE2C6C8E815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735-4843-B00C-EE2C6C8E815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735-4843-B00C-EE2C6C8E815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7B-4827-96D8-4E49C05FF68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7B-4827-96D8-4E49C05FF68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7B-4827-96D8-4E49C05FF68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7B-4827-96D8-4E49C05FF6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7B-4827-96D8-4E49C05FF68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'235'!$L$127:$N$127</c:f>
              <c:numCache>
                <c:formatCode>General</c:formatCode>
                <c:ptCount val="3"/>
                <c:pt idx="0">
                  <c:v>0</c:v>
                </c:pt>
                <c:pt idx="1">
                  <c:v>11.44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7B-4827-96D8-4E49C05FF68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9A-4C7B-9109-B8C93A2466A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9A-4C7B-9109-B8C93A2466A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9A-4C7B-9109-B8C93A2466A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9A-4C7B-9109-B8C93A2466A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9A-4C7B-9109-B8C93A2466A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'235'!$O$127:$Q$127</c:f>
              <c:numCache>
                <c:formatCode>General</c:formatCode>
                <c:ptCount val="3"/>
                <c:pt idx="0">
                  <c:v>11.44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9A-4C7B-9109-B8C93A2466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64-460A-8998-BCD2CA54054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64-460A-8998-BCD2CA54054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64-460A-8998-BCD2CA54054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64-460A-8998-BCD2CA54054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64-460A-8998-BCD2CA54054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'235'!$R$127:$T$127</c:f>
              <c:numCache>
                <c:formatCode>General</c:formatCode>
                <c:ptCount val="3"/>
                <c:pt idx="0">
                  <c:v>11.44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64-460A-8998-BCD2CA54054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05-4CEC-A41B-03969CB16E5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05-4CEC-A41B-03969CB16E5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E05-4CEC-A41B-03969CB16E5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E05-4CEC-A41B-03969CB16E5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E05-4CEC-A41B-03969CB16E58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05-4CEC-A41B-03969CB16E5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05-4CEC-A41B-03969CB16E5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'243'!$E$127:$I$127</c:f>
              <c:numCache>
                <c:formatCode>General</c:formatCode>
                <c:ptCount val="5"/>
                <c:pt idx="0">
                  <c:v>25.53</c:v>
                </c:pt>
                <c:pt idx="1">
                  <c:v>9.5300000000000011</c:v>
                </c:pt>
                <c:pt idx="2">
                  <c:v>0</c:v>
                </c:pt>
                <c:pt idx="3">
                  <c:v>23.03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05-4CEC-A41B-03969CB16E5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E05-4CEC-A41B-03969CB16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E05-4CEC-A41B-03969CB16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E05-4CEC-A41B-03969CB16E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E05-4CEC-A41B-03969CB16E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E05-4CEC-A41B-03969CB16E5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'243'!$E$127:$I$127</c:f>
              <c:numCache>
                <c:formatCode>General</c:formatCode>
                <c:ptCount val="5"/>
                <c:pt idx="0">
                  <c:v>25.53</c:v>
                </c:pt>
                <c:pt idx="1">
                  <c:v>9.5300000000000011</c:v>
                </c:pt>
                <c:pt idx="2">
                  <c:v>0</c:v>
                </c:pt>
                <c:pt idx="3">
                  <c:v>23.03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E05-4CEC-A41B-03969CB16E5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E05-4CEC-A41B-03969CB16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E05-4CEC-A41B-03969CB16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E05-4CEC-A41B-03969CB16E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E05-4CEC-A41B-03969CB16E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E05-4CEC-A41B-03969CB16E5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'243'!$E$127:$I$127</c:f>
              <c:numCache>
                <c:formatCode>General</c:formatCode>
                <c:ptCount val="5"/>
                <c:pt idx="0">
                  <c:v>25.53</c:v>
                </c:pt>
                <c:pt idx="1">
                  <c:v>9.5300000000000011</c:v>
                </c:pt>
                <c:pt idx="2">
                  <c:v>0</c:v>
                </c:pt>
                <c:pt idx="3">
                  <c:v>23.03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E05-4CEC-A41B-03969CB16E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48-4E88-BC77-F3B11CD0EF5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48-4E88-BC77-F3B11CD0EF5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48-4E88-BC77-F3B11CD0EF5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'243'!$J$6:$K$6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'243'!$J$127:$K$127</c:f>
              <c:numCache>
                <c:formatCode>General</c:formatCode>
                <c:ptCount val="2"/>
                <c:pt idx="0">
                  <c:v>36.06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48-4E88-BC77-F3B11CD0EF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1448-4E88-BC77-F3B11CD0EF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1448-4E88-BC77-F3B11CD0EF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1448-4E88-BC77-F3B11CD0EF56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1448-4E88-BC77-F3B11CD0EF56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1448-4E88-BC77-F3B11CD0EF56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1448-4E88-BC77-F3B11CD0EF56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1448-4E88-BC77-F3B11CD0EF56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1448-4E88-BC77-F3B11CD0EF56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1448-4E88-BC77-F3B11CD0EF56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1448-4E88-BC77-F3B11CD0EF56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1448-4E88-BC77-F3B11CD0EF56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1448-4E88-BC77-F3B11CD0EF5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167107771565267"/>
          <c:y val="4.11863081048867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80-4DCD-8C1A-63859C1B9F8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80-4DCD-8C1A-63859C1B9F8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80-4DCD-8C1A-63859C1B9F8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'243'!$L$6:$N$6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'243'!$L$127:$N$127</c:f>
              <c:numCache>
                <c:formatCode>General</c:formatCode>
                <c:ptCount val="3"/>
                <c:pt idx="0">
                  <c:v>13</c:v>
                </c:pt>
                <c:pt idx="1">
                  <c:v>23.060000000000002</c:v>
                </c:pt>
                <c:pt idx="2">
                  <c:v>13.030000000000001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80-4DCD-8C1A-63859C1B9F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76-4FF1-BDD2-B1ABFF1CCB2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76-4FF1-BDD2-B1ABFF1CCB2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D76-4FF1-BDD2-B1ABFF1CCB2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76-4FF1-BDD2-B1ABFF1CCB2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76-4FF1-BDD2-B1ABFF1CCB2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'243'!$O$6:$Q$6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'243'!$O$127:$Q$127</c:f>
              <c:numCache>
                <c:formatCode>General</c:formatCode>
                <c:ptCount val="3"/>
                <c:pt idx="0">
                  <c:v>0</c:v>
                </c:pt>
                <c:pt idx="1">
                  <c:v>36.06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76-4FF1-BDD2-B1ABFF1CCB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4E-4108-A102-E9AC5068CB9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4E-4108-A102-E9AC5068CB9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4E-4108-A102-E9AC5068CB9A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4E-4108-A102-E9AC5068CB9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'243'!$R$6:$T$6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'243'!$R$127:$T$127</c:f>
              <c:numCache>
                <c:formatCode>General</c:formatCode>
                <c:ptCount val="3"/>
                <c:pt idx="0">
                  <c:v>0.5</c:v>
                </c:pt>
                <c:pt idx="1">
                  <c:v>35.56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4E-4108-A102-E9AC5068CB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BB-4538-81DA-031D00E3EA6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BB-4538-81DA-031D00E3EA6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BB-4538-81DA-031D00E3EA6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4BB-4538-81DA-031D00E3EA6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4BB-4538-81DA-031D00E3EA63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BB-4538-81DA-031D00E3EA6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'244'!$E$127:$I$127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18.999999999999996</c:v>
                </c:pt>
                <c:pt idx="2">
                  <c:v>20.8</c:v>
                </c:pt>
                <c:pt idx="3">
                  <c:v>32.599999999999994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BB-4538-81DA-031D00E3EA6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4BB-4538-81DA-031D00E3E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74BB-4538-81DA-031D00E3E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4BB-4538-81DA-031D00E3E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4BB-4538-81DA-031D00E3E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4BB-4538-81DA-031D00E3EA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'244'!$E$127:$I$127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18.999999999999996</c:v>
                </c:pt>
                <c:pt idx="2">
                  <c:v>20.8</c:v>
                </c:pt>
                <c:pt idx="3">
                  <c:v>32.599999999999994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4BB-4538-81DA-031D00E3EA6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4BB-4538-81DA-031D00E3E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4BB-4538-81DA-031D00E3E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4BB-4538-81DA-031D00E3E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4BB-4538-81DA-031D00E3E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4BB-4538-81DA-031D00E3EA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'244'!$E$127:$I$127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18.999999999999996</c:v>
                </c:pt>
                <c:pt idx="2">
                  <c:v>20.8</c:v>
                </c:pt>
                <c:pt idx="3">
                  <c:v>32.599999999999994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4BB-4538-81DA-031D00E3EA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023491892642459"/>
          <c:y val="3.2084665821020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3D-48B0-95E4-C2005CFF18B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3D-48B0-95E4-C2005CFF18B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3D-48B0-95E4-C2005CFF18B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'244'!$J$127:$K$127</c:f>
              <c:numCache>
                <c:formatCode>General</c:formatCode>
                <c:ptCount val="2"/>
                <c:pt idx="0">
                  <c:v>41.999999999999993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3D-48B0-95E4-C2005CFF18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0A3D-48B0-95E4-C2005CFF18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0A3D-48B0-95E4-C2005CFF18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0A3D-48B0-95E4-C2005CFF18B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0A3D-48B0-95E4-C2005CFF18B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0A3D-48B0-95E4-C2005CFF18B5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0A3D-48B0-95E4-C2005CFF18B5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0A3D-48B0-95E4-C2005CFF18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0A3D-48B0-95E4-C2005CFF18B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0A3D-48B0-95E4-C2005CFF18B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0A3D-48B0-95E4-C2005CFF18B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0A3D-48B0-95E4-C2005CFF18B5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A3D-48B0-95E4-C2005CFF18B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97-4CAE-A444-C2B09E22780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97-4CAE-A444-C2B09E22780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97-4CAE-A444-C2B09E22780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97-4CAE-A444-C2B09E22780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'244'!$L$127:$N$127</c:f>
              <c:numCache>
                <c:formatCode>General</c:formatCode>
                <c:ptCount val="3"/>
                <c:pt idx="0">
                  <c:v>0</c:v>
                </c:pt>
                <c:pt idx="1">
                  <c:v>41.999999999999993</c:v>
                </c:pt>
                <c:pt idx="2">
                  <c:v>41.999999999999993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97-4CAE-A444-C2B09E2278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72-4BDA-961A-0FE808185C0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72-4BDA-961A-0FE808185C0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72-4BDA-961A-0FE808185C0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72-4BDA-961A-0FE808185C0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72-4BDA-961A-0FE808185C0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'244'!$O$127:$Q$127</c:f>
              <c:numCache>
                <c:formatCode>General</c:formatCode>
                <c:ptCount val="3"/>
                <c:pt idx="0">
                  <c:v>0</c:v>
                </c:pt>
                <c:pt idx="1">
                  <c:v>41.999999999999993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2-4BDA-961A-0FE808185C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FDC-4C1C-ADB1-D1B50AB7971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DC-4C1C-ADB1-D1B50AB7971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FDC-4C1C-ADB1-D1B50AB7971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DC-4C1C-ADB1-D1B50AB797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DC-4C1C-ADB1-D1B50AB7971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'244'!$R$127:$T$127</c:f>
              <c:numCache>
                <c:formatCode>General</c:formatCode>
                <c:ptCount val="3"/>
                <c:pt idx="0">
                  <c:v>0</c:v>
                </c:pt>
                <c:pt idx="1">
                  <c:v>41.999999999999993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DC-4C1C-ADB1-D1B50AB797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455171696484627"/>
          <c:y val="0.26271714972760335"/>
          <c:w val="0.4299491167656852"/>
          <c:h val="0.69415513284338815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7E-4DD2-9417-02F6CED16584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7E-4DD2-9417-02F6CED16584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F7E-4DD2-9417-02F6CED1658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F7E-4DD2-9417-02F6CED1658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F7E-4DD2-9417-02F6CED16584}"/>
              </c:ext>
            </c:extLst>
          </c:dPt>
          <c:dLbls>
            <c:dLbl>
              <c:idx val="0"/>
              <c:layout>
                <c:manualLayout>
                  <c:x val="-9.9960645415190882E-2"/>
                  <c:y val="0.133652540685993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206330466070727"/>
                      <c:h val="8.5524458473366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F7E-4DD2-9417-02F6CED16584}"/>
                </c:ext>
              </c:extLst>
            </c:dLbl>
            <c:dLbl>
              <c:idx val="2"/>
              <c:layout>
                <c:manualLayout>
                  <c:x val="0.12138078371844603"/>
                  <c:y val="-0.1532779507293761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62939225276886"/>
                      <c:h val="7.66388004501600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F7E-4DD2-9417-02F6CED16584}"/>
                </c:ext>
              </c:extLst>
            </c:dLbl>
            <c:dLbl>
              <c:idx val="3"/>
              <c:layout>
                <c:manualLayout>
                  <c:x val="0.10567268229605892"/>
                  <c:y val="0.1041675485274120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063135998200933"/>
                      <c:h val="8.5524458473366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F7E-4DD2-9417-02F6CED1658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TT!$D$3:$H$3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TT!$D$18:$H$18</c:f>
              <c:numCache>
                <c:formatCode>#,##0.00</c:formatCode>
                <c:ptCount val="5"/>
                <c:pt idx="0">
                  <c:v>76.17</c:v>
                </c:pt>
                <c:pt idx="1">
                  <c:v>292.39</c:v>
                </c:pt>
                <c:pt idx="2">
                  <c:v>190.17000000000002</c:v>
                </c:pt>
                <c:pt idx="3">
                  <c:v>177.4</c:v>
                </c:pt>
                <c:pt idx="4">
                  <c:v>137.17000000000002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7E-4DD2-9417-02F6CED16584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C-7F7E-4DD2-9417-02F6CED16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E-7F7E-4DD2-9417-02F6CED165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0-7F7E-4DD2-9417-02F6CED165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2-7F7E-4DD2-9417-02F6CED165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4-7F7E-4DD2-9417-02F6CED1658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TT!$D$3:$H$3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TT!$D$18:$H$18</c:f>
              <c:numCache>
                <c:formatCode>#,##0.00</c:formatCode>
                <c:ptCount val="5"/>
                <c:pt idx="0">
                  <c:v>76.17</c:v>
                </c:pt>
                <c:pt idx="1">
                  <c:v>292.39</c:v>
                </c:pt>
                <c:pt idx="2">
                  <c:v>190.17000000000002</c:v>
                </c:pt>
                <c:pt idx="3">
                  <c:v>177.4</c:v>
                </c:pt>
                <c:pt idx="4">
                  <c:v>137.17000000000002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7F7E-4DD2-9417-02F6CED16584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7-7F7E-4DD2-9417-02F6CED16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9-7F7E-4DD2-9417-02F6CED165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B-7F7E-4DD2-9417-02F6CED165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D-7F7E-4DD2-9417-02F6CED1658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F-7F7E-4DD2-9417-02F6CED1658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TT!$D$3:$H$3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TT!$D$18:$H$18</c:f>
              <c:numCache>
                <c:formatCode>#,##0.00</c:formatCode>
                <c:ptCount val="5"/>
                <c:pt idx="0">
                  <c:v>76.17</c:v>
                </c:pt>
                <c:pt idx="1">
                  <c:v>292.39</c:v>
                </c:pt>
                <c:pt idx="2">
                  <c:v>190.17000000000002</c:v>
                </c:pt>
                <c:pt idx="3">
                  <c:v>177.4</c:v>
                </c:pt>
                <c:pt idx="4">
                  <c:v>137.17000000000002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0-7F7E-4DD2-9417-02F6CED165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01194959159126"/>
          <c:y val="2.7550757407543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975419106094176"/>
          <c:y val="0.23166204137700597"/>
          <c:w val="0.462056565143805"/>
          <c:h val="0.73434368603338629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E6-4048-9379-C429D3180D0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E6-4048-9379-C429D3180D0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TT!$I$3:$J$3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TT!$I$18:$J$18</c:f>
              <c:numCache>
                <c:formatCode>#,##0.00</c:formatCode>
                <c:ptCount val="2"/>
                <c:pt idx="0">
                  <c:v>393.47</c:v>
                </c:pt>
                <c:pt idx="1">
                  <c:v>154.26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E6-4048-9379-C429D3180D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ADE6-4048-9379-C429D3180D0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ADE6-4048-9379-C429D3180D0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ADE6-4048-9379-C429D3180D0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ADE6-4048-9379-C429D3180D0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ADE6-4048-9379-C429D3180D0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TT!$I$3:$J$3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DE6-4048-9379-C429D3180D01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DE6-4048-9379-C429D3180D0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DE6-4048-9379-C429D3180D0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ADE6-4048-9379-C429D3180D01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DE6-4048-9379-C429D3180D01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ADE6-4048-9379-C429D3180D01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TT!$I$3:$J$3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DE6-4048-9379-C429D3180D0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0717291543475"/>
          <c:y val="4.1186461372566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13-436F-928B-F06C199A1E0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13-436F-928B-F06C199A1E0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13-436F-928B-F06C199A1E01}"/>
              </c:ext>
            </c:extLst>
          </c:dPt>
          <c:dLbls>
            <c:dLbl>
              <c:idx val="1"/>
              <c:layout>
                <c:manualLayout>
                  <c:x val="-0.16850508798560745"/>
                  <c:y val="-0.1577287446279811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77534154157534"/>
                      <c:h val="8.212381340789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513-436F-928B-F06C199A1E01}"/>
                </c:ext>
              </c:extLst>
            </c:dLbl>
            <c:dLbl>
              <c:idx val="2"/>
              <c:layout>
                <c:manualLayout>
                  <c:x val="0.1485129589025693"/>
                  <c:y val="0.1384800070014736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920728622027323"/>
                      <c:h val="7.76238784266384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513-436F-928B-F06C199A1E0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TT!$K$3:$M$3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TT!$K$18:$M$18</c:f>
              <c:numCache>
                <c:formatCode>#,##0.00</c:formatCode>
                <c:ptCount val="3"/>
                <c:pt idx="0">
                  <c:v>47.22</c:v>
                </c:pt>
                <c:pt idx="1">
                  <c:v>417.71999999999997</c:v>
                </c:pt>
                <c:pt idx="2">
                  <c:v>137.06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13-436F-928B-F06C199A1E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475705803894914"/>
          <c:y val="0.20177584633226447"/>
          <c:w val="0.47215177165502209"/>
          <c:h val="0.7360198500740260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67-446A-85AB-7A5590907CD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67-446A-85AB-7A5590907CD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67-446A-85AB-7A5590907CDB}"/>
              </c:ext>
            </c:extLst>
          </c:dPt>
          <c:dLbls>
            <c:dLbl>
              <c:idx val="0"/>
              <c:layout>
                <c:manualLayout>
                  <c:x val="8.5751671726861253E-2"/>
                  <c:y val="5.3565864353678674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384008232905546"/>
                      <c:h val="8.65653176439928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867-446A-85AB-7A5590907CDB}"/>
                </c:ext>
              </c:extLst>
            </c:dLbl>
            <c:dLbl>
              <c:idx val="1"/>
              <c:layout>
                <c:manualLayout>
                  <c:x val="0.16218451394192263"/>
                  <c:y val="-0.2359767549239279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67-446A-85AB-7A5590907CDB}"/>
                </c:ext>
              </c:extLst>
            </c:dLbl>
            <c:dLbl>
              <c:idx val="2"/>
              <c:layout>
                <c:manualLayout>
                  <c:x val="-0.21761448302196063"/>
                  <c:y val="2.68468448052665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67-446A-85AB-7A5590907CD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TT!$N$3:$P$3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TT!$N$18:$P$18</c:f>
              <c:numCache>
                <c:formatCode>#,##0.00</c:formatCode>
                <c:ptCount val="3"/>
                <c:pt idx="0">
                  <c:v>66.38</c:v>
                </c:pt>
                <c:pt idx="1">
                  <c:v>456.40999999999997</c:v>
                </c:pt>
                <c:pt idx="2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67-446A-85AB-7A5590907C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80-4C8D-9CF6-E7C947454D1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80-4C8D-9CF6-E7C947454D1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80-4C8D-9CF6-E7C947454D1E}"/>
              </c:ext>
            </c:extLst>
          </c:dPt>
          <c:dLbls>
            <c:dLbl>
              <c:idx val="1"/>
              <c:layout>
                <c:manualLayout>
                  <c:x val="0.16409954310007763"/>
                  <c:y val="-0.2865677649663412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80-4C8D-9CF6-E7C947454D1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80-4C8D-9CF6-E7C947454D1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TT!$Q$3:$S$3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TT!$Q$18:$S$18</c:f>
              <c:numCache>
                <c:formatCode>#,##0.00</c:formatCode>
                <c:ptCount val="3"/>
                <c:pt idx="0">
                  <c:v>20.93</c:v>
                </c:pt>
                <c:pt idx="1">
                  <c:v>512.71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80-4C8D-9CF6-E7C947454D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246640</xdr:colOff>
      <xdr:row>8</xdr:row>
      <xdr:rowOff>49472</xdr:rowOff>
    </xdr:from>
    <xdr:to>
      <xdr:col>31</xdr:col>
      <xdr:colOff>480107</xdr:colOff>
      <xdr:row>14</xdr:row>
      <xdr:rowOff>20150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5E1469-895E-4D26-93AB-E1E1D7028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517663</xdr:colOff>
      <xdr:row>8</xdr:row>
      <xdr:rowOff>48247</xdr:rowOff>
    </xdr:from>
    <xdr:to>
      <xdr:col>39</xdr:col>
      <xdr:colOff>167341</xdr:colOff>
      <xdr:row>14</xdr:row>
      <xdr:rowOff>18925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C8ACCE-C7C8-45AF-B1D8-A3E724BD6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252132</xdr:colOff>
      <xdr:row>14</xdr:row>
      <xdr:rowOff>58832</xdr:rowOff>
    </xdr:from>
    <xdr:to>
      <xdr:col>31</xdr:col>
      <xdr:colOff>485599</xdr:colOff>
      <xdr:row>20</xdr:row>
      <xdr:rowOff>29509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F5A93F-CC42-43AE-BDBC-A9ADF7849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527322</xdr:colOff>
      <xdr:row>14</xdr:row>
      <xdr:rowOff>55598</xdr:rowOff>
    </xdr:from>
    <xdr:to>
      <xdr:col>39</xdr:col>
      <xdr:colOff>177000</xdr:colOff>
      <xdr:row>20</xdr:row>
      <xdr:rowOff>26275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2C50452-455E-4CF3-BD2A-1816691DE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254883</xdr:colOff>
      <xdr:row>20</xdr:row>
      <xdr:rowOff>65452</xdr:rowOff>
    </xdr:from>
    <xdr:to>
      <xdr:col>31</xdr:col>
      <xdr:colOff>488350</xdr:colOff>
      <xdr:row>26</xdr:row>
      <xdr:rowOff>36130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A9B1E5-D5E1-4158-BE78-4F7A84C15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79194</xdr:colOff>
      <xdr:row>8</xdr:row>
      <xdr:rowOff>111987</xdr:rowOff>
    </xdr:from>
    <xdr:to>
      <xdr:col>31</xdr:col>
      <xdr:colOff>303444</xdr:colOff>
      <xdr:row>14</xdr:row>
      <xdr:rowOff>72130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871172-3568-411D-8804-C2D9305E1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81642</xdr:colOff>
      <xdr:row>14</xdr:row>
      <xdr:rowOff>129270</xdr:rowOff>
    </xdr:from>
    <xdr:to>
      <xdr:col>31</xdr:col>
      <xdr:colOff>305892</xdr:colOff>
      <xdr:row>20</xdr:row>
      <xdr:rowOff>89412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BCEEF1A-ED06-4A03-AC7B-0BF7CC490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380999</xdr:colOff>
      <xdr:row>14</xdr:row>
      <xdr:rowOff>122465</xdr:rowOff>
    </xdr:from>
    <xdr:to>
      <xdr:col>39</xdr:col>
      <xdr:colOff>20142</xdr:colOff>
      <xdr:row>20</xdr:row>
      <xdr:rowOff>82607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9CEE428-0743-493E-A4B2-123ED050E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74789</xdr:colOff>
      <xdr:row>20</xdr:row>
      <xdr:rowOff>170706</xdr:rowOff>
    </xdr:from>
    <xdr:to>
      <xdr:col>31</xdr:col>
      <xdr:colOff>299579</xdr:colOff>
      <xdr:row>26</xdr:row>
      <xdr:rowOff>130849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B5C94B-ED62-4080-AA3A-558382D63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363989</xdr:colOff>
      <xdr:row>8</xdr:row>
      <xdr:rowOff>95250</xdr:rowOff>
    </xdr:from>
    <xdr:to>
      <xdr:col>39</xdr:col>
      <xdr:colOff>3132</xdr:colOff>
      <xdr:row>14</xdr:row>
      <xdr:rowOff>55393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B58B11-7C89-4622-9DD7-F5FA743DA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321721</xdr:colOff>
      <xdr:row>8</xdr:row>
      <xdr:rowOff>28743</xdr:rowOff>
    </xdr:from>
    <xdr:to>
      <xdr:col>31</xdr:col>
      <xdr:colOff>484338</xdr:colOff>
      <xdr:row>14</xdr:row>
      <xdr:rowOff>8096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06E386-59F8-4411-9AE5-212C0F6B6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554082</xdr:colOff>
      <xdr:row>8</xdr:row>
      <xdr:rowOff>27518</xdr:rowOff>
    </xdr:from>
    <xdr:to>
      <xdr:col>39</xdr:col>
      <xdr:colOff>122788</xdr:colOff>
      <xdr:row>14</xdr:row>
      <xdr:rowOff>6871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F9DC90-6D8D-4C7F-92EC-4228BEFAC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319367</xdr:colOff>
      <xdr:row>14</xdr:row>
      <xdr:rowOff>81244</xdr:rowOff>
    </xdr:from>
    <xdr:to>
      <xdr:col>31</xdr:col>
      <xdr:colOff>481984</xdr:colOff>
      <xdr:row>20</xdr:row>
      <xdr:rowOff>60597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4472924-CAD5-4B4A-80A9-023ED551F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560293</xdr:colOff>
      <xdr:row>14</xdr:row>
      <xdr:rowOff>78441</xdr:rowOff>
    </xdr:from>
    <xdr:to>
      <xdr:col>39</xdr:col>
      <xdr:colOff>128999</xdr:colOff>
      <xdr:row>20</xdr:row>
      <xdr:rowOff>57794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66571B4-3E69-4AF2-B039-35625435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299708</xdr:colOff>
      <xdr:row>20</xdr:row>
      <xdr:rowOff>135489</xdr:rowOff>
    </xdr:from>
    <xdr:to>
      <xdr:col>31</xdr:col>
      <xdr:colOff>462325</xdr:colOff>
      <xdr:row>26</xdr:row>
      <xdr:rowOff>114842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D2D8A5C-2016-4A42-95CE-3BB241F7E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79194</xdr:colOff>
      <xdr:row>8</xdr:row>
      <xdr:rowOff>84772</xdr:rowOff>
    </xdr:from>
    <xdr:to>
      <xdr:col>31</xdr:col>
      <xdr:colOff>195770</xdr:colOff>
      <xdr:row>14</xdr:row>
      <xdr:rowOff>87511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F18615-0CCE-4156-B043-139C64B57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279538</xdr:colOff>
      <xdr:row>8</xdr:row>
      <xdr:rowOff>79545</xdr:rowOff>
    </xdr:from>
    <xdr:to>
      <xdr:col>38</xdr:col>
      <xdr:colOff>380732</xdr:colOff>
      <xdr:row>14</xdr:row>
      <xdr:rowOff>82284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5C29C2-8082-4F98-AA9A-8CE036B40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74544</xdr:colOff>
      <xdr:row>14</xdr:row>
      <xdr:rowOff>159442</xdr:rowOff>
    </xdr:from>
    <xdr:to>
      <xdr:col>31</xdr:col>
      <xdr:colOff>191120</xdr:colOff>
      <xdr:row>20</xdr:row>
      <xdr:rowOff>162181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412767-8CA5-4593-8139-C6E1DF52F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285750</xdr:colOff>
      <xdr:row>14</xdr:row>
      <xdr:rowOff>163286</xdr:rowOff>
    </xdr:from>
    <xdr:to>
      <xdr:col>38</xdr:col>
      <xdr:colOff>402326</xdr:colOff>
      <xdr:row>20</xdr:row>
      <xdr:rowOff>166025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7B33348-9493-49A2-ADF3-3875DD09A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74789</xdr:colOff>
      <xdr:row>20</xdr:row>
      <xdr:rowOff>238743</xdr:rowOff>
    </xdr:from>
    <xdr:to>
      <xdr:col>31</xdr:col>
      <xdr:colOff>191365</xdr:colOff>
      <xdr:row>26</xdr:row>
      <xdr:rowOff>241483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D0FA9C2-897C-4CF5-AC66-F96FB47D3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344265</xdr:colOff>
      <xdr:row>14</xdr:row>
      <xdr:rowOff>44915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13358D-DE97-4085-BF86-17EDDBE86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442823</xdr:colOff>
      <xdr:row>8</xdr:row>
      <xdr:rowOff>79545</xdr:rowOff>
    </xdr:from>
    <xdr:to>
      <xdr:col>39</xdr:col>
      <xdr:colOff>81966</xdr:colOff>
      <xdr:row>14</xdr:row>
      <xdr:rowOff>39688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DC0EEE-FE62-4479-A6FE-BDDC208FB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122465</xdr:colOff>
      <xdr:row>14</xdr:row>
      <xdr:rowOff>156483</xdr:rowOff>
    </xdr:from>
    <xdr:to>
      <xdr:col>31</xdr:col>
      <xdr:colOff>346715</xdr:colOff>
      <xdr:row>20</xdr:row>
      <xdr:rowOff>116625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3D8B689-81AC-40D8-9A94-5CA3248B6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462642</xdr:colOff>
      <xdr:row>14</xdr:row>
      <xdr:rowOff>163286</xdr:rowOff>
    </xdr:from>
    <xdr:to>
      <xdr:col>39</xdr:col>
      <xdr:colOff>100420</xdr:colOff>
      <xdr:row>20</xdr:row>
      <xdr:rowOff>123428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6DBCDD9-2EA4-489A-AA96-286D95099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142825</xdr:colOff>
      <xdr:row>20</xdr:row>
      <xdr:rowOff>238743</xdr:rowOff>
    </xdr:from>
    <xdr:to>
      <xdr:col>31</xdr:col>
      <xdr:colOff>367615</xdr:colOff>
      <xdr:row>26</xdr:row>
      <xdr:rowOff>257795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E3BF53B-584B-4341-9B5C-AB38DE1013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160837</xdr:colOff>
      <xdr:row>8</xdr:row>
      <xdr:rowOff>84772</xdr:rowOff>
    </xdr:from>
    <xdr:to>
      <xdr:col>31</xdr:col>
      <xdr:colOff>385087</xdr:colOff>
      <xdr:row>14</xdr:row>
      <xdr:rowOff>44915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869457-5183-4C22-AD10-83902D9FD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442823</xdr:colOff>
      <xdr:row>8</xdr:row>
      <xdr:rowOff>79544</xdr:rowOff>
    </xdr:from>
    <xdr:to>
      <xdr:col>39</xdr:col>
      <xdr:colOff>81966</xdr:colOff>
      <xdr:row>14</xdr:row>
      <xdr:rowOff>39687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533876-1E01-4284-A41F-4096639C0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149678</xdr:colOff>
      <xdr:row>14</xdr:row>
      <xdr:rowOff>115662</xdr:rowOff>
    </xdr:from>
    <xdr:to>
      <xdr:col>31</xdr:col>
      <xdr:colOff>373928</xdr:colOff>
      <xdr:row>20</xdr:row>
      <xdr:rowOff>75804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14AD811-A6C6-47A3-89B2-94F958D12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449035</xdr:colOff>
      <xdr:row>14</xdr:row>
      <xdr:rowOff>122465</xdr:rowOff>
    </xdr:from>
    <xdr:to>
      <xdr:col>39</xdr:col>
      <xdr:colOff>86813</xdr:colOff>
      <xdr:row>20</xdr:row>
      <xdr:rowOff>82607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6654A81-AFB2-4B4E-A2E7-B52E8C80D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156432</xdr:colOff>
      <xdr:row>20</xdr:row>
      <xdr:rowOff>170706</xdr:rowOff>
    </xdr:from>
    <xdr:to>
      <xdr:col>31</xdr:col>
      <xdr:colOff>381222</xdr:colOff>
      <xdr:row>26</xdr:row>
      <xdr:rowOff>130849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8175DBA-E44E-4F9E-9071-0A908D4E9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416971</xdr:colOff>
      <xdr:row>6</xdr:row>
      <xdr:rowOff>265468</xdr:rowOff>
    </xdr:from>
    <xdr:to>
      <xdr:col>31</xdr:col>
      <xdr:colOff>579588</xdr:colOff>
      <xdr:row>12</xdr:row>
      <xdr:rowOff>244821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41FCDF-589A-42F1-A08A-806BC69DC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65227</xdr:colOff>
      <xdr:row>6</xdr:row>
      <xdr:rowOff>253038</xdr:rowOff>
    </xdr:from>
    <xdr:to>
      <xdr:col>39</xdr:col>
      <xdr:colOff>227844</xdr:colOff>
      <xdr:row>12</xdr:row>
      <xdr:rowOff>232391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087443-58CF-4E67-9704-C3EAD7EA5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414617</xdr:colOff>
      <xdr:row>12</xdr:row>
      <xdr:rowOff>340381</xdr:rowOff>
    </xdr:from>
    <xdr:to>
      <xdr:col>31</xdr:col>
      <xdr:colOff>577234</xdr:colOff>
      <xdr:row>18</xdr:row>
      <xdr:rowOff>319734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F2CA547-AA60-436D-B524-7613943BD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71436</xdr:colOff>
      <xdr:row>12</xdr:row>
      <xdr:rowOff>337577</xdr:rowOff>
    </xdr:from>
    <xdr:to>
      <xdr:col>39</xdr:col>
      <xdr:colOff>234053</xdr:colOff>
      <xdr:row>18</xdr:row>
      <xdr:rowOff>316930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840CB52-F477-46EA-BECE-F6CAAFC7C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428575</xdr:colOff>
      <xdr:row>18</xdr:row>
      <xdr:rowOff>405831</xdr:rowOff>
    </xdr:from>
    <xdr:to>
      <xdr:col>31</xdr:col>
      <xdr:colOff>591192</xdr:colOff>
      <xdr:row>24</xdr:row>
      <xdr:rowOff>385184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1EB0B68-C95B-43D3-9C39-A6CF5521E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84772</xdr:rowOff>
    </xdr:from>
    <xdr:to>
      <xdr:col>31</xdr:col>
      <xdr:colOff>282632</xdr:colOff>
      <xdr:row>14</xdr:row>
      <xdr:rowOff>64125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A7FB06-67DB-459D-8021-3994B23D6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361979</xdr:colOff>
      <xdr:row>8</xdr:row>
      <xdr:rowOff>90751</xdr:rowOff>
    </xdr:from>
    <xdr:to>
      <xdr:col>38</xdr:col>
      <xdr:colOff>524597</xdr:colOff>
      <xdr:row>14</xdr:row>
      <xdr:rowOff>70104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621B20-8A57-4549-B451-D5374D754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113659</xdr:colOff>
      <xdr:row>14</xdr:row>
      <xdr:rowOff>146878</xdr:rowOff>
    </xdr:from>
    <xdr:to>
      <xdr:col>31</xdr:col>
      <xdr:colOff>276276</xdr:colOff>
      <xdr:row>20</xdr:row>
      <xdr:rowOff>126231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85CDE8C-B1C3-47B0-9587-AD0BD743F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370595</xdr:colOff>
      <xdr:row>14</xdr:row>
      <xdr:rowOff>133669</xdr:rowOff>
    </xdr:from>
    <xdr:to>
      <xdr:col>38</xdr:col>
      <xdr:colOff>533213</xdr:colOff>
      <xdr:row>20</xdr:row>
      <xdr:rowOff>113022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00FF7AD-F287-405F-AFDD-F396A6DB4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118012</xdr:colOff>
      <xdr:row>20</xdr:row>
      <xdr:rowOff>205924</xdr:rowOff>
    </xdr:from>
    <xdr:to>
      <xdr:col>31</xdr:col>
      <xdr:colOff>280629</xdr:colOff>
      <xdr:row>26</xdr:row>
      <xdr:rowOff>185277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818346-135B-484A-B85A-D9A28355B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133125</xdr:colOff>
      <xdr:row>8</xdr:row>
      <xdr:rowOff>53059</xdr:rowOff>
    </xdr:from>
    <xdr:to>
      <xdr:col>31</xdr:col>
      <xdr:colOff>204975</xdr:colOff>
      <xdr:row>14</xdr:row>
      <xdr:rowOff>45859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FD2A26-8D22-4B2E-92B1-DF5AFEFE7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279538</xdr:colOff>
      <xdr:row>8</xdr:row>
      <xdr:rowOff>57774</xdr:rowOff>
    </xdr:from>
    <xdr:to>
      <xdr:col>38</xdr:col>
      <xdr:colOff>465688</xdr:colOff>
      <xdr:row>14</xdr:row>
      <xdr:rowOff>50574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610F6A0-1F76-4ABA-869A-EDFA0C24A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133350</xdr:colOff>
      <xdr:row>14</xdr:row>
      <xdr:rowOff>104776</xdr:rowOff>
    </xdr:from>
    <xdr:to>
      <xdr:col>31</xdr:col>
      <xdr:colOff>205200</xdr:colOff>
      <xdr:row>20</xdr:row>
      <xdr:rowOff>97576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DD0791C-55DE-47F8-899E-529AAED5E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276225</xdr:colOff>
      <xdr:row>14</xdr:row>
      <xdr:rowOff>104775</xdr:rowOff>
    </xdr:from>
    <xdr:to>
      <xdr:col>38</xdr:col>
      <xdr:colOff>462375</xdr:colOff>
      <xdr:row>20</xdr:row>
      <xdr:rowOff>97575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100E3AE-B532-43EC-AFD9-6F9ACB12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142825</xdr:colOff>
      <xdr:row>20</xdr:row>
      <xdr:rowOff>139411</xdr:rowOff>
    </xdr:from>
    <xdr:to>
      <xdr:col>31</xdr:col>
      <xdr:colOff>214675</xdr:colOff>
      <xdr:row>26</xdr:row>
      <xdr:rowOff>132211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7A0C211-D9E0-494F-9040-13044A8C5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123825</xdr:colOff>
      <xdr:row>8</xdr:row>
      <xdr:rowOff>88582</xdr:rowOff>
    </xdr:from>
    <xdr:to>
      <xdr:col>31</xdr:col>
      <xdr:colOff>282632</xdr:colOff>
      <xdr:row>14</xdr:row>
      <xdr:rowOff>56505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4191FC-F57A-4982-9C17-F6EC7DD97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352376</xdr:colOff>
      <xdr:row>8</xdr:row>
      <xdr:rowOff>72341</xdr:rowOff>
    </xdr:from>
    <xdr:to>
      <xdr:col>38</xdr:col>
      <xdr:colOff>514994</xdr:colOff>
      <xdr:row>14</xdr:row>
      <xdr:rowOff>51694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32B280-85F5-489E-8D38-C522276E4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117662</xdr:colOff>
      <xdr:row>14</xdr:row>
      <xdr:rowOff>126068</xdr:rowOff>
    </xdr:from>
    <xdr:to>
      <xdr:col>31</xdr:col>
      <xdr:colOff>280279</xdr:colOff>
      <xdr:row>20</xdr:row>
      <xdr:rowOff>105421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CF5A61F-F45C-4C6F-9910-7BEEEBB75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347381</xdr:colOff>
      <xdr:row>14</xdr:row>
      <xdr:rowOff>123264</xdr:rowOff>
    </xdr:from>
    <xdr:to>
      <xdr:col>38</xdr:col>
      <xdr:colOff>509999</xdr:colOff>
      <xdr:row>20</xdr:row>
      <xdr:rowOff>102617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05F7B49-287D-4106-B26C-F4EA6C2AE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120413</xdr:colOff>
      <xdr:row>20</xdr:row>
      <xdr:rowOff>169107</xdr:rowOff>
    </xdr:from>
    <xdr:to>
      <xdr:col>31</xdr:col>
      <xdr:colOff>283030</xdr:colOff>
      <xdr:row>26</xdr:row>
      <xdr:rowOff>148460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173C1E9-C5E9-43EF-BFF9-CFE141CBA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120015</xdr:colOff>
      <xdr:row>8</xdr:row>
      <xdr:rowOff>84771</xdr:rowOff>
    </xdr:from>
    <xdr:to>
      <xdr:col>31</xdr:col>
      <xdr:colOff>306165</xdr:colOff>
      <xdr:row>14</xdr:row>
      <xdr:rowOff>77571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8FA984-92D1-4691-A197-414AD062E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384313</xdr:colOff>
      <xdr:row>8</xdr:row>
      <xdr:rowOff>86349</xdr:rowOff>
    </xdr:from>
    <xdr:to>
      <xdr:col>38</xdr:col>
      <xdr:colOff>570463</xdr:colOff>
      <xdr:row>14</xdr:row>
      <xdr:rowOff>79149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14E584-FA80-4C7D-946A-059CB869B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123825</xdr:colOff>
      <xdr:row>14</xdr:row>
      <xdr:rowOff>142876</xdr:rowOff>
    </xdr:from>
    <xdr:to>
      <xdr:col>31</xdr:col>
      <xdr:colOff>309975</xdr:colOff>
      <xdr:row>20</xdr:row>
      <xdr:rowOff>135676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C06E5E6-D9E4-40BE-8212-2AEFC8841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390525</xdr:colOff>
      <xdr:row>14</xdr:row>
      <xdr:rowOff>133350</xdr:rowOff>
    </xdr:from>
    <xdr:to>
      <xdr:col>38</xdr:col>
      <xdr:colOff>576675</xdr:colOff>
      <xdr:row>20</xdr:row>
      <xdr:rowOff>126150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A6A61C7-45E4-4B6B-8CE3-54E2953EF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123775</xdr:colOff>
      <xdr:row>20</xdr:row>
      <xdr:rowOff>187036</xdr:rowOff>
    </xdr:from>
    <xdr:to>
      <xdr:col>31</xdr:col>
      <xdr:colOff>309925</xdr:colOff>
      <xdr:row>26</xdr:row>
      <xdr:rowOff>179836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37AAFB3-61DF-4E91-8C9E-40D521319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198457</xdr:colOff>
      <xdr:row>8</xdr:row>
      <xdr:rowOff>51154</xdr:rowOff>
    </xdr:from>
    <xdr:to>
      <xdr:col>31</xdr:col>
      <xdr:colOff>361074</xdr:colOff>
      <xdr:row>14</xdr:row>
      <xdr:rowOff>30507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CE82D6-3F29-442D-9C2D-89FFFADB2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419612</xdr:colOff>
      <xdr:row>8</xdr:row>
      <xdr:rowOff>49930</xdr:rowOff>
    </xdr:from>
    <xdr:to>
      <xdr:col>38</xdr:col>
      <xdr:colOff>582230</xdr:colOff>
      <xdr:row>14</xdr:row>
      <xdr:rowOff>29283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2218E4-199A-4642-B25E-65D0785E5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184897</xdr:colOff>
      <xdr:row>14</xdr:row>
      <xdr:rowOff>103655</xdr:rowOff>
    </xdr:from>
    <xdr:to>
      <xdr:col>31</xdr:col>
      <xdr:colOff>347514</xdr:colOff>
      <xdr:row>20</xdr:row>
      <xdr:rowOff>83008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4511CF4-BA0A-42CD-AE78-F916CE054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414617</xdr:colOff>
      <xdr:row>14</xdr:row>
      <xdr:rowOff>89647</xdr:rowOff>
    </xdr:from>
    <xdr:to>
      <xdr:col>38</xdr:col>
      <xdr:colOff>577235</xdr:colOff>
      <xdr:row>20</xdr:row>
      <xdr:rowOff>69000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DF2DEED-46B0-46B0-92CB-AA243ABD8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187648</xdr:colOff>
      <xdr:row>20</xdr:row>
      <xdr:rowOff>146695</xdr:rowOff>
    </xdr:from>
    <xdr:to>
      <xdr:col>31</xdr:col>
      <xdr:colOff>350265</xdr:colOff>
      <xdr:row>26</xdr:row>
      <xdr:rowOff>126048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9BCBB79-5178-4219-B992-15885B77A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97604</xdr:colOff>
      <xdr:row>8</xdr:row>
      <xdr:rowOff>62361</xdr:rowOff>
    </xdr:from>
    <xdr:to>
      <xdr:col>31</xdr:col>
      <xdr:colOff>260221</xdr:colOff>
      <xdr:row>14</xdr:row>
      <xdr:rowOff>41714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1D8A33-2D53-4233-8B90-CCA411427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341170</xdr:colOff>
      <xdr:row>8</xdr:row>
      <xdr:rowOff>72342</xdr:rowOff>
    </xdr:from>
    <xdr:to>
      <xdr:col>38</xdr:col>
      <xdr:colOff>503788</xdr:colOff>
      <xdr:row>14</xdr:row>
      <xdr:rowOff>51695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3BF45B-6856-4877-8A5A-006A24277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106455</xdr:colOff>
      <xdr:row>14</xdr:row>
      <xdr:rowOff>126067</xdr:rowOff>
    </xdr:from>
    <xdr:to>
      <xdr:col>31</xdr:col>
      <xdr:colOff>269072</xdr:colOff>
      <xdr:row>20</xdr:row>
      <xdr:rowOff>105420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EAAD771-42BC-4030-82FB-65573CAA9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336175</xdr:colOff>
      <xdr:row>14</xdr:row>
      <xdr:rowOff>123265</xdr:rowOff>
    </xdr:from>
    <xdr:to>
      <xdr:col>38</xdr:col>
      <xdr:colOff>498793</xdr:colOff>
      <xdr:row>20</xdr:row>
      <xdr:rowOff>102618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8B4026-10EF-46A4-8AC2-79B334722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120413</xdr:colOff>
      <xdr:row>20</xdr:row>
      <xdr:rowOff>180312</xdr:rowOff>
    </xdr:from>
    <xdr:to>
      <xdr:col>31</xdr:col>
      <xdr:colOff>283030</xdr:colOff>
      <xdr:row>26</xdr:row>
      <xdr:rowOff>159665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EF31A83-9B24-4E3E-8C60-5276517A3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104709</xdr:colOff>
      <xdr:row>1</xdr:row>
      <xdr:rowOff>113990</xdr:rowOff>
    </xdr:from>
    <xdr:to>
      <xdr:col>28</xdr:col>
      <xdr:colOff>394076</xdr:colOff>
      <xdr:row>9</xdr:row>
      <xdr:rowOff>294323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3D1C81B-5F81-45AB-B9BA-C9FF597C2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494243</xdr:colOff>
      <xdr:row>1</xdr:row>
      <xdr:rowOff>117165</xdr:rowOff>
    </xdr:from>
    <xdr:to>
      <xdr:col>36</xdr:col>
      <xdr:colOff>100997</xdr:colOff>
      <xdr:row>9</xdr:row>
      <xdr:rowOff>289878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2F35B9F-87C3-4763-89D8-7BEB647B8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105311</xdr:colOff>
      <xdr:row>10</xdr:row>
      <xdr:rowOff>24245</xdr:rowOff>
    </xdr:from>
    <xdr:to>
      <xdr:col>28</xdr:col>
      <xdr:colOff>394678</xdr:colOff>
      <xdr:row>17</xdr:row>
      <xdr:rowOff>257949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F1D1437-A037-4FE5-BBEA-DBD31B3E7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478797</xdr:colOff>
      <xdr:row>10</xdr:row>
      <xdr:rowOff>7130</xdr:rowOff>
    </xdr:from>
    <xdr:to>
      <xdr:col>36</xdr:col>
      <xdr:colOff>22463</xdr:colOff>
      <xdr:row>17</xdr:row>
      <xdr:rowOff>242739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F4E7A4B0-4F0C-4C25-BFF1-AD5B62567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89646</xdr:colOff>
      <xdr:row>18</xdr:row>
      <xdr:rowOff>63885</xdr:rowOff>
    </xdr:from>
    <xdr:to>
      <xdr:col>28</xdr:col>
      <xdr:colOff>378263</xdr:colOff>
      <xdr:row>29</xdr:row>
      <xdr:rowOff>6373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4FCB8FC7-0521-4053-B425-CF8CF1E00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Relationship Id="rId1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echos"/>
      <sheetName val="68"/>
      <sheetName val="70"/>
      <sheetName val="73"/>
      <sheetName val="74"/>
      <sheetName val="75"/>
      <sheetName val="78"/>
      <sheetName val="80"/>
      <sheetName val="TT"/>
      <sheetName val="71"/>
      <sheetName val="77"/>
    </sheetNames>
    <sheetDataSet>
      <sheetData sheetId="0"/>
      <sheetData sheetId="1">
        <row r="6">
          <cell r="E6" t="str">
            <v>BOM</v>
          </cell>
        </row>
        <row r="137">
          <cell r="E137">
            <v>18.450000000000003</v>
          </cell>
          <cell r="F137">
            <v>22.46</v>
          </cell>
          <cell r="G137">
            <v>16.420000000000002</v>
          </cell>
          <cell r="H137">
            <v>8.3999999999999986</v>
          </cell>
          <cell r="I137">
            <v>6.6999999999999993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4">
          <cell r="D14">
            <v>123.02000000000001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93C8-3494-4A32-8073-ABECF8C43E94}">
  <dimension ref="A1:I35"/>
  <sheetViews>
    <sheetView view="pageBreakPreview" topLeftCell="C10" zoomScale="70" zoomScaleNormal="70" zoomScaleSheetLayoutView="70" workbookViewId="0">
      <selection activeCell="D11" sqref="D11"/>
    </sheetView>
  </sheetViews>
  <sheetFormatPr defaultColWidth="8.88671875" defaultRowHeight="13.8" x14ac:dyDescent="0.3"/>
  <cols>
    <col min="1" max="1" width="6.33203125" style="43" bestFit="1" customWidth="1"/>
    <col min="2" max="2" width="8.6640625" style="43" customWidth="1"/>
    <col min="3" max="3" width="71.44140625" style="44" customWidth="1"/>
    <col min="4" max="4" width="14.33203125" style="43" customWidth="1"/>
    <col min="5" max="5" width="69" style="44" customWidth="1"/>
    <col min="6" max="6" width="16.6640625" style="45" bestFit="1" customWidth="1"/>
    <col min="7" max="7" width="5.6640625" style="43" bestFit="1" customWidth="1"/>
    <col min="8" max="8" width="8.88671875" style="43"/>
    <col min="9" max="9" width="10" style="43" customWidth="1"/>
    <col min="10" max="16384" width="8.88671875" style="43"/>
  </cols>
  <sheetData>
    <row r="1" spans="1:9" x14ac:dyDescent="0.3">
      <c r="A1" s="81" t="s">
        <v>126</v>
      </c>
      <c r="B1" s="81"/>
      <c r="C1" s="81"/>
      <c r="D1" s="81"/>
      <c r="E1" s="81"/>
      <c r="F1" s="81"/>
      <c r="G1" s="81"/>
      <c r="H1" s="81"/>
      <c r="I1" s="81"/>
    </row>
    <row r="2" spans="1:9" s="46" customFormat="1" x14ac:dyDescent="0.3">
      <c r="A2" s="50" t="s">
        <v>56</v>
      </c>
      <c r="B2" s="50" t="s">
        <v>123</v>
      </c>
      <c r="C2" s="51" t="s">
        <v>38</v>
      </c>
      <c r="D2" s="50" t="s">
        <v>57</v>
      </c>
      <c r="E2" s="51" t="s">
        <v>127</v>
      </c>
      <c r="F2" s="52" t="s">
        <v>124</v>
      </c>
      <c r="G2" s="50" t="s">
        <v>58</v>
      </c>
      <c r="H2" s="53">
        <v>45839</v>
      </c>
      <c r="I2" s="53">
        <v>45870</v>
      </c>
    </row>
    <row r="3" spans="1:9" x14ac:dyDescent="0.3">
      <c r="A3" s="47">
        <v>12</v>
      </c>
      <c r="B3" s="47">
        <v>224</v>
      </c>
      <c r="C3" s="64" t="s">
        <v>40</v>
      </c>
      <c r="D3" s="47" t="s">
        <v>59</v>
      </c>
      <c r="E3" s="64" t="s">
        <v>60</v>
      </c>
      <c r="F3" s="26">
        <v>26.24</v>
      </c>
      <c r="G3" s="47" t="s">
        <v>61</v>
      </c>
      <c r="H3" s="47"/>
      <c r="I3" s="47"/>
    </row>
    <row r="4" spans="1:9" x14ac:dyDescent="0.3">
      <c r="A4" s="66">
        <v>12</v>
      </c>
      <c r="B4" s="66">
        <v>225</v>
      </c>
      <c r="C4" s="67" t="s">
        <v>41</v>
      </c>
      <c r="D4" s="66" t="s">
        <v>62</v>
      </c>
      <c r="E4" s="67" t="s">
        <v>63</v>
      </c>
      <c r="F4" s="68">
        <v>76.278130035900006</v>
      </c>
      <c r="G4" s="66" t="s">
        <v>61</v>
      </c>
      <c r="H4" s="47"/>
      <c r="I4" s="47" t="s">
        <v>129</v>
      </c>
    </row>
    <row r="5" spans="1:9" ht="27.6" x14ac:dyDescent="0.3">
      <c r="A5" s="66">
        <v>12</v>
      </c>
      <c r="B5" s="66">
        <v>226</v>
      </c>
      <c r="C5" s="67" t="s">
        <v>42</v>
      </c>
      <c r="D5" s="66" t="s">
        <v>64</v>
      </c>
      <c r="E5" s="67" t="s">
        <v>65</v>
      </c>
      <c r="F5" s="68">
        <v>3.59154085616</v>
      </c>
      <c r="G5" s="66" t="s">
        <v>61</v>
      </c>
      <c r="H5" s="47"/>
      <c r="I5" s="47" t="s">
        <v>129</v>
      </c>
    </row>
    <row r="6" spans="1:9" ht="27.6" x14ac:dyDescent="0.3">
      <c r="A6" s="66">
        <v>12</v>
      </c>
      <c r="B6" s="66">
        <v>226</v>
      </c>
      <c r="C6" s="67" t="s">
        <v>42</v>
      </c>
      <c r="D6" s="66" t="s">
        <v>66</v>
      </c>
      <c r="E6" s="67" t="s">
        <v>67</v>
      </c>
      <c r="F6" s="68">
        <v>52.926657861199999</v>
      </c>
      <c r="G6" s="66" t="s">
        <v>61</v>
      </c>
      <c r="H6" s="47"/>
      <c r="I6" s="47" t="s">
        <v>129</v>
      </c>
    </row>
    <row r="7" spans="1:9" ht="27.6" x14ac:dyDescent="0.3">
      <c r="A7" s="66">
        <v>12</v>
      </c>
      <c r="B7" s="66">
        <v>226</v>
      </c>
      <c r="C7" s="67" t="s">
        <v>42</v>
      </c>
      <c r="D7" s="66" t="s">
        <v>68</v>
      </c>
      <c r="E7" s="67" t="s">
        <v>69</v>
      </c>
      <c r="F7" s="68">
        <v>8.5124137477299993</v>
      </c>
      <c r="G7" s="66" t="s">
        <v>61</v>
      </c>
      <c r="H7" s="47"/>
      <c r="I7" s="47" t="s">
        <v>129</v>
      </c>
    </row>
    <row r="8" spans="1:9" ht="27.6" x14ac:dyDescent="0.3">
      <c r="A8" s="66">
        <v>12</v>
      </c>
      <c r="B8" s="66">
        <v>227</v>
      </c>
      <c r="C8" s="67" t="s">
        <v>43</v>
      </c>
      <c r="D8" s="66" t="s">
        <v>70</v>
      </c>
      <c r="E8" s="67" t="s">
        <v>71</v>
      </c>
      <c r="F8" s="68">
        <v>1.8557688138099999</v>
      </c>
      <c r="G8" s="66" t="s">
        <v>72</v>
      </c>
      <c r="H8" s="47"/>
      <c r="I8" s="47" t="s">
        <v>129</v>
      </c>
    </row>
    <row r="9" spans="1:9" ht="27.6" x14ac:dyDescent="0.3">
      <c r="A9" s="66">
        <v>12</v>
      </c>
      <c r="B9" s="66">
        <v>227</v>
      </c>
      <c r="C9" s="67" t="s">
        <v>43</v>
      </c>
      <c r="D9" s="66" t="s">
        <v>73</v>
      </c>
      <c r="E9" s="67" t="s">
        <v>74</v>
      </c>
      <c r="F9" s="68">
        <v>1.24134512999</v>
      </c>
      <c r="G9" s="66" t="s">
        <v>61</v>
      </c>
      <c r="H9" s="47"/>
      <c r="I9" s="47" t="s">
        <v>129</v>
      </c>
    </row>
    <row r="10" spans="1:9" ht="27.6" x14ac:dyDescent="0.3">
      <c r="A10" s="66">
        <v>12</v>
      </c>
      <c r="B10" s="66">
        <v>227</v>
      </c>
      <c r="C10" s="67" t="s">
        <v>43</v>
      </c>
      <c r="D10" s="66" t="s">
        <v>75</v>
      </c>
      <c r="E10" s="67" t="s">
        <v>76</v>
      </c>
      <c r="F10" s="68">
        <v>9.5427730781100006</v>
      </c>
      <c r="G10" s="66" t="s">
        <v>61</v>
      </c>
      <c r="H10" s="47"/>
      <c r="I10" s="47" t="s">
        <v>129</v>
      </c>
    </row>
    <row r="11" spans="1:9" ht="27.6" x14ac:dyDescent="0.3">
      <c r="A11" s="66">
        <v>12</v>
      </c>
      <c r="B11" s="66">
        <v>227</v>
      </c>
      <c r="C11" s="67" t="s">
        <v>43</v>
      </c>
      <c r="D11" s="66" t="s">
        <v>77</v>
      </c>
      <c r="E11" s="67" t="s">
        <v>78</v>
      </c>
      <c r="F11" s="68">
        <v>21.5248107056</v>
      </c>
      <c r="G11" s="66" t="s">
        <v>61</v>
      </c>
      <c r="H11" s="47"/>
      <c r="I11" s="47" t="s">
        <v>129</v>
      </c>
    </row>
    <row r="12" spans="1:9" s="55" customFormat="1" ht="27.6" x14ac:dyDescent="0.3">
      <c r="A12" s="54">
        <v>12</v>
      </c>
      <c r="B12" s="54">
        <v>227</v>
      </c>
      <c r="C12" s="73" t="s">
        <v>43</v>
      </c>
      <c r="D12" s="54" t="s">
        <v>79</v>
      </c>
      <c r="E12" s="73" t="s">
        <v>80</v>
      </c>
      <c r="F12" s="74">
        <v>8.9931636998800002</v>
      </c>
      <c r="G12" s="54" t="s">
        <v>61</v>
      </c>
      <c r="H12" s="47"/>
      <c r="I12" s="54"/>
    </row>
    <row r="13" spans="1:9" ht="27.6" x14ac:dyDescent="0.3">
      <c r="A13" s="54">
        <v>12</v>
      </c>
      <c r="B13" s="54">
        <v>228</v>
      </c>
      <c r="C13" s="73" t="s">
        <v>44</v>
      </c>
      <c r="D13" s="54" t="s">
        <v>81</v>
      </c>
      <c r="E13" s="73" t="s">
        <v>82</v>
      </c>
      <c r="F13" s="74">
        <v>54.941976282500001</v>
      </c>
      <c r="G13" s="54" t="s">
        <v>61</v>
      </c>
      <c r="H13" s="47"/>
      <c r="I13" s="47"/>
    </row>
    <row r="14" spans="1:9" ht="27.6" x14ac:dyDescent="0.3">
      <c r="A14" s="47">
        <v>12</v>
      </c>
      <c r="B14" s="47">
        <v>229</v>
      </c>
      <c r="C14" s="64" t="s">
        <v>45</v>
      </c>
      <c r="D14" s="47" t="s">
        <v>83</v>
      </c>
      <c r="E14" s="64" t="s">
        <v>84</v>
      </c>
      <c r="F14" s="26">
        <v>1.96994655083</v>
      </c>
      <c r="G14" s="47" t="s">
        <v>61</v>
      </c>
      <c r="H14" s="47"/>
      <c r="I14" s="47"/>
    </row>
    <row r="15" spans="1:9" ht="27.6" x14ac:dyDescent="0.3">
      <c r="A15" s="47">
        <v>12</v>
      </c>
      <c r="B15" s="47">
        <v>229</v>
      </c>
      <c r="C15" s="64" t="s">
        <v>45</v>
      </c>
      <c r="D15" s="47" t="s">
        <v>85</v>
      </c>
      <c r="E15" s="64" t="s">
        <v>86</v>
      </c>
      <c r="F15" s="26">
        <v>0.197889553547</v>
      </c>
      <c r="G15" s="47" t="s">
        <v>72</v>
      </c>
      <c r="H15" s="47"/>
      <c r="I15" s="47"/>
    </row>
    <row r="16" spans="1:9" ht="27.6" x14ac:dyDescent="0.3">
      <c r="A16" s="47">
        <v>12</v>
      </c>
      <c r="B16" s="47">
        <v>229</v>
      </c>
      <c r="C16" s="64" t="s">
        <v>45</v>
      </c>
      <c r="D16" s="47" t="s">
        <v>87</v>
      </c>
      <c r="E16" s="64" t="s">
        <v>86</v>
      </c>
      <c r="F16" s="26">
        <v>0.240769749157</v>
      </c>
      <c r="G16" s="47" t="s">
        <v>72</v>
      </c>
      <c r="H16" s="47"/>
      <c r="I16" s="47"/>
    </row>
    <row r="17" spans="1:9" x14ac:dyDescent="0.3">
      <c r="A17" s="66">
        <v>12</v>
      </c>
      <c r="B17" s="66">
        <v>230</v>
      </c>
      <c r="C17" s="67" t="s">
        <v>46</v>
      </c>
      <c r="D17" s="66" t="s">
        <v>88</v>
      </c>
      <c r="E17" s="67" t="s">
        <v>89</v>
      </c>
      <c r="F17" s="68">
        <v>16.519213165099998</v>
      </c>
      <c r="G17" s="66" t="s">
        <v>61</v>
      </c>
      <c r="H17" s="66"/>
      <c r="I17" s="66"/>
    </row>
    <row r="18" spans="1:9" x14ac:dyDescent="0.3">
      <c r="A18" s="66">
        <v>12</v>
      </c>
      <c r="B18" s="66">
        <v>230</v>
      </c>
      <c r="C18" s="67" t="s">
        <v>46</v>
      </c>
      <c r="D18" s="66" t="s">
        <v>90</v>
      </c>
      <c r="E18" s="67" t="s">
        <v>91</v>
      </c>
      <c r="F18" s="68">
        <v>46.3845222737</v>
      </c>
      <c r="G18" s="66" t="s">
        <v>61</v>
      </c>
      <c r="H18" s="66"/>
      <c r="I18" s="66"/>
    </row>
    <row r="19" spans="1:9" x14ac:dyDescent="0.3">
      <c r="A19" s="47">
        <v>12</v>
      </c>
      <c r="B19" s="47">
        <v>231</v>
      </c>
      <c r="C19" s="64" t="s">
        <v>47</v>
      </c>
      <c r="D19" s="47" t="s">
        <v>92</v>
      </c>
      <c r="E19" s="64" t="s">
        <v>93</v>
      </c>
      <c r="F19" s="26">
        <v>1.12549100823</v>
      </c>
      <c r="G19" s="47" t="s">
        <v>72</v>
      </c>
      <c r="H19" s="47"/>
      <c r="I19" s="47"/>
    </row>
    <row r="20" spans="1:9" x14ac:dyDescent="0.3">
      <c r="A20" s="66">
        <v>12</v>
      </c>
      <c r="B20" s="66">
        <v>233</v>
      </c>
      <c r="C20" s="67" t="s">
        <v>48</v>
      </c>
      <c r="D20" s="66" t="s">
        <v>94</v>
      </c>
      <c r="E20" s="67" t="s">
        <v>95</v>
      </c>
      <c r="F20" s="68">
        <v>22.7883117728</v>
      </c>
      <c r="G20" s="66" t="s">
        <v>61</v>
      </c>
      <c r="H20" s="66"/>
      <c r="I20" s="66" t="s">
        <v>129</v>
      </c>
    </row>
    <row r="21" spans="1:9" x14ac:dyDescent="0.3">
      <c r="A21" s="66">
        <v>12</v>
      </c>
      <c r="B21" s="66">
        <v>233</v>
      </c>
      <c r="C21" s="67" t="s">
        <v>48</v>
      </c>
      <c r="D21" s="66" t="s">
        <v>96</v>
      </c>
      <c r="E21" s="67" t="s">
        <v>97</v>
      </c>
      <c r="F21" s="68">
        <v>21.785344017</v>
      </c>
      <c r="G21" s="66" t="s">
        <v>61</v>
      </c>
      <c r="H21" s="66"/>
      <c r="I21" s="66" t="s">
        <v>129</v>
      </c>
    </row>
    <row r="22" spans="1:9" x14ac:dyDescent="0.3">
      <c r="A22" s="66">
        <v>12</v>
      </c>
      <c r="B22" s="66">
        <v>233</v>
      </c>
      <c r="C22" s="67" t="s">
        <v>48</v>
      </c>
      <c r="D22" s="66" t="s">
        <v>98</v>
      </c>
      <c r="E22" s="67" t="s">
        <v>99</v>
      </c>
      <c r="F22" s="68">
        <v>13.872973655999999</v>
      </c>
      <c r="G22" s="66" t="s">
        <v>61</v>
      </c>
      <c r="H22" s="66"/>
      <c r="I22" s="66" t="s">
        <v>129</v>
      </c>
    </row>
    <row r="23" spans="1:9" x14ac:dyDescent="0.3">
      <c r="A23" s="66">
        <v>12</v>
      </c>
      <c r="B23" s="66">
        <v>233</v>
      </c>
      <c r="C23" s="67" t="s">
        <v>48</v>
      </c>
      <c r="D23" s="66" t="s">
        <v>100</v>
      </c>
      <c r="E23" s="67" t="s">
        <v>101</v>
      </c>
      <c r="F23" s="68">
        <v>23.4028628015</v>
      </c>
      <c r="G23" s="66" t="s">
        <v>61</v>
      </c>
      <c r="H23" s="66"/>
      <c r="I23" s="66" t="s">
        <v>129</v>
      </c>
    </row>
    <row r="24" spans="1:9" ht="27.6" x14ac:dyDescent="0.3">
      <c r="A24" s="47">
        <v>12</v>
      </c>
      <c r="B24" s="47">
        <v>234</v>
      </c>
      <c r="C24" s="64" t="s">
        <v>49</v>
      </c>
      <c r="D24" s="47" t="s">
        <v>102</v>
      </c>
      <c r="E24" s="64" t="s">
        <v>103</v>
      </c>
      <c r="F24" s="26">
        <v>37.422325510199997</v>
      </c>
      <c r="G24" s="47" t="s">
        <v>61</v>
      </c>
      <c r="H24" s="47"/>
      <c r="I24" s="47"/>
    </row>
    <row r="25" spans="1:9" x14ac:dyDescent="0.3">
      <c r="A25" s="47">
        <v>12</v>
      </c>
      <c r="B25" s="47">
        <v>235</v>
      </c>
      <c r="C25" s="64" t="s">
        <v>50</v>
      </c>
      <c r="D25" s="47" t="s">
        <v>104</v>
      </c>
      <c r="E25" s="64" t="s">
        <v>105</v>
      </c>
      <c r="F25" s="26">
        <v>0.64415038338800001</v>
      </c>
      <c r="G25" s="47" t="s">
        <v>72</v>
      </c>
      <c r="H25" s="47"/>
      <c r="I25" s="47"/>
    </row>
    <row r="26" spans="1:9" x14ac:dyDescent="0.3">
      <c r="A26" s="47">
        <v>12</v>
      </c>
      <c r="B26" s="47">
        <v>235</v>
      </c>
      <c r="C26" s="64" t="s">
        <v>50</v>
      </c>
      <c r="D26" s="47" t="s">
        <v>106</v>
      </c>
      <c r="E26" s="64" t="s">
        <v>105</v>
      </c>
      <c r="F26" s="26">
        <v>1.3221506387399999</v>
      </c>
      <c r="G26" s="47" t="s">
        <v>72</v>
      </c>
      <c r="H26" s="47"/>
      <c r="I26" s="47"/>
    </row>
    <row r="27" spans="1:9" x14ac:dyDescent="0.3">
      <c r="A27" s="47">
        <v>12</v>
      </c>
      <c r="B27" s="47">
        <v>235</v>
      </c>
      <c r="C27" s="64" t="s">
        <v>50</v>
      </c>
      <c r="D27" s="47" t="s">
        <v>107</v>
      </c>
      <c r="E27" s="64" t="s">
        <v>108</v>
      </c>
      <c r="F27" s="26">
        <v>16.889369018</v>
      </c>
      <c r="G27" s="47" t="s">
        <v>61</v>
      </c>
      <c r="H27" s="47"/>
      <c r="I27" s="47"/>
    </row>
    <row r="28" spans="1:9" x14ac:dyDescent="0.3">
      <c r="A28" s="66">
        <v>12</v>
      </c>
      <c r="B28" s="66">
        <v>235</v>
      </c>
      <c r="C28" s="67" t="s">
        <v>50</v>
      </c>
      <c r="D28" s="66" t="s">
        <v>109</v>
      </c>
      <c r="E28" s="67" t="s">
        <v>110</v>
      </c>
      <c r="F28" s="68">
        <v>5.0201753927799997</v>
      </c>
      <c r="G28" s="66" t="s">
        <v>61</v>
      </c>
      <c r="H28" s="66"/>
      <c r="I28" s="66"/>
    </row>
    <row r="29" spans="1:9" x14ac:dyDescent="0.3">
      <c r="A29" s="66">
        <v>12</v>
      </c>
      <c r="B29" s="66">
        <v>235</v>
      </c>
      <c r="C29" s="67" t="s">
        <v>50</v>
      </c>
      <c r="D29" s="66" t="s">
        <v>111</v>
      </c>
      <c r="E29" s="67" t="s">
        <v>112</v>
      </c>
      <c r="F29" s="68">
        <v>6.2417577269300004</v>
      </c>
      <c r="G29" s="66" t="s">
        <v>61</v>
      </c>
      <c r="H29" s="66"/>
      <c r="I29" s="66"/>
    </row>
    <row r="30" spans="1:9" ht="27.6" x14ac:dyDescent="0.3">
      <c r="A30" s="66">
        <v>12</v>
      </c>
      <c r="B30" s="66">
        <v>243</v>
      </c>
      <c r="C30" s="67" t="s">
        <v>51</v>
      </c>
      <c r="D30" s="66" t="s">
        <v>113</v>
      </c>
      <c r="E30" s="67" t="s">
        <v>114</v>
      </c>
      <c r="F30" s="68">
        <v>32.0347892375</v>
      </c>
      <c r="G30" s="66" t="s">
        <v>61</v>
      </c>
      <c r="H30" s="66"/>
      <c r="I30" s="66"/>
    </row>
    <row r="31" spans="1:9" ht="27.6" x14ac:dyDescent="0.3">
      <c r="A31" s="47">
        <v>12</v>
      </c>
      <c r="B31" s="47">
        <v>243</v>
      </c>
      <c r="C31" s="64" t="s">
        <v>51</v>
      </c>
      <c r="D31" s="47" t="s">
        <v>115</v>
      </c>
      <c r="E31" s="64" t="s">
        <v>116</v>
      </c>
      <c r="F31" s="26">
        <v>4.0257705207300001</v>
      </c>
      <c r="G31" s="47" t="s">
        <v>61</v>
      </c>
      <c r="H31" s="47"/>
      <c r="I31" s="47"/>
    </row>
    <row r="32" spans="1:9" x14ac:dyDescent="0.3">
      <c r="A32" s="47">
        <v>12</v>
      </c>
      <c r="B32" s="47">
        <v>244</v>
      </c>
      <c r="C32" s="64" t="s">
        <v>52</v>
      </c>
      <c r="D32" s="47" t="s">
        <v>117</v>
      </c>
      <c r="E32" s="64" t="s">
        <v>118</v>
      </c>
      <c r="F32" s="26">
        <v>20.941914691400001</v>
      </c>
      <c r="G32" s="47" t="s">
        <v>61</v>
      </c>
      <c r="H32" s="47"/>
      <c r="I32" s="47"/>
    </row>
    <row r="33" spans="1:9" x14ac:dyDescent="0.3">
      <c r="A33" s="47">
        <v>12</v>
      </c>
      <c r="B33" s="47">
        <v>244</v>
      </c>
      <c r="C33" s="64" t="s">
        <v>52</v>
      </c>
      <c r="D33" s="47" t="s">
        <v>119</v>
      </c>
      <c r="E33" s="64" t="s">
        <v>120</v>
      </c>
      <c r="F33" s="26">
        <v>12.101114412199999</v>
      </c>
      <c r="G33" s="47" t="s">
        <v>61</v>
      </c>
      <c r="H33" s="47"/>
      <c r="I33" s="47"/>
    </row>
    <row r="34" spans="1:9" x14ac:dyDescent="0.3">
      <c r="A34" s="47">
        <v>12</v>
      </c>
      <c r="B34" s="47">
        <v>244</v>
      </c>
      <c r="C34" s="64" t="s">
        <v>52</v>
      </c>
      <c r="D34" s="47" t="s">
        <v>121</v>
      </c>
      <c r="E34" s="64" t="s">
        <v>122</v>
      </c>
      <c r="F34" s="26">
        <v>9.0435974920700009</v>
      </c>
      <c r="G34" s="47" t="s">
        <v>61</v>
      </c>
      <c r="H34" s="47"/>
      <c r="I34" s="47"/>
    </row>
    <row r="35" spans="1:9" x14ac:dyDescent="0.3">
      <c r="A35" s="47"/>
      <c r="B35" s="47"/>
      <c r="C35" s="64"/>
      <c r="D35" s="47"/>
      <c r="E35" s="64"/>
      <c r="F35" s="26">
        <f>SUM(F3:F34)</f>
        <v>559.62301978268204</v>
      </c>
      <c r="G35" s="47"/>
      <c r="H35" s="47"/>
      <c r="I35" s="47"/>
    </row>
  </sheetData>
  <mergeCells count="1">
    <mergeCell ref="A1:I1"/>
  </mergeCells>
  <pageMargins left="0.51181102362204722" right="0.51181102362204722" top="0.59055118110236227" bottom="0.59055118110236227" header="0.31496062992125984" footer="0.31496062992125984"/>
  <pageSetup paperSize="9" scale="64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6608-2901-40AB-9043-4697D0AE0595}">
  <dimension ref="A1:AN127"/>
  <sheetViews>
    <sheetView zoomScale="55" zoomScaleNormal="55" zoomScaleSheetLayoutView="55" workbookViewId="0">
      <pane ySplit="6" topLeftCell="A7" activePane="bottomLeft" state="frozen"/>
      <selection activeCell="S11" sqref="S11"/>
      <selection pane="bottomLeft" activeCell="H11" sqref="H11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v>46204</v>
      </c>
      <c r="K2" s="83"/>
      <c r="L2" s="13"/>
      <c r="M2" s="12"/>
      <c r="N2" s="18" t="s">
        <v>28</v>
      </c>
      <c r="O2" s="84" t="s">
        <v>133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39" t="str">
        <f>TT!C4</f>
        <v>RODOVIA TO-141 - TRECHO PALMEIRÓPOLIS - DIVISA TO-GO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4">
      <c r="A7" s="56" t="s">
        <v>131</v>
      </c>
      <c r="B7" s="56" t="s">
        <v>128</v>
      </c>
      <c r="C7" s="49">
        <v>0</v>
      </c>
      <c r="D7" s="49">
        <v>0.7</v>
      </c>
      <c r="E7" s="57"/>
      <c r="F7" s="57"/>
      <c r="G7" s="57" t="s">
        <v>129</v>
      </c>
      <c r="H7" s="57" t="s">
        <v>129</v>
      </c>
      <c r="I7" s="57"/>
      <c r="J7" s="57" t="s">
        <v>129</v>
      </c>
      <c r="K7" s="57"/>
      <c r="L7" s="57"/>
      <c r="M7" s="57" t="s">
        <v>129</v>
      </c>
      <c r="N7" s="57"/>
      <c r="O7" s="56"/>
      <c r="P7" s="56" t="s">
        <v>129</v>
      </c>
      <c r="Q7" s="56"/>
      <c r="R7" s="56"/>
      <c r="S7" s="56" t="s">
        <v>129</v>
      </c>
      <c r="T7" s="3"/>
      <c r="U7" s="5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4">
      <c r="A8" s="56"/>
      <c r="B8" s="56"/>
      <c r="C8" s="49">
        <f>D7</f>
        <v>0.7</v>
      </c>
      <c r="D8" s="49">
        <v>2</v>
      </c>
      <c r="E8" s="57" t="s">
        <v>129</v>
      </c>
      <c r="F8" s="57"/>
      <c r="G8" s="57"/>
      <c r="H8" s="57"/>
      <c r="I8" s="57"/>
      <c r="J8" s="57" t="s">
        <v>129</v>
      </c>
      <c r="K8" s="57"/>
      <c r="L8" s="57"/>
      <c r="M8" s="57" t="s">
        <v>129</v>
      </c>
      <c r="N8" s="57"/>
      <c r="O8" s="56"/>
      <c r="P8" s="56" t="s">
        <v>129</v>
      </c>
      <c r="Q8" s="56"/>
      <c r="R8" s="56"/>
      <c r="S8" s="56" t="s">
        <v>129</v>
      </c>
      <c r="T8" s="3"/>
      <c r="U8" s="5"/>
    </row>
    <row r="9" spans="1:40" ht="36" customHeight="1" x14ac:dyDescent="0.4">
      <c r="A9" s="56"/>
      <c r="B9" s="56"/>
      <c r="C9" s="49">
        <f t="shared" ref="C9:C19" si="0">D8</f>
        <v>2</v>
      </c>
      <c r="D9" s="49">
        <v>4.5</v>
      </c>
      <c r="E9" s="57"/>
      <c r="F9" s="57" t="s">
        <v>129</v>
      </c>
      <c r="G9" s="57"/>
      <c r="H9" s="57"/>
      <c r="I9" s="57"/>
      <c r="J9" s="57" t="s">
        <v>129</v>
      </c>
      <c r="K9" s="57"/>
      <c r="L9" s="57"/>
      <c r="M9" s="57" t="s">
        <v>129</v>
      </c>
      <c r="N9" s="57"/>
      <c r="O9" s="56"/>
      <c r="P9" s="56" t="s">
        <v>129</v>
      </c>
      <c r="Q9" s="56"/>
      <c r="R9" s="56"/>
      <c r="S9" s="56" t="s">
        <v>129</v>
      </c>
      <c r="T9" s="3"/>
      <c r="U9" s="5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4">
      <c r="A10" s="56"/>
      <c r="B10" s="56"/>
      <c r="C10" s="49">
        <f t="shared" si="0"/>
        <v>4.5</v>
      </c>
      <c r="D10" s="49">
        <v>5.2</v>
      </c>
      <c r="E10" s="57"/>
      <c r="F10" s="57" t="s">
        <v>129</v>
      </c>
      <c r="G10" s="57"/>
      <c r="H10" s="57"/>
      <c r="I10" s="57"/>
      <c r="J10" s="57" t="s">
        <v>129</v>
      </c>
      <c r="K10" s="57"/>
      <c r="L10" s="57"/>
      <c r="M10" s="57" t="s">
        <v>129</v>
      </c>
      <c r="N10" s="57"/>
      <c r="O10" s="56"/>
      <c r="P10" s="56" t="s">
        <v>129</v>
      </c>
      <c r="Q10" s="56"/>
      <c r="R10" s="56"/>
      <c r="S10" s="56" t="s">
        <v>129</v>
      </c>
      <c r="T10" s="3"/>
      <c r="U10" s="5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4">
      <c r="A11" s="56"/>
      <c r="B11" s="56"/>
      <c r="C11" s="49">
        <f t="shared" si="0"/>
        <v>5.2</v>
      </c>
      <c r="D11" s="49">
        <v>9.3000000000000007</v>
      </c>
      <c r="E11" s="57" t="s">
        <v>129</v>
      </c>
      <c r="F11" s="57"/>
      <c r="G11" s="57"/>
      <c r="H11" s="57"/>
      <c r="I11" s="57"/>
      <c r="J11" s="57" t="s">
        <v>129</v>
      </c>
      <c r="K11" s="57"/>
      <c r="L11" s="57"/>
      <c r="M11" s="57" t="s">
        <v>129</v>
      </c>
      <c r="N11" s="57"/>
      <c r="O11" s="56"/>
      <c r="P11" s="56" t="s">
        <v>129</v>
      </c>
      <c r="Q11" s="56"/>
      <c r="R11" s="56"/>
      <c r="S11" s="56" t="s">
        <v>129</v>
      </c>
      <c r="T11" s="3"/>
      <c r="U11" s="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4">
      <c r="A12" s="56"/>
      <c r="B12" s="56"/>
      <c r="C12" s="49">
        <f t="shared" si="0"/>
        <v>9.3000000000000007</v>
      </c>
      <c r="D12" s="49">
        <v>10</v>
      </c>
      <c r="E12" s="57"/>
      <c r="F12" s="57" t="s">
        <v>129</v>
      </c>
      <c r="G12" s="57"/>
      <c r="H12" s="57"/>
      <c r="I12" s="57"/>
      <c r="J12" s="57" t="s">
        <v>129</v>
      </c>
      <c r="K12" s="57"/>
      <c r="L12" s="57"/>
      <c r="M12" s="57" t="s">
        <v>129</v>
      </c>
      <c r="N12" s="57"/>
      <c r="O12" s="56"/>
      <c r="P12" s="56" t="s">
        <v>129</v>
      </c>
      <c r="Q12" s="56"/>
      <c r="R12" s="56"/>
      <c r="S12" s="56" t="s">
        <v>129</v>
      </c>
      <c r="T12" s="3"/>
      <c r="U12" s="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4">
      <c r="A13" s="56"/>
      <c r="B13" s="56"/>
      <c r="C13" s="49">
        <f t="shared" si="0"/>
        <v>10</v>
      </c>
      <c r="D13" s="49">
        <v>10.7</v>
      </c>
      <c r="E13" s="57"/>
      <c r="F13" s="57" t="s">
        <v>129</v>
      </c>
      <c r="G13" s="57"/>
      <c r="H13" s="57"/>
      <c r="I13" s="57"/>
      <c r="J13" s="57" t="s">
        <v>129</v>
      </c>
      <c r="K13" s="57"/>
      <c r="L13" s="57"/>
      <c r="M13" s="57" t="s">
        <v>129</v>
      </c>
      <c r="N13" s="57"/>
      <c r="O13" s="56"/>
      <c r="P13" s="56" t="s">
        <v>129</v>
      </c>
      <c r="Q13" s="56"/>
      <c r="R13" s="56"/>
      <c r="S13" s="56" t="s">
        <v>129</v>
      </c>
      <c r="T13" s="3"/>
      <c r="U13" s="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4">
      <c r="A14" s="56"/>
      <c r="B14" s="56"/>
      <c r="C14" s="49">
        <f t="shared" si="0"/>
        <v>10.7</v>
      </c>
      <c r="D14" s="49">
        <v>12.5</v>
      </c>
      <c r="E14" s="57"/>
      <c r="F14" s="57" t="s">
        <v>129</v>
      </c>
      <c r="G14" s="57"/>
      <c r="H14" s="57"/>
      <c r="I14" s="57"/>
      <c r="J14" s="57" t="s">
        <v>129</v>
      </c>
      <c r="K14" s="57"/>
      <c r="L14" s="57"/>
      <c r="M14" s="57" t="s">
        <v>129</v>
      </c>
      <c r="N14" s="57"/>
      <c r="O14" s="56"/>
      <c r="P14" s="56" t="s">
        <v>129</v>
      </c>
      <c r="Q14" s="56"/>
      <c r="R14" s="56"/>
      <c r="S14" s="56" t="s">
        <v>129</v>
      </c>
      <c r="T14" s="3"/>
      <c r="U14" s="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4">
      <c r="A15" s="56"/>
      <c r="B15" s="56"/>
      <c r="C15" s="49">
        <f t="shared" si="0"/>
        <v>12.5</v>
      </c>
      <c r="D15" s="49">
        <v>14.2</v>
      </c>
      <c r="E15" s="57" t="s">
        <v>129</v>
      </c>
      <c r="F15" s="57"/>
      <c r="G15" s="57"/>
      <c r="H15" s="57"/>
      <c r="I15" s="57"/>
      <c r="J15" s="57" t="s">
        <v>129</v>
      </c>
      <c r="K15" s="57"/>
      <c r="L15" s="57"/>
      <c r="M15" s="57" t="s">
        <v>129</v>
      </c>
      <c r="N15" s="57"/>
      <c r="O15" s="56"/>
      <c r="P15" s="56" t="s">
        <v>129</v>
      </c>
      <c r="Q15" s="56"/>
      <c r="R15" s="56"/>
      <c r="S15" s="56" t="s">
        <v>129</v>
      </c>
      <c r="T15" s="3"/>
      <c r="U15" s="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4">
      <c r="A16" s="56"/>
      <c r="B16" s="56"/>
      <c r="C16" s="49">
        <f t="shared" si="0"/>
        <v>14.2</v>
      </c>
      <c r="D16" s="49">
        <v>16.399999999999999</v>
      </c>
      <c r="E16" s="57"/>
      <c r="F16" s="57"/>
      <c r="G16" s="57" t="s">
        <v>129</v>
      </c>
      <c r="H16" s="57" t="s">
        <v>129</v>
      </c>
      <c r="I16" s="57"/>
      <c r="J16" s="57" t="s">
        <v>129</v>
      </c>
      <c r="K16" s="57"/>
      <c r="L16" s="57"/>
      <c r="M16" s="57" t="s">
        <v>129</v>
      </c>
      <c r="N16" s="57"/>
      <c r="O16" s="56"/>
      <c r="P16" s="56" t="s">
        <v>129</v>
      </c>
      <c r="Q16" s="56"/>
      <c r="R16" s="56"/>
      <c r="S16" s="56" t="s">
        <v>129</v>
      </c>
      <c r="T16" s="3"/>
      <c r="U16" s="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4">
      <c r="A17" s="56"/>
      <c r="B17" s="56"/>
      <c r="C17" s="49">
        <f t="shared" si="0"/>
        <v>16.399999999999999</v>
      </c>
      <c r="D17" s="49">
        <v>18.399999999999999</v>
      </c>
      <c r="E17" s="57"/>
      <c r="F17" s="57"/>
      <c r="G17" s="57" t="s">
        <v>129</v>
      </c>
      <c r="H17" s="57"/>
      <c r="I17" s="57"/>
      <c r="J17" s="57" t="s">
        <v>129</v>
      </c>
      <c r="K17" s="57"/>
      <c r="L17" s="57"/>
      <c r="M17" s="57" t="s">
        <v>129</v>
      </c>
      <c r="N17" s="57"/>
      <c r="O17" s="56"/>
      <c r="P17" s="56" t="s">
        <v>129</v>
      </c>
      <c r="Q17" s="56"/>
      <c r="R17" s="56"/>
      <c r="S17" s="56" t="s">
        <v>129</v>
      </c>
      <c r="T17" s="3"/>
      <c r="U17" s="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4">
      <c r="A18" s="56"/>
      <c r="B18" s="56"/>
      <c r="C18" s="49">
        <f t="shared" si="0"/>
        <v>18.399999999999999</v>
      </c>
      <c r="D18" s="49">
        <v>25.4</v>
      </c>
      <c r="E18" s="57" t="s">
        <v>129</v>
      </c>
      <c r="F18" s="57"/>
      <c r="G18" s="57"/>
      <c r="H18" s="57" t="s">
        <v>129</v>
      </c>
      <c r="I18" s="57"/>
      <c r="J18" s="57" t="s">
        <v>129</v>
      </c>
      <c r="K18" s="57"/>
      <c r="L18" s="57"/>
      <c r="M18" s="57" t="s">
        <v>129</v>
      </c>
      <c r="N18" s="57"/>
      <c r="O18" s="56"/>
      <c r="P18" s="56" t="s">
        <v>129</v>
      </c>
      <c r="Q18" s="56"/>
      <c r="R18" s="56"/>
      <c r="S18" s="56" t="s">
        <v>129</v>
      </c>
      <c r="T18" s="3"/>
      <c r="U18" s="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4">
      <c r="A19" s="56"/>
      <c r="B19" s="56"/>
      <c r="C19" s="49">
        <f t="shared" si="0"/>
        <v>25.4</v>
      </c>
      <c r="D19" s="49">
        <v>26.2</v>
      </c>
      <c r="E19" s="57"/>
      <c r="F19" s="57" t="s">
        <v>129</v>
      </c>
      <c r="G19" s="57"/>
      <c r="H19" s="57"/>
      <c r="I19" s="57"/>
      <c r="J19" s="57" t="s">
        <v>129</v>
      </c>
      <c r="K19" s="57"/>
      <c r="L19" s="57"/>
      <c r="M19" s="57" t="s">
        <v>129</v>
      </c>
      <c r="N19" s="57"/>
      <c r="O19" s="56"/>
      <c r="P19" s="56" t="s">
        <v>129</v>
      </c>
      <c r="Q19" s="56"/>
      <c r="R19" s="56"/>
      <c r="S19" s="56" t="s">
        <v>129</v>
      </c>
      <c r="T19" s="3"/>
      <c r="U19" s="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25">
      <c r="A20" s="3"/>
      <c r="B20" s="3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3"/>
      <c r="P20" s="3"/>
      <c r="Q20" s="3"/>
      <c r="R20" s="3"/>
      <c r="S20" s="3"/>
      <c r="T20" s="3"/>
      <c r="U20" s="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25">
      <c r="A21" s="3"/>
      <c r="B21" s="3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3"/>
      <c r="P21" s="3"/>
      <c r="Q21" s="3"/>
      <c r="R21" s="3"/>
      <c r="S21" s="3"/>
      <c r="T21" s="3"/>
      <c r="U21" s="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3"/>
      <c r="B22" s="3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3"/>
      <c r="P22" s="3"/>
      <c r="Q22" s="3"/>
      <c r="R22" s="3"/>
      <c r="S22" s="3"/>
      <c r="T22" s="3"/>
      <c r="U22" s="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  <c r="P23" s="3"/>
      <c r="Q23" s="3"/>
      <c r="R23" s="3"/>
      <c r="S23" s="3"/>
      <c r="T23" s="3"/>
      <c r="U23" s="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3"/>
      <c r="P24" s="3"/>
      <c r="Q24" s="3"/>
      <c r="R24" s="3"/>
      <c r="S24" s="3"/>
      <c r="T24" s="3"/>
      <c r="U24" s="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  <c r="P25" s="3"/>
      <c r="Q25" s="3"/>
      <c r="R25" s="3"/>
      <c r="S25" s="3"/>
      <c r="T25" s="3"/>
      <c r="U25" s="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  <c r="P26" s="3"/>
      <c r="Q26" s="3"/>
      <c r="R26" s="3"/>
      <c r="S26" s="3"/>
      <c r="T26" s="3"/>
      <c r="U26" s="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  <c r="P27" s="3"/>
      <c r="Q27" s="3"/>
      <c r="R27" s="3"/>
      <c r="S27" s="3"/>
      <c r="T27" s="3"/>
      <c r="U27" s="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0.7</v>
      </c>
      <c r="H39" s="2">
        <f>IF(H7="X",(D7-C7),"0")</f>
        <v>0.7</v>
      </c>
      <c r="I39" s="2" t="str">
        <f>IF(I7="X",(D7-C7),"0")</f>
        <v>0</v>
      </c>
      <c r="J39" s="2">
        <f>IF(J7="X",(D7-C7),"0")</f>
        <v>0.7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0.7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0.7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0.7</v>
      </c>
      <c r="T39" s="2" t="str">
        <f>IF(T7="X",(D7-C7),"0")</f>
        <v>0</v>
      </c>
    </row>
    <row r="40" spans="1:20" x14ac:dyDescent="0.25">
      <c r="E40" s="2">
        <f t="shared" ref="E40:E103" si="1">IF(E8="X",(D8-C8),"0")</f>
        <v>1.3</v>
      </c>
      <c r="F40" s="2" t="str">
        <f t="shared" ref="F40:F103" si="2">IF(F8="X",(D8-C8),"0")</f>
        <v>0</v>
      </c>
      <c r="G40" s="2" t="str">
        <f t="shared" ref="G40:G103" si="3">IF(G8="X",(D8-C8),"0")</f>
        <v>0</v>
      </c>
      <c r="H40" s="2" t="str">
        <f t="shared" ref="H40:H103" si="4">IF(H8="X",(D8-C8),"0")</f>
        <v>0</v>
      </c>
      <c r="I40" s="2" t="str">
        <f t="shared" ref="I40:I103" si="5">IF(I8="X",(D8-C8),"0")</f>
        <v>0</v>
      </c>
      <c r="J40" s="2">
        <f t="shared" ref="J40:J103" si="6">IF(J8="X",(D8-C8),"0")</f>
        <v>1.3</v>
      </c>
      <c r="K40" s="2" t="str">
        <f t="shared" ref="K40:K103" si="7">IF(K8="X",(D8-C8),"0")</f>
        <v>0</v>
      </c>
      <c r="L40" s="2" t="str">
        <f t="shared" ref="L40:L103" si="8">IF(L8="X",(D8-C8),"0")</f>
        <v>0</v>
      </c>
      <c r="M40" s="2">
        <f t="shared" ref="M40:M103" si="9">IF(M8="X",(D8-C8),"0")</f>
        <v>1.3</v>
      </c>
      <c r="N40" s="2" t="str">
        <f t="shared" ref="N40:N103" si="10">IF(N8="X",(D8-C8),"0")</f>
        <v>0</v>
      </c>
      <c r="O40" s="2" t="str">
        <f t="shared" ref="O40:O103" si="11">IF(O8="X",(D8-C8),"0")</f>
        <v>0</v>
      </c>
      <c r="P40" s="2">
        <f t="shared" ref="P40:P103" si="12">IF(P8="X",(D8-C8),"0")</f>
        <v>1.3</v>
      </c>
      <c r="Q40" s="2" t="str">
        <f t="shared" ref="Q40:Q103" si="13">IF(Q8="X",(D8-C8),"0")</f>
        <v>0</v>
      </c>
      <c r="R40" s="2" t="str">
        <f t="shared" ref="R40:R103" si="14">IF(R8="X",(D8-C8),"0")</f>
        <v>0</v>
      </c>
      <c r="S40" s="2">
        <f t="shared" ref="S40:S103" si="15">IF(S8="X",(D8-C8),"0")</f>
        <v>1.3</v>
      </c>
      <c r="T40" s="2" t="str">
        <f t="shared" ref="T40:T103" si="16">IF(T8="X",(D8-C8),"0")</f>
        <v>0</v>
      </c>
    </row>
    <row r="41" spans="1:20" x14ac:dyDescent="0.25">
      <c r="E41" s="2" t="str">
        <f t="shared" si="1"/>
        <v>0</v>
      </c>
      <c r="F41" s="2">
        <f t="shared" si="2"/>
        <v>2.5</v>
      </c>
      <c r="G41" s="2" t="str">
        <f t="shared" si="3"/>
        <v>0</v>
      </c>
      <c r="H41" s="2" t="str">
        <f t="shared" si="4"/>
        <v>0</v>
      </c>
      <c r="I41" s="2" t="str">
        <f t="shared" si="5"/>
        <v>0</v>
      </c>
      <c r="J41" s="2">
        <f t="shared" si="6"/>
        <v>2.5</v>
      </c>
      <c r="K41" s="2" t="str">
        <f t="shared" si="7"/>
        <v>0</v>
      </c>
      <c r="L41" s="2" t="str">
        <f t="shared" si="8"/>
        <v>0</v>
      </c>
      <c r="M41" s="2">
        <f t="shared" si="9"/>
        <v>2.5</v>
      </c>
      <c r="N41" s="2" t="str">
        <f t="shared" si="10"/>
        <v>0</v>
      </c>
      <c r="O41" s="2" t="str">
        <f t="shared" si="11"/>
        <v>0</v>
      </c>
      <c r="P41" s="2">
        <f t="shared" si="12"/>
        <v>2.5</v>
      </c>
      <c r="Q41" s="2" t="str">
        <f t="shared" si="13"/>
        <v>0</v>
      </c>
      <c r="R41" s="2" t="str">
        <f t="shared" si="14"/>
        <v>0</v>
      </c>
      <c r="S41" s="2">
        <f t="shared" si="15"/>
        <v>2.5</v>
      </c>
      <c r="T41" s="2" t="str">
        <f t="shared" si="16"/>
        <v>0</v>
      </c>
    </row>
    <row r="42" spans="1:20" x14ac:dyDescent="0.25">
      <c r="E42" s="2" t="str">
        <f t="shared" si="1"/>
        <v>0</v>
      </c>
      <c r="F42" s="2">
        <f t="shared" si="2"/>
        <v>0.70000000000000018</v>
      </c>
      <c r="G42" s="2" t="str">
        <f t="shared" si="3"/>
        <v>0</v>
      </c>
      <c r="H42" s="2" t="str">
        <f t="shared" si="4"/>
        <v>0</v>
      </c>
      <c r="I42" s="2" t="str">
        <f t="shared" si="5"/>
        <v>0</v>
      </c>
      <c r="J42" s="2">
        <f t="shared" si="6"/>
        <v>0.70000000000000018</v>
      </c>
      <c r="K42" s="2" t="str">
        <f t="shared" si="7"/>
        <v>0</v>
      </c>
      <c r="L42" s="2" t="str">
        <f t="shared" si="8"/>
        <v>0</v>
      </c>
      <c r="M42" s="2">
        <f t="shared" si="9"/>
        <v>0.70000000000000018</v>
      </c>
      <c r="N42" s="2" t="str">
        <f t="shared" si="10"/>
        <v>0</v>
      </c>
      <c r="O42" s="2" t="str">
        <f t="shared" si="11"/>
        <v>0</v>
      </c>
      <c r="P42" s="2">
        <f t="shared" si="12"/>
        <v>0.70000000000000018</v>
      </c>
      <c r="Q42" s="2" t="str">
        <f t="shared" si="13"/>
        <v>0</v>
      </c>
      <c r="R42" s="2" t="str">
        <f t="shared" si="14"/>
        <v>0</v>
      </c>
      <c r="S42" s="2">
        <f t="shared" si="15"/>
        <v>0.70000000000000018</v>
      </c>
      <c r="T42" s="2" t="str">
        <f t="shared" si="16"/>
        <v>0</v>
      </c>
    </row>
    <row r="43" spans="1:20" x14ac:dyDescent="0.25">
      <c r="E43" s="2">
        <f t="shared" si="1"/>
        <v>4.1000000000000005</v>
      </c>
      <c r="F43" s="2" t="str">
        <f t="shared" si="2"/>
        <v>0</v>
      </c>
      <c r="G43" s="2" t="str">
        <f t="shared" si="3"/>
        <v>0</v>
      </c>
      <c r="H43" s="2" t="str">
        <f t="shared" si="4"/>
        <v>0</v>
      </c>
      <c r="I43" s="2" t="str">
        <f t="shared" si="5"/>
        <v>0</v>
      </c>
      <c r="J43" s="2">
        <f t="shared" si="6"/>
        <v>4.1000000000000005</v>
      </c>
      <c r="K43" s="2" t="str">
        <f t="shared" si="7"/>
        <v>0</v>
      </c>
      <c r="L43" s="2" t="str">
        <f t="shared" si="8"/>
        <v>0</v>
      </c>
      <c r="M43" s="2">
        <f t="shared" si="9"/>
        <v>4.1000000000000005</v>
      </c>
      <c r="N43" s="2" t="str">
        <f t="shared" si="10"/>
        <v>0</v>
      </c>
      <c r="O43" s="2" t="str">
        <f t="shared" si="11"/>
        <v>0</v>
      </c>
      <c r="P43" s="2">
        <f t="shared" si="12"/>
        <v>4.1000000000000005</v>
      </c>
      <c r="Q43" s="2" t="str">
        <f t="shared" si="13"/>
        <v>0</v>
      </c>
      <c r="R43" s="2" t="str">
        <f t="shared" si="14"/>
        <v>0</v>
      </c>
      <c r="S43" s="2">
        <f t="shared" si="15"/>
        <v>4.1000000000000005</v>
      </c>
      <c r="T43" s="2" t="str">
        <f t="shared" si="16"/>
        <v>0</v>
      </c>
    </row>
    <row r="44" spans="1:20" x14ac:dyDescent="0.25">
      <c r="E44" s="2" t="str">
        <f t="shared" si="1"/>
        <v>0</v>
      </c>
      <c r="F44" s="2">
        <f t="shared" si="2"/>
        <v>0.69999999999999929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>
        <f t="shared" si="6"/>
        <v>0.69999999999999929</v>
      </c>
      <c r="K44" s="2" t="str">
        <f t="shared" si="7"/>
        <v>0</v>
      </c>
      <c r="L44" s="2" t="str">
        <f t="shared" si="8"/>
        <v>0</v>
      </c>
      <c r="M44" s="2">
        <f t="shared" si="9"/>
        <v>0.69999999999999929</v>
      </c>
      <c r="N44" s="2" t="str">
        <f t="shared" si="10"/>
        <v>0</v>
      </c>
      <c r="O44" s="2" t="str">
        <f t="shared" si="11"/>
        <v>0</v>
      </c>
      <c r="P44" s="2">
        <f t="shared" si="12"/>
        <v>0.69999999999999929</v>
      </c>
      <c r="Q44" s="2" t="str">
        <f t="shared" si="13"/>
        <v>0</v>
      </c>
      <c r="R44" s="2" t="str">
        <f t="shared" si="14"/>
        <v>0</v>
      </c>
      <c r="S44" s="2">
        <f t="shared" si="15"/>
        <v>0.69999999999999929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>
        <f t="shared" si="2"/>
        <v>0.69999999999999929</v>
      </c>
      <c r="G45" s="2" t="str">
        <f t="shared" si="3"/>
        <v>0</v>
      </c>
      <c r="H45" s="2" t="str">
        <f t="shared" si="4"/>
        <v>0</v>
      </c>
      <c r="I45" s="2" t="str">
        <f t="shared" si="5"/>
        <v>0</v>
      </c>
      <c r="J45" s="2">
        <f t="shared" si="6"/>
        <v>0.69999999999999929</v>
      </c>
      <c r="K45" s="2" t="str">
        <f t="shared" si="7"/>
        <v>0</v>
      </c>
      <c r="L45" s="2" t="str">
        <f t="shared" si="8"/>
        <v>0</v>
      </c>
      <c r="M45" s="2">
        <f t="shared" si="9"/>
        <v>0.69999999999999929</v>
      </c>
      <c r="N45" s="2" t="str">
        <f t="shared" si="10"/>
        <v>0</v>
      </c>
      <c r="O45" s="2" t="str">
        <f t="shared" si="11"/>
        <v>0</v>
      </c>
      <c r="P45" s="2">
        <f t="shared" si="12"/>
        <v>0.69999999999999929</v>
      </c>
      <c r="Q45" s="2" t="str">
        <f t="shared" si="13"/>
        <v>0</v>
      </c>
      <c r="R45" s="2" t="str">
        <f t="shared" si="14"/>
        <v>0</v>
      </c>
      <c r="S45" s="2">
        <f t="shared" si="15"/>
        <v>0.69999999999999929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>
        <f t="shared" si="2"/>
        <v>1.8000000000000007</v>
      </c>
      <c r="G46" s="2" t="str">
        <f t="shared" si="3"/>
        <v>0</v>
      </c>
      <c r="H46" s="2" t="str">
        <f t="shared" si="4"/>
        <v>0</v>
      </c>
      <c r="I46" s="2" t="str">
        <f t="shared" si="5"/>
        <v>0</v>
      </c>
      <c r="J46" s="2">
        <f t="shared" si="6"/>
        <v>1.8000000000000007</v>
      </c>
      <c r="K46" s="2" t="str">
        <f t="shared" si="7"/>
        <v>0</v>
      </c>
      <c r="L46" s="2" t="str">
        <f t="shared" si="8"/>
        <v>0</v>
      </c>
      <c r="M46" s="2">
        <f t="shared" si="9"/>
        <v>1.8000000000000007</v>
      </c>
      <c r="N46" s="2" t="str">
        <f t="shared" si="10"/>
        <v>0</v>
      </c>
      <c r="O46" s="2" t="str">
        <f t="shared" si="11"/>
        <v>0</v>
      </c>
      <c r="P46" s="2">
        <f t="shared" si="12"/>
        <v>1.8000000000000007</v>
      </c>
      <c r="Q46" s="2" t="str">
        <f t="shared" si="13"/>
        <v>0</v>
      </c>
      <c r="R46" s="2" t="str">
        <f t="shared" si="14"/>
        <v>0</v>
      </c>
      <c r="S46" s="2">
        <f t="shared" si="15"/>
        <v>1.8000000000000007</v>
      </c>
      <c r="T46" s="2" t="str">
        <f t="shared" si="16"/>
        <v>0</v>
      </c>
    </row>
    <row r="47" spans="1:20" x14ac:dyDescent="0.25">
      <c r="E47" s="2">
        <f t="shared" si="1"/>
        <v>1.6999999999999993</v>
      </c>
      <c r="F47" s="2" t="str">
        <f t="shared" si="2"/>
        <v>0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>
        <f t="shared" si="6"/>
        <v>1.6999999999999993</v>
      </c>
      <c r="K47" s="2" t="str">
        <f t="shared" si="7"/>
        <v>0</v>
      </c>
      <c r="L47" s="2" t="str">
        <f t="shared" si="8"/>
        <v>0</v>
      </c>
      <c r="M47" s="2">
        <f t="shared" si="9"/>
        <v>1.6999999999999993</v>
      </c>
      <c r="N47" s="2" t="str">
        <f t="shared" si="10"/>
        <v>0</v>
      </c>
      <c r="O47" s="2" t="str">
        <f t="shared" si="11"/>
        <v>0</v>
      </c>
      <c r="P47" s="2">
        <f t="shared" si="12"/>
        <v>1.6999999999999993</v>
      </c>
      <c r="Q47" s="2" t="str">
        <f t="shared" si="13"/>
        <v>0</v>
      </c>
      <c r="R47" s="2" t="str">
        <f t="shared" si="14"/>
        <v>0</v>
      </c>
      <c r="S47" s="2">
        <f t="shared" si="15"/>
        <v>1.6999999999999993</v>
      </c>
      <c r="T47" s="2" t="str">
        <f t="shared" si="16"/>
        <v>0</v>
      </c>
    </row>
    <row r="48" spans="1:20" x14ac:dyDescent="0.25">
      <c r="E48" s="2" t="str">
        <f t="shared" si="1"/>
        <v>0</v>
      </c>
      <c r="F48" s="2" t="str">
        <f t="shared" si="2"/>
        <v>0</v>
      </c>
      <c r="G48" s="2">
        <f t="shared" si="3"/>
        <v>2.1999999999999993</v>
      </c>
      <c r="H48" s="2">
        <f t="shared" si="4"/>
        <v>2.1999999999999993</v>
      </c>
      <c r="I48" s="2" t="str">
        <f t="shared" si="5"/>
        <v>0</v>
      </c>
      <c r="J48" s="2">
        <f t="shared" si="6"/>
        <v>2.1999999999999993</v>
      </c>
      <c r="K48" s="2" t="str">
        <f t="shared" si="7"/>
        <v>0</v>
      </c>
      <c r="L48" s="2" t="str">
        <f t="shared" si="8"/>
        <v>0</v>
      </c>
      <c r="M48" s="2">
        <f t="shared" si="9"/>
        <v>2.1999999999999993</v>
      </c>
      <c r="N48" s="2" t="str">
        <f t="shared" si="10"/>
        <v>0</v>
      </c>
      <c r="O48" s="2" t="str">
        <f t="shared" si="11"/>
        <v>0</v>
      </c>
      <c r="P48" s="2">
        <f t="shared" si="12"/>
        <v>2.1999999999999993</v>
      </c>
      <c r="Q48" s="2" t="str">
        <f t="shared" si="13"/>
        <v>0</v>
      </c>
      <c r="R48" s="2" t="str">
        <f t="shared" si="14"/>
        <v>0</v>
      </c>
      <c r="S48" s="2">
        <f t="shared" si="15"/>
        <v>2.1999999999999993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 t="str">
        <f t="shared" si="2"/>
        <v>0</v>
      </c>
      <c r="G49" s="2">
        <f t="shared" si="3"/>
        <v>2</v>
      </c>
      <c r="H49" s="2" t="str">
        <f t="shared" si="4"/>
        <v>0</v>
      </c>
      <c r="I49" s="2" t="str">
        <f t="shared" si="5"/>
        <v>0</v>
      </c>
      <c r="J49" s="2">
        <f t="shared" si="6"/>
        <v>2</v>
      </c>
      <c r="K49" s="2" t="str">
        <f t="shared" si="7"/>
        <v>0</v>
      </c>
      <c r="L49" s="2" t="str">
        <f t="shared" si="8"/>
        <v>0</v>
      </c>
      <c r="M49" s="2">
        <f t="shared" si="9"/>
        <v>2</v>
      </c>
      <c r="N49" s="2" t="str">
        <f t="shared" si="10"/>
        <v>0</v>
      </c>
      <c r="O49" s="2" t="str">
        <f t="shared" si="11"/>
        <v>0</v>
      </c>
      <c r="P49" s="2">
        <f t="shared" si="12"/>
        <v>2</v>
      </c>
      <c r="Q49" s="2" t="str">
        <f t="shared" si="13"/>
        <v>0</v>
      </c>
      <c r="R49" s="2" t="str">
        <f t="shared" si="14"/>
        <v>0</v>
      </c>
      <c r="S49" s="2">
        <f t="shared" si="15"/>
        <v>2</v>
      </c>
      <c r="T49" s="2" t="str">
        <f t="shared" si="16"/>
        <v>0</v>
      </c>
    </row>
    <row r="50" spans="5:20" x14ac:dyDescent="0.25">
      <c r="E50" s="2">
        <f t="shared" si="1"/>
        <v>7</v>
      </c>
      <c r="F50" s="2" t="str">
        <f t="shared" si="2"/>
        <v>0</v>
      </c>
      <c r="G50" s="2" t="str">
        <f t="shared" si="3"/>
        <v>0</v>
      </c>
      <c r="H50" s="2">
        <f t="shared" si="4"/>
        <v>7</v>
      </c>
      <c r="I50" s="2" t="str">
        <f t="shared" si="5"/>
        <v>0</v>
      </c>
      <c r="J50" s="2">
        <f t="shared" si="6"/>
        <v>7</v>
      </c>
      <c r="K50" s="2" t="str">
        <f t="shared" si="7"/>
        <v>0</v>
      </c>
      <c r="L50" s="2" t="str">
        <f t="shared" si="8"/>
        <v>0</v>
      </c>
      <c r="M50" s="2">
        <f t="shared" si="9"/>
        <v>7</v>
      </c>
      <c r="N50" s="2" t="str">
        <f t="shared" si="10"/>
        <v>0</v>
      </c>
      <c r="O50" s="2" t="str">
        <f t="shared" si="11"/>
        <v>0</v>
      </c>
      <c r="P50" s="2">
        <f t="shared" si="12"/>
        <v>7</v>
      </c>
      <c r="Q50" s="2" t="str">
        <f t="shared" si="13"/>
        <v>0</v>
      </c>
      <c r="R50" s="2" t="str">
        <f t="shared" si="14"/>
        <v>0</v>
      </c>
      <c r="S50" s="2">
        <f t="shared" si="15"/>
        <v>7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>
        <f t="shared" si="2"/>
        <v>0.80000000000000071</v>
      </c>
      <c r="G51" s="2" t="str">
        <f t="shared" si="3"/>
        <v>0</v>
      </c>
      <c r="H51" s="2" t="str">
        <f t="shared" si="4"/>
        <v>0</v>
      </c>
      <c r="I51" s="2" t="str">
        <f t="shared" si="5"/>
        <v>0</v>
      </c>
      <c r="J51" s="2">
        <f t="shared" si="6"/>
        <v>0.80000000000000071</v>
      </c>
      <c r="K51" s="2" t="str">
        <f t="shared" si="7"/>
        <v>0</v>
      </c>
      <c r="L51" s="2" t="str">
        <f t="shared" si="8"/>
        <v>0</v>
      </c>
      <c r="M51" s="2">
        <f t="shared" si="9"/>
        <v>0.80000000000000071</v>
      </c>
      <c r="N51" s="2" t="str">
        <f t="shared" si="10"/>
        <v>0</v>
      </c>
      <c r="O51" s="2" t="str">
        <f t="shared" si="11"/>
        <v>0</v>
      </c>
      <c r="P51" s="2">
        <f t="shared" si="12"/>
        <v>0.80000000000000071</v>
      </c>
      <c r="Q51" s="2" t="str">
        <f t="shared" si="13"/>
        <v>0</v>
      </c>
      <c r="R51" s="2" t="str">
        <f t="shared" si="14"/>
        <v>0</v>
      </c>
      <c r="S51" s="2">
        <f t="shared" si="15"/>
        <v>0.80000000000000071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 t="str">
        <f t="shared" si="13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 t="str">
        <f t="shared" si="13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 t="str">
        <f t="shared" si="13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 t="str">
        <f t="shared" si="13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 t="str">
        <f t="shared" si="13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ref="E104:E126" si="17">IF(E72="X",(D72-C72),"0")</f>
        <v>0</v>
      </c>
      <c r="F104" s="2" t="str">
        <f t="shared" ref="F104:F126" si="18">IF(F72="X",(D72-C72),"0")</f>
        <v>0</v>
      </c>
      <c r="G104" s="2" t="str">
        <f t="shared" ref="G104:G126" si="19">IF(G72="X",(D72-C72),"0")</f>
        <v>0</v>
      </c>
      <c r="H104" s="2" t="str">
        <f t="shared" ref="H104:H126" si="20">IF(H72="X",(D72-C72),"0")</f>
        <v>0</v>
      </c>
      <c r="I104" s="2" t="str">
        <f t="shared" ref="I104:I126" si="21">IF(I72="X",(D72-C72),"0")</f>
        <v>0</v>
      </c>
      <c r="J104" s="2" t="str">
        <f t="shared" ref="J104:J126" si="22">IF(J72="X",(D72-C72),"0")</f>
        <v>0</v>
      </c>
      <c r="K104" s="2" t="str">
        <f t="shared" ref="K104:K126" si="23">IF(K72="X",(D72-C72),"0")</f>
        <v>0</v>
      </c>
      <c r="L104" s="2" t="str">
        <f t="shared" ref="L104:L126" si="24">IF(L72="X",(D72-C72),"0")</f>
        <v>0</v>
      </c>
      <c r="M104" s="2" t="str">
        <f t="shared" ref="M104:M126" si="25">IF(M72="X",(D72-C72),"0")</f>
        <v>0</v>
      </c>
      <c r="N104" s="2" t="str">
        <f t="shared" ref="N104:N126" si="26">IF(N72="X",(D72-C72),"0")</f>
        <v>0</v>
      </c>
      <c r="O104" s="2" t="str">
        <f t="shared" ref="O104:O126" si="27">IF(O72="X",(D72-C72),"0")</f>
        <v>0</v>
      </c>
      <c r="P104" s="2" t="str">
        <f t="shared" ref="P104:P126" si="28">IF(P72="X",(D72-C72),"0")</f>
        <v>0</v>
      </c>
      <c r="Q104" s="2" t="str">
        <f t="shared" ref="Q104:Q126" si="29">IF(Q72="X",(D72-C72),"0")</f>
        <v>0</v>
      </c>
      <c r="R104" s="2" t="str">
        <f t="shared" ref="R104:R126" si="30">IF(R72="X",(D72-C72),"0")</f>
        <v>0</v>
      </c>
      <c r="S104" s="2" t="str">
        <f t="shared" ref="S104:S126" si="31">IF(S72="X",(D72-C72),"0")</f>
        <v>0</v>
      </c>
      <c r="T104" s="2" t="str">
        <f t="shared" ref="T104:T126" si="32">IF(T72="X",(D72-C72),"0")</f>
        <v>0</v>
      </c>
    </row>
    <row r="105" spans="5:20" x14ac:dyDescent="0.25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 x14ac:dyDescent="0.25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 x14ac:dyDescent="0.25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2">
        <f>SUM(E39:E126)</f>
        <v>14.1</v>
      </c>
      <c r="F127" s="2">
        <f t="shared" ref="F127:T127" si="33">SUM(F39:F126)</f>
        <v>7.2</v>
      </c>
      <c r="G127" s="2">
        <f t="shared" si="33"/>
        <v>4.8999999999999995</v>
      </c>
      <c r="H127" s="2">
        <f t="shared" si="33"/>
        <v>9.8999999999999986</v>
      </c>
      <c r="I127" s="2">
        <f t="shared" si="33"/>
        <v>0</v>
      </c>
      <c r="J127" s="2">
        <f t="shared" si="33"/>
        <v>26.2</v>
      </c>
      <c r="K127" s="2">
        <f t="shared" si="33"/>
        <v>0</v>
      </c>
      <c r="L127" s="2">
        <f t="shared" si="33"/>
        <v>0</v>
      </c>
      <c r="M127" s="2">
        <f t="shared" si="33"/>
        <v>26.2</v>
      </c>
      <c r="N127" s="2">
        <f t="shared" si="33"/>
        <v>0</v>
      </c>
      <c r="O127" s="2">
        <f t="shared" si="33"/>
        <v>0</v>
      </c>
      <c r="P127" s="2">
        <f t="shared" si="33"/>
        <v>26.2</v>
      </c>
      <c r="Q127" s="2">
        <f t="shared" si="33"/>
        <v>0</v>
      </c>
      <c r="R127" s="2">
        <f t="shared" si="33"/>
        <v>0</v>
      </c>
      <c r="S127" s="2">
        <f t="shared" si="33"/>
        <v>26.2</v>
      </c>
      <c r="T127" s="2">
        <f t="shared" si="33"/>
        <v>0</v>
      </c>
    </row>
  </sheetData>
  <mergeCells count="14">
    <mergeCell ref="U5:U6"/>
    <mergeCell ref="E32:F32"/>
    <mergeCell ref="E5:I5"/>
    <mergeCell ref="J5:K5"/>
    <mergeCell ref="L5:N5"/>
    <mergeCell ref="J2:K2"/>
    <mergeCell ref="O2:S2"/>
    <mergeCell ref="C5:C6"/>
    <mergeCell ref="O5:Q5"/>
    <mergeCell ref="R5:T5"/>
    <mergeCell ref="D5:D6"/>
    <mergeCell ref="A2:G2"/>
    <mergeCell ref="B5:B6"/>
    <mergeCell ref="A5:A6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68C7-F3E7-4961-8262-02735E3099AB}">
  <dimension ref="A1:AN127"/>
  <sheetViews>
    <sheetView view="pageBreakPreview" topLeftCell="B4" zoomScale="55" zoomScaleNormal="70" zoomScaleSheetLayoutView="55" workbookViewId="0">
      <selection activeCell="H10" sqref="H10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7" width="11.5546875" style="2" customWidth="1"/>
    <col min="8" max="8" width="13.6640625" style="2" customWidth="1"/>
    <col min="9" max="9" width="14.33203125" style="2" customWidth="1"/>
    <col min="10" max="10" width="16.21875" style="2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92">
        <f>'224'!J2</f>
        <v>46204</v>
      </c>
      <c r="K2" s="92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TT!C5</f>
        <v>RODOVIA TO-280 - TRECHO NATIVIDADE - ALMAS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25">
      <c r="A7" s="48" t="s">
        <v>62</v>
      </c>
      <c r="B7" s="48" t="s">
        <v>130</v>
      </c>
      <c r="C7" s="49">
        <v>0</v>
      </c>
      <c r="D7" s="49">
        <v>2.4</v>
      </c>
      <c r="E7" s="48"/>
      <c r="F7" s="48" t="s">
        <v>129</v>
      </c>
      <c r="G7" s="48"/>
      <c r="H7" s="48"/>
      <c r="I7" s="48"/>
      <c r="J7" s="48" t="s">
        <v>129</v>
      </c>
      <c r="K7" s="48"/>
      <c r="L7" s="48" t="s">
        <v>129</v>
      </c>
      <c r="M7" s="48"/>
      <c r="N7" s="48"/>
      <c r="O7" s="48"/>
      <c r="P7" s="48" t="s">
        <v>129</v>
      </c>
      <c r="Q7" s="48"/>
      <c r="R7" s="48"/>
      <c r="S7" s="48" t="s">
        <v>129</v>
      </c>
      <c r="T7" s="48"/>
      <c r="U7" s="49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25">
      <c r="A8" s="48"/>
      <c r="B8" s="48"/>
      <c r="C8" s="49">
        <f>D7</f>
        <v>2.4</v>
      </c>
      <c r="D8" s="49">
        <v>4</v>
      </c>
      <c r="E8" s="48"/>
      <c r="F8" s="48"/>
      <c r="G8" s="48" t="s">
        <v>129</v>
      </c>
      <c r="H8" s="48"/>
      <c r="I8" s="48"/>
      <c r="J8" s="48" t="s">
        <v>129</v>
      </c>
      <c r="K8" s="48"/>
      <c r="L8" s="48"/>
      <c r="M8" s="48"/>
      <c r="N8" s="48"/>
      <c r="O8" s="48"/>
      <c r="P8" s="48" t="s">
        <v>129</v>
      </c>
      <c r="Q8" s="48"/>
      <c r="R8" s="48"/>
      <c r="S8" s="48" t="s">
        <v>129</v>
      </c>
      <c r="T8" s="48"/>
      <c r="U8" s="49"/>
    </row>
    <row r="9" spans="1:40" ht="36" customHeight="1" x14ac:dyDescent="0.25">
      <c r="A9" s="48"/>
      <c r="B9" s="48"/>
      <c r="C9" s="49">
        <f t="shared" ref="C9:C25" si="0">D8</f>
        <v>4</v>
      </c>
      <c r="D9" s="49">
        <v>8.1</v>
      </c>
      <c r="E9" s="48"/>
      <c r="F9" s="48"/>
      <c r="G9" s="48" t="s">
        <v>129</v>
      </c>
      <c r="H9" s="48"/>
      <c r="I9" s="48" t="s">
        <v>129</v>
      </c>
      <c r="J9" s="48" t="s">
        <v>129</v>
      </c>
      <c r="K9" s="48"/>
      <c r="L9" s="48" t="s">
        <v>129</v>
      </c>
      <c r="M9" s="48"/>
      <c r="N9" s="48"/>
      <c r="O9" s="48"/>
      <c r="P9" s="48" t="s">
        <v>129</v>
      </c>
      <c r="Q9" s="48"/>
      <c r="R9" s="48"/>
      <c r="S9" s="48" t="s">
        <v>129</v>
      </c>
      <c r="T9" s="48"/>
      <c r="U9" s="49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25">
      <c r="A10" s="48"/>
      <c r="B10" s="48"/>
      <c r="C10" s="49">
        <f t="shared" si="0"/>
        <v>8.1</v>
      </c>
      <c r="D10" s="49">
        <v>14.6</v>
      </c>
      <c r="E10" s="48"/>
      <c r="F10" s="48"/>
      <c r="G10" s="48" t="s">
        <v>129</v>
      </c>
      <c r="H10" s="48"/>
      <c r="I10" s="48"/>
      <c r="J10" s="48" t="s">
        <v>129</v>
      </c>
      <c r="K10" s="48"/>
      <c r="L10" s="48"/>
      <c r="M10" s="48" t="s">
        <v>129</v>
      </c>
      <c r="N10" s="48"/>
      <c r="O10" s="48"/>
      <c r="P10" s="48" t="s">
        <v>129</v>
      </c>
      <c r="Q10" s="48"/>
      <c r="R10" s="48"/>
      <c r="S10" s="48" t="s">
        <v>129</v>
      </c>
      <c r="T10" s="48"/>
      <c r="U10" s="49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25">
      <c r="A11" s="48"/>
      <c r="B11" s="48"/>
      <c r="C11" s="49">
        <f t="shared" si="0"/>
        <v>14.6</v>
      </c>
      <c r="D11" s="49">
        <v>22</v>
      </c>
      <c r="E11" s="48"/>
      <c r="F11" s="48"/>
      <c r="G11" s="48" t="s">
        <v>129</v>
      </c>
      <c r="H11" s="48"/>
      <c r="I11" s="48" t="s">
        <v>129</v>
      </c>
      <c r="J11" s="48" t="s">
        <v>129</v>
      </c>
      <c r="K11" s="48"/>
      <c r="L11" s="48"/>
      <c r="M11" s="48" t="s">
        <v>129</v>
      </c>
      <c r="N11" s="48"/>
      <c r="O11" s="48"/>
      <c r="P11" s="48" t="s">
        <v>129</v>
      </c>
      <c r="Q11" s="48"/>
      <c r="R11" s="48"/>
      <c r="S11" s="48" t="s">
        <v>129</v>
      </c>
      <c r="T11" s="48"/>
      <c r="U11" s="49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25">
      <c r="A12" s="48"/>
      <c r="B12" s="48"/>
      <c r="C12" s="49">
        <f t="shared" si="0"/>
        <v>22</v>
      </c>
      <c r="D12" s="49">
        <v>22.5</v>
      </c>
      <c r="E12" s="48"/>
      <c r="F12" s="48"/>
      <c r="G12" s="48" t="s">
        <v>129</v>
      </c>
      <c r="H12" s="48"/>
      <c r="I12" s="48" t="s">
        <v>129</v>
      </c>
      <c r="J12" s="48" t="s">
        <v>129</v>
      </c>
      <c r="K12" s="48"/>
      <c r="L12" s="48"/>
      <c r="M12" s="48" t="s">
        <v>129</v>
      </c>
      <c r="N12" s="48"/>
      <c r="O12" s="48"/>
      <c r="P12" s="48" t="s">
        <v>129</v>
      </c>
      <c r="Q12" s="48"/>
      <c r="R12" s="48"/>
      <c r="S12" s="48" t="s">
        <v>129</v>
      </c>
      <c r="T12" s="48"/>
      <c r="U12" s="49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25">
      <c r="A13" s="48"/>
      <c r="B13" s="48"/>
      <c r="C13" s="49">
        <f t="shared" si="0"/>
        <v>22.5</v>
      </c>
      <c r="D13" s="49">
        <v>25.5</v>
      </c>
      <c r="E13" s="48"/>
      <c r="F13" s="48" t="s">
        <v>129</v>
      </c>
      <c r="G13" s="48" t="s">
        <v>129</v>
      </c>
      <c r="H13" s="48"/>
      <c r="I13" s="48"/>
      <c r="J13" s="48" t="s">
        <v>129</v>
      </c>
      <c r="K13" s="48"/>
      <c r="L13" s="48"/>
      <c r="M13" s="48"/>
      <c r="N13" s="48"/>
      <c r="O13" s="48"/>
      <c r="P13" s="48" t="s">
        <v>129</v>
      </c>
      <c r="Q13" s="48"/>
      <c r="R13" s="48"/>
      <c r="S13" s="48" t="s">
        <v>129</v>
      </c>
      <c r="T13" s="48"/>
      <c r="U13" s="49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25">
      <c r="A14" s="48"/>
      <c r="B14" s="48"/>
      <c r="C14" s="49">
        <f t="shared" si="0"/>
        <v>25.5</v>
      </c>
      <c r="D14" s="49">
        <v>27</v>
      </c>
      <c r="E14" s="48"/>
      <c r="F14" s="48" t="s">
        <v>129</v>
      </c>
      <c r="G14" s="48" t="s">
        <v>129</v>
      </c>
      <c r="H14" s="48"/>
      <c r="I14" s="48"/>
      <c r="J14" s="48" t="s">
        <v>129</v>
      </c>
      <c r="K14" s="48"/>
      <c r="L14" s="48"/>
      <c r="M14" s="48"/>
      <c r="N14" s="48"/>
      <c r="O14" s="48"/>
      <c r="P14" s="48" t="s">
        <v>129</v>
      </c>
      <c r="Q14" s="48"/>
      <c r="R14" s="48"/>
      <c r="S14" s="48" t="s">
        <v>129</v>
      </c>
      <c r="T14" s="48"/>
      <c r="U14" s="49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25">
      <c r="A15" s="48"/>
      <c r="B15" s="48"/>
      <c r="C15" s="49">
        <f t="shared" si="0"/>
        <v>27</v>
      </c>
      <c r="D15" s="49">
        <v>30.5</v>
      </c>
      <c r="E15" s="48"/>
      <c r="F15" s="48" t="s">
        <v>129</v>
      </c>
      <c r="G15" s="48" t="s">
        <v>129</v>
      </c>
      <c r="H15" s="48"/>
      <c r="I15" s="48"/>
      <c r="J15" s="48" t="s">
        <v>129</v>
      </c>
      <c r="K15" s="48"/>
      <c r="L15" s="48"/>
      <c r="M15" s="48"/>
      <c r="N15" s="48"/>
      <c r="O15" s="48"/>
      <c r="P15" s="48" t="s">
        <v>129</v>
      </c>
      <c r="Q15" s="48"/>
      <c r="R15" s="48"/>
      <c r="S15" s="48" t="s">
        <v>129</v>
      </c>
      <c r="T15" s="48"/>
      <c r="U15" s="49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25">
      <c r="A16" s="48"/>
      <c r="B16" s="48"/>
      <c r="C16" s="49">
        <f t="shared" si="0"/>
        <v>30.5</v>
      </c>
      <c r="D16" s="49">
        <v>31.5</v>
      </c>
      <c r="E16" s="48"/>
      <c r="F16" s="48"/>
      <c r="G16" s="48" t="s">
        <v>129</v>
      </c>
      <c r="H16" s="48"/>
      <c r="I16" s="48"/>
      <c r="J16" s="48" t="s">
        <v>129</v>
      </c>
      <c r="K16" s="48"/>
      <c r="L16" s="48"/>
      <c r="M16" s="48"/>
      <c r="N16" s="48"/>
      <c r="O16" s="48"/>
      <c r="P16" s="48" t="s">
        <v>129</v>
      </c>
      <c r="Q16" s="48"/>
      <c r="R16" s="48"/>
      <c r="S16" s="48" t="s">
        <v>129</v>
      </c>
      <c r="T16" s="48"/>
      <c r="U16" s="49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25">
      <c r="A17" s="48"/>
      <c r="B17" s="48"/>
      <c r="C17" s="49">
        <f>D16</f>
        <v>31.5</v>
      </c>
      <c r="D17" s="49">
        <v>34</v>
      </c>
      <c r="E17" s="48"/>
      <c r="F17" s="48" t="s">
        <v>129</v>
      </c>
      <c r="G17" s="48" t="s">
        <v>129</v>
      </c>
      <c r="H17" s="48"/>
      <c r="I17" s="48"/>
      <c r="J17" s="48" t="s">
        <v>129</v>
      </c>
      <c r="K17" s="48"/>
      <c r="L17" s="48"/>
      <c r="M17" s="48"/>
      <c r="N17" s="48"/>
      <c r="O17" s="48"/>
      <c r="P17" s="48" t="s">
        <v>129</v>
      </c>
      <c r="Q17" s="48"/>
      <c r="R17" s="48"/>
      <c r="S17" s="48" t="s">
        <v>129</v>
      </c>
      <c r="T17" s="48"/>
      <c r="U17" s="49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25">
      <c r="A18" s="48"/>
      <c r="B18" s="48"/>
      <c r="C18" s="49">
        <f>D17</f>
        <v>34</v>
      </c>
      <c r="D18" s="49">
        <v>52</v>
      </c>
      <c r="E18" s="48"/>
      <c r="F18" s="48"/>
      <c r="G18" s="48" t="s">
        <v>129</v>
      </c>
      <c r="H18" s="48"/>
      <c r="I18" s="48"/>
      <c r="J18" s="48" t="s">
        <v>129</v>
      </c>
      <c r="K18" s="48"/>
      <c r="L18" s="48"/>
      <c r="M18" s="48" t="s">
        <v>129</v>
      </c>
      <c r="N18" s="48"/>
      <c r="O18" s="48"/>
      <c r="P18" s="48" t="s">
        <v>129</v>
      </c>
      <c r="Q18" s="48"/>
      <c r="R18" s="48"/>
      <c r="S18" s="48" t="s">
        <v>129</v>
      </c>
      <c r="T18" s="48"/>
      <c r="U18" s="49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25">
      <c r="A19" s="48"/>
      <c r="B19" s="48"/>
      <c r="C19" s="49">
        <f t="shared" si="0"/>
        <v>52</v>
      </c>
      <c r="D19" s="49">
        <v>53</v>
      </c>
      <c r="E19" s="48"/>
      <c r="F19" s="48" t="s">
        <v>129</v>
      </c>
      <c r="G19" s="48" t="s">
        <v>129</v>
      </c>
      <c r="H19" s="48"/>
      <c r="I19" s="48"/>
      <c r="J19" s="48" t="s">
        <v>129</v>
      </c>
      <c r="K19" s="48"/>
      <c r="L19" s="48"/>
      <c r="M19" s="48" t="s">
        <v>129</v>
      </c>
      <c r="N19" s="48"/>
      <c r="O19" s="48"/>
      <c r="P19" s="48" t="s">
        <v>129</v>
      </c>
      <c r="Q19" s="48"/>
      <c r="R19" s="48"/>
      <c r="S19" s="48" t="s">
        <v>129</v>
      </c>
      <c r="T19" s="48"/>
      <c r="U19" s="49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25">
      <c r="A20" s="48"/>
      <c r="B20" s="48"/>
      <c r="C20" s="49">
        <f t="shared" si="0"/>
        <v>53</v>
      </c>
      <c r="D20" s="49">
        <v>65.099999999999994</v>
      </c>
      <c r="E20" s="48"/>
      <c r="F20" s="48"/>
      <c r="G20" s="48" t="s">
        <v>129</v>
      </c>
      <c r="H20" s="48"/>
      <c r="I20" s="48"/>
      <c r="J20" s="48" t="s">
        <v>129</v>
      </c>
      <c r="K20" s="48"/>
      <c r="L20" s="48"/>
      <c r="M20" s="48" t="s">
        <v>129</v>
      </c>
      <c r="N20" s="48"/>
      <c r="O20" s="48"/>
      <c r="P20" s="48" t="s">
        <v>129</v>
      </c>
      <c r="Q20" s="48"/>
      <c r="R20" s="48"/>
      <c r="S20" s="48" t="s">
        <v>129</v>
      </c>
      <c r="T20" s="48"/>
      <c r="U20" s="49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25">
      <c r="A21" s="48"/>
      <c r="B21" s="48"/>
      <c r="C21" s="49">
        <f t="shared" si="0"/>
        <v>65.099999999999994</v>
      </c>
      <c r="D21" s="49">
        <v>66.7</v>
      </c>
      <c r="E21" s="48"/>
      <c r="F21" s="48" t="s">
        <v>129</v>
      </c>
      <c r="G21" s="48"/>
      <c r="H21" s="48"/>
      <c r="I21" s="48"/>
      <c r="J21" s="48" t="s">
        <v>129</v>
      </c>
      <c r="K21" s="48"/>
      <c r="L21" s="48"/>
      <c r="M21" s="48"/>
      <c r="N21" s="48"/>
      <c r="O21" s="48"/>
      <c r="P21" s="48" t="s">
        <v>129</v>
      </c>
      <c r="Q21" s="48"/>
      <c r="R21" s="48"/>
      <c r="S21" s="48" t="s">
        <v>129</v>
      </c>
      <c r="T21" s="48"/>
      <c r="U21" s="49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48"/>
      <c r="B22" s="48"/>
      <c r="C22" s="49">
        <f t="shared" si="0"/>
        <v>66.7</v>
      </c>
      <c r="D22" s="49">
        <v>67.5</v>
      </c>
      <c r="E22" s="48"/>
      <c r="F22" s="48"/>
      <c r="G22" s="48" t="s">
        <v>129</v>
      </c>
      <c r="H22" s="48"/>
      <c r="I22" s="48"/>
      <c r="J22" s="48" t="s">
        <v>129</v>
      </c>
      <c r="K22" s="48"/>
      <c r="L22" s="48"/>
      <c r="M22" s="48"/>
      <c r="N22" s="48"/>
      <c r="O22" s="48"/>
      <c r="P22" s="48" t="s">
        <v>129</v>
      </c>
      <c r="Q22" s="48"/>
      <c r="R22" s="48"/>
      <c r="S22" s="48" t="s">
        <v>129</v>
      </c>
      <c r="T22" s="48"/>
      <c r="U22" s="49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48"/>
      <c r="B23" s="48"/>
      <c r="C23" s="49">
        <f t="shared" si="0"/>
        <v>67.5</v>
      </c>
      <c r="D23" s="49">
        <v>72.099999999999994</v>
      </c>
      <c r="E23" s="48"/>
      <c r="F23" s="48" t="s">
        <v>129</v>
      </c>
      <c r="G23" s="48"/>
      <c r="H23" s="48"/>
      <c r="I23" s="48"/>
      <c r="J23" s="48" t="s">
        <v>129</v>
      </c>
      <c r="K23" s="48"/>
      <c r="L23" s="48"/>
      <c r="M23" s="48"/>
      <c r="N23" s="48"/>
      <c r="O23" s="48"/>
      <c r="P23" s="48" t="s">
        <v>129</v>
      </c>
      <c r="Q23" s="48"/>
      <c r="R23" s="48"/>
      <c r="S23" s="48" t="s">
        <v>129</v>
      </c>
      <c r="T23" s="48"/>
      <c r="U23" s="49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48"/>
      <c r="B24" s="48"/>
      <c r="C24" s="49">
        <f t="shared" si="0"/>
        <v>72.099999999999994</v>
      </c>
      <c r="D24" s="49">
        <v>73.099999999999994</v>
      </c>
      <c r="E24" s="48"/>
      <c r="F24" s="48"/>
      <c r="G24" s="48" t="s">
        <v>129</v>
      </c>
      <c r="H24" s="48"/>
      <c r="I24" s="48"/>
      <c r="J24" s="48" t="s">
        <v>129</v>
      </c>
      <c r="K24" s="48"/>
      <c r="L24" s="48"/>
      <c r="M24" s="48"/>
      <c r="N24" s="48"/>
      <c r="O24" s="48"/>
      <c r="P24" s="48" t="s">
        <v>129</v>
      </c>
      <c r="Q24" s="48"/>
      <c r="R24" s="48"/>
      <c r="S24" s="48" t="s">
        <v>129</v>
      </c>
      <c r="T24" s="48"/>
      <c r="U24" s="49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48"/>
      <c r="B25" s="48"/>
      <c r="C25" s="49">
        <f t="shared" si="0"/>
        <v>73.099999999999994</v>
      </c>
      <c r="D25" s="49">
        <v>76.2</v>
      </c>
      <c r="E25" s="48"/>
      <c r="F25" s="48"/>
      <c r="G25" s="48" t="s">
        <v>129</v>
      </c>
      <c r="H25" s="48"/>
      <c r="I25" s="48"/>
      <c r="J25" s="48" t="s">
        <v>129</v>
      </c>
      <c r="K25" s="48"/>
      <c r="L25" s="48"/>
      <c r="M25" s="48"/>
      <c r="N25" s="48"/>
      <c r="O25" s="48"/>
      <c r="P25" s="48" t="s">
        <v>129</v>
      </c>
      <c r="Q25" s="48"/>
      <c r="R25" s="48"/>
      <c r="S25" s="48" t="s">
        <v>129</v>
      </c>
      <c r="T25" s="48"/>
      <c r="U25" s="49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48"/>
      <c r="B26" s="48"/>
      <c r="C26" s="49"/>
      <c r="D26" s="49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48"/>
      <c r="B27" s="48"/>
      <c r="C27" s="49"/>
      <c r="D27" s="49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9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K27" s="25"/>
      <c r="AL27" s="25"/>
      <c r="AM27" s="25"/>
      <c r="AN27" s="25"/>
    </row>
    <row r="28" spans="1:40" ht="36" customHeight="1" x14ac:dyDescent="0.25">
      <c r="A28" s="48"/>
      <c r="B28" s="48"/>
      <c r="C28" s="49"/>
      <c r="D28" s="49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9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2.4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2.4</v>
      </c>
      <c r="K39" s="2" t="str">
        <f>IF(K7="X",(D7-C7),"0")</f>
        <v>0</v>
      </c>
      <c r="L39" s="2">
        <f>IF(L7="X",(D7-C7),"0")</f>
        <v>2.4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2.4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2.4</v>
      </c>
      <c r="T39" s="2" t="str">
        <f>IF(T7="X",(D7-C7),"0")</f>
        <v>0</v>
      </c>
    </row>
    <row r="40" spans="1:20" x14ac:dyDescent="0.25">
      <c r="E40" s="2" t="str">
        <f t="shared" ref="E40:E103" si="1">IF(E8="X",(D8-C8),"0")</f>
        <v>0</v>
      </c>
      <c r="F40" s="2" t="str">
        <f t="shared" ref="F40:F103" si="2">IF(F8="X",(D8-C8),"0")</f>
        <v>0</v>
      </c>
      <c r="G40" s="2">
        <f t="shared" ref="G40:G103" si="3">IF(G8="X",(D8-C8),"0")</f>
        <v>1.6</v>
      </c>
      <c r="H40" s="2" t="str">
        <f t="shared" ref="H40:H103" si="4">IF(H8="X",(D8-C8),"0")</f>
        <v>0</v>
      </c>
      <c r="I40" s="2" t="str">
        <f t="shared" ref="I40:I103" si="5">IF(I8="X",(D8-C8),"0")</f>
        <v>0</v>
      </c>
      <c r="J40" s="2">
        <f t="shared" ref="J40:J103" si="6">IF(J8="X",(D8-C8),"0")</f>
        <v>1.6</v>
      </c>
      <c r="K40" s="2" t="str">
        <f t="shared" ref="K40:K103" si="7">IF(K8="X",(D8-C8),"0")</f>
        <v>0</v>
      </c>
      <c r="L40" s="2" t="str">
        <f t="shared" ref="L40:L103" si="8">IF(L8="X",(D8-C8),"0")</f>
        <v>0</v>
      </c>
      <c r="M40" s="2" t="str">
        <f t="shared" ref="M40:M103" si="9">IF(M8="X",(D8-C8),"0")</f>
        <v>0</v>
      </c>
      <c r="N40" s="2" t="str">
        <f t="shared" ref="N40:N103" si="10">IF(N8="X",(D8-C8),"0")</f>
        <v>0</v>
      </c>
      <c r="O40" s="2" t="str">
        <f t="shared" ref="O40:O103" si="11">IF(O8="X",(D8-C8),"0")</f>
        <v>0</v>
      </c>
      <c r="P40" s="2">
        <f t="shared" ref="P40:P103" si="12">IF(P8="X",(D8-C8),"0")</f>
        <v>1.6</v>
      </c>
      <c r="Q40" s="2" t="str">
        <f t="shared" ref="Q40:Q103" si="13">IF(Q8="X",(D8-C8),"0")</f>
        <v>0</v>
      </c>
      <c r="R40" s="2" t="str">
        <f t="shared" ref="R40:R103" si="14">IF(R8="X",(D8-C8),"0")</f>
        <v>0</v>
      </c>
      <c r="S40" s="2">
        <f t="shared" ref="S40:S103" si="15">IF(S8="X",(D8-C8),"0")</f>
        <v>1.6</v>
      </c>
      <c r="T40" s="2" t="str">
        <f t="shared" ref="T40:T103" si="16">IF(T8="X",(D8-C8),"0")</f>
        <v>0</v>
      </c>
    </row>
    <row r="41" spans="1:20" x14ac:dyDescent="0.25">
      <c r="E41" s="2" t="str">
        <f t="shared" si="1"/>
        <v>0</v>
      </c>
      <c r="F41" s="2" t="str">
        <f t="shared" si="2"/>
        <v>0</v>
      </c>
      <c r="G41" s="2">
        <f t="shared" si="3"/>
        <v>4.0999999999999996</v>
      </c>
      <c r="H41" s="2" t="str">
        <f t="shared" si="4"/>
        <v>0</v>
      </c>
      <c r="I41" s="2">
        <f t="shared" si="5"/>
        <v>4.0999999999999996</v>
      </c>
      <c r="J41" s="2">
        <f t="shared" si="6"/>
        <v>4.0999999999999996</v>
      </c>
      <c r="K41" s="2" t="str">
        <f t="shared" si="7"/>
        <v>0</v>
      </c>
      <c r="L41" s="2">
        <f t="shared" si="8"/>
        <v>4.0999999999999996</v>
      </c>
      <c r="M41" s="2" t="str">
        <f t="shared" si="9"/>
        <v>0</v>
      </c>
      <c r="N41" s="2" t="str">
        <f t="shared" si="10"/>
        <v>0</v>
      </c>
      <c r="O41" s="2" t="str">
        <f t="shared" si="11"/>
        <v>0</v>
      </c>
      <c r="P41" s="2">
        <f t="shared" si="12"/>
        <v>4.0999999999999996</v>
      </c>
      <c r="Q41" s="2" t="str">
        <f t="shared" si="13"/>
        <v>0</v>
      </c>
      <c r="R41" s="2" t="str">
        <f t="shared" si="14"/>
        <v>0</v>
      </c>
      <c r="S41" s="2">
        <f t="shared" si="15"/>
        <v>4.0999999999999996</v>
      </c>
      <c r="T41" s="2" t="str">
        <f t="shared" si="16"/>
        <v>0</v>
      </c>
    </row>
    <row r="42" spans="1:20" x14ac:dyDescent="0.25">
      <c r="E42" s="2" t="str">
        <f t="shared" si="1"/>
        <v>0</v>
      </c>
      <c r="F42" s="2" t="str">
        <f t="shared" si="2"/>
        <v>0</v>
      </c>
      <c r="G42" s="2">
        <f t="shared" si="3"/>
        <v>6.5</v>
      </c>
      <c r="H42" s="2" t="str">
        <f t="shared" si="4"/>
        <v>0</v>
      </c>
      <c r="I42" s="2" t="str">
        <f t="shared" si="5"/>
        <v>0</v>
      </c>
      <c r="J42" s="2">
        <f t="shared" si="6"/>
        <v>6.5</v>
      </c>
      <c r="K42" s="2" t="str">
        <f t="shared" si="7"/>
        <v>0</v>
      </c>
      <c r="L42" s="2" t="str">
        <f t="shared" si="8"/>
        <v>0</v>
      </c>
      <c r="M42" s="2">
        <f t="shared" si="9"/>
        <v>6.5</v>
      </c>
      <c r="N42" s="2" t="str">
        <f t="shared" si="10"/>
        <v>0</v>
      </c>
      <c r="O42" s="2" t="str">
        <f t="shared" si="11"/>
        <v>0</v>
      </c>
      <c r="P42" s="2">
        <f t="shared" si="12"/>
        <v>6.5</v>
      </c>
      <c r="Q42" s="2" t="str">
        <f t="shared" si="13"/>
        <v>0</v>
      </c>
      <c r="R42" s="2" t="str">
        <f t="shared" si="14"/>
        <v>0</v>
      </c>
      <c r="S42" s="2">
        <f t="shared" si="15"/>
        <v>6.5</v>
      </c>
      <c r="T42" s="2" t="str">
        <f t="shared" si="16"/>
        <v>0</v>
      </c>
    </row>
    <row r="43" spans="1:20" x14ac:dyDescent="0.25">
      <c r="E43" s="2" t="str">
        <f t="shared" si="1"/>
        <v>0</v>
      </c>
      <c r="F43" s="2" t="str">
        <f t="shared" si="2"/>
        <v>0</v>
      </c>
      <c r="G43" s="2">
        <f t="shared" si="3"/>
        <v>7.4</v>
      </c>
      <c r="H43" s="2" t="str">
        <f t="shared" si="4"/>
        <v>0</v>
      </c>
      <c r="I43" s="2">
        <f t="shared" si="5"/>
        <v>7.4</v>
      </c>
      <c r="J43" s="2">
        <f t="shared" si="6"/>
        <v>7.4</v>
      </c>
      <c r="K43" s="2" t="str">
        <f t="shared" si="7"/>
        <v>0</v>
      </c>
      <c r="L43" s="2" t="str">
        <f t="shared" si="8"/>
        <v>0</v>
      </c>
      <c r="M43" s="2">
        <f t="shared" si="9"/>
        <v>7.4</v>
      </c>
      <c r="N43" s="2" t="str">
        <f t="shared" si="10"/>
        <v>0</v>
      </c>
      <c r="O43" s="2" t="str">
        <f t="shared" si="11"/>
        <v>0</v>
      </c>
      <c r="P43" s="2">
        <f t="shared" si="12"/>
        <v>7.4</v>
      </c>
      <c r="Q43" s="2" t="str">
        <f t="shared" si="13"/>
        <v>0</v>
      </c>
      <c r="R43" s="2" t="str">
        <f t="shared" si="14"/>
        <v>0</v>
      </c>
      <c r="S43" s="2">
        <f t="shared" si="15"/>
        <v>7.4</v>
      </c>
      <c r="T43" s="2" t="str">
        <f t="shared" si="16"/>
        <v>0</v>
      </c>
    </row>
    <row r="44" spans="1:20" x14ac:dyDescent="0.25">
      <c r="E44" s="2" t="str">
        <f t="shared" si="1"/>
        <v>0</v>
      </c>
      <c r="F44" s="2" t="str">
        <f t="shared" si="2"/>
        <v>0</v>
      </c>
      <c r="G44" s="2">
        <f t="shared" si="3"/>
        <v>0.5</v>
      </c>
      <c r="H44" s="2" t="str">
        <f t="shared" si="4"/>
        <v>0</v>
      </c>
      <c r="I44" s="2">
        <f t="shared" si="5"/>
        <v>0.5</v>
      </c>
      <c r="J44" s="2">
        <f t="shared" si="6"/>
        <v>0.5</v>
      </c>
      <c r="K44" s="2" t="str">
        <f t="shared" si="7"/>
        <v>0</v>
      </c>
      <c r="L44" s="2" t="str">
        <f t="shared" si="8"/>
        <v>0</v>
      </c>
      <c r="M44" s="2">
        <f t="shared" si="9"/>
        <v>0.5</v>
      </c>
      <c r="N44" s="2" t="str">
        <f t="shared" si="10"/>
        <v>0</v>
      </c>
      <c r="O44" s="2" t="str">
        <f t="shared" si="11"/>
        <v>0</v>
      </c>
      <c r="P44" s="2">
        <f t="shared" si="12"/>
        <v>0.5</v>
      </c>
      <c r="Q44" s="2" t="str">
        <f t="shared" si="13"/>
        <v>0</v>
      </c>
      <c r="R44" s="2" t="str">
        <f t="shared" si="14"/>
        <v>0</v>
      </c>
      <c r="S44" s="2">
        <f t="shared" si="15"/>
        <v>0.5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>
        <f t="shared" si="2"/>
        <v>3</v>
      </c>
      <c r="G45" s="2">
        <f t="shared" si="3"/>
        <v>3</v>
      </c>
      <c r="H45" s="2" t="str">
        <f t="shared" si="4"/>
        <v>0</v>
      </c>
      <c r="I45" s="2" t="str">
        <f t="shared" si="5"/>
        <v>0</v>
      </c>
      <c r="J45" s="2">
        <f t="shared" si="6"/>
        <v>3</v>
      </c>
      <c r="K45" s="2" t="str">
        <f t="shared" si="7"/>
        <v>0</v>
      </c>
      <c r="L45" s="2" t="str">
        <f t="shared" si="8"/>
        <v>0</v>
      </c>
      <c r="M45" s="2" t="str">
        <f t="shared" si="9"/>
        <v>0</v>
      </c>
      <c r="N45" s="2" t="str">
        <f t="shared" si="10"/>
        <v>0</v>
      </c>
      <c r="O45" s="2" t="str">
        <f t="shared" si="11"/>
        <v>0</v>
      </c>
      <c r="P45" s="2">
        <f t="shared" si="12"/>
        <v>3</v>
      </c>
      <c r="Q45" s="2" t="str">
        <f t="shared" si="13"/>
        <v>0</v>
      </c>
      <c r="R45" s="2" t="str">
        <f t="shared" si="14"/>
        <v>0</v>
      </c>
      <c r="S45" s="2">
        <f t="shared" si="15"/>
        <v>3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>
        <f t="shared" si="2"/>
        <v>1.5</v>
      </c>
      <c r="G46" s="2">
        <f t="shared" si="3"/>
        <v>1.5</v>
      </c>
      <c r="H46" s="2" t="str">
        <f t="shared" si="4"/>
        <v>0</v>
      </c>
      <c r="I46" s="2" t="str">
        <f t="shared" si="5"/>
        <v>0</v>
      </c>
      <c r="J46" s="2">
        <f t="shared" si="6"/>
        <v>1.5</v>
      </c>
      <c r="K46" s="2" t="str">
        <f t="shared" si="7"/>
        <v>0</v>
      </c>
      <c r="L46" s="2" t="str">
        <f t="shared" si="8"/>
        <v>0</v>
      </c>
      <c r="M46" s="2" t="str">
        <f t="shared" si="9"/>
        <v>0</v>
      </c>
      <c r="N46" s="2" t="str">
        <f t="shared" si="10"/>
        <v>0</v>
      </c>
      <c r="O46" s="2" t="str">
        <f t="shared" si="11"/>
        <v>0</v>
      </c>
      <c r="P46" s="2">
        <f t="shared" si="12"/>
        <v>1.5</v>
      </c>
      <c r="Q46" s="2" t="str">
        <f t="shared" si="13"/>
        <v>0</v>
      </c>
      <c r="R46" s="2" t="str">
        <f t="shared" si="14"/>
        <v>0</v>
      </c>
      <c r="S46" s="2">
        <f t="shared" si="15"/>
        <v>1.5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>
        <f t="shared" si="2"/>
        <v>3.5</v>
      </c>
      <c r="G47" s="2">
        <f t="shared" si="3"/>
        <v>3.5</v>
      </c>
      <c r="H47" s="2" t="str">
        <f t="shared" si="4"/>
        <v>0</v>
      </c>
      <c r="I47" s="2" t="str">
        <f t="shared" si="5"/>
        <v>0</v>
      </c>
      <c r="J47" s="2">
        <f t="shared" si="6"/>
        <v>3.5</v>
      </c>
      <c r="K47" s="2" t="str">
        <f t="shared" si="7"/>
        <v>0</v>
      </c>
      <c r="L47" s="2" t="str">
        <f t="shared" si="8"/>
        <v>0</v>
      </c>
      <c r="M47" s="2" t="str">
        <f t="shared" si="9"/>
        <v>0</v>
      </c>
      <c r="N47" s="2" t="str">
        <f t="shared" si="10"/>
        <v>0</v>
      </c>
      <c r="O47" s="2" t="str">
        <f t="shared" si="11"/>
        <v>0</v>
      </c>
      <c r="P47" s="2">
        <f t="shared" si="12"/>
        <v>3.5</v>
      </c>
      <c r="Q47" s="2" t="str">
        <f t="shared" si="13"/>
        <v>0</v>
      </c>
      <c r="R47" s="2" t="str">
        <f t="shared" si="14"/>
        <v>0</v>
      </c>
      <c r="S47" s="2">
        <f t="shared" si="15"/>
        <v>3.5</v>
      </c>
      <c r="T47" s="2" t="str">
        <f t="shared" si="16"/>
        <v>0</v>
      </c>
    </row>
    <row r="48" spans="1:20" x14ac:dyDescent="0.25">
      <c r="E48" s="2" t="str">
        <f t="shared" si="1"/>
        <v>0</v>
      </c>
      <c r="F48" s="2" t="str">
        <f t="shared" si="2"/>
        <v>0</v>
      </c>
      <c r="G48" s="2">
        <f t="shared" si="3"/>
        <v>1</v>
      </c>
      <c r="H48" s="2" t="str">
        <f t="shared" si="4"/>
        <v>0</v>
      </c>
      <c r="I48" s="2" t="str">
        <f t="shared" si="5"/>
        <v>0</v>
      </c>
      <c r="J48" s="2">
        <f t="shared" si="6"/>
        <v>1</v>
      </c>
      <c r="K48" s="2" t="str">
        <f t="shared" si="7"/>
        <v>0</v>
      </c>
      <c r="L48" s="2" t="str">
        <f t="shared" si="8"/>
        <v>0</v>
      </c>
      <c r="M48" s="2" t="str">
        <f t="shared" si="9"/>
        <v>0</v>
      </c>
      <c r="N48" s="2" t="str">
        <f t="shared" si="10"/>
        <v>0</v>
      </c>
      <c r="O48" s="2" t="str">
        <f t="shared" si="11"/>
        <v>0</v>
      </c>
      <c r="P48" s="2">
        <f t="shared" si="12"/>
        <v>1</v>
      </c>
      <c r="Q48" s="2" t="str">
        <f t="shared" si="13"/>
        <v>0</v>
      </c>
      <c r="R48" s="2" t="str">
        <f t="shared" si="14"/>
        <v>0</v>
      </c>
      <c r="S48" s="2">
        <f t="shared" si="15"/>
        <v>1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>
        <f t="shared" si="2"/>
        <v>2.5</v>
      </c>
      <c r="G49" s="2">
        <f t="shared" si="3"/>
        <v>2.5</v>
      </c>
      <c r="H49" s="2" t="str">
        <f t="shared" si="4"/>
        <v>0</v>
      </c>
      <c r="I49" s="2" t="str">
        <f t="shared" si="5"/>
        <v>0</v>
      </c>
      <c r="J49" s="2">
        <f t="shared" si="6"/>
        <v>2.5</v>
      </c>
      <c r="K49" s="2" t="str">
        <f t="shared" si="7"/>
        <v>0</v>
      </c>
      <c r="L49" s="2" t="str">
        <f t="shared" si="8"/>
        <v>0</v>
      </c>
      <c r="M49" s="2" t="str">
        <f t="shared" si="9"/>
        <v>0</v>
      </c>
      <c r="N49" s="2" t="str">
        <f t="shared" si="10"/>
        <v>0</v>
      </c>
      <c r="O49" s="2" t="str">
        <f t="shared" si="11"/>
        <v>0</v>
      </c>
      <c r="P49" s="2">
        <f t="shared" si="12"/>
        <v>2.5</v>
      </c>
      <c r="Q49" s="2" t="str">
        <f t="shared" si="13"/>
        <v>0</v>
      </c>
      <c r="R49" s="2" t="str">
        <f t="shared" si="14"/>
        <v>0</v>
      </c>
      <c r="S49" s="2">
        <f t="shared" si="15"/>
        <v>2.5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 t="str">
        <f t="shared" si="2"/>
        <v>0</v>
      </c>
      <c r="G50" s="2">
        <f t="shared" si="3"/>
        <v>18</v>
      </c>
      <c r="H50" s="2" t="str">
        <f t="shared" si="4"/>
        <v>0</v>
      </c>
      <c r="I50" s="2" t="str">
        <f t="shared" si="5"/>
        <v>0</v>
      </c>
      <c r="J50" s="2">
        <f t="shared" si="6"/>
        <v>18</v>
      </c>
      <c r="K50" s="2" t="str">
        <f t="shared" si="7"/>
        <v>0</v>
      </c>
      <c r="L50" s="2" t="str">
        <f t="shared" si="8"/>
        <v>0</v>
      </c>
      <c r="M50" s="2">
        <f t="shared" si="9"/>
        <v>18</v>
      </c>
      <c r="N50" s="2" t="str">
        <f t="shared" si="10"/>
        <v>0</v>
      </c>
      <c r="O50" s="2" t="str">
        <f t="shared" si="11"/>
        <v>0</v>
      </c>
      <c r="P50" s="2">
        <f t="shared" si="12"/>
        <v>18</v>
      </c>
      <c r="Q50" s="2" t="str">
        <f t="shared" si="13"/>
        <v>0</v>
      </c>
      <c r="R50" s="2" t="str">
        <f t="shared" si="14"/>
        <v>0</v>
      </c>
      <c r="S50" s="2">
        <f t="shared" si="15"/>
        <v>18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>
        <f t="shared" si="2"/>
        <v>1</v>
      </c>
      <c r="G51" s="2">
        <f t="shared" si="3"/>
        <v>1</v>
      </c>
      <c r="H51" s="2" t="str">
        <f t="shared" si="4"/>
        <v>0</v>
      </c>
      <c r="I51" s="2" t="str">
        <f t="shared" si="5"/>
        <v>0</v>
      </c>
      <c r="J51" s="2">
        <f t="shared" si="6"/>
        <v>1</v>
      </c>
      <c r="K51" s="2" t="str">
        <f t="shared" si="7"/>
        <v>0</v>
      </c>
      <c r="L51" s="2" t="str">
        <f t="shared" si="8"/>
        <v>0</v>
      </c>
      <c r="M51" s="2">
        <f t="shared" si="9"/>
        <v>1</v>
      </c>
      <c r="N51" s="2" t="str">
        <f t="shared" si="10"/>
        <v>0</v>
      </c>
      <c r="O51" s="2" t="str">
        <f t="shared" si="11"/>
        <v>0</v>
      </c>
      <c r="P51" s="2">
        <f t="shared" si="12"/>
        <v>1</v>
      </c>
      <c r="Q51" s="2" t="str">
        <f t="shared" si="13"/>
        <v>0</v>
      </c>
      <c r="R51" s="2" t="str">
        <f t="shared" si="14"/>
        <v>0</v>
      </c>
      <c r="S51" s="2">
        <f t="shared" si="15"/>
        <v>1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>
        <f t="shared" si="3"/>
        <v>12.099999999999994</v>
      </c>
      <c r="H52" s="2" t="str">
        <f t="shared" si="4"/>
        <v>0</v>
      </c>
      <c r="I52" s="2" t="str">
        <f t="shared" si="5"/>
        <v>0</v>
      </c>
      <c r="J52" s="2">
        <f t="shared" si="6"/>
        <v>12.099999999999994</v>
      </c>
      <c r="K52" s="2" t="str">
        <f t="shared" si="7"/>
        <v>0</v>
      </c>
      <c r="L52" s="2" t="str">
        <f t="shared" si="8"/>
        <v>0</v>
      </c>
      <c r="M52" s="2">
        <f t="shared" si="9"/>
        <v>12.099999999999994</v>
      </c>
      <c r="N52" s="2" t="str">
        <f t="shared" si="10"/>
        <v>0</v>
      </c>
      <c r="O52" s="2" t="str">
        <f t="shared" si="11"/>
        <v>0</v>
      </c>
      <c r="P52" s="2">
        <f t="shared" si="12"/>
        <v>12.099999999999994</v>
      </c>
      <c r="Q52" s="2" t="str">
        <f t="shared" si="13"/>
        <v>0</v>
      </c>
      <c r="R52" s="2" t="str">
        <f t="shared" si="14"/>
        <v>0</v>
      </c>
      <c r="S52" s="2">
        <f t="shared" si="15"/>
        <v>12.099999999999994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>
        <f t="shared" si="2"/>
        <v>1.6000000000000085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>
        <f t="shared" si="6"/>
        <v>1.6000000000000085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>
        <f t="shared" si="12"/>
        <v>1.6000000000000085</v>
      </c>
      <c r="Q53" s="2" t="str">
        <f t="shared" si="13"/>
        <v>0</v>
      </c>
      <c r="R53" s="2" t="str">
        <f t="shared" si="14"/>
        <v>0</v>
      </c>
      <c r="S53" s="2">
        <f t="shared" si="15"/>
        <v>1.6000000000000085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>
        <f t="shared" si="3"/>
        <v>0.79999999999999716</v>
      </c>
      <c r="H54" s="2" t="str">
        <f t="shared" si="4"/>
        <v>0</v>
      </c>
      <c r="I54" s="2" t="str">
        <f t="shared" si="5"/>
        <v>0</v>
      </c>
      <c r="J54" s="2">
        <f t="shared" si="6"/>
        <v>0.79999999999999716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>
        <f t="shared" si="12"/>
        <v>0.79999999999999716</v>
      </c>
      <c r="Q54" s="2" t="str">
        <f t="shared" si="13"/>
        <v>0</v>
      </c>
      <c r="R54" s="2" t="str">
        <f t="shared" si="14"/>
        <v>0</v>
      </c>
      <c r="S54" s="2">
        <f t="shared" si="15"/>
        <v>0.79999999999999716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>
        <f t="shared" si="2"/>
        <v>4.5999999999999943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>
        <f t="shared" si="6"/>
        <v>4.5999999999999943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>
        <f t="shared" si="12"/>
        <v>4.5999999999999943</v>
      </c>
      <c r="Q55" s="2" t="str">
        <f t="shared" si="13"/>
        <v>0</v>
      </c>
      <c r="R55" s="2" t="str">
        <f t="shared" si="14"/>
        <v>0</v>
      </c>
      <c r="S55" s="2">
        <f t="shared" si="15"/>
        <v>4.5999999999999943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 t="str">
        <f t="shared" si="2"/>
        <v>0</v>
      </c>
      <c r="G56" s="2">
        <f t="shared" si="3"/>
        <v>1</v>
      </c>
      <c r="H56" s="2" t="str">
        <f t="shared" si="4"/>
        <v>0</v>
      </c>
      <c r="I56" s="2" t="str">
        <f t="shared" si="5"/>
        <v>0</v>
      </c>
      <c r="J56" s="2">
        <f t="shared" si="6"/>
        <v>1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>
        <f t="shared" si="12"/>
        <v>1</v>
      </c>
      <c r="Q56" s="2" t="str">
        <f t="shared" si="13"/>
        <v>0</v>
      </c>
      <c r="R56" s="2" t="str">
        <f t="shared" si="14"/>
        <v>0</v>
      </c>
      <c r="S56" s="2">
        <f t="shared" si="15"/>
        <v>1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>
        <f t="shared" si="3"/>
        <v>3.1000000000000085</v>
      </c>
      <c r="H57" s="2" t="str">
        <f t="shared" si="4"/>
        <v>0</v>
      </c>
      <c r="I57" s="2" t="str">
        <f t="shared" si="5"/>
        <v>0</v>
      </c>
      <c r="J57" s="2">
        <f>IF(J25="X",(D25-C25),"0")</f>
        <v>3.1000000000000085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>
        <f t="shared" si="12"/>
        <v>3.1000000000000085</v>
      </c>
      <c r="Q57" s="2" t="str">
        <f t="shared" si="13"/>
        <v>0</v>
      </c>
      <c r="R57" s="2" t="str">
        <f t="shared" si="14"/>
        <v>0</v>
      </c>
      <c r="S57" s="2">
        <f t="shared" si="15"/>
        <v>3.1000000000000085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ref="E104:E126" si="17">IF(E72="X",(D72-C72),"0")</f>
        <v>0</v>
      </c>
      <c r="F104" s="2" t="str">
        <f t="shared" ref="F104:F126" si="18">IF(F72="X",(D72-C72),"0")</f>
        <v>0</v>
      </c>
      <c r="G104" s="2" t="str">
        <f t="shared" ref="G104:G126" si="19">IF(G72="X",(D72-C72),"0")</f>
        <v>0</v>
      </c>
      <c r="H104" s="2" t="str">
        <f t="shared" ref="H104:H126" si="20">IF(H72="X",(D72-C72),"0")</f>
        <v>0</v>
      </c>
      <c r="I104" s="2" t="str">
        <f t="shared" ref="I104:I126" si="21">IF(I72="X",(D72-C72),"0")</f>
        <v>0</v>
      </c>
      <c r="J104" s="2" t="str">
        <f t="shared" ref="J104:J126" si="22">IF(J72="X",(D72-C72),"0")</f>
        <v>0</v>
      </c>
      <c r="K104" s="2" t="str">
        <f t="shared" ref="K104:K126" si="23">IF(K72="X",(D72-C72),"0")</f>
        <v>0</v>
      </c>
      <c r="L104" s="2" t="str">
        <f t="shared" ref="L104:L126" si="24">IF(L72="X",(D72-C72),"0")</f>
        <v>0</v>
      </c>
      <c r="M104" s="2" t="str">
        <f t="shared" ref="M104:M126" si="25">IF(M72="X",(D72-C72),"0")</f>
        <v>0</v>
      </c>
      <c r="N104" s="2" t="str">
        <f t="shared" ref="N104:N126" si="26">IF(N72="X",(D72-C72),"0")</f>
        <v>0</v>
      </c>
      <c r="O104" s="2" t="str">
        <f t="shared" ref="O104:O126" si="27">IF(O72="X",(D72-C72),"0")</f>
        <v>0</v>
      </c>
      <c r="P104" s="2" t="str">
        <f t="shared" ref="P104:P126" si="28">IF(P72="X",(D72-C72),"0")</f>
        <v>0</v>
      </c>
      <c r="Q104" s="2" t="str">
        <f t="shared" ref="Q104:Q126" si="29">IF(Q72="X",(D72-C72),"0")</f>
        <v>0</v>
      </c>
      <c r="R104" s="2" t="str">
        <f t="shared" ref="R104:R126" si="30">IF(R72="X",(D72-C72),"0")</f>
        <v>0</v>
      </c>
      <c r="S104" s="2" t="str">
        <f t="shared" ref="S104:S126" si="31">IF(S72="X",(D72-C72),"0")</f>
        <v>0</v>
      </c>
      <c r="T104" s="2" t="str">
        <f t="shared" ref="T104:T126" si="32">IF(T72="X",(D72-C72),"0")</f>
        <v>0</v>
      </c>
    </row>
    <row r="105" spans="5:20" x14ac:dyDescent="0.25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 x14ac:dyDescent="0.25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 x14ac:dyDescent="0.25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2">
        <f>SUM(E39:E126)</f>
        <v>0</v>
      </c>
      <c r="F127" s="2">
        <f t="shared" ref="F127:T127" si="33">SUM(F39:F126)</f>
        <v>20.100000000000001</v>
      </c>
      <c r="G127" s="2">
        <f t="shared" si="33"/>
        <v>67.600000000000009</v>
      </c>
      <c r="H127" s="2">
        <f t="shared" si="33"/>
        <v>0</v>
      </c>
      <c r="I127" s="2">
        <f t="shared" si="33"/>
        <v>12</v>
      </c>
      <c r="J127" s="2">
        <f t="shared" si="33"/>
        <v>76.2</v>
      </c>
      <c r="K127" s="2">
        <f t="shared" si="33"/>
        <v>0</v>
      </c>
      <c r="L127" s="2">
        <f t="shared" si="33"/>
        <v>6.5</v>
      </c>
      <c r="M127" s="2">
        <f t="shared" si="33"/>
        <v>45.499999999999993</v>
      </c>
      <c r="N127" s="2">
        <f t="shared" si="33"/>
        <v>0</v>
      </c>
      <c r="O127" s="2">
        <f t="shared" si="33"/>
        <v>0</v>
      </c>
      <c r="P127" s="2">
        <f t="shared" si="33"/>
        <v>76.2</v>
      </c>
      <c r="Q127" s="2">
        <f t="shared" si="33"/>
        <v>0</v>
      </c>
      <c r="R127" s="2">
        <f t="shared" si="33"/>
        <v>0</v>
      </c>
      <c r="S127" s="2">
        <f t="shared" si="33"/>
        <v>76.2</v>
      </c>
      <c r="T127" s="2">
        <f t="shared" si="33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605E-FC05-4BC2-A4A5-7D0C788819B3}">
  <dimension ref="A1:AN127"/>
  <sheetViews>
    <sheetView view="pageBreakPreview" zoomScale="55" zoomScaleNormal="70" zoomScaleSheetLayoutView="55" workbookViewId="0">
      <pane ySplit="6" topLeftCell="A13" activePane="bottomLeft" state="frozen"/>
      <selection activeCell="J2" sqref="J2:K2"/>
      <selection pane="bottomLeft" activeCell="H19" sqref="H19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92">
        <f>'224'!J2</f>
        <v>46204</v>
      </c>
      <c r="K2" s="92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TT!C6</f>
        <v>RODOVIA TO-280 - TRECHO SÃO VALÉRIO DE NATIVIDADE - NATIVIDADE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25">
      <c r="A7" s="48" t="s">
        <v>68</v>
      </c>
      <c r="B7" s="48" t="s">
        <v>130</v>
      </c>
      <c r="C7" s="49">
        <v>0</v>
      </c>
      <c r="D7" s="65">
        <v>3</v>
      </c>
      <c r="E7" s="48"/>
      <c r="F7" s="48"/>
      <c r="G7" s="48" t="s">
        <v>129</v>
      </c>
      <c r="H7" s="48"/>
      <c r="I7" s="48" t="s">
        <v>129</v>
      </c>
      <c r="J7" s="48" t="s">
        <v>129</v>
      </c>
      <c r="K7" s="48"/>
      <c r="L7" s="48" t="s">
        <v>129</v>
      </c>
      <c r="M7" s="48"/>
      <c r="N7" s="48"/>
      <c r="O7" s="48"/>
      <c r="P7" s="48" t="s">
        <v>129</v>
      </c>
      <c r="Q7" s="48"/>
      <c r="R7" s="48"/>
      <c r="S7" s="48" t="s">
        <v>129</v>
      </c>
      <c r="T7" s="48"/>
      <c r="U7" s="49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25">
      <c r="A8" s="48"/>
      <c r="B8" s="48"/>
      <c r="C8" s="49">
        <f>D7</f>
        <v>3</v>
      </c>
      <c r="D8" s="48">
        <v>6.1</v>
      </c>
      <c r="E8" s="48"/>
      <c r="F8" s="48"/>
      <c r="G8" s="48" t="s">
        <v>129</v>
      </c>
      <c r="H8" s="48"/>
      <c r="I8" s="48"/>
      <c r="J8" s="48" t="s">
        <v>129</v>
      </c>
      <c r="K8" s="48"/>
      <c r="L8" s="48"/>
      <c r="M8" s="48" t="s">
        <v>129</v>
      </c>
      <c r="N8" s="48"/>
      <c r="O8" s="48"/>
      <c r="P8" s="48" t="s">
        <v>129</v>
      </c>
      <c r="Q8" s="48"/>
      <c r="R8" s="48"/>
      <c r="S8" s="48" t="s">
        <v>129</v>
      </c>
      <c r="T8" s="48"/>
      <c r="U8" s="49"/>
    </row>
    <row r="9" spans="1:40" ht="36" customHeight="1" x14ac:dyDescent="0.25">
      <c r="A9" s="48"/>
      <c r="B9" s="48"/>
      <c r="C9" s="49">
        <f>D8</f>
        <v>6.1</v>
      </c>
      <c r="D9" s="49">
        <v>8.51</v>
      </c>
      <c r="E9" s="48"/>
      <c r="F9" s="48" t="s">
        <v>129</v>
      </c>
      <c r="G9" s="48"/>
      <c r="H9" s="48"/>
      <c r="I9" s="49"/>
      <c r="J9" s="48" t="s">
        <v>129</v>
      </c>
      <c r="K9" s="48"/>
      <c r="L9" s="48"/>
      <c r="M9" s="48"/>
      <c r="N9" s="48"/>
      <c r="O9" s="48"/>
      <c r="P9" s="48" t="s">
        <v>129</v>
      </c>
      <c r="Q9" s="48"/>
      <c r="R9" s="48"/>
      <c r="S9" s="48" t="s">
        <v>129</v>
      </c>
      <c r="T9" s="48"/>
      <c r="U9" s="49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25">
      <c r="A10" s="48" t="s">
        <v>66</v>
      </c>
      <c r="B10" s="48" t="s">
        <v>130</v>
      </c>
      <c r="C10" s="49">
        <v>0</v>
      </c>
      <c r="D10" s="49">
        <v>1</v>
      </c>
      <c r="E10" s="48"/>
      <c r="F10" s="48" t="s">
        <v>129</v>
      </c>
      <c r="G10" s="48"/>
      <c r="H10" s="48"/>
      <c r="I10" s="49"/>
      <c r="J10" s="48" t="s">
        <v>129</v>
      </c>
      <c r="K10" s="48"/>
      <c r="L10" s="48"/>
      <c r="M10" s="48"/>
      <c r="N10" s="48"/>
      <c r="O10" s="48"/>
      <c r="P10" s="48" t="s">
        <v>129</v>
      </c>
      <c r="Q10" s="48"/>
      <c r="R10" s="48"/>
      <c r="S10" s="48" t="s">
        <v>129</v>
      </c>
      <c r="T10" s="48"/>
      <c r="U10" s="49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25">
      <c r="A11" s="48"/>
      <c r="B11" s="48"/>
      <c r="C11" s="49">
        <f>D10</f>
        <v>1</v>
      </c>
      <c r="D11" s="49">
        <v>4.5</v>
      </c>
      <c r="E11" s="48"/>
      <c r="F11" s="48"/>
      <c r="G11" s="48" t="s">
        <v>129</v>
      </c>
      <c r="H11" s="48"/>
      <c r="I11" s="49"/>
      <c r="J11" s="48" t="s">
        <v>129</v>
      </c>
      <c r="K11" s="48"/>
      <c r="L11" s="48"/>
      <c r="M11" s="48" t="s">
        <v>129</v>
      </c>
      <c r="N11" s="48"/>
      <c r="O11" s="48"/>
      <c r="P11" s="48" t="s">
        <v>129</v>
      </c>
      <c r="Q11" s="48"/>
      <c r="R11" s="48"/>
      <c r="S11" s="48" t="s">
        <v>129</v>
      </c>
      <c r="T11" s="48"/>
      <c r="U11" s="49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25">
      <c r="A12" s="48"/>
      <c r="B12" s="48"/>
      <c r="C12" s="49">
        <f t="shared" ref="C12:C22" si="0">D11</f>
        <v>4.5</v>
      </c>
      <c r="D12" s="49">
        <v>9.1999999999999993</v>
      </c>
      <c r="E12" s="48"/>
      <c r="F12" s="48" t="s">
        <v>129</v>
      </c>
      <c r="G12" s="48"/>
      <c r="H12" s="48"/>
      <c r="I12" s="49"/>
      <c r="J12" s="48" t="s">
        <v>129</v>
      </c>
      <c r="K12" s="48"/>
      <c r="L12" s="48"/>
      <c r="M12" s="48"/>
      <c r="N12" s="48"/>
      <c r="O12" s="48"/>
      <c r="P12" s="48" t="s">
        <v>129</v>
      </c>
      <c r="Q12" s="48"/>
      <c r="R12" s="48"/>
      <c r="S12" s="48" t="s">
        <v>129</v>
      </c>
      <c r="T12" s="48"/>
      <c r="U12" s="49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25">
      <c r="A13" s="48"/>
      <c r="B13" s="48"/>
      <c r="C13" s="49">
        <f t="shared" si="0"/>
        <v>9.1999999999999993</v>
      </c>
      <c r="D13" s="49">
        <v>14.1</v>
      </c>
      <c r="E13" s="48"/>
      <c r="F13" s="48"/>
      <c r="G13" s="48" t="s">
        <v>129</v>
      </c>
      <c r="H13" s="48"/>
      <c r="I13" s="49" t="s">
        <v>129</v>
      </c>
      <c r="J13" s="48" t="s">
        <v>129</v>
      </c>
      <c r="K13" s="48"/>
      <c r="L13" s="48" t="s">
        <v>129</v>
      </c>
      <c r="M13" s="48"/>
      <c r="N13" s="48"/>
      <c r="O13" s="48"/>
      <c r="P13" s="48" t="s">
        <v>129</v>
      </c>
      <c r="Q13" s="48"/>
      <c r="R13" s="48"/>
      <c r="S13" s="48" t="s">
        <v>129</v>
      </c>
      <c r="T13" s="48"/>
      <c r="U13" s="49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25">
      <c r="A14" s="48"/>
      <c r="B14" s="48"/>
      <c r="C14" s="49">
        <f t="shared" si="0"/>
        <v>14.1</v>
      </c>
      <c r="D14" s="49">
        <v>17.7</v>
      </c>
      <c r="E14" s="48"/>
      <c r="F14" s="48" t="s">
        <v>129</v>
      </c>
      <c r="G14" s="48"/>
      <c r="H14" s="48"/>
      <c r="I14" s="49" t="s">
        <v>129</v>
      </c>
      <c r="J14" s="48" t="s">
        <v>129</v>
      </c>
      <c r="K14" s="48"/>
      <c r="L14" s="48" t="s">
        <v>129</v>
      </c>
      <c r="M14" s="48"/>
      <c r="N14" s="48"/>
      <c r="O14" s="48"/>
      <c r="P14" s="48" t="s">
        <v>129</v>
      </c>
      <c r="Q14" s="48"/>
      <c r="R14" s="48"/>
      <c r="S14" s="48" t="s">
        <v>129</v>
      </c>
      <c r="T14" s="48"/>
      <c r="U14" s="49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25">
      <c r="A15" s="48"/>
      <c r="B15" s="48"/>
      <c r="C15" s="49">
        <f t="shared" si="0"/>
        <v>17.7</v>
      </c>
      <c r="D15" s="49">
        <v>21.6</v>
      </c>
      <c r="E15" s="48"/>
      <c r="F15" s="48" t="s">
        <v>129</v>
      </c>
      <c r="G15" s="48"/>
      <c r="H15" s="48"/>
      <c r="I15" s="49"/>
      <c r="J15" s="48" t="s">
        <v>129</v>
      </c>
      <c r="K15" s="48"/>
      <c r="L15" s="48"/>
      <c r="M15" s="48"/>
      <c r="N15" s="48"/>
      <c r="O15" s="48"/>
      <c r="P15" s="48" t="s">
        <v>129</v>
      </c>
      <c r="Q15" s="48"/>
      <c r="R15" s="48"/>
      <c r="S15" s="48" t="s">
        <v>129</v>
      </c>
      <c r="T15" s="48"/>
      <c r="U15" s="49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25">
      <c r="A16" s="48"/>
      <c r="B16" s="48"/>
      <c r="C16" s="49">
        <f t="shared" si="0"/>
        <v>21.6</v>
      </c>
      <c r="D16" s="49">
        <v>22.5</v>
      </c>
      <c r="E16" s="48"/>
      <c r="F16" s="48"/>
      <c r="G16" s="48" t="s">
        <v>129</v>
      </c>
      <c r="H16" s="48"/>
      <c r="I16" s="48" t="s">
        <v>129</v>
      </c>
      <c r="J16" s="48" t="s">
        <v>129</v>
      </c>
      <c r="K16" s="48"/>
      <c r="L16" s="48"/>
      <c r="M16" s="48"/>
      <c r="N16" s="48"/>
      <c r="O16" s="48"/>
      <c r="P16" s="48" t="s">
        <v>129</v>
      </c>
      <c r="Q16" s="48"/>
      <c r="R16" s="48"/>
      <c r="S16" s="48" t="s">
        <v>129</v>
      </c>
      <c r="T16" s="48"/>
      <c r="U16" s="49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25">
      <c r="A17" s="48"/>
      <c r="B17" s="48"/>
      <c r="C17" s="49">
        <f t="shared" si="0"/>
        <v>22.5</v>
      </c>
      <c r="D17" s="49">
        <v>22.8</v>
      </c>
      <c r="E17" s="48"/>
      <c r="F17" s="48"/>
      <c r="G17" s="48" t="s">
        <v>129</v>
      </c>
      <c r="H17" s="48"/>
      <c r="I17" s="48" t="s">
        <v>129</v>
      </c>
      <c r="J17" s="48" t="s">
        <v>129</v>
      </c>
      <c r="K17" s="48"/>
      <c r="L17" s="48"/>
      <c r="M17" s="48" t="s">
        <v>129</v>
      </c>
      <c r="N17" s="48"/>
      <c r="O17" s="48"/>
      <c r="P17" s="48" t="s">
        <v>129</v>
      </c>
      <c r="Q17" s="48"/>
      <c r="R17" s="48"/>
      <c r="S17" s="48" t="s">
        <v>129</v>
      </c>
      <c r="T17" s="48"/>
      <c r="U17" s="49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25">
      <c r="A18" s="48"/>
      <c r="B18" s="48"/>
      <c r="C18" s="49">
        <f t="shared" si="0"/>
        <v>22.8</v>
      </c>
      <c r="D18" s="49">
        <v>30.1</v>
      </c>
      <c r="E18" s="48"/>
      <c r="F18" s="48" t="s">
        <v>129</v>
      </c>
      <c r="G18" s="48"/>
      <c r="H18" s="48"/>
      <c r="I18" s="48"/>
      <c r="J18" s="48" t="s">
        <v>129</v>
      </c>
      <c r="K18" s="48"/>
      <c r="L18" s="48"/>
      <c r="M18" s="48"/>
      <c r="N18" s="48"/>
      <c r="O18" s="48"/>
      <c r="P18" s="48" t="s">
        <v>129</v>
      </c>
      <c r="Q18" s="48"/>
      <c r="R18" s="48"/>
      <c r="S18" s="48" t="s">
        <v>129</v>
      </c>
      <c r="T18" s="48"/>
      <c r="U18" s="49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25">
      <c r="A19" s="48"/>
      <c r="B19" s="48"/>
      <c r="C19" s="49">
        <f t="shared" si="0"/>
        <v>30.1</v>
      </c>
      <c r="D19" s="49">
        <v>45.2</v>
      </c>
      <c r="E19" s="48"/>
      <c r="F19" s="48"/>
      <c r="G19" s="48" t="s">
        <v>129</v>
      </c>
      <c r="H19" s="48" t="s">
        <v>129</v>
      </c>
      <c r="I19" s="48" t="s">
        <v>129</v>
      </c>
      <c r="J19" s="48" t="s">
        <v>129</v>
      </c>
      <c r="K19" s="48"/>
      <c r="L19" s="48"/>
      <c r="M19" s="48" t="s">
        <v>129</v>
      </c>
      <c r="N19" s="48"/>
      <c r="O19" s="48"/>
      <c r="P19" s="48" t="s">
        <v>129</v>
      </c>
      <c r="Q19" s="48"/>
      <c r="R19" s="48"/>
      <c r="S19" s="48" t="s">
        <v>129</v>
      </c>
      <c r="T19" s="48"/>
      <c r="U19" s="49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25">
      <c r="A20" s="48"/>
      <c r="B20" s="48"/>
      <c r="C20" s="49">
        <f t="shared" si="0"/>
        <v>45.2</v>
      </c>
      <c r="D20" s="49">
        <v>45.3</v>
      </c>
      <c r="E20" s="48"/>
      <c r="F20" s="48" t="s">
        <v>129</v>
      </c>
      <c r="G20" s="48"/>
      <c r="H20" s="48"/>
      <c r="I20" s="48" t="s">
        <v>129</v>
      </c>
      <c r="J20" s="48" t="s">
        <v>129</v>
      </c>
      <c r="K20" s="48"/>
      <c r="L20" s="48"/>
      <c r="M20" s="48" t="s">
        <v>129</v>
      </c>
      <c r="N20" s="48"/>
      <c r="O20" s="48"/>
      <c r="P20" s="48" t="s">
        <v>129</v>
      </c>
      <c r="Q20" s="48"/>
      <c r="R20" s="48"/>
      <c r="S20" s="48" t="s">
        <v>129</v>
      </c>
      <c r="T20" s="48"/>
      <c r="U20" s="49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25">
      <c r="A21" s="48"/>
      <c r="B21" s="48"/>
      <c r="C21" s="49">
        <f t="shared" si="0"/>
        <v>45.3</v>
      </c>
      <c r="D21" s="49">
        <v>47.8</v>
      </c>
      <c r="E21" s="48"/>
      <c r="F21" s="48" t="s">
        <v>129</v>
      </c>
      <c r="G21" s="48"/>
      <c r="H21" s="48" t="s">
        <v>129</v>
      </c>
      <c r="I21" s="48"/>
      <c r="J21" s="48" t="s">
        <v>129</v>
      </c>
      <c r="K21" s="48"/>
      <c r="L21" s="48"/>
      <c r="M21" s="48" t="s">
        <v>129</v>
      </c>
      <c r="N21" s="48"/>
      <c r="O21" s="48"/>
      <c r="P21" s="48" t="s">
        <v>129</v>
      </c>
      <c r="Q21" s="48"/>
      <c r="R21" s="48"/>
      <c r="S21" s="48" t="s">
        <v>129</v>
      </c>
      <c r="T21" s="48"/>
      <c r="U21" s="49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48"/>
      <c r="B22" s="48"/>
      <c r="C22" s="49">
        <f t="shared" si="0"/>
        <v>47.8</v>
      </c>
      <c r="D22" s="49">
        <v>52.93</v>
      </c>
      <c r="E22" s="48"/>
      <c r="F22" s="48"/>
      <c r="G22" s="48" t="s">
        <v>129</v>
      </c>
      <c r="H22" s="48"/>
      <c r="I22" s="48" t="s">
        <v>129</v>
      </c>
      <c r="J22" s="48" t="s">
        <v>129</v>
      </c>
      <c r="K22" s="48"/>
      <c r="L22" s="48"/>
      <c r="M22" s="48" t="s">
        <v>129</v>
      </c>
      <c r="N22" s="48"/>
      <c r="O22" s="48"/>
      <c r="P22" s="48" t="s">
        <v>129</v>
      </c>
      <c r="Q22" s="48"/>
      <c r="R22" s="48"/>
      <c r="S22" s="48" t="s">
        <v>129</v>
      </c>
      <c r="T22" s="48"/>
      <c r="U22" s="49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48" t="s">
        <v>64</v>
      </c>
      <c r="B23" s="48" t="s">
        <v>130</v>
      </c>
      <c r="C23" s="49">
        <v>0</v>
      </c>
      <c r="D23" s="49">
        <v>2</v>
      </c>
      <c r="E23" s="48"/>
      <c r="F23" s="48"/>
      <c r="G23" s="48" t="s">
        <v>129</v>
      </c>
      <c r="H23" s="48"/>
      <c r="I23" s="48" t="s">
        <v>129</v>
      </c>
      <c r="J23" s="48" t="s">
        <v>129</v>
      </c>
      <c r="K23" s="48"/>
      <c r="L23" s="48"/>
      <c r="M23" s="48"/>
      <c r="N23" s="48"/>
      <c r="O23" s="48"/>
      <c r="P23" s="48" t="s">
        <v>129</v>
      </c>
      <c r="Q23" s="48"/>
      <c r="R23" s="48"/>
      <c r="S23" s="48" t="s">
        <v>129</v>
      </c>
      <c r="T23" s="48"/>
      <c r="U23" s="49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48"/>
      <c r="B24" s="48"/>
      <c r="C24" s="49">
        <f>D23</f>
        <v>2</v>
      </c>
      <c r="D24" s="49">
        <v>3.59</v>
      </c>
      <c r="E24" s="48"/>
      <c r="F24" s="48" t="s">
        <v>129</v>
      </c>
      <c r="G24" s="48"/>
      <c r="H24" s="48" t="s">
        <v>129</v>
      </c>
      <c r="I24" s="48"/>
      <c r="J24" s="48" t="s">
        <v>129</v>
      </c>
      <c r="K24" s="48"/>
      <c r="L24" s="48" t="s">
        <v>129</v>
      </c>
      <c r="M24" s="48"/>
      <c r="N24" s="48"/>
      <c r="O24" s="48"/>
      <c r="P24" s="48" t="s">
        <v>129</v>
      </c>
      <c r="Q24" s="48"/>
      <c r="R24" s="48"/>
      <c r="S24" s="48" t="s">
        <v>129</v>
      </c>
      <c r="T24" s="48"/>
      <c r="U24" s="49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48"/>
      <c r="B25" s="48"/>
      <c r="C25" s="49"/>
      <c r="D25" s="49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48"/>
      <c r="B26" s="48"/>
      <c r="C26" s="49"/>
      <c r="D26" s="49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48"/>
      <c r="B27" s="48"/>
      <c r="C27" s="49"/>
      <c r="D27" s="49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9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48"/>
      <c r="B28" s="48"/>
      <c r="C28" s="49"/>
      <c r="D28" s="49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9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3</v>
      </c>
      <c r="H39" s="2" t="str">
        <f>IF(H7="X",(D7-C7),"0")</f>
        <v>0</v>
      </c>
      <c r="I39" s="2">
        <f>IF(I7="X",(D7-C7),"0")</f>
        <v>3</v>
      </c>
      <c r="J39" s="2">
        <f>IF(J7="X",(D7-C7),"0")</f>
        <v>3</v>
      </c>
      <c r="K39" s="2" t="str">
        <f>IF(K7="X",(D7-C7),"0")</f>
        <v>0</v>
      </c>
      <c r="L39" s="2">
        <f>IF(L7="X",(D7-C7),"0")</f>
        <v>3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3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3</v>
      </c>
      <c r="T39" s="2" t="str">
        <f>IF(T7="X",(D7-C7),"0")</f>
        <v>0</v>
      </c>
    </row>
    <row r="40" spans="1:20" x14ac:dyDescent="0.25">
      <c r="E40" s="2" t="str">
        <f t="shared" ref="E40:E103" si="1">IF(E8="X",(D8-C8),"0")</f>
        <v>0</v>
      </c>
      <c r="F40" s="2" t="str">
        <f t="shared" ref="F40:F103" si="2">IF(F8="X",(D8-C8),"0")</f>
        <v>0</v>
      </c>
      <c r="G40" s="2">
        <f t="shared" ref="G40:G103" si="3">IF(G8="X",(D8-C8),"0")</f>
        <v>3.0999999999999996</v>
      </c>
      <c r="H40" s="2" t="str">
        <f t="shared" ref="H40:H103" si="4">IF(H8="X",(D8-C8),"0")</f>
        <v>0</v>
      </c>
      <c r="I40" s="2" t="str">
        <f t="shared" ref="I40:I103" si="5">IF(I8="X",(D8-C8),"0")</f>
        <v>0</v>
      </c>
      <c r="J40" s="2">
        <f t="shared" ref="J40:J103" si="6">IF(J8="X",(D8-C8),"0")</f>
        <v>3.0999999999999996</v>
      </c>
      <c r="K40" s="2" t="str">
        <f t="shared" ref="K40:K103" si="7">IF(K8="X",(D8-C8),"0")</f>
        <v>0</v>
      </c>
      <c r="L40" s="2" t="str">
        <f t="shared" ref="L40:L103" si="8">IF(L8="X",(D8-C8),"0")</f>
        <v>0</v>
      </c>
      <c r="M40" s="2">
        <f t="shared" ref="M40:M103" si="9">IF(M8="X",(D8-C8),"0")</f>
        <v>3.0999999999999996</v>
      </c>
      <c r="N40" s="2" t="str">
        <f t="shared" ref="N40:N103" si="10">IF(N8="X",(D8-C8),"0")</f>
        <v>0</v>
      </c>
      <c r="O40" s="2" t="str">
        <f t="shared" ref="O40:O103" si="11">IF(O8="X",(D8-C8),"0")</f>
        <v>0</v>
      </c>
      <c r="P40" s="2">
        <f t="shared" ref="P40:P103" si="12">IF(P8="X",(D8-C8),"0")</f>
        <v>3.0999999999999996</v>
      </c>
      <c r="Q40" s="2" t="str">
        <f t="shared" ref="Q40:Q103" si="13">IF(Q8="X",(D8-C8),"0")</f>
        <v>0</v>
      </c>
      <c r="R40" s="2" t="str">
        <f t="shared" ref="R40:R103" si="14">IF(R8="X",(D8-C8),"0")</f>
        <v>0</v>
      </c>
      <c r="S40" s="2">
        <f t="shared" ref="S40:S103" si="15">IF(S8="X",(D8-C8),"0")</f>
        <v>3.0999999999999996</v>
      </c>
      <c r="T40" s="2" t="str">
        <f t="shared" ref="T40:T103" si="16">IF(T8="X",(D8-C8),"0")</f>
        <v>0</v>
      </c>
    </row>
    <row r="41" spans="1:20" x14ac:dyDescent="0.25">
      <c r="E41" s="2" t="str">
        <f t="shared" si="1"/>
        <v>0</v>
      </c>
      <c r="F41" s="2">
        <f t="shared" si="2"/>
        <v>2.41</v>
      </c>
      <c r="G41" s="2" t="str">
        <f t="shared" si="3"/>
        <v>0</v>
      </c>
      <c r="H41" s="2" t="str">
        <f t="shared" si="4"/>
        <v>0</v>
      </c>
      <c r="I41" s="2" t="str">
        <f t="shared" si="5"/>
        <v>0</v>
      </c>
      <c r="J41" s="2">
        <f t="shared" si="6"/>
        <v>2.41</v>
      </c>
      <c r="K41" s="2" t="str">
        <f t="shared" si="7"/>
        <v>0</v>
      </c>
      <c r="L41" s="2" t="str">
        <f t="shared" si="8"/>
        <v>0</v>
      </c>
      <c r="M41" s="2" t="str">
        <f t="shared" si="9"/>
        <v>0</v>
      </c>
      <c r="N41" s="2" t="str">
        <f t="shared" si="10"/>
        <v>0</v>
      </c>
      <c r="O41" s="2" t="str">
        <f t="shared" si="11"/>
        <v>0</v>
      </c>
      <c r="P41" s="2">
        <f t="shared" si="12"/>
        <v>2.41</v>
      </c>
      <c r="Q41" s="2" t="str">
        <f t="shared" si="13"/>
        <v>0</v>
      </c>
      <c r="R41" s="2" t="str">
        <f t="shared" si="14"/>
        <v>0</v>
      </c>
      <c r="S41" s="2">
        <f t="shared" si="15"/>
        <v>2.41</v>
      </c>
      <c r="T41" s="2" t="str">
        <f t="shared" si="16"/>
        <v>0</v>
      </c>
    </row>
    <row r="42" spans="1:20" x14ac:dyDescent="0.25">
      <c r="E42" s="2" t="str">
        <f t="shared" si="1"/>
        <v>0</v>
      </c>
      <c r="F42" s="2">
        <f t="shared" si="2"/>
        <v>1</v>
      </c>
      <c r="G42" s="2" t="str">
        <f t="shared" si="3"/>
        <v>0</v>
      </c>
      <c r="H42" s="2" t="str">
        <f t="shared" si="4"/>
        <v>0</v>
      </c>
      <c r="I42" s="2" t="str">
        <f t="shared" si="5"/>
        <v>0</v>
      </c>
      <c r="J42" s="2">
        <f t="shared" si="6"/>
        <v>1</v>
      </c>
      <c r="K42" s="2" t="str">
        <f t="shared" si="7"/>
        <v>0</v>
      </c>
      <c r="L42" s="2" t="str">
        <f t="shared" si="8"/>
        <v>0</v>
      </c>
      <c r="M42" s="2" t="str">
        <f t="shared" si="9"/>
        <v>0</v>
      </c>
      <c r="N42" s="2" t="str">
        <f t="shared" si="10"/>
        <v>0</v>
      </c>
      <c r="O42" s="2" t="str">
        <f t="shared" si="11"/>
        <v>0</v>
      </c>
      <c r="P42" s="2">
        <f t="shared" si="12"/>
        <v>1</v>
      </c>
      <c r="Q42" s="2" t="str">
        <f t="shared" si="13"/>
        <v>0</v>
      </c>
      <c r="R42" s="2" t="str">
        <f t="shared" si="14"/>
        <v>0</v>
      </c>
      <c r="S42" s="2">
        <f t="shared" si="15"/>
        <v>1</v>
      </c>
      <c r="T42" s="2" t="str">
        <f t="shared" si="16"/>
        <v>0</v>
      </c>
    </row>
    <row r="43" spans="1:20" x14ac:dyDescent="0.25">
      <c r="E43" s="2" t="str">
        <f t="shared" si="1"/>
        <v>0</v>
      </c>
      <c r="F43" s="2" t="str">
        <f t="shared" si="2"/>
        <v>0</v>
      </c>
      <c r="G43" s="2">
        <f t="shared" si="3"/>
        <v>3.5</v>
      </c>
      <c r="H43" s="2" t="str">
        <f t="shared" si="4"/>
        <v>0</v>
      </c>
      <c r="I43" s="2" t="str">
        <f t="shared" si="5"/>
        <v>0</v>
      </c>
      <c r="J43" s="2">
        <f t="shared" si="6"/>
        <v>3.5</v>
      </c>
      <c r="K43" s="2" t="str">
        <f t="shared" si="7"/>
        <v>0</v>
      </c>
      <c r="L43" s="2" t="str">
        <f t="shared" si="8"/>
        <v>0</v>
      </c>
      <c r="M43" s="2">
        <f t="shared" si="9"/>
        <v>3.5</v>
      </c>
      <c r="N43" s="2" t="str">
        <f t="shared" si="10"/>
        <v>0</v>
      </c>
      <c r="O43" s="2" t="str">
        <f t="shared" si="11"/>
        <v>0</v>
      </c>
      <c r="P43" s="2">
        <f t="shared" si="12"/>
        <v>3.5</v>
      </c>
      <c r="Q43" s="2" t="str">
        <f t="shared" si="13"/>
        <v>0</v>
      </c>
      <c r="R43" s="2" t="str">
        <f t="shared" si="14"/>
        <v>0</v>
      </c>
      <c r="S43" s="2">
        <f t="shared" si="15"/>
        <v>3.5</v>
      </c>
      <c r="T43" s="2" t="str">
        <f t="shared" si="16"/>
        <v>0</v>
      </c>
    </row>
    <row r="44" spans="1:20" x14ac:dyDescent="0.25">
      <c r="E44" s="2" t="str">
        <f t="shared" si="1"/>
        <v>0</v>
      </c>
      <c r="F44" s="2">
        <f t="shared" si="2"/>
        <v>4.6999999999999993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>
        <f t="shared" si="6"/>
        <v>4.6999999999999993</v>
      </c>
      <c r="K44" s="2" t="str">
        <f t="shared" si="7"/>
        <v>0</v>
      </c>
      <c r="L44" s="2" t="str">
        <f t="shared" si="8"/>
        <v>0</v>
      </c>
      <c r="M44" s="2" t="str">
        <f t="shared" si="9"/>
        <v>0</v>
      </c>
      <c r="N44" s="2" t="str">
        <f t="shared" si="10"/>
        <v>0</v>
      </c>
      <c r="O44" s="2" t="str">
        <f t="shared" si="11"/>
        <v>0</v>
      </c>
      <c r="P44" s="2">
        <f t="shared" si="12"/>
        <v>4.6999999999999993</v>
      </c>
      <c r="Q44" s="2" t="str">
        <f t="shared" si="13"/>
        <v>0</v>
      </c>
      <c r="R44" s="2" t="str">
        <f t="shared" si="14"/>
        <v>0</v>
      </c>
      <c r="S44" s="2">
        <f t="shared" si="15"/>
        <v>4.6999999999999993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 t="str">
        <f t="shared" si="2"/>
        <v>0</v>
      </c>
      <c r="G45" s="2">
        <f t="shared" si="3"/>
        <v>4.9000000000000004</v>
      </c>
      <c r="H45" s="2" t="str">
        <f t="shared" si="4"/>
        <v>0</v>
      </c>
      <c r="I45" s="2">
        <f t="shared" si="5"/>
        <v>4.9000000000000004</v>
      </c>
      <c r="J45" s="2">
        <f t="shared" si="6"/>
        <v>4.9000000000000004</v>
      </c>
      <c r="K45" s="2" t="str">
        <f t="shared" si="7"/>
        <v>0</v>
      </c>
      <c r="L45" s="2">
        <f t="shared" si="8"/>
        <v>4.9000000000000004</v>
      </c>
      <c r="M45" s="2" t="str">
        <f t="shared" si="9"/>
        <v>0</v>
      </c>
      <c r="N45" s="2" t="str">
        <f t="shared" si="10"/>
        <v>0</v>
      </c>
      <c r="O45" s="2" t="str">
        <f t="shared" si="11"/>
        <v>0</v>
      </c>
      <c r="P45" s="2">
        <f t="shared" si="12"/>
        <v>4.9000000000000004</v>
      </c>
      <c r="Q45" s="2" t="str">
        <f t="shared" si="13"/>
        <v>0</v>
      </c>
      <c r="R45" s="2" t="str">
        <f t="shared" si="14"/>
        <v>0</v>
      </c>
      <c r="S45" s="2">
        <f t="shared" si="15"/>
        <v>4.9000000000000004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>
        <f t="shared" si="2"/>
        <v>3.5999999999999996</v>
      </c>
      <c r="G46" s="2" t="str">
        <f t="shared" si="3"/>
        <v>0</v>
      </c>
      <c r="H46" s="2" t="str">
        <f t="shared" si="4"/>
        <v>0</v>
      </c>
      <c r="I46" s="2">
        <f t="shared" si="5"/>
        <v>3.5999999999999996</v>
      </c>
      <c r="J46" s="2">
        <f t="shared" si="6"/>
        <v>3.5999999999999996</v>
      </c>
      <c r="K46" s="2" t="str">
        <f t="shared" si="7"/>
        <v>0</v>
      </c>
      <c r="L46" s="2">
        <f t="shared" si="8"/>
        <v>3.5999999999999996</v>
      </c>
      <c r="M46" s="2" t="str">
        <f t="shared" si="9"/>
        <v>0</v>
      </c>
      <c r="N46" s="2" t="str">
        <f t="shared" si="10"/>
        <v>0</v>
      </c>
      <c r="O46" s="2" t="str">
        <f t="shared" si="11"/>
        <v>0</v>
      </c>
      <c r="P46" s="2">
        <f t="shared" si="12"/>
        <v>3.5999999999999996</v>
      </c>
      <c r="Q46" s="2" t="str">
        <f t="shared" si="13"/>
        <v>0</v>
      </c>
      <c r="R46" s="2" t="str">
        <f t="shared" si="14"/>
        <v>0</v>
      </c>
      <c r="S46" s="2">
        <f t="shared" si="15"/>
        <v>3.5999999999999996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>
        <f t="shared" si="2"/>
        <v>3.9000000000000021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>
        <f t="shared" si="6"/>
        <v>3.9000000000000021</v>
      </c>
      <c r="K47" s="2" t="str">
        <f t="shared" si="7"/>
        <v>0</v>
      </c>
      <c r="L47" s="2" t="str">
        <f t="shared" si="8"/>
        <v>0</v>
      </c>
      <c r="M47" s="2" t="str">
        <f t="shared" si="9"/>
        <v>0</v>
      </c>
      <c r="N47" s="2" t="str">
        <f t="shared" si="10"/>
        <v>0</v>
      </c>
      <c r="O47" s="2" t="str">
        <f t="shared" si="11"/>
        <v>0</v>
      </c>
      <c r="P47" s="2">
        <f t="shared" si="12"/>
        <v>3.9000000000000021</v>
      </c>
      <c r="Q47" s="2" t="str">
        <f t="shared" si="13"/>
        <v>0</v>
      </c>
      <c r="R47" s="2" t="str">
        <f t="shared" si="14"/>
        <v>0</v>
      </c>
      <c r="S47" s="2">
        <f t="shared" si="15"/>
        <v>3.9000000000000021</v>
      </c>
      <c r="T47" s="2" t="str">
        <f t="shared" si="16"/>
        <v>0</v>
      </c>
    </row>
    <row r="48" spans="1:20" x14ac:dyDescent="0.25">
      <c r="E48" s="2" t="str">
        <f t="shared" si="1"/>
        <v>0</v>
      </c>
      <c r="F48" s="2" t="str">
        <f t="shared" si="2"/>
        <v>0</v>
      </c>
      <c r="G48" s="2">
        <f t="shared" si="3"/>
        <v>0.89999999999999858</v>
      </c>
      <c r="H48" s="2" t="str">
        <f t="shared" si="4"/>
        <v>0</v>
      </c>
      <c r="I48" s="2">
        <f t="shared" si="5"/>
        <v>0.89999999999999858</v>
      </c>
      <c r="J48" s="2">
        <f t="shared" si="6"/>
        <v>0.89999999999999858</v>
      </c>
      <c r="K48" s="2" t="str">
        <f t="shared" si="7"/>
        <v>0</v>
      </c>
      <c r="L48" s="2" t="str">
        <f t="shared" si="8"/>
        <v>0</v>
      </c>
      <c r="M48" s="2" t="str">
        <f t="shared" si="9"/>
        <v>0</v>
      </c>
      <c r="N48" s="2" t="str">
        <f t="shared" si="10"/>
        <v>0</v>
      </c>
      <c r="O48" s="2" t="str">
        <f t="shared" si="11"/>
        <v>0</v>
      </c>
      <c r="P48" s="2">
        <f t="shared" si="12"/>
        <v>0.89999999999999858</v>
      </c>
      <c r="Q48" s="2" t="str">
        <f t="shared" si="13"/>
        <v>0</v>
      </c>
      <c r="R48" s="2" t="str">
        <f t="shared" si="14"/>
        <v>0</v>
      </c>
      <c r="S48" s="2">
        <f t="shared" si="15"/>
        <v>0.89999999999999858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 t="str">
        <f t="shared" si="2"/>
        <v>0</v>
      </c>
      <c r="G49" s="2">
        <f t="shared" si="3"/>
        <v>0.30000000000000071</v>
      </c>
      <c r="H49" s="2" t="str">
        <f t="shared" si="4"/>
        <v>0</v>
      </c>
      <c r="I49" s="2">
        <f t="shared" si="5"/>
        <v>0.30000000000000071</v>
      </c>
      <c r="J49" s="2">
        <f t="shared" si="6"/>
        <v>0.30000000000000071</v>
      </c>
      <c r="K49" s="2" t="str">
        <f t="shared" si="7"/>
        <v>0</v>
      </c>
      <c r="L49" s="2" t="str">
        <f t="shared" si="8"/>
        <v>0</v>
      </c>
      <c r="M49" s="2">
        <f t="shared" si="9"/>
        <v>0.30000000000000071</v>
      </c>
      <c r="N49" s="2" t="str">
        <f t="shared" si="10"/>
        <v>0</v>
      </c>
      <c r="O49" s="2" t="str">
        <f t="shared" si="11"/>
        <v>0</v>
      </c>
      <c r="P49" s="2">
        <f t="shared" si="12"/>
        <v>0.30000000000000071</v>
      </c>
      <c r="Q49" s="2" t="str">
        <f t="shared" si="13"/>
        <v>0</v>
      </c>
      <c r="R49" s="2" t="str">
        <f t="shared" si="14"/>
        <v>0</v>
      </c>
      <c r="S49" s="2">
        <f t="shared" si="15"/>
        <v>0.30000000000000071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>
        <f t="shared" si="2"/>
        <v>7.3000000000000007</v>
      </c>
      <c r="G50" s="2" t="str">
        <f t="shared" si="3"/>
        <v>0</v>
      </c>
      <c r="H50" s="2" t="str">
        <f t="shared" si="4"/>
        <v>0</v>
      </c>
      <c r="I50" s="2" t="str">
        <f t="shared" si="5"/>
        <v>0</v>
      </c>
      <c r="J50" s="2">
        <f t="shared" si="6"/>
        <v>7.3000000000000007</v>
      </c>
      <c r="K50" s="2" t="str">
        <f t="shared" si="7"/>
        <v>0</v>
      </c>
      <c r="L50" s="2" t="str">
        <f t="shared" si="8"/>
        <v>0</v>
      </c>
      <c r="M50" s="2" t="str">
        <f t="shared" si="9"/>
        <v>0</v>
      </c>
      <c r="N50" s="2" t="str">
        <f t="shared" si="10"/>
        <v>0</v>
      </c>
      <c r="O50" s="2" t="str">
        <f t="shared" si="11"/>
        <v>0</v>
      </c>
      <c r="P50" s="2">
        <f t="shared" si="12"/>
        <v>7.3000000000000007</v>
      </c>
      <c r="Q50" s="2" t="str">
        <f t="shared" si="13"/>
        <v>0</v>
      </c>
      <c r="R50" s="2" t="str">
        <f t="shared" si="14"/>
        <v>0</v>
      </c>
      <c r="S50" s="2">
        <f t="shared" si="15"/>
        <v>7.3000000000000007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 t="str">
        <f t="shared" si="2"/>
        <v>0</v>
      </c>
      <c r="G51" s="2">
        <f t="shared" si="3"/>
        <v>15.100000000000001</v>
      </c>
      <c r="H51" s="2">
        <f t="shared" si="4"/>
        <v>15.100000000000001</v>
      </c>
      <c r="I51" s="2">
        <f t="shared" si="5"/>
        <v>15.100000000000001</v>
      </c>
      <c r="J51" s="2">
        <f t="shared" si="6"/>
        <v>15.100000000000001</v>
      </c>
      <c r="K51" s="2" t="str">
        <f t="shared" si="7"/>
        <v>0</v>
      </c>
      <c r="L51" s="2" t="str">
        <f t="shared" si="8"/>
        <v>0</v>
      </c>
      <c r="M51" s="2">
        <f t="shared" si="9"/>
        <v>15.100000000000001</v>
      </c>
      <c r="N51" s="2" t="str">
        <f t="shared" si="10"/>
        <v>0</v>
      </c>
      <c r="O51" s="2" t="str">
        <f t="shared" si="11"/>
        <v>0</v>
      </c>
      <c r="P51" s="2">
        <f t="shared" si="12"/>
        <v>15.100000000000001</v>
      </c>
      <c r="Q51" s="2" t="str">
        <f t="shared" si="13"/>
        <v>0</v>
      </c>
      <c r="R51" s="2" t="str">
        <f t="shared" si="14"/>
        <v>0</v>
      </c>
      <c r="S51" s="2">
        <f t="shared" si="15"/>
        <v>15.100000000000001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>
        <f t="shared" si="2"/>
        <v>9.9999999999994316E-2</v>
      </c>
      <c r="G52" s="2" t="str">
        <f t="shared" si="3"/>
        <v>0</v>
      </c>
      <c r="H52" s="2" t="str">
        <f t="shared" si="4"/>
        <v>0</v>
      </c>
      <c r="I52" s="2">
        <f t="shared" si="5"/>
        <v>9.9999999999994316E-2</v>
      </c>
      <c r="J52" s="2">
        <f t="shared" si="6"/>
        <v>9.9999999999994316E-2</v>
      </c>
      <c r="K52" s="2" t="str">
        <f t="shared" si="7"/>
        <v>0</v>
      </c>
      <c r="L52" s="2" t="str">
        <f t="shared" si="8"/>
        <v>0</v>
      </c>
      <c r="M52" s="2">
        <f t="shared" si="9"/>
        <v>9.9999999999994316E-2</v>
      </c>
      <c r="N52" s="2" t="str">
        <f t="shared" si="10"/>
        <v>0</v>
      </c>
      <c r="O52" s="2" t="str">
        <f t="shared" si="11"/>
        <v>0</v>
      </c>
      <c r="P52" s="2">
        <f t="shared" si="12"/>
        <v>9.9999999999994316E-2</v>
      </c>
      <c r="Q52" s="2" t="str">
        <f t="shared" si="13"/>
        <v>0</v>
      </c>
      <c r="R52" s="2" t="str">
        <f t="shared" si="14"/>
        <v>0</v>
      </c>
      <c r="S52" s="2">
        <f t="shared" si="15"/>
        <v>9.9999999999994316E-2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>
        <f t="shared" si="2"/>
        <v>2.5</v>
      </c>
      <c r="G53" s="2" t="str">
        <f t="shared" si="3"/>
        <v>0</v>
      </c>
      <c r="H53" s="2">
        <f t="shared" si="4"/>
        <v>2.5</v>
      </c>
      <c r="I53" s="2" t="str">
        <f t="shared" si="5"/>
        <v>0</v>
      </c>
      <c r="J53" s="2">
        <f t="shared" si="6"/>
        <v>2.5</v>
      </c>
      <c r="K53" s="2" t="str">
        <f t="shared" si="7"/>
        <v>0</v>
      </c>
      <c r="L53" s="2" t="str">
        <f t="shared" si="8"/>
        <v>0</v>
      </c>
      <c r="M53" s="2">
        <f t="shared" si="9"/>
        <v>2.5</v>
      </c>
      <c r="N53" s="2" t="str">
        <f t="shared" si="10"/>
        <v>0</v>
      </c>
      <c r="O53" s="2" t="str">
        <f t="shared" si="11"/>
        <v>0</v>
      </c>
      <c r="P53" s="2">
        <f t="shared" si="12"/>
        <v>2.5</v>
      </c>
      <c r="Q53" s="2" t="str">
        <f t="shared" si="13"/>
        <v>0</v>
      </c>
      <c r="R53" s="2" t="str">
        <f t="shared" si="14"/>
        <v>0</v>
      </c>
      <c r="S53" s="2">
        <f t="shared" si="15"/>
        <v>2.5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>
        <f t="shared" si="3"/>
        <v>5.1300000000000026</v>
      </c>
      <c r="H54" s="2" t="str">
        <f t="shared" si="4"/>
        <v>0</v>
      </c>
      <c r="I54" s="2">
        <f t="shared" si="5"/>
        <v>5.1300000000000026</v>
      </c>
      <c r="J54" s="2">
        <f t="shared" si="6"/>
        <v>5.1300000000000026</v>
      </c>
      <c r="K54" s="2" t="str">
        <f t="shared" si="7"/>
        <v>0</v>
      </c>
      <c r="L54" s="2" t="str">
        <f t="shared" si="8"/>
        <v>0</v>
      </c>
      <c r="M54" s="2">
        <f t="shared" si="9"/>
        <v>5.1300000000000026</v>
      </c>
      <c r="N54" s="2" t="str">
        <f t="shared" si="10"/>
        <v>0</v>
      </c>
      <c r="O54" s="2" t="str">
        <f t="shared" si="11"/>
        <v>0</v>
      </c>
      <c r="P54" s="2">
        <f t="shared" si="12"/>
        <v>5.1300000000000026</v>
      </c>
      <c r="Q54" s="2" t="str">
        <f t="shared" si="13"/>
        <v>0</v>
      </c>
      <c r="R54" s="2" t="str">
        <f t="shared" si="14"/>
        <v>0</v>
      </c>
      <c r="S54" s="2">
        <f t="shared" si="15"/>
        <v>5.1300000000000026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>
        <f t="shared" si="3"/>
        <v>2</v>
      </c>
      <c r="H55" s="2" t="str">
        <f t="shared" si="4"/>
        <v>0</v>
      </c>
      <c r="I55" s="2">
        <f t="shared" si="5"/>
        <v>2</v>
      </c>
      <c r="J55" s="2">
        <f t="shared" si="6"/>
        <v>2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>
        <f t="shared" si="12"/>
        <v>2</v>
      </c>
      <c r="Q55" s="2" t="str">
        <f t="shared" si="13"/>
        <v>0</v>
      </c>
      <c r="R55" s="2" t="str">
        <f t="shared" si="14"/>
        <v>0</v>
      </c>
      <c r="S55" s="2">
        <f t="shared" si="15"/>
        <v>2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>
        <f t="shared" si="2"/>
        <v>1.5899999999999999</v>
      </c>
      <c r="G56" s="2" t="str">
        <f t="shared" si="3"/>
        <v>0</v>
      </c>
      <c r="H56" s="2">
        <f t="shared" si="4"/>
        <v>1.5899999999999999</v>
      </c>
      <c r="I56" s="2" t="str">
        <f t="shared" si="5"/>
        <v>0</v>
      </c>
      <c r="J56" s="2">
        <f t="shared" si="6"/>
        <v>1.5899999999999999</v>
      </c>
      <c r="K56" s="2" t="str">
        <f t="shared" si="7"/>
        <v>0</v>
      </c>
      <c r="L56" s="2">
        <f t="shared" si="8"/>
        <v>1.5899999999999999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>
        <f t="shared" si="12"/>
        <v>1.5899999999999999</v>
      </c>
      <c r="Q56" s="2" t="str">
        <f t="shared" si="13"/>
        <v>0</v>
      </c>
      <c r="R56" s="2" t="str">
        <f t="shared" si="14"/>
        <v>0</v>
      </c>
      <c r="S56" s="2">
        <f t="shared" si="15"/>
        <v>1.5899999999999999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ref="E104:E126" si="17">IF(E72="X",(D72-C72),"0")</f>
        <v>0</v>
      </c>
      <c r="F104" s="2" t="str">
        <f t="shared" ref="F104:F126" si="18">IF(F72="X",(D72-C72),"0")</f>
        <v>0</v>
      </c>
      <c r="G104" s="2" t="str">
        <f t="shared" ref="G104:G126" si="19">IF(G72="X",(D72-C72),"0")</f>
        <v>0</v>
      </c>
      <c r="H104" s="2" t="str">
        <f t="shared" ref="H104:H126" si="20">IF(H72="X",(D72-C72),"0")</f>
        <v>0</v>
      </c>
      <c r="I104" s="2" t="str">
        <f t="shared" ref="I104:I126" si="21">IF(I72="X",(D72-C72),"0")</f>
        <v>0</v>
      </c>
      <c r="J104" s="2" t="str">
        <f t="shared" ref="J104:J126" si="22">IF(J72="X",(D72-C72),"0")</f>
        <v>0</v>
      </c>
      <c r="K104" s="2" t="str">
        <f t="shared" ref="K104:K126" si="23">IF(K72="X",(D72-C72),"0")</f>
        <v>0</v>
      </c>
      <c r="L104" s="2" t="str">
        <f t="shared" ref="L104:L126" si="24">IF(L72="X",(D72-C72),"0")</f>
        <v>0</v>
      </c>
      <c r="M104" s="2" t="str">
        <f t="shared" ref="M104:M126" si="25">IF(M72="X",(D72-C72),"0")</f>
        <v>0</v>
      </c>
      <c r="N104" s="2" t="str">
        <f t="shared" ref="N104:N126" si="26">IF(N72="X",(D72-C72),"0")</f>
        <v>0</v>
      </c>
      <c r="O104" s="2" t="str">
        <f t="shared" ref="O104:O126" si="27">IF(O72="X",(D72-C72),"0")</f>
        <v>0</v>
      </c>
      <c r="P104" s="2" t="str">
        <f t="shared" ref="P104:P126" si="28">IF(P72="X",(D72-C72),"0")</f>
        <v>0</v>
      </c>
      <c r="Q104" s="2" t="str">
        <f t="shared" ref="Q104:Q126" si="29">IF(Q72="X",(D72-C72),"0")</f>
        <v>0</v>
      </c>
      <c r="R104" s="2" t="str">
        <f t="shared" ref="R104:R126" si="30">IF(R72="X",(D72-C72),"0")</f>
        <v>0</v>
      </c>
      <c r="S104" s="2" t="str">
        <f t="shared" ref="S104:S126" si="31">IF(S72="X",(D72-C72),"0")</f>
        <v>0</v>
      </c>
      <c r="T104" s="2" t="str">
        <f t="shared" ref="T104:T126" si="32">IF(T72="X",(D72-C72),"0")</f>
        <v>0</v>
      </c>
    </row>
    <row r="105" spans="5:20" x14ac:dyDescent="0.25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 x14ac:dyDescent="0.25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 x14ac:dyDescent="0.25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2">
        <f>SUM(E39:E126)</f>
        <v>0</v>
      </c>
      <c r="F127" s="2">
        <f>SUM(F39:F126)</f>
        <v>27.099999999999998</v>
      </c>
      <c r="G127" s="2">
        <f t="shared" ref="G127:T127" si="33">SUM(G39:G126)</f>
        <v>37.930000000000007</v>
      </c>
      <c r="H127" s="2">
        <f t="shared" si="33"/>
        <v>19.190000000000001</v>
      </c>
      <c r="I127" s="2">
        <f t="shared" si="33"/>
        <v>35.03</v>
      </c>
      <c r="J127" s="2">
        <f t="shared" si="33"/>
        <v>65.03</v>
      </c>
      <c r="K127" s="2">
        <f t="shared" si="33"/>
        <v>0</v>
      </c>
      <c r="L127" s="2">
        <f t="shared" si="33"/>
        <v>13.09</v>
      </c>
      <c r="M127" s="2">
        <f t="shared" si="33"/>
        <v>29.729999999999997</v>
      </c>
      <c r="N127" s="2">
        <f t="shared" si="33"/>
        <v>0</v>
      </c>
      <c r="O127" s="2">
        <f t="shared" si="33"/>
        <v>0</v>
      </c>
      <c r="P127" s="2">
        <f t="shared" si="33"/>
        <v>65.03</v>
      </c>
      <c r="Q127" s="2">
        <f t="shared" si="33"/>
        <v>0</v>
      </c>
      <c r="R127" s="2">
        <f t="shared" si="33"/>
        <v>0</v>
      </c>
      <c r="S127" s="2">
        <f t="shared" si="33"/>
        <v>65.03</v>
      </c>
      <c r="T127" s="2">
        <f t="shared" si="33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F55C-7C64-411B-9F55-0EFABC9BE3CF}">
  <dimension ref="A1:AN127"/>
  <sheetViews>
    <sheetView zoomScale="70" zoomScaleNormal="70" zoomScaleSheetLayoutView="55" workbookViewId="0">
      <pane ySplit="6" topLeftCell="A13" activePane="bottomLeft" state="frozen"/>
      <selection activeCell="J2" sqref="J2:K2"/>
      <selection pane="bottomLeft" activeCell="H20" sqref="H20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92">
        <f>'224'!J2</f>
        <v>46204</v>
      </c>
      <c r="K2" s="92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TT!C7</f>
        <v>RODOVIA TO-280 - TRECHO ENTR. BR-242 - SÃO VALÉRIO DE NATIVIDADE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25">
      <c r="A7" s="48" t="s">
        <v>77</v>
      </c>
      <c r="B7" s="48" t="s">
        <v>130</v>
      </c>
      <c r="C7" s="49">
        <v>0</v>
      </c>
      <c r="D7" s="49">
        <v>1.2</v>
      </c>
      <c r="E7" s="48"/>
      <c r="F7" s="48" t="s">
        <v>129</v>
      </c>
      <c r="G7" s="48"/>
      <c r="H7" s="48"/>
      <c r="I7" s="48"/>
      <c r="J7" s="48" t="s">
        <v>129</v>
      </c>
      <c r="K7" s="48"/>
      <c r="L7" s="48" t="s">
        <v>129</v>
      </c>
      <c r="M7" s="48"/>
      <c r="N7" s="48"/>
      <c r="O7" s="48"/>
      <c r="P7" s="48" t="s">
        <v>129</v>
      </c>
      <c r="Q7" s="48"/>
      <c r="R7" s="48"/>
      <c r="S7" s="48" t="s">
        <v>129</v>
      </c>
      <c r="T7" s="48"/>
      <c r="U7" s="49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25">
      <c r="A8" s="48"/>
      <c r="B8" s="48"/>
      <c r="C8" s="49">
        <f>D7</f>
        <v>1.2</v>
      </c>
      <c r="D8" s="49">
        <v>1.4</v>
      </c>
      <c r="E8" s="48"/>
      <c r="F8" s="48" t="s">
        <v>129</v>
      </c>
      <c r="G8" s="48"/>
      <c r="H8" s="48"/>
      <c r="I8" s="48"/>
      <c r="J8" s="48" t="s">
        <v>129</v>
      </c>
      <c r="K8" s="48"/>
      <c r="L8" s="48"/>
      <c r="M8" s="48" t="s">
        <v>129</v>
      </c>
      <c r="N8" s="48"/>
      <c r="O8" s="48"/>
      <c r="P8" s="48" t="s">
        <v>129</v>
      </c>
      <c r="Q8" s="48"/>
      <c r="R8" s="48"/>
      <c r="S8" s="48" t="s">
        <v>129</v>
      </c>
      <c r="T8" s="48"/>
      <c r="U8" s="49"/>
    </row>
    <row r="9" spans="1:40" ht="36" customHeight="1" x14ac:dyDescent="0.25">
      <c r="A9" s="48"/>
      <c r="B9" s="48"/>
      <c r="C9" s="49">
        <f t="shared" ref="C9:C18" si="0">D8</f>
        <v>1.4</v>
      </c>
      <c r="D9" s="49">
        <v>2.7</v>
      </c>
      <c r="E9" s="48"/>
      <c r="F9" s="48" t="s">
        <v>129</v>
      </c>
      <c r="G9" s="48"/>
      <c r="H9" s="48"/>
      <c r="I9" s="48"/>
      <c r="J9" s="48" t="s">
        <v>129</v>
      </c>
      <c r="K9" s="48"/>
      <c r="L9" s="48"/>
      <c r="M9" s="48" t="s">
        <v>129</v>
      </c>
      <c r="N9" s="48"/>
      <c r="O9" s="48"/>
      <c r="P9" s="48" t="s">
        <v>129</v>
      </c>
      <c r="Q9" s="48"/>
      <c r="R9" s="48"/>
      <c r="S9" s="48" t="s">
        <v>129</v>
      </c>
      <c r="T9" s="48"/>
      <c r="U9" s="49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25">
      <c r="A10" s="48"/>
      <c r="B10" s="48"/>
      <c r="C10" s="49">
        <f t="shared" si="0"/>
        <v>2.7</v>
      </c>
      <c r="D10" s="49">
        <v>4.4000000000000004</v>
      </c>
      <c r="E10" s="48"/>
      <c r="F10" s="48"/>
      <c r="G10" s="48" t="s">
        <v>129</v>
      </c>
      <c r="H10" s="48"/>
      <c r="I10" s="48"/>
      <c r="J10" s="48" t="s">
        <v>129</v>
      </c>
      <c r="K10" s="48"/>
      <c r="L10" s="48"/>
      <c r="M10" s="48" t="s">
        <v>129</v>
      </c>
      <c r="N10" s="48"/>
      <c r="O10" s="48"/>
      <c r="P10" s="48" t="s">
        <v>129</v>
      </c>
      <c r="Q10" s="48"/>
      <c r="R10" s="48"/>
      <c r="S10" s="48" t="s">
        <v>129</v>
      </c>
      <c r="T10" s="48"/>
      <c r="U10" s="49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25">
      <c r="A11" s="48"/>
      <c r="B11" s="48"/>
      <c r="C11" s="49">
        <f t="shared" si="0"/>
        <v>4.4000000000000004</v>
      </c>
      <c r="D11" s="49">
        <v>7.4</v>
      </c>
      <c r="E11" s="48"/>
      <c r="F11" s="48" t="s">
        <v>129</v>
      </c>
      <c r="G11" s="48"/>
      <c r="H11" s="48"/>
      <c r="I11" s="48"/>
      <c r="J11" s="48" t="s">
        <v>129</v>
      </c>
      <c r="K11" s="48"/>
      <c r="L11" s="48"/>
      <c r="M11" s="48" t="s">
        <v>129</v>
      </c>
      <c r="N11" s="48"/>
      <c r="O11" s="48"/>
      <c r="P11" s="48" t="s">
        <v>129</v>
      </c>
      <c r="Q11" s="48"/>
      <c r="R11" s="48"/>
      <c r="S11" s="48" t="s">
        <v>129</v>
      </c>
      <c r="T11" s="48"/>
      <c r="U11" s="49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25">
      <c r="A12" s="48"/>
      <c r="B12" s="48"/>
      <c r="C12" s="49">
        <f t="shared" si="0"/>
        <v>7.4</v>
      </c>
      <c r="D12" s="49">
        <v>7.7</v>
      </c>
      <c r="E12" s="48"/>
      <c r="F12" s="48" t="s">
        <v>129</v>
      </c>
      <c r="G12" s="48"/>
      <c r="H12" s="48"/>
      <c r="I12" s="48"/>
      <c r="J12" s="48" t="s">
        <v>129</v>
      </c>
      <c r="K12" s="48"/>
      <c r="L12" s="48"/>
      <c r="M12" s="48" t="s">
        <v>129</v>
      </c>
      <c r="N12" s="48"/>
      <c r="O12" s="48"/>
      <c r="P12" s="48" t="s">
        <v>129</v>
      </c>
      <c r="Q12" s="48"/>
      <c r="R12" s="48"/>
      <c r="S12" s="48" t="s">
        <v>129</v>
      </c>
      <c r="T12" s="48"/>
      <c r="U12" s="49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25">
      <c r="A13" s="48"/>
      <c r="B13" s="48"/>
      <c r="C13" s="49">
        <f t="shared" si="0"/>
        <v>7.7</v>
      </c>
      <c r="D13" s="49">
        <v>8.6</v>
      </c>
      <c r="E13" s="48"/>
      <c r="F13" s="48" t="s">
        <v>129</v>
      </c>
      <c r="G13" s="48"/>
      <c r="H13" s="48"/>
      <c r="I13" s="48"/>
      <c r="J13" s="48" t="s">
        <v>129</v>
      </c>
      <c r="K13" s="48"/>
      <c r="L13" s="48"/>
      <c r="M13" s="48" t="s">
        <v>129</v>
      </c>
      <c r="N13" s="48"/>
      <c r="O13" s="48"/>
      <c r="P13" s="48" t="s">
        <v>129</v>
      </c>
      <c r="Q13" s="48"/>
      <c r="R13" s="48"/>
      <c r="S13" s="48" t="s">
        <v>129</v>
      </c>
      <c r="T13" s="48"/>
      <c r="U13" s="49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25">
      <c r="A14" s="48"/>
      <c r="B14" s="48"/>
      <c r="C14" s="49">
        <f t="shared" si="0"/>
        <v>8.6</v>
      </c>
      <c r="D14" s="49">
        <v>8.8000000000000007</v>
      </c>
      <c r="E14" s="48"/>
      <c r="F14" s="48" t="s">
        <v>129</v>
      </c>
      <c r="G14" s="48"/>
      <c r="H14" s="48"/>
      <c r="I14" s="48"/>
      <c r="J14" s="48" t="s">
        <v>129</v>
      </c>
      <c r="K14" s="48"/>
      <c r="L14" s="48"/>
      <c r="M14" s="48" t="s">
        <v>129</v>
      </c>
      <c r="N14" s="48"/>
      <c r="O14" s="48"/>
      <c r="P14" s="48" t="s">
        <v>129</v>
      </c>
      <c r="Q14" s="48"/>
      <c r="R14" s="48"/>
      <c r="S14" s="48" t="s">
        <v>129</v>
      </c>
      <c r="T14" s="48"/>
      <c r="U14" s="49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25">
      <c r="A15" s="48"/>
      <c r="B15" s="48"/>
      <c r="C15" s="49">
        <f t="shared" si="0"/>
        <v>8.8000000000000007</v>
      </c>
      <c r="D15" s="49">
        <v>15.2</v>
      </c>
      <c r="E15" s="48"/>
      <c r="F15" s="48" t="s">
        <v>129</v>
      </c>
      <c r="G15" s="48"/>
      <c r="H15" s="48" t="s">
        <v>129</v>
      </c>
      <c r="I15" s="48" t="s">
        <v>129</v>
      </c>
      <c r="J15" s="48" t="s">
        <v>129</v>
      </c>
      <c r="K15" s="48"/>
      <c r="L15" s="48"/>
      <c r="M15" s="48"/>
      <c r="N15" s="48"/>
      <c r="O15" s="48"/>
      <c r="P15" s="48" t="s">
        <v>129</v>
      </c>
      <c r="Q15" s="48"/>
      <c r="R15" s="48"/>
      <c r="S15" s="48" t="s">
        <v>129</v>
      </c>
      <c r="T15" s="48"/>
      <c r="U15" s="49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25">
      <c r="A16" s="48"/>
      <c r="B16" s="48"/>
      <c r="C16" s="49">
        <f t="shared" si="0"/>
        <v>15.2</v>
      </c>
      <c r="D16" s="49">
        <v>17.100000000000001</v>
      </c>
      <c r="E16" s="48"/>
      <c r="F16" s="48"/>
      <c r="G16" s="48" t="s">
        <v>129</v>
      </c>
      <c r="H16" s="48" t="s">
        <v>129</v>
      </c>
      <c r="I16" s="48" t="s">
        <v>129</v>
      </c>
      <c r="J16" s="48" t="s">
        <v>129</v>
      </c>
      <c r="K16" s="48"/>
      <c r="L16" s="48"/>
      <c r="M16" s="48" t="s">
        <v>129</v>
      </c>
      <c r="N16" s="48"/>
      <c r="O16" s="48"/>
      <c r="P16" s="48" t="s">
        <v>129</v>
      </c>
      <c r="Q16" s="48"/>
      <c r="R16" s="48"/>
      <c r="S16" s="48" t="s">
        <v>129</v>
      </c>
      <c r="T16" s="48"/>
      <c r="U16" s="49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25">
      <c r="A17" s="48"/>
      <c r="B17" s="48"/>
      <c r="C17" s="49">
        <f t="shared" si="0"/>
        <v>17.100000000000001</v>
      </c>
      <c r="D17" s="49">
        <v>20.3</v>
      </c>
      <c r="E17" s="48"/>
      <c r="F17" s="48" t="s">
        <v>129</v>
      </c>
      <c r="G17" s="48"/>
      <c r="H17" s="48" t="s">
        <v>129</v>
      </c>
      <c r="I17" s="48" t="s">
        <v>129</v>
      </c>
      <c r="J17" s="48" t="s">
        <v>129</v>
      </c>
      <c r="K17" s="48"/>
      <c r="L17" s="48"/>
      <c r="M17" s="48" t="s">
        <v>129</v>
      </c>
      <c r="N17" s="48"/>
      <c r="O17" s="48"/>
      <c r="P17" s="48" t="s">
        <v>129</v>
      </c>
      <c r="Q17" s="48"/>
      <c r="R17" s="48"/>
      <c r="S17" s="48" t="s">
        <v>129</v>
      </c>
      <c r="T17" s="48"/>
      <c r="U17" s="49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25">
      <c r="A18" s="48"/>
      <c r="B18" s="48"/>
      <c r="C18" s="49">
        <f t="shared" si="0"/>
        <v>20.3</v>
      </c>
      <c r="D18" s="49">
        <v>21.52</v>
      </c>
      <c r="E18" s="48"/>
      <c r="F18" s="48" t="s">
        <v>129</v>
      </c>
      <c r="G18" s="48"/>
      <c r="H18" s="48" t="s">
        <v>129</v>
      </c>
      <c r="I18" s="48" t="s">
        <v>129</v>
      </c>
      <c r="J18" s="48" t="s">
        <v>129</v>
      </c>
      <c r="K18" s="48"/>
      <c r="L18" s="48"/>
      <c r="M18" s="48" t="s">
        <v>129</v>
      </c>
      <c r="N18" s="48"/>
      <c r="O18" s="48"/>
      <c r="P18" s="48" t="s">
        <v>129</v>
      </c>
      <c r="Q18" s="48"/>
      <c r="R18" s="48"/>
      <c r="S18" s="48" t="s">
        <v>129</v>
      </c>
      <c r="T18" s="48"/>
      <c r="U18" s="49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25">
      <c r="A19" s="48" t="s">
        <v>75</v>
      </c>
      <c r="B19" s="48" t="s">
        <v>130</v>
      </c>
      <c r="C19" s="49">
        <v>0</v>
      </c>
      <c r="D19" s="49">
        <v>4.7</v>
      </c>
      <c r="E19" s="48"/>
      <c r="F19" s="48" t="s">
        <v>129</v>
      </c>
      <c r="G19" s="48"/>
      <c r="H19" s="48" t="s">
        <v>129</v>
      </c>
      <c r="I19" s="48"/>
      <c r="J19" s="48" t="s">
        <v>129</v>
      </c>
      <c r="K19" s="48"/>
      <c r="L19" s="48"/>
      <c r="M19" s="48"/>
      <c r="N19" s="48"/>
      <c r="O19" s="48"/>
      <c r="P19" s="48" t="s">
        <v>129</v>
      </c>
      <c r="Q19" s="48"/>
      <c r="R19" s="48"/>
      <c r="S19" s="48" t="s">
        <v>129</v>
      </c>
      <c r="T19" s="48"/>
      <c r="U19" s="49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25">
      <c r="A20" s="48"/>
      <c r="B20" s="48"/>
      <c r="C20" s="49">
        <f>D19</f>
        <v>4.7</v>
      </c>
      <c r="D20" s="49">
        <v>4.9000000000000004</v>
      </c>
      <c r="E20" s="48"/>
      <c r="F20" s="48"/>
      <c r="G20" s="48" t="s">
        <v>129</v>
      </c>
      <c r="H20" s="48"/>
      <c r="I20" s="48"/>
      <c r="J20" s="48" t="s">
        <v>129</v>
      </c>
      <c r="K20" s="48"/>
      <c r="L20" s="48"/>
      <c r="M20" s="48"/>
      <c r="N20" s="48"/>
      <c r="O20" s="48"/>
      <c r="P20" s="48" t="s">
        <v>129</v>
      </c>
      <c r="Q20" s="48"/>
      <c r="R20" s="48"/>
      <c r="S20" s="48" t="s">
        <v>129</v>
      </c>
      <c r="T20" s="48"/>
      <c r="U20" s="49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25">
      <c r="A21" s="48"/>
      <c r="B21" s="48"/>
      <c r="C21" s="49">
        <f>D20</f>
        <v>4.9000000000000004</v>
      </c>
      <c r="D21" s="49">
        <v>9.5399999999999991</v>
      </c>
      <c r="E21" s="48"/>
      <c r="F21" s="48" t="s">
        <v>129</v>
      </c>
      <c r="G21" s="48"/>
      <c r="H21" s="48" t="s">
        <v>129</v>
      </c>
      <c r="I21" s="48"/>
      <c r="J21" s="48" t="s">
        <v>129</v>
      </c>
      <c r="K21" s="48"/>
      <c r="L21" s="48"/>
      <c r="M21" s="48" t="s">
        <v>129</v>
      </c>
      <c r="N21" s="48"/>
      <c r="O21" s="48"/>
      <c r="P21" s="48" t="s">
        <v>129</v>
      </c>
      <c r="Q21" s="48"/>
      <c r="R21" s="48"/>
      <c r="S21" s="48" t="s">
        <v>129</v>
      </c>
      <c r="T21" s="48"/>
      <c r="U21" s="49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48" t="s">
        <v>73</v>
      </c>
      <c r="B22" s="48" t="s">
        <v>130</v>
      </c>
      <c r="C22" s="49">
        <v>0</v>
      </c>
      <c r="D22" s="49">
        <v>1.24</v>
      </c>
      <c r="E22" s="48"/>
      <c r="F22" s="48"/>
      <c r="G22" s="48" t="s">
        <v>129</v>
      </c>
      <c r="H22" s="48"/>
      <c r="I22" s="48" t="s">
        <v>129</v>
      </c>
      <c r="J22" s="48" t="s">
        <v>129</v>
      </c>
      <c r="K22" s="48"/>
      <c r="L22" s="48"/>
      <c r="M22" s="48" t="s">
        <v>129</v>
      </c>
      <c r="N22" s="48"/>
      <c r="O22" s="48"/>
      <c r="P22" s="48" t="s">
        <v>129</v>
      </c>
      <c r="Q22" s="48"/>
      <c r="R22" s="48"/>
      <c r="S22" s="48" t="s">
        <v>129</v>
      </c>
      <c r="T22" s="48"/>
      <c r="U22" s="49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48" t="s">
        <v>70</v>
      </c>
      <c r="B23" s="48" t="s">
        <v>130</v>
      </c>
      <c r="C23" s="49">
        <v>0</v>
      </c>
      <c r="D23" s="49">
        <v>1.86</v>
      </c>
      <c r="E23" s="48"/>
      <c r="F23" s="48"/>
      <c r="G23" s="48" t="s">
        <v>129</v>
      </c>
      <c r="H23" s="48"/>
      <c r="I23" s="48" t="s">
        <v>129</v>
      </c>
      <c r="J23" s="48" t="s">
        <v>129</v>
      </c>
      <c r="K23" s="48"/>
      <c r="L23" s="48" t="s">
        <v>129</v>
      </c>
      <c r="M23" s="48"/>
      <c r="N23" s="48"/>
      <c r="O23" s="48"/>
      <c r="P23" s="48"/>
      <c r="Q23" s="48" t="s">
        <v>129</v>
      </c>
      <c r="R23" s="48"/>
      <c r="S23" s="48" t="s">
        <v>129</v>
      </c>
      <c r="T23" s="48"/>
      <c r="U23" s="49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48" t="s">
        <v>79</v>
      </c>
      <c r="B24" s="48" t="s">
        <v>130</v>
      </c>
      <c r="C24" s="49">
        <v>0</v>
      </c>
      <c r="D24" s="49">
        <v>8.99</v>
      </c>
      <c r="E24" s="48"/>
      <c r="F24" s="48" t="s">
        <v>129</v>
      </c>
      <c r="G24" s="48"/>
      <c r="H24" s="48"/>
      <c r="I24" s="48"/>
      <c r="J24" s="48" t="s">
        <v>129</v>
      </c>
      <c r="K24" s="48"/>
      <c r="L24" s="48"/>
      <c r="M24" s="48" t="s">
        <v>129</v>
      </c>
      <c r="N24" s="48" t="s">
        <v>129</v>
      </c>
      <c r="O24" s="48"/>
      <c r="P24" s="48" t="s">
        <v>129</v>
      </c>
      <c r="Q24" s="48"/>
      <c r="R24" s="48" t="s">
        <v>129</v>
      </c>
      <c r="S24" s="48" t="s">
        <v>129</v>
      </c>
      <c r="T24" s="48"/>
      <c r="U24" s="49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48"/>
      <c r="B25" s="48"/>
      <c r="C25" s="49"/>
      <c r="D25" s="49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  <c r="P26" s="3"/>
      <c r="Q26" s="3"/>
      <c r="R26" s="3"/>
      <c r="S26" s="3"/>
      <c r="T26" s="3"/>
      <c r="U26" s="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  <c r="P27" s="3"/>
      <c r="Q27" s="3"/>
      <c r="R27" s="3"/>
      <c r="S27" s="3"/>
      <c r="T27" s="3"/>
      <c r="U27" s="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48"/>
      <c r="B29" s="48"/>
      <c r="C29" s="49"/>
      <c r="D29" s="49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3"/>
      <c r="U29" s="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1.2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1.2</v>
      </c>
      <c r="K39" s="2" t="str">
        <f>IF(K7="X",(D7-C7),"0")</f>
        <v>0</v>
      </c>
      <c r="L39" s="2">
        <f>IF(L7="X",(D7-C7),"0")</f>
        <v>1.2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1.2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1.2</v>
      </c>
      <c r="T39" s="2" t="str">
        <f>IF(T7="X",(D7-C7),"0")</f>
        <v>0</v>
      </c>
    </row>
    <row r="40" spans="1:20" x14ac:dyDescent="0.25">
      <c r="E40" s="2" t="str">
        <f t="shared" ref="E40:E103" si="1">IF(E8="X",(D8-C8),"0")</f>
        <v>0</v>
      </c>
      <c r="F40" s="2">
        <f t="shared" ref="F40:F103" si="2">IF(F8="X",(D8-C8),"0")</f>
        <v>0.19999999999999996</v>
      </c>
      <c r="G40" s="2" t="str">
        <f t="shared" ref="G40:G103" si="3">IF(G8="X",(D8-C8),"0")</f>
        <v>0</v>
      </c>
      <c r="H40" s="2" t="str">
        <f t="shared" ref="H40:H103" si="4">IF(H8="X",(D8-C8),"0")</f>
        <v>0</v>
      </c>
      <c r="I40" s="2" t="str">
        <f t="shared" ref="I40:I103" si="5">IF(I8="X",(D8-C8),"0")</f>
        <v>0</v>
      </c>
      <c r="J40" s="2">
        <f t="shared" ref="J40:J103" si="6">IF(J8="X",(D8-C8),"0")</f>
        <v>0.19999999999999996</v>
      </c>
      <c r="K40" s="2" t="str">
        <f t="shared" ref="K40:K103" si="7">IF(K8="X",(D8-C8),"0")</f>
        <v>0</v>
      </c>
      <c r="L40" s="2" t="str">
        <f t="shared" ref="L40:L103" si="8">IF(L8="X",(D8-C8),"0")</f>
        <v>0</v>
      </c>
      <c r="M40" s="2">
        <f t="shared" ref="M40:M103" si="9">IF(M8="X",(D8-C8),"0")</f>
        <v>0.19999999999999996</v>
      </c>
      <c r="N40" s="2" t="str">
        <f t="shared" ref="N40:N103" si="10">IF(N8="X",(D8-C8),"0")</f>
        <v>0</v>
      </c>
      <c r="O40" s="2" t="str">
        <f t="shared" ref="O40:O103" si="11">IF(O8="X",(D8-C8),"0")</f>
        <v>0</v>
      </c>
      <c r="P40" s="2">
        <f t="shared" ref="P40:P103" si="12">IF(P8="X",(D8-C8),"0")</f>
        <v>0.19999999999999996</v>
      </c>
      <c r="Q40" s="2" t="str">
        <f t="shared" ref="Q40:Q103" si="13">IF(Q8="X",(D8-C8),"0")</f>
        <v>0</v>
      </c>
      <c r="R40" s="2" t="str">
        <f t="shared" ref="R40:R103" si="14">IF(R8="X",(D8-C8),"0")</f>
        <v>0</v>
      </c>
      <c r="S40" s="2">
        <f t="shared" ref="S40:S103" si="15">IF(S8="X",(D8-C8),"0")</f>
        <v>0.19999999999999996</v>
      </c>
      <c r="T40" s="2" t="str">
        <f t="shared" ref="T40:T103" si="16">IF(T8="X",(D8-C8),"0")</f>
        <v>0</v>
      </c>
    </row>
    <row r="41" spans="1:20" x14ac:dyDescent="0.25">
      <c r="E41" s="2" t="str">
        <f t="shared" si="1"/>
        <v>0</v>
      </c>
      <c r="F41" s="2">
        <f t="shared" si="2"/>
        <v>1.3000000000000003</v>
      </c>
      <c r="G41" s="2" t="str">
        <f t="shared" si="3"/>
        <v>0</v>
      </c>
      <c r="H41" s="2" t="str">
        <f t="shared" si="4"/>
        <v>0</v>
      </c>
      <c r="I41" s="2" t="str">
        <f t="shared" si="5"/>
        <v>0</v>
      </c>
      <c r="J41" s="2">
        <f t="shared" si="6"/>
        <v>1.3000000000000003</v>
      </c>
      <c r="K41" s="2" t="str">
        <f t="shared" si="7"/>
        <v>0</v>
      </c>
      <c r="L41" s="2" t="str">
        <f t="shared" si="8"/>
        <v>0</v>
      </c>
      <c r="M41" s="2">
        <f t="shared" si="9"/>
        <v>1.3000000000000003</v>
      </c>
      <c r="N41" s="2" t="str">
        <f t="shared" si="10"/>
        <v>0</v>
      </c>
      <c r="O41" s="2" t="str">
        <f t="shared" si="11"/>
        <v>0</v>
      </c>
      <c r="P41" s="2">
        <f t="shared" si="12"/>
        <v>1.3000000000000003</v>
      </c>
      <c r="Q41" s="2" t="str">
        <f t="shared" si="13"/>
        <v>0</v>
      </c>
      <c r="R41" s="2" t="str">
        <f t="shared" si="14"/>
        <v>0</v>
      </c>
      <c r="S41" s="2">
        <f t="shared" si="15"/>
        <v>1.3000000000000003</v>
      </c>
      <c r="T41" s="2" t="str">
        <f t="shared" si="16"/>
        <v>0</v>
      </c>
    </row>
    <row r="42" spans="1:20" x14ac:dyDescent="0.25">
      <c r="E42" s="2" t="str">
        <f t="shared" si="1"/>
        <v>0</v>
      </c>
      <c r="F42" s="2" t="str">
        <f t="shared" si="2"/>
        <v>0</v>
      </c>
      <c r="G42" s="2">
        <f t="shared" si="3"/>
        <v>1.7000000000000002</v>
      </c>
      <c r="H42" s="2" t="str">
        <f t="shared" si="4"/>
        <v>0</v>
      </c>
      <c r="I42" s="2" t="str">
        <f t="shared" si="5"/>
        <v>0</v>
      </c>
      <c r="J42" s="2">
        <f t="shared" si="6"/>
        <v>1.7000000000000002</v>
      </c>
      <c r="K42" s="2" t="str">
        <f t="shared" si="7"/>
        <v>0</v>
      </c>
      <c r="L42" s="2" t="str">
        <f t="shared" si="8"/>
        <v>0</v>
      </c>
      <c r="M42" s="2">
        <f t="shared" si="9"/>
        <v>1.7000000000000002</v>
      </c>
      <c r="N42" s="2" t="str">
        <f t="shared" si="10"/>
        <v>0</v>
      </c>
      <c r="O42" s="2" t="str">
        <f t="shared" si="11"/>
        <v>0</v>
      </c>
      <c r="P42" s="2">
        <f t="shared" si="12"/>
        <v>1.7000000000000002</v>
      </c>
      <c r="Q42" s="2" t="str">
        <f t="shared" si="13"/>
        <v>0</v>
      </c>
      <c r="R42" s="2" t="str">
        <f t="shared" si="14"/>
        <v>0</v>
      </c>
      <c r="S42" s="2">
        <f t="shared" si="15"/>
        <v>1.7000000000000002</v>
      </c>
      <c r="T42" s="2" t="str">
        <f t="shared" si="16"/>
        <v>0</v>
      </c>
    </row>
    <row r="43" spans="1:20" x14ac:dyDescent="0.25">
      <c r="E43" s="2" t="str">
        <f t="shared" si="1"/>
        <v>0</v>
      </c>
      <c r="F43" s="2">
        <f t="shared" si="2"/>
        <v>3</v>
      </c>
      <c r="G43" s="2" t="str">
        <f t="shared" si="3"/>
        <v>0</v>
      </c>
      <c r="H43" s="2" t="str">
        <f t="shared" si="4"/>
        <v>0</v>
      </c>
      <c r="I43" s="2" t="str">
        <f t="shared" si="5"/>
        <v>0</v>
      </c>
      <c r="J43" s="2">
        <f t="shared" si="6"/>
        <v>3</v>
      </c>
      <c r="K43" s="2" t="str">
        <f t="shared" si="7"/>
        <v>0</v>
      </c>
      <c r="L43" s="2" t="str">
        <f t="shared" si="8"/>
        <v>0</v>
      </c>
      <c r="M43" s="2">
        <f t="shared" si="9"/>
        <v>3</v>
      </c>
      <c r="N43" s="2" t="str">
        <f t="shared" si="10"/>
        <v>0</v>
      </c>
      <c r="O43" s="2" t="str">
        <f t="shared" si="11"/>
        <v>0</v>
      </c>
      <c r="P43" s="2">
        <f t="shared" si="12"/>
        <v>3</v>
      </c>
      <c r="Q43" s="2" t="str">
        <f t="shared" si="13"/>
        <v>0</v>
      </c>
      <c r="R43" s="2" t="str">
        <f t="shared" si="14"/>
        <v>0</v>
      </c>
      <c r="S43" s="2">
        <f t="shared" si="15"/>
        <v>3</v>
      </c>
      <c r="T43" s="2" t="str">
        <f t="shared" si="16"/>
        <v>0</v>
      </c>
    </row>
    <row r="44" spans="1:20" x14ac:dyDescent="0.25">
      <c r="E44" s="2" t="str">
        <f t="shared" si="1"/>
        <v>0</v>
      </c>
      <c r="F44" s="2">
        <f t="shared" si="2"/>
        <v>0.29999999999999982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>
        <f t="shared" si="6"/>
        <v>0.29999999999999982</v>
      </c>
      <c r="K44" s="2" t="str">
        <f t="shared" si="7"/>
        <v>0</v>
      </c>
      <c r="L44" s="2" t="str">
        <f t="shared" si="8"/>
        <v>0</v>
      </c>
      <c r="M44" s="2">
        <f t="shared" si="9"/>
        <v>0.29999999999999982</v>
      </c>
      <c r="N44" s="2" t="str">
        <f t="shared" si="10"/>
        <v>0</v>
      </c>
      <c r="O44" s="2" t="str">
        <f t="shared" si="11"/>
        <v>0</v>
      </c>
      <c r="P44" s="2">
        <f t="shared" si="12"/>
        <v>0.29999999999999982</v>
      </c>
      <c r="Q44" s="2" t="str">
        <f t="shared" si="13"/>
        <v>0</v>
      </c>
      <c r="R44" s="2" t="str">
        <f t="shared" si="14"/>
        <v>0</v>
      </c>
      <c r="S44" s="2">
        <f t="shared" si="15"/>
        <v>0.29999999999999982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>
        <f t="shared" si="2"/>
        <v>0.89999999999999947</v>
      </c>
      <c r="G45" s="2" t="str">
        <f t="shared" si="3"/>
        <v>0</v>
      </c>
      <c r="H45" s="2" t="str">
        <f t="shared" si="4"/>
        <v>0</v>
      </c>
      <c r="I45" s="2" t="str">
        <f t="shared" si="5"/>
        <v>0</v>
      </c>
      <c r="J45" s="2">
        <f t="shared" si="6"/>
        <v>0.89999999999999947</v>
      </c>
      <c r="K45" s="2" t="str">
        <f t="shared" si="7"/>
        <v>0</v>
      </c>
      <c r="L45" s="2" t="str">
        <f t="shared" si="8"/>
        <v>0</v>
      </c>
      <c r="M45" s="2">
        <f t="shared" si="9"/>
        <v>0.89999999999999947</v>
      </c>
      <c r="N45" s="2" t="str">
        <f t="shared" si="10"/>
        <v>0</v>
      </c>
      <c r="O45" s="2" t="str">
        <f t="shared" si="11"/>
        <v>0</v>
      </c>
      <c r="P45" s="2">
        <f t="shared" si="12"/>
        <v>0.89999999999999947</v>
      </c>
      <c r="Q45" s="2" t="str">
        <f t="shared" si="13"/>
        <v>0</v>
      </c>
      <c r="R45" s="2" t="str">
        <f t="shared" si="14"/>
        <v>0</v>
      </c>
      <c r="S45" s="2">
        <f t="shared" si="15"/>
        <v>0.89999999999999947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>
        <f t="shared" si="2"/>
        <v>0.20000000000000107</v>
      </c>
      <c r="G46" s="2" t="str">
        <f t="shared" si="3"/>
        <v>0</v>
      </c>
      <c r="H46" s="2" t="str">
        <f t="shared" si="4"/>
        <v>0</v>
      </c>
      <c r="I46" s="2" t="str">
        <f t="shared" si="5"/>
        <v>0</v>
      </c>
      <c r="J46" s="2">
        <f t="shared" si="6"/>
        <v>0.20000000000000107</v>
      </c>
      <c r="K46" s="2" t="str">
        <f t="shared" si="7"/>
        <v>0</v>
      </c>
      <c r="L46" s="2" t="str">
        <f t="shared" si="8"/>
        <v>0</v>
      </c>
      <c r="M46" s="2">
        <f t="shared" si="9"/>
        <v>0.20000000000000107</v>
      </c>
      <c r="N46" s="2" t="str">
        <f t="shared" si="10"/>
        <v>0</v>
      </c>
      <c r="O46" s="2" t="str">
        <f t="shared" si="11"/>
        <v>0</v>
      </c>
      <c r="P46" s="2">
        <f t="shared" si="12"/>
        <v>0.20000000000000107</v>
      </c>
      <c r="Q46" s="2" t="str">
        <f t="shared" si="13"/>
        <v>0</v>
      </c>
      <c r="R46" s="2" t="str">
        <f t="shared" si="14"/>
        <v>0</v>
      </c>
      <c r="S46" s="2">
        <f t="shared" si="15"/>
        <v>0.20000000000000107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>
        <f t="shared" si="2"/>
        <v>6.3999999999999986</v>
      </c>
      <c r="G47" s="2" t="str">
        <f t="shared" si="3"/>
        <v>0</v>
      </c>
      <c r="H47" s="2">
        <f t="shared" si="4"/>
        <v>6.3999999999999986</v>
      </c>
      <c r="I47" s="2">
        <f t="shared" si="5"/>
        <v>6.3999999999999986</v>
      </c>
      <c r="J47" s="2">
        <f t="shared" si="6"/>
        <v>6.3999999999999986</v>
      </c>
      <c r="K47" s="2" t="str">
        <f t="shared" si="7"/>
        <v>0</v>
      </c>
      <c r="L47" s="2" t="str">
        <f t="shared" si="8"/>
        <v>0</v>
      </c>
      <c r="M47" s="2" t="str">
        <f t="shared" si="9"/>
        <v>0</v>
      </c>
      <c r="N47" s="2" t="str">
        <f t="shared" si="10"/>
        <v>0</v>
      </c>
      <c r="O47" s="2" t="str">
        <f t="shared" si="11"/>
        <v>0</v>
      </c>
      <c r="P47" s="2">
        <f t="shared" si="12"/>
        <v>6.3999999999999986</v>
      </c>
      <c r="Q47" s="2" t="str">
        <f t="shared" si="13"/>
        <v>0</v>
      </c>
      <c r="R47" s="2" t="str">
        <f t="shared" si="14"/>
        <v>0</v>
      </c>
      <c r="S47" s="2">
        <f t="shared" si="15"/>
        <v>6.3999999999999986</v>
      </c>
      <c r="T47" s="2" t="str">
        <f t="shared" si="16"/>
        <v>0</v>
      </c>
    </row>
    <row r="48" spans="1:20" x14ac:dyDescent="0.25">
      <c r="E48" s="2" t="str">
        <f t="shared" si="1"/>
        <v>0</v>
      </c>
      <c r="F48" s="2" t="str">
        <f t="shared" si="2"/>
        <v>0</v>
      </c>
      <c r="G48" s="2">
        <f t="shared" si="3"/>
        <v>1.9000000000000021</v>
      </c>
      <c r="H48" s="2">
        <f t="shared" si="4"/>
        <v>1.9000000000000021</v>
      </c>
      <c r="I48" s="2">
        <f t="shared" si="5"/>
        <v>1.9000000000000021</v>
      </c>
      <c r="J48" s="2">
        <f t="shared" si="6"/>
        <v>1.9000000000000021</v>
      </c>
      <c r="K48" s="2" t="str">
        <f t="shared" si="7"/>
        <v>0</v>
      </c>
      <c r="L48" s="2" t="str">
        <f t="shared" si="8"/>
        <v>0</v>
      </c>
      <c r="M48" s="2">
        <f t="shared" si="9"/>
        <v>1.9000000000000021</v>
      </c>
      <c r="N48" s="2" t="str">
        <f t="shared" si="10"/>
        <v>0</v>
      </c>
      <c r="O48" s="2" t="str">
        <f t="shared" si="11"/>
        <v>0</v>
      </c>
      <c r="P48" s="2">
        <f t="shared" si="12"/>
        <v>1.9000000000000021</v>
      </c>
      <c r="Q48" s="2" t="str">
        <f t="shared" si="13"/>
        <v>0</v>
      </c>
      <c r="R48" s="2" t="str">
        <f t="shared" si="14"/>
        <v>0</v>
      </c>
      <c r="S48" s="2">
        <f t="shared" si="15"/>
        <v>1.9000000000000021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>
        <f t="shared" si="2"/>
        <v>3.1999999999999993</v>
      </c>
      <c r="G49" s="2" t="str">
        <f t="shared" si="3"/>
        <v>0</v>
      </c>
      <c r="H49" s="2">
        <f t="shared" si="4"/>
        <v>3.1999999999999993</v>
      </c>
      <c r="I49" s="2">
        <f t="shared" si="5"/>
        <v>3.1999999999999993</v>
      </c>
      <c r="J49" s="2">
        <f t="shared" si="6"/>
        <v>3.1999999999999993</v>
      </c>
      <c r="K49" s="2" t="str">
        <f t="shared" si="7"/>
        <v>0</v>
      </c>
      <c r="L49" s="2" t="str">
        <f t="shared" si="8"/>
        <v>0</v>
      </c>
      <c r="M49" s="2">
        <f t="shared" si="9"/>
        <v>3.1999999999999993</v>
      </c>
      <c r="N49" s="2" t="str">
        <f t="shared" si="10"/>
        <v>0</v>
      </c>
      <c r="O49" s="2" t="str">
        <f t="shared" si="11"/>
        <v>0</v>
      </c>
      <c r="P49" s="2">
        <f t="shared" si="12"/>
        <v>3.1999999999999993</v>
      </c>
      <c r="Q49" s="2" t="str">
        <f t="shared" si="13"/>
        <v>0</v>
      </c>
      <c r="R49" s="2" t="str">
        <f t="shared" si="14"/>
        <v>0</v>
      </c>
      <c r="S49" s="2">
        <f t="shared" si="15"/>
        <v>3.1999999999999993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>
        <f t="shared" si="2"/>
        <v>1.2199999999999989</v>
      </c>
      <c r="G50" s="2" t="str">
        <f t="shared" si="3"/>
        <v>0</v>
      </c>
      <c r="H50" s="2">
        <f t="shared" si="4"/>
        <v>1.2199999999999989</v>
      </c>
      <c r="I50" s="2">
        <f t="shared" si="5"/>
        <v>1.2199999999999989</v>
      </c>
      <c r="J50" s="2">
        <f t="shared" si="6"/>
        <v>1.2199999999999989</v>
      </c>
      <c r="K50" s="2" t="str">
        <f t="shared" si="7"/>
        <v>0</v>
      </c>
      <c r="L50" s="2" t="str">
        <f t="shared" si="8"/>
        <v>0</v>
      </c>
      <c r="M50" s="2">
        <f t="shared" si="9"/>
        <v>1.2199999999999989</v>
      </c>
      <c r="N50" s="2" t="str">
        <f t="shared" si="10"/>
        <v>0</v>
      </c>
      <c r="O50" s="2" t="str">
        <f t="shared" si="11"/>
        <v>0</v>
      </c>
      <c r="P50" s="2">
        <f t="shared" si="12"/>
        <v>1.2199999999999989</v>
      </c>
      <c r="Q50" s="2" t="str">
        <f t="shared" si="13"/>
        <v>0</v>
      </c>
      <c r="R50" s="2" t="str">
        <f t="shared" si="14"/>
        <v>0</v>
      </c>
      <c r="S50" s="2">
        <f t="shared" si="15"/>
        <v>1.2199999999999989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>
        <f t="shared" si="2"/>
        <v>4.7</v>
      </c>
      <c r="G51" s="2" t="str">
        <f t="shared" si="3"/>
        <v>0</v>
      </c>
      <c r="H51" s="2">
        <f t="shared" si="4"/>
        <v>4.7</v>
      </c>
      <c r="I51" s="2" t="str">
        <f t="shared" si="5"/>
        <v>0</v>
      </c>
      <c r="J51" s="2">
        <f t="shared" si="6"/>
        <v>4.7</v>
      </c>
      <c r="K51" s="2" t="str">
        <f t="shared" si="7"/>
        <v>0</v>
      </c>
      <c r="L51" s="2" t="str">
        <f t="shared" si="8"/>
        <v>0</v>
      </c>
      <c r="M51" s="2" t="str">
        <f t="shared" si="9"/>
        <v>0</v>
      </c>
      <c r="N51" s="2" t="str">
        <f t="shared" si="10"/>
        <v>0</v>
      </c>
      <c r="O51" s="2" t="str">
        <f t="shared" si="11"/>
        <v>0</v>
      </c>
      <c r="P51" s="2">
        <f t="shared" si="12"/>
        <v>4.7</v>
      </c>
      <c r="Q51" s="2" t="str">
        <f t="shared" si="13"/>
        <v>0</v>
      </c>
      <c r="R51" s="2" t="str">
        <f t="shared" si="14"/>
        <v>0</v>
      </c>
      <c r="S51" s="2">
        <f t="shared" si="15"/>
        <v>4.7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>
        <f t="shared" si="3"/>
        <v>0.20000000000000018</v>
      </c>
      <c r="H52" s="2" t="str">
        <f t="shared" si="4"/>
        <v>0</v>
      </c>
      <c r="I52" s="2" t="str">
        <f t="shared" si="5"/>
        <v>0</v>
      </c>
      <c r="J52" s="2">
        <f t="shared" si="6"/>
        <v>0.20000000000000018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>
        <f t="shared" si="12"/>
        <v>0.20000000000000018</v>
      </c>
      <c r="Q52" s="2" t="str">
        <f t="shared" si="13"/>
        <v>0</v>
      </c>
      <c r="R52" s="2" t="str">
        <f t="shared" si="14"/>
        <v>0</v>
      </c>
      <c r="S52" s="2">
        <f t="shared" si="15"/>
        <v>0.20000000000000018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>
        <f t="shared" si="2"/>
        <v>4.6399999999999988</v>
      </c>
      <c r="G53" s="2" t="str">
        <f t="shared" si="3"/>
        <v>0</v>
      </c>
      <c r="H53" s="2">
        <f t="shared" si="4"/>
        <v>4.6399999999999988</v>
      </c>
      <c r="I53" s="2" t="str">
        <f t="shared" si="5"/>
        <v>0</v>
      </c>
      <c r="J53" s="2">
        <f t="shared" si="6"/>
        <v>4.6399999999999988</v>
      </c>
      <c r="K53" s="2" t="str">
        <f t="shared" si="7"/>
        <v>0</v>
      </c>
      <c r="L53" s="2" t="str">
        <f t="shared" si="8"/>
        <v>0</v>
      </c>
      <c r="M53" s="2">
        <f t="shared" si="9"/>
        <v>4.6399999999999988</v>
      </c>
      <c r="N53" s="2" t="str">
        <f t="shared" si="10"/>
        <v>0</v>
      </c>
      <c r="O53" s="2" t="str">
        <f t="shared" si="11"/>
        <v>0</v>
      </c>
      <c r="P53" s="2">
        <f t="shared" si="12"/>
        <v>4.6399999999999988</v>
      </c>
      <c r="Q53" s="2" t="str">
        <f t="shared" si="13"/>
        <v>0</v>
      </c>
      <c r="R53" s="2" t="str">
        <f t="shared" si="14"/>
        <v>0</v>
      </c>
      <c r="S53" s="2">
        <f t="shared" si="15"/>
        <v>4.6399999999999988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>
        <f t="shared" si="3"/>
        <v>1.24</v>
      </c>
      <c r="H54" s="2" t="str">
        <f t="shared" si="4"/>
        <v>0</v>
      </c>
      <c r="I54" s="2">
        <f t="shared" si="5"/>
        <v>1.24</v>
      </c>
      <c r="J54" s="2">
        <f t="shared" si="6"/>
        <v>1.24</v>
      </c>
      <c r="K54" s="2" t="str">
        <f t="shared" si="7"/>
        <v>0</v>
      </c>
      <c r="L54" s="2" t="str">
        <f t="shared" si="8"/>
        <v>0</v>
      </c>
      <c r="M54" s="2">
        <f t="shared" si="9"/>
        <v>1.24</v>
      </c>
      <c r="N54" s="2" t="str">
        <f t="shared" si="10"/>
        <v>0</v>
      </c>
      <c r="O54" s="2" t="str">
        <f t="shared" si="11"/>
        <v>0</v>
      </c>
      <c r="P54" s="2">
        <f t="shared" si="12"/>
        <v>1.24</v>
      </c>
      <c r="Q54" s="2" t="str">
        <f t="shared" si="13"/>
        <v>0</v>
      </c>
      <c r="R54" s="2" t="str">
        <f t="shared" si="14"/>
        <v>0</v>
      </c>
      <c r="S54" s="2">
        <f t="shared" si="15"/>
        <v>1.24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>
        <f t="shared" si="3"/>
        <v>1.86</v>
      </c>
      <c r="H55" s="2" t="str">
        <f t="shared" si="4"/>
        <v>0</v>
      </c>
      <c r="I55" s="2">
        <f t="shared" si="5"/>
        <v>1.86</v>
      </c>
      <c r="J55" s="2">
        <f t="shared" si="6"/>
        <v>1.86</v>
      </c>
      <c r="K55" s="2" t="str">
        <f t="shared" si="7"/>
        <v>0</v>
      </c>
      <c r="L55" s="2">
        <f t="shared" si="8"/>
        <v>1.86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>
        <f t="shared" si="13"/>
        <v>1.86</v>
      </c>
      <c r="R55" s="2" t="str">
        <f t="shared" si="14"/>
        <v>0</v>
      </c>
      <c r="S55" s="2">
        <f t="shared" si="15"/>
        <v>1.86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>
        <f t="shared" si="2"/>
        <v>8.99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>
        <f t="shared" si="6"/>
        <v>8.99</v>
      </c>
      <c r="K56" s="2" t="str">
        <f t="shared" si="7"/>
        <v>0</v>
      </c>
      <c r="L56" s="2" t="str">
        <f t="shared" si="8"/>
        <v>0</v>
      </c>
      <c r="M56" s="2">
        <f t="shared" si="9"/>
        <v>8.99</v>
      </c>
      <c r="N56" s="2">
        <f t="shared" si="10"/>
        <v>8.99</v>
      </c>
      <c r="O56" s="2" t="str">
        <f t="shared" si="11"/>
        <v>0</v>
      </c>
      <c r="P56" s="2">
        <f t="shared" si="12"/>
        <v>8.99</v>
      </c>
      <c r="Q56" s="2" t="str">
        <f t="shared" si="13"/>
        <v>0</v>
      </c>
      <c r="R56" s="2">
        <f t="shared" si="14"/>
        <v>8.99</v>
      </c>
      <c r="S56" s="2">
        <f t="shared" si="15"/>
        <v>8.99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ref="E104:E126" si="17">IF(E72="X",(D72-C72),"0")</f>
        <v>0</v>
      </c>
      <c r="F104" s="2" t="str">
        <f t="shared" ref="F104:F126" si="18">IF(F72="X",(D72-C72),"0")</f>
        <v>0</v>
      </c>
      <c r="G104" s="2" t="str">
        <f t="shared" ref="G104:G126" si="19">IF(G72="X",(D72-C72),"0")</f>
        <v>0</v>
      </c>
      <c r="H104" s="2" t="str">
        <f t="shared" ref="H104:H126" si="20">IF(H72="X",(D72-C72),"0")</f>
        <v>0</v>
      </c>
      <c r="I104" s="2" t="str">
        <f t="shared" ref="I104:I126" si="21">IF(I72="X",(D72-C72),"0")</f>
        <v>0</v>
      </c>
      <c r="J104" s="2" t="str">
        <f t="shared" ref="J104:J126" si="22">IF(J72="X",(D72-C72),"0")</f>
        <v>0</v>
      </c>
      <c r="K104" s="2" t="str">
        <f t="shared" ref="K104:K126" si="23">IF(K72="X",(D72-C72),"0")</f>
        <v>0</v>
      </c>
      <c r="L104" s="2" t="str">
        <f t="shared" ref="L104:L126" si="24">IF(L72="X",(D72-C72),"0")</f>
        <v>0</v>
      </c>
      <c r="M104" s="2" t="str">
        <f t="shared" ref="M104:M126" si="25">IF(M72="X",(D72-C72),"0")</f>
        <v>0</v>
      </c>
      <c r="N104" s="2" t="str">
        <f t="shared" ref="N104:N126" si="26">IF(N72="X",(D72-C72),"0")</f>
        <v>0</v>
      </c>
      <c r="O104" s="2" t="str">
        <f t="shared" ref="O104:O126" si="27">IF(O72="X",(D72-C72),"0")</f>
        <v>0</v>
      </c>
      <c r="P104" s="2" t="str">
        <f t="shared" ref="P104:P126" si="28">IF(P72="X",(D72-C72),"0")</f>
        <v>0</v>
      </c>
      <c r="Q104" s="2" t="str">
        <f t="shared" ref="Q104:Q126" si="29">IF(Q72="X",(D72-C72),"0")</f>
        <v>0</v>
      </c>
      <c r="R104" s="2" t="str">
        <f t="shared" ref="R104:R126" si="30">IF(R72="X",(D72-C72),"0")</f>
        <v>0</v>
      </c>
      <c r="S104" s="2" t="str">
        <f t="shared" ref="S104:S126" si="31">IF(S72="X",(D72-C72),"0")</f>
        <v>0</v>
      </c>
      <c r="T104" s="2" t="str">
        <f t="shared" ref="T104:T126" si="32">IF(T72="X",(D72-C72),"0")</f>
        <v>0</v>
      </c>
    </row>
    <row r="105" spans="5:20" x14ac:dyDescent="0.25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 x14ac:dyDescent="0.25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 x14ac:dyDescent="0.25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2">
        <f>SUM(E39:E126)</f>
        <v>0</v>
      </c>
      <c r="F127" s="2">
        <f>SUM(F39:F126)</f>
        <v>36.25</v>
      </c>
      <c r="G127" s="2">
        <f t="shared" ref="G127:T127" si="33">SUM(G39:G126)</f>
        <v>6.900000000000003</v>
      </c>
      <c r="H127" s="2">
        <f t="shared" si="33"/>
        <v>22.059999999999995</v>
      </c>
      <c r="I127" s="2">
        <f t="shared" si="33"/>
        <v>15.819999999999999</v>
      </c>
      <c r="J127" s="2">
        <f t="shared" si="33"/>
        <v>43.15</v>
      </c>
      <c r="K127" s="2">
        <f t="shared" si="33"/>
        <v>0</v>
      </c>
      <c r="L127" s="2">
        <f t="shared" si="33"/>
        <v>3.06</v>
      </c>
      <c r="M127" s="2">
        <f t="shared" si="33"/>
        <v>28.79</v>
      </c>
      <c r="N127" s="2">
        <f t="shared" si="33"/>
        <v>8.99</v>
      </c>
      <c r="O127" s="2">
        <f t="shared" si="33"/>
        <v>0</v>
      </c>
      <c r="P127" s="2">
        <f t="shared" si="33"/>
        <v>41.29</v>
      </c>
      <c r="Q127" s="2">
        <f t="shared" si="33"/>
        <v>1.86</v>
      </c>
      <c r="R127" s="2">
        <f t="shared" si="33"/>
        <v>8.99</v>
      </c>
      <c r="S127" s="2">
        <f t="shared" si="33"/>
        <v>43.15</v>
      </c>
      <c r="T127" s="2">
        <f t="shared" si="33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honeticPr fontId="16" type="noConversion"/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6FAB-25D4-43C3-9DE9-3DB0DCA65257}">
  <dimension ref="A1:AN127"/>
  <sheetViews>
    <sheetView view="pageBreakPreview" zoomScale="70" zoomScaleNormal="70" zoomScaleSheetLayoutView="70" workbookViewId="0">
      <pane ySplit="6" topLeftCell="A7" activePane="bottomLeft" state="frozen"/>
      <selection activeCell="E14" sqref="E14"/>
      <selection pane="bottomLeft" activeCell="H11" sqref="H11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TT!C8</f>
        <v>RODOVIA TO-296 - TRECHO SÃO SALVADOR DO TOCANTINS - PARANÃ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4">
      <c r="A7" s="56" t="s">
        <v>81</v>
      </c>
      <c r="B7" s="56" t="s">
        <v>128</v>
      </c>
      <c r="C7" s="56">
        <v>0</v>
      </c>
      <c r="D7" s="56">
        <v>50.6</v>
      </c>
      <c r="E7" s="57"/>
      <c r="F7" s="57" t="s">
        <v>129</v>
      </c>
      <c r="G7" s="57"/>
      <c r="H7" s="57" t="s">
        <v>129</v>
      </c>
      <c r="I7" s="57"/>
      <c r="J7" s="57"/>
      <c r="K7" s="57" t="s">
        <v>129</v>
      </c>
      <c r="L7" s="57"/>
      <c r="M7" s="57" t="s">
        <v>129</v>
      </c>
      <c r="N7" s="57" t="s">
        <v>129</v>
      </c>
      <c r="O7" s="56" t="s">
        <v>129</v>
      </c>
      <c r="P7" s="56"/>
      <c r="Q7" s="56"/>
      <c r="R7" s="56"/>
      <c r="S7" s="56" t="s">
        <v>129</v>
      </c>
      <c r="T7" s="56"/>
      <c r="U7" s="61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4">
      <c r="A8" s="56"/>
      <c r="B8" s="56"/>
      <c r="C8" s="56">
        <v>50.6</v>
      </c>
      <c r="D8" s="56">
        <v>54.94</v>
      </c>
      <c r="E8" s="57" t="s">
        <v>129</v>
      </c>
      <c r="F8" s="57"/>
      <c r="G8" s="57"/>
      <c r="H8" s="57"/>
      <c r="I8" s="57"/>
      <c r="J8" s="57"/>
      <c r="K8" s="57" t="s">
        <v>129</v>
      </c>
      <c r="L8" s="57"/>
      <c r="M8" s="57" t="s">
        <v>129</v>
      </c>
      <c r="N8" s="57" t="s">
        <v>129</v>
      </c>
      <c r="O8" s="56" t="s">
        <v>129</v>
      </c>
      <c r="P8" s="56"/>
      <c r="Q8" s="56"/>
      <c r="R8" s="56"/>
      <c r="S8" s="56" t="s">
        <v>129</v>
      </c>
      <c r="T8" s="56"/>
      <c r="U8" s="61"/>
    </row>
    <row r="9" spans="1:40" ht="36" customHeight="1" x14ac:dyDescent="0.4">
      <c r="A9" s="56"/>
      <c r="B9" s="56"/>
      <c r="C9" s="56"/>
      <c r="D9" s="56"/>
      <c r="E9" s="57"/>
      <c r="F9" s="57"/>
      <c r="G9" s="57"/>
      <c r="H9" s="57"/>
      <c r="I9" s="57"/>
      <c r="J9" s="57"/>
      <c r="K9" s="57"/>
      <c r="L9" s="57"/>
      <c r="M9" s="57"/>
      <c r="N9" s="57"/>
      <c r="O9" s="56"/>
      <c r="P9" s="56"/>
      <c r="Q9" s="56"/>
      <c r="R9" s="56"/>
      <c r="S9" s="56"/>
      <c r="T9" s="56"/>
      <c r="U9" s="61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4">
      <c r="A10" s="56"/>
      <c r="B10" s="56"/>
      <c r="C10" s="56"/>
      <c r="D10" s="56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6"/>
      <c r="P10" s="56"/>
      <c r="Q10" s="56"/>
      <c r="R10" s="56"/>
      <c r="S10" s="56"/>
      <c r="T10" s="56"/>
      <c r="U10" s="61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4">
      <c r="A11" s="56"/>
      <c r="B11" s="56"/>
      <c r="C11" s="56"/>
      <c r="D11" s="56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6"/>
      <c r="P11" s="56"/>
      <c r="Q11" s="56"/>
      <c r="R11" s="56"/>
      <c r="S11" s="56"/>
      <c r="T11" s="56"/>
      <c r="U11" s="61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4">
      <c r="A12" s="56"/>
      <c r="B12" s="56"/>
      <c r="C12" s="56"/>
      <c r="D12" s="5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6"/>
      <c r="P12" s="56"/>
      <c r="Q12" s="56"/>
      <c r="R12" s="56"/>
      <c r="S12" s="56"/>
      <c r="T12" s="56"/>
      <c r="U12" s="61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4">
      <c r="A13" s="56"/>
      <c r="B13" s="56"/>
      <c r="C13" s="56"/>
      <c r="D13" s="56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6"/>
      <c r="P13" s="56"/>
      <c r="Q13" s="56"/>
      <c r="R13" s="56"/>
      <c r="S13" s="56"/>
      <c r="T13" s="56"/>
      <c r="U13" s="61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4">
      <c r="A14" s="56"/>
      <c r="B14" s="56"/>
      <c r="C14" s="56"/>
      <c r="D14" s="56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6"/>
      <c r="P14" s="56"/>
      <c r="Q14" s="56"/>
      <c r="R14" s="56"/>
      <c r="S14" s="56"/>
      <c r="T14" s="56"/>
      <c r="U14" s="61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4">
      <c r="A15" s="56"/>
      <c r="B15" s="56"/>
      <c r="C15" s="56"/>
      <c r="D15" s="56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6"/>
      <c r="P15" s="56"/>
      <c r="Q15" s="56"/>
      <c r="R15" s="56"/>
      <c r="S15" s="56"/>
      <c r="T15" s="56"/>
      <c r="U15" s="61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4">
      <c r="A16" s="3"/>
      <c r="B16" s="56"/>
      <c r="C16" s="56"/>
      <c r="D16" s="56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6"/>
      <c r="P16" s="56"/>
      <c r="Q16" s="56"/>
      <c r="R16" s="56"/>
      <c r="S16" s="56"/>
      <c r="T16" s="56"/>
      <c r="U16" s="61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4">
      <c r="A17" s="3"/>
      <c r="B17" s="56"/>
      <c r="C17" s="56"/>
      <c r="D17" s="56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6"/>
      <c r="P17" s="56"/>
      <c r="Q17" s="56"/>
      <c r="R17" s="56"/>
      <c r="S17" s="56"/>
      <c r="T17" s="56"/>
      <c r="U17" s="61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4">
      <c r="A18" s="3"/>
      <c r="B18" s="56"/>
      <c r="C18" s="56"/>
      <c r="D18" s="56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6"/>
      <c r="P18" s="56"/>
      <c r="Q18" s="56"/>
      <c r="R18" s="56"/>
      <c r="S18" s="56"/>
      <c r="T18" s="56"/>
      <c r="U18" s="61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4">
      <c r="A19" s="3"/>
      <c r="B19" s="56"/>
      <c r="C19" s="56"/>
      <c r="D19" s="56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6"/>
      <c r="P19" s="56"/>
      <c r="Q19" s="56"/>
      <c r="R19" s="56"/>
      <c r="S19" s="56"/>
      <c r="T19" s="56"/>
      <c r="U19" s="61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4">
      <c r="A20" s="3"/>
      <c r="B20" s="56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6"/>
      <c r="P20" s="56"/>
      <c r="Q20" s="56"/>
      <c r="R20" s="56"/>
      <c r="S20" s="56"/>
      <c r="T20" s="56"/>
      <c r="U20" s="61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4">
      <c r="A21" s="3"/>
      <c r="B21" s="56"/>
      <c r="C21" s="56"/>
      <c r="D21" s="56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6"/>
      <c r="P21" s="56"/>
      <c r="Q21" s="56"/>
      <c r="R21" s="56"/>
      <c r="S21" s="56"/>
      <c r="T21" s="56"/>
      <c r="U21" s="61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4">
      <c r="A22" s="3"/>
      <c r="B22" s="56"/>
      <c r="C22" s="56"/>
      <c r="D22" s="56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6"/>
      <c r="P22" s="56"/>
      <c r="Q22" s="56"/>
      <c r="R22" s="56"/>
      <c r="S22" s="56"/>
      <c r="T22" s="56"/>
      <c r="U22" s="61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4">
      <c r="A23" s="3"/>
      <c r="B23" s="56"/>
      <c r="C23" s="56"/>
      <c r="D23" s="56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6"/>
      <c r="P23" s="56"/>
      <c r="Q23" s="56"/>
      <c r="R23" s="56"/>
      <c r="S23" s="56"/>
      <c r="T23" s="56"/>
      <c r="U23" s="61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4">
      <c r="A24" s="3"/>
      <c r="B24" s="56"/>
      <c r="C24" s="56"/>
      <c r="D24" s="56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6"/>
      <c r="P24" s="56"/>
      <c r="Q24" s="56"/>
      <c r="R24" s="56"/>
      <c r="S24" s="56"/>
      <c r="T24" s="56"/>
      <c r="U24" s="61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4">
      <c r="A25" s="3"/>
      <c r="B25" s="56"/>
      <c r="C25" s="56"/>
      <c r="D25" s="56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6"/>
      <c r="P25" s="56"/>
      <c r="Q25" s="56"/>
      <c r="R25" s="56"/>
      <c r="S25" s="56"/>
      <c r="T25" s="56"/>
      <c r="U25" s="61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4">
      <c r="A26" s="3"/>
      <c r="B26" s="56"/>
      <c r="C26" s="56"/>
      <c r="D26" s="56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6"/>
      <c r="P26" s="56"/>
      <c r="Q26" s="56"/>
      <c r="R26" s="56"/>
      <c r="S26" s="56"/>
      <c r="T26" s="56"/>
      <c r="U26" s="61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4">
      <c r="A27" s="3"/>
      <c r="B27" s="56"/>
      <c r="C27" s="56"/>
      <c r="D27" s="56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6"/>
      <c r="P27" s="56"/>
      <c r="Q27" s="56"/>
      <c r="R27" s="56"/>
      <c r="S27" s="56"/>
      <c r="T27" s="56"/>
      <c r="U27" s="61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4">
      <c r="A28" s="3"/>
      <c r="B28" s="56"/>
      <c r="C28" s="56"/>
      <c r="D28" s="5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6"/>
      <c r="P28" s="56"/>
      <c r="Q28" s="56"/>
      <c r="R28" s="56"/>
      <c r="S28" s="56"/>
      <c r="T28" s="56"/>
      <c r="U28" s="61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4">
      <c r="A29" s="3"/>
      <c r="B29" s="56"/>
      <c r="C29" s="56"/>
      <c r="D29" s="56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6"/>
      <c r="P29" s="56"/>
      <c r="Q29" s="56"/>
      <c r="R29" s="56"/>
      <c r="S29" s="56"/>
      <c r="T29" s="56"/>
      <c r="U29" s="61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45">
      <c r="A30" s="6"/>
      <c r="B30" s="58"/>
      <c r="C30" s="58"/>
      <c r="D30" s="58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8"/>
      <c r="P30" s="58"/>
      <c r="Q30" s="58"/>
      <c r="R30" s="58"/>
      <c r="S30" s="58"/>
      <c r="T30" s="58"/>
      <c r="U30" s="62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50.6</v>
      </c>
      <c r="G39" s="2" t="str">
        <f>IF(G7="X",(D7-C7),"0")</f>
        <v>0</v>
      </c>
      <c r="H39" s="2">
        <f>IF(H7="X",(D7-C7),"0")</f>
        <v>50.6</v>
      </c>
      <c r="I39" s="2" t="str">
        <f>IF(I7="X",(D7-C7),"0")</f>
        <v>0</v>
      </c>
      <c r="J39" s="2" t="str">
        <f>IF(J7="X",(D7-C7),"0")</f>
        <v>0</v>
      </c>
      <c r="K39" s="2">
        <f>IF(K7="X",(D7-C7),"0")</f>
        <v>50.6</v>
      </c>
      <c r="L39" s="2" t="str">
        <f>IF(L7="X",(D7-C7),"0")</f>
        <v>0</v>
      </c>
      <c r="M39" s="2">
        <f>IF(M7="X",(D7-C7),"0")</f>
        <v>50.6</v>
      </c>
      <c r="N39" s="2">
        <f>IF(N7="X",(D7-C7),"0")</f>
        <v>50.6</v>
      </c>
      <c r="O39" s="2">
        <f>IF(O7="X",(D7-C7),"0")</f>
        <v>50.6</v>
      </c>
      <c r="P39" s="2" t="str">
        <f>IF(P7="X",(D7-C7),"0")</f>
        <v>0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50.6</v>
      </c>
      <c r="T39" s="2" t="str">
        <f>IF(T7="X",(D7-C7),"0")</f>
        <v>0</v>
      </c>
    </row>
    <row r="40" spans="1:20" x14ac:dyDescent="0.25">
      <c r="E40" s="2">
        <f t="shared" ref="E40:E103" si="0">IF(E8="X",(D8-C8),"0")</f>
        <v>4.3399999999999963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 t="str">
        <f t="shared" ref="J40:J103" si="5">IF(J8="X",(D8-C8),"0")</f>
        <v>0</v>
      </c>
      <c r="K40" s="2">
        <f t="shared" ref="K40:K103" si="6">IF(K8="X",(D8-C8),"0")</f>
        <v>4.3399999999999963</v>
      </c>
      <c r="L40" s="2" t="str">
        <f t="shared" ref="L40:L103" si="7">IF(L8="X",(D8-C8),"0")</f>
        <v>0</v>
      </c>
      <c r="M40" s="2">
        <f t="shared" ref="M40:M103" si="8">IF(M8="X",(D8-C8),"0")</f>
        <v>4.3399999999999963</v>
      </c>
      <c r="N40" s="2">
        <f t="shared" ref="N40:N103" si="9">IF(N8="X",(D8-C8),"0")</f>
        <v>4.3399999999999963</v>
      </c>
      <c r="O40" s="2">
        <f t="shared" ref="O40:O103" si="10">IF(O8="X",(D8-C8),"0")</f>
        <v>4.3399999999999963</v>
      </c>
      <c r="P40" s="2" t="str">
        <f t="shared" ref="P40:P103" si="11">IF(P8="X",(D8-C8),"0")</f>
        <v>0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4.3399999999999963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>
        <f>SUM(E39:E126)</f>
        <v>4.3399999999999963</v>
      </c>
      <c r="F127" s="2">
        <f t="shared" ref="F127:T127" si="32">SUM(F39:F126)</f>
        <v>50.6</v>
      </c>
      <c r="G127" s="2">
        <f t="shared" si="32"/>
        <v>0</v>
      </c>
      <c r="H127" s="2">
        <f t="shared" si="32"/>
        <v>50.6</v>
      </c>
      <c r="I127" s="2">
        <f t="shared" si="32"/>
        <v>0</v>
      </c>
      <c r="J127" s="2">
        <f t="shared" si="32"/>
        <v>0</v>
      </c>
      <c r="K127" s="2">
        <f t="shared" si="32"/>
        <v>54.94</v>
      </c>
      <c r="L127" s="2">
        <f t="shared" si="32"/>
        <v>0</v>
      </c>
      <c r="M127" s="2">
        <f t="shared" si="32"/>
        <v>54.94</v>
      </c>
      <c r="N127" s="2">
        <f t="shared" si="32"/>
        <v>54.94</v>
      </c>
      <c r="O127" s="2">
        <f t="shared" si="32"/>
        <v>54.94</v>
      </c>
      <c r="P127" s="2">
        <f t="shared" si="32"/>
        <v>0</v>
      </c>
      <c r="Q127" s="2">
        <f t="shared" si="32"/>
        <v>0</v>
      </c>
      <c r="R127" s="2">
        <f t="shared" si="32"/>
        <v>0</v>
      </c>
      <c r="S127" s="2">
        <f t="shared" si="32"/>
        <v>54.94</v>
      </c>
      <c r="T127" s="2">
        <f t="shared" si="32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DDB6-7909-402D-B27F-B9C16083012A}">
  <dimension ref="A1:AN127"/>
  <sheetViews>
    <sheetView view="pageBreakPreview" zoomScale="55" zoomScaleNormal="70" zoomScaleSheetLayoutView="55" workbookViewId="0">
      <selection activeCell="K7" sqref="K7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TT!C9</f>
        <v>RODOVIA TO-296 - TRECHO JAÚ DO TOCANTINS - SÃO SALVADOR DO TOCANTINS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4">
      <c r="A7" s="56" t="s">
        <v>83</v>
      </c>
      <c r="B7" s="56" t="s">
        <v>128</v>
      </c>
      <c r="C7" s="60">
        <v>0</v>
      </c>
      <c r="D7" s="60">
        <v>1.97</v>
      </c>
      <c r="E7" s="57"/>
      <c r="F7" s="57"/>
      <c r="G7" s="57" t="s">
        <v>129</v>
      </c>
      <c r="H7" s="57"/>
      <c r="I7" s="57"/>
      <c r="J7" s="57" t="s">
        <v>129</v>
      </c>
      <c r="K7" s="57"/>
      <c r="L7" s="57"/>
      <c r="M7" s="57" t="s">
        <v>129</v>
      </c>
      <c r="N7" s="57"/>
      <c r="O7" s="57"/>
      <c r="P7" s="57" t="s">
        <v>129</v>
      </c>
      <c r="Q7" s="57"/>
      <c r="R7" s="57"/>
      <c r="S7" s="57" t="s">
        <v>129</v>
      </c>
      <c r="T7" s="56"/>
      <c r="U7" s="61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4">
      <c r="A8" s="56"/>
      <c r="B8" s="56"/>
      <c r="C8" s="60"/>
      <c r="D8" s="60"/>
      <c r="E8" s="57"/>
      <c r="F8" s="57"/>
      <c r="G8" s="57"/>
      <c r="H8" s="57"/>
      <c r="I8" s="57"/>
      <c r="J8" s="57" t="s">
        <v>129</v>
      </c>
      <c r="K8" s="57"/>
      <c r="L8" s="57"/>
      <c r="M8" s="57"/>
      <c r="N8" s="57"/>
      <c r="O8" s="57"/>
      <c r="P8" s="57"/>
      <c r="Q8" s="57"/>
      <c r="R8" s="57"/>
      <c r="S8" s="57"/>
      <c r="T8" s="56"/>
      <c r="U8" s="61"/>
    </row>
    <row r="9" spans="1:40" ht="36" customHeight="1" x14ac:dyDescent="0.4">
      <c r="A9" s="56"/>
      <c r="B9" s="56"/>
      <c r="C9" s="60"/>
      <c r="D9" s="60"/>
      <c r="E9" s="57"/>
      <c r="F9" s="57"/>
      <c r="G9" s="57"/>
      <c r="H9" s="57"/>
      <c r="I9" s="57"/>
      <c r="J9" s="57" t="s">
        <v>129</v>
      </c>
      <c r="K9" s="57"/>
      <c r="L9" s="57"/>
      <c r="M9" s="57"/>
      <c r="N9" s="57"/>
      <c r="O9" s="57"/>
      <c r="P9" s="57"/>
      <c r="Q9" s="57"/>
      <c r="R9" s="57"/>
      <c r="S9" s="57"/>
      <c r="T9" s="56"/>
      <c r="U9" s="61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4">
      <c r="A10" s="56" t="s">
        <v>85</v>
      </c>
      <c r="B10" s="56" t="s">
        <v>128</v>
      </c>
      <c r="C10" s="60">
        <v>0</v>
      </c>
      <c r="D10" s="60">
        <v>0.2</v>
      </c>
      <c r="E10" s="57" t="s">
        <v>129</v>
      </c>
      <c r="F10" s="57"/>
      <c r="G10" s="57"/>
      <c r="H10" s="57"/>
      <c r="I10" s="57"/>
      <c r="J10" s="57" t="s">
        <v>129</v>
      </c>
      <c r="K10" s="57"/>
      <c r="L10" s="57" t="s">
        <v>129</v>
      </c>
      <c r="M10" s="57"/>
      <c r="N10" s="57"/>
      <c r="O10" s="57"/>
      <c r="P10" s="57" t="s">
        <v>129</v>
      </c>
      <c r="Q10" s="57"/>
      <c r="R10" s="57"/>
      <c r="S10" s="57" t="s">
        <v>129</v>
      </c>
      <c r="T10" s="56"/>
      <c r="U10" s="61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4">
      <c r="A11" s="56" t="s">
        <v>87</v>
      </c>
      <c r="B11" s="56" t="s">
        <v>128</v>
      </c>
      <c r="C11" s="60">
        <v>0</v>
      </c>
      <c r="D11" s="60">
        <v>0.24</v>
      </c>
      <c r="E11" s="57" t="s">
        <v>129</v>
      </c>
      <c r="F11" s="57"/>
      <c r="G11" s="57"/>
      <c r="H11" s="57"/>
      <c r="I11" s="57"/>
      <c r="J11" s="57" t="s">
        <v>129</v>
      </c>
      <c r="K11" s="57"/>
      <c r="L11" s="57" t="s">
        <v>129</v>
      </c>
      <c r="M11" s="57"/>
      <c r="N11" s="57"/>
      <c r="O11" s="57"/>
      <c r="P11" s="57" t="s">
        <v>129</v>
      </c>
      <c r="Q11" s="57"/>
      <c r="R11" s="57"/>
      <c r="S11" s="57" t="s">
        <v>129</v>
      </c>
      <c r="T11" s="56"/>
      <c r="U11" s="61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4">
      <c r="A12" s="56"/>
      <c r="B12" s="56"/>
      <c r="C12" s="56"/>
      <c r="D12" s="5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6"/>
      <c r="P12" s="56"/>
      <c r="Q12" s="56"/>
      <c r="R12" s="56"/>
      <c r="S12" s="56"/>
      <c r="T12" s="56"/>
      <c r="U12" s="61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4">
      <c r="A13" s="56"/>
      <c r="B13" s="56"/>
      <c r="C13" s="56"/>
      <c r="D13" s="56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6"/>
      <c r="P13" s="56"/>
      <c r="Q13" s="56"/>
      <c r="R13" s="56"/>
      <c r="S13" s="56"/>
      <c r="T13" s="56"/>
      <c r="U13" s="61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4">
      <c r="A14" s="56"/>
      <c r="B14" s="56"/>
      <c r="C14" s="56"/>
      <c r="D14" s="56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6"/>
      <c r="P14" s="56"/>
      <c r="Q14" s="56"/>
      <c r="R14" s="56"/>
      <c r="S14" s="56"/>
      <c r="T14" s="56"/>
      <c r="U14" s="61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4">
      <c r="A15" s="56"/>
      <c r="B15" s="56"/>
      <c r="C15" s="56"/>
      <c r="D15" s="56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6"/>
      <c r="P15" s="56"/>
      <c r="Q15" s="56"/>
      <c r="R15" s="56"/>
      <c r="S15" s="56"/>
      <c r="T15" s="56"/>
      <c r="U15" s="61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4">
      <c r="A16" s="56"/>
      <c r="B16" s="56"/>
      <c r="C16" s="56"/>
      <c r="D16" s="56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6"/>
      <c r="P16" s="56"/>
      <c r="Q16" s="56"/>
      <c r="R16" s="56"/>
      <c r="S16" s="56"/>
      <c r="T16" s="56"/>
      <c r="U16" s="61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4">
      <c r="A17" s="56"/>
      <c r="B17" s="56"/>
      <c r="C17" s="56"/>
      <c r="D17" s="56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6"/>
      <c r="P17" s="56"/>
      <c r="Q17" s="56"/>
      <c r="R17" s="56"/>
      <c r="S17" s="56"/>
      <c r="T17" s="56"/>
      <c r="U17" s="61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4">
      <c r="A18" s="56"/>
      <c r="B18" s="56"/>
      <c r="C18" s="56"/>
      <c r="D18" s="56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6"/>
      <c r="P18" s="56"/>
      <c r="Q18" s="56"/>
      <c r="R18" s="56"/>
      <c r="S18" s="56"/>
      <c r="T18" s="56"/>
      <c r="U18" s="61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4">
      <c r="A19" s="56"/>
      <c r="B19" s="56"/>
      <c r="C19" s="56"/>
      <c r="D19" s="56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6"/>
      <c r="P19" s="56"/>
      <c r="Q19" s="56"/>
      <c r="R19" s="56"/>
      <c r="S19" s="56"/>
      <c r="T19" s="56"/>
      <c r="U19" s="61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4">
      <c r="A20" s="56"/>
      <c r="B20" s="56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6"/>
      <c r="P20" s="56"/>
      <c r="Q20" s="56"/>
      <c r="R20" s="56"/>
      <c r="S20" s="56"/>
      <c r="T20" s="56"/>
      <c r="U20" s="61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4">
      <c r="A21" s="56"/>
      <c r="B21" s="56"/>
      <c r="C21" s="56"/>
      <c r="D21" s="56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6"/>
      <c r="P21" s="56"/>
      <c r="Q21" s="56"/>
      <c r="R21" s="56"/>
      <c r="S21" s="56"/>
      <c r="T21" s="56"/>
      <c r="U21" s="61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4">
      <c r="A22" s="56"/>
      <c r="B22" s="56"/>
      <c r="C22" s="56"/>
      <c r="D22" s="56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6"/>
      <c r="P22" s="56"/>
      <c r="Q22" s="56"/>
      <c r="R22" s="56"/>
      <c r="S22" s="56"/>
      <c r="T22" s="56"/>
      <c r="U22" s="61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4">
      <c r="A23" s="56"/>
      <c r="B23" s="56"/>
      <c r="C23" s="56"/>
      <c r="D23" s="56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6"/>
      <c r="P23" s="56"/>
      <c r="Q23" s="56"/>
      <c r="R23" s="56"/>
      <c r="S23" s="56"/>
      <c r="T23" s="56"/>
      <c r="U23" s="61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4">
      <c r="A24" s="56"/>
      <c r="B24" s="56"/>
      <c r="C24" s="56"/>
      <c r="D24" s="56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6"/>
      <c r="P24" s="56"/>
      <c r="Q24" s="56"/>
      <c r="R24" s="56"/>
      <c r="S24" s="56"/>
      <c r="T24" s="56"/>
      <c r="U24" s="61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4">
      <c r="A25" s="56"/>
      <c r="B25" s="56"/>
      <c r="C25" s="56"/>
      <c r="D25" s="56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6"/>
      <c r="P25" s="56"/>
      <c r="Q25" s="56"/>
      <c r="R25" s="56"/>
      <c r="S25" s="56"/>
      <c r="T25" s="56"/>
      <c r="U25" s="61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4">
      <c r="A26" s="56"/>
      <c r="B26" s="56"/>
      <c r="C26" s="56"/>
      <c r="D26" s="56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6"/>
      <c r="P26" s="56"/>
      <c r="Q26" s="56"/>
      <c r="R26" s="56"/>
      <c r="S26" s="56"/>
      <c r="T26" s="56"/>
      <c r="U26" s="61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4">
      <c r="A27" s="56"/>
      <c r="B27" s="56"/>
      <c r="C27" s="56"/>
      <c r="D27" s="56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6"/>
      <c r="P27" s="56"/>
      <c r="Q27" s="56"/>
      <c r="R27" s="56"/>
      <c r="S27" s="56"/>
      <c r="T27" s="56"/>
      <c r="U27" s="61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4">
      <c r="A28" s="56"/>
      <c r="B28" s="56"/>
      <c r="C28" s="56"/>
      <c r="D28" s="5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6"/>
      <c r="P28" s="56"/>
      <c r="Q28" s="56"/>
      <c r="R28" s="56"/>
      <c r="S28" s="56"/>
      <c r="T28" s="56"/>
      <c r="U28" s="61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4">
      <c r="A29" s="56"/>
      <c r="B29" s="56"/>
      <c r="C29" s="56"/>
      <c r="D29" s="56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6"/>
      <c r="P29" s="56"/>
      <c r="Q29" s="56"/>
      <c r="R29" s="56"/>
      <c r="S29" s="56"/>
      <c r="T29" s="56"/>
      <c r="U29" s="61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45">
      <c r="A30" s="58"/>
      <c r="B30" s="58"/>
      <c r="C30" s="58"/>
      <c r="D30" s="58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8"/>
      <c r="P30" s="58"/>
      <c r="Q30" s="58"/>
      <c r="R30" s="58"/>
      <c r="S30" s="58"/>
      <c r="T30" s="58"/>
      <c r="U30" s="62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1.97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1.97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1.97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1.97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1.97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>
        <f t="shared" ref="J40:J103" si="5">IF(J8="X",(D8-C8),"0")</f>
        <v>0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 t="str">
        <f t="shared" ref="M40:M103" si="8">IF(M8="X",(D8-C8),"0")</f>
        <v>0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 t="str">
        <f t="shared" ref="S40:S103" si="14">IF(S8="X",(D8-C8),"0")</f>
        <v>0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>
        <f t="shared" si="0"/>
        <v>0.2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0.2</v>
      </c>
      <c r="K42" s="2" t="str">
        <f t="shared" si="6"/>
        <v>0</v>
      </c>
      <c r="L42" s="2">
        <f t="shared" si="7"/>
        <v>0.2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>
        <f t="shared" si="11"/>
        <v>0.2</v>
      </c>
      <c r="Q42" s="2" t="str">
        <f t="shared" si="12"/>
        <v>0</v>
      </c>
      <c r="R42" s="2" t="str">
        <f t="shared" si="13"/>
        <v>0</v>
      </c>
      <c r="S42" s="2">
        <f t="shared" si="14"/>
        <v>0.2</v>
      </c>
      <c r="T42" s="2" t="str">
        <f t="shared" si="15"/>
        <v>0</v>
      </c>
    </row>
    <row r="43" spans="1:20" x14ac:dyDescent="0.25">
      <c r="E43" s="2">
        <f t="shared" si="0"/>
        <v>0.24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0.24</v>
      </c>
      <c r="K43" s="2" t="str">
        <f t="shared" si="6"/>
        <v>0</v>
      </c>
      <c r="L43" s="2">
        <f t="shared" si="7"/>
        <v>0.24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>
        <f t="shared" si="11"/>
        <v>0.24</v>
      </c>
      <c r="Q43" s="2" t="str">
        <f t="shared" si="12"/>
        <v>0</v>
      </c>
      <c r="R43" s="2" t="str">
        <f t="shared" si="13"/>
        <v>0</v>
      </c>
      <c r="S43" s="2">
        <f t="shared" si="14"/>
        <v>0.24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>
        <f>SUM(E39:E126)</f>
        <v>0.44</v>
      </c>
      <c r="F127" s="2">
        <f t="shared" ref="F127:T127" si="32">SUM(F39:F126)</f>
        <v>0</v>
      </c>
      <c r="G127" s="2">
        <f t="shared" si="32"/>
        <v>1.97</v>
      </c>
      <c r="H127" s="2">
        <f t="shared" si="32"/>
        <v>0</v>
      </c>
      <c r="I127" s="2">
        <f t="shared" si="32"/>
        <v>0</v>
      </c>
      <c r="J127" s="2">
        <f t="shared" si="32"/>
        <v>2.41</v>
      </c>
      <c r="K127" s="2">
        <f t="shared" si="32"/>
        <v>0</v>
      </c>
      <c r="L127" s="2">
        <f t="shared" si="32"/>
        <v>0.44</v>
      </c>
      <c r="M127" s="2">
        <f t="shared" si="32"/>
        <v>1.97</v>
      </c>
      <c r="N127" s="2">
        <f t="shared" si="32"/>
        <v>0</v>
      </c>
      <c r="O127" s="2">
        <f t="shared" si="32"/>
        <v>0</v>
      </c>
      <c r="P127" s="2">
        <f t="shared" si="32"/>
        <v>2.41</v>
      </c>
      <c r="Q127" s="2">
        <f t="shared" si="32"/>
        <v>0</v>
      </c>
      <c r="R127" s="2">
        <f t="shared" si="32"/>
        <v>0</v>
      </c>
      <c r="S127" s="2">
        <f t="shared" si="32"/>
        <v>2.41</v>
      </c>
      <c r="T127" s="2">
        <f t="shared" si="32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ECB4-FE33-4737-A72F-504660B3D765}">
  <dimension ref="A1:AN167"/>
  <sheetViews>
    <sheetView view="pageBreakPreview" zoomScale="70" zoomScaleNormal="70" zoomScaleSheetLayoutView="70" workbookViewId="0">
      <pane ySplit="6" topLeftCell="A25" activePane="bottomLeft" state="frozen"/>
      <selection activeCell="J2" sqref="J2:K2"/>
      <selection pane="bottomLeft" activeCell="J38" sqref="J38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TT!C10</f>
        <v>RODOVIA TO-296 - TALISMÃ - ENTR. TO-498 (JAÚ DO TOCANTINS)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4">
      <c r="A7" s="56" t="s">
        <v>88</v>
      </c>
      <c r="B7" s="56" t="s">
        <v>128</v>
      </c>
      <c r="C7" s="60">
        <v>0</v>
      </c>
      <c r="D7" s="60">
        <v>1</v>
      </c>
      <c r="E7" s="57" t="s">
        <v>129</v>
      </c>
      <c r="F7" s="57"/>
      <c r="G7" s="57"/>
      <c r="H7" s="57"/>
      <c r="I7" s="57"/>
      <c r="J7" s="57" t="s">
        <v>129</v>
      </c>
      <c r="K7" s="57"/>
      <c r="L7" s="57"/>
      <c r="M7" s="57" t="s">
        <v>129</v>
      </c>
      <c r="N7" s="57"/>
      <c r="O7" s="57"/>
      <c r="P7" s="57" t="s">
        <v>129</v>
      </c>
      <c r="Q7" s="57"/>
      <c r="R7" s="57"/>
      <c r="S7" s="57" t="s">
        <v>129</v>
      </c>
      <c r="T7" s="57"/>
      <c r="U7" s="5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4">
      <c r="A8" s="56"/>
      <c r="B8" s="56"/>
      <c r="C8" s="60">
        <f>D7</f>
        <v>1</v>
      </c>
      <c r="D8" s="60">
        <v>2.1</v>
      </c>
      <c r="E8" s="57"/>
      <c r="F8" s="57" t="s">
        <v>129</v>
      </c>
      <c r="G8" s="57"/>
      <c r="H8" s="57"/>
      <c r="I8" s="57"/>
      <c r="J8" s="57"/>
      <c r="K8" s="57" t="s">
        <v>129</v>
      </c>
      <c r="L8" s="57"/>
      <c r="M8" s="57" t="s">
        <v>129</v>
      </c>
      <c r="N8" s="57" t="s">
        <v>129</v>
      </c>
      <c r="O8" s="57"/>
      <c r="P8" s="57" t="s">
        <v>129</v>
      </c>
      <c r="Q8" s="57"/>
      <c r="R8" s="57"/>
      <c r="S8" s="57" t="s">
        <v>129</v>
      </c>
      <c r="T8" s="57"/>
      <c r="U8" s="5"/>
    </row>
    <row r="9" spans="1:40" ht="36" customHeight="1" x14ac:dyDescent="0.4">
      <c r="A9" s="56"/>
      <c r="B9" s="56"/>
      <c r="C9" s="60">
        <f t="shared" ref="C9:C14" si="0">D8</f>
        <v>2.1</v>
      </c>
      <c r="D9" s="60">
        <v>3.4</v>
      </c>
      <c r="E9" s="57" t="s">
        <v>129</v>
      </c>
      <c r="F9" s="57"/>
      <c r="G9" s="57"/>
      <c r="H9" s="57"/>
      <c r="I9" s="57"/>
      <c r="J9" s="57"/>
      <c r="K9" s="57" t="s">
        <v>129</v>
      </c>
      <c r="L9" s="57"/>
      <c r="M9" s="57" t="s">
        <v>129</v>
      </c>
      <c r="N9" s="57"/>
      <c r="O9" s="57"/>
      <c r="P9" s="57" t="s">
        <v>129</v>
      </c>
      <c r="Q9" s="57"/>
      <c r="R9" s="57"/>
      <c r="S9" s="57" t="s">
        <v>129</v>
      </c>
      <c r="T9" s="57"/>
      <c r="U9" s="5"/>
    </row>
    <row r="10" spans="1:40" ht="36" customHeight="1" x14ac:dyDescent="0.4">
      <c r="A10" s="56"/>
      <c r="B10" s="56"/>
      <c r="C10" s="60">
        <f t="shared" si="0"/>
        <v>3.4</v>
      </c>
      <c r="D10" s="60">
        <v>4.2</v>
      </c>
      <c r="E10" s="57" t="s">
        <v>129</v>
      </c>
      <c r="F10" s="57"/>
      <c r="G10" s="57"/>
      <c r="H10" s="57"/>
      <c r="I10" s="57"/>
      <c r="J10" s="57"/>
      <c r="K10" s="57" t="s">
        <v>129</v>
      </c>
      <c r="L10" s="57"/>
      <c r="M10" s="57" t="s">
        <v>129</v>
      </c>
      <c r="N10" s="57"/>
      <c r="O10" s="57"/>
      <c r="P10" s="57" t="s">
        <v>129</v>
      </c>
      <c r="Q10" s="57"/>
      <c r="R10" s="57"/>
      <c r="S10" s="57" t="s">
        <v>129</v>
      </c>
      <c r="T10" s="57"/>
      <c r="U10" s="5"/>
    </row>
    <row r="11" spans="1:40" ht="36" customHeight="1" x14ac:dyDescent="0.4">
      <c r="A11" s="56"/>
      <c r="B11" s="56"/>
      <c r="C11" s="60">
        <f t="shared" si="0"/>
        <v>4.2</v>
      </c>
      <c r="D11" s="60">
        <v>9.4</v>
      </c>
      <c r="E11" s="57"/>
      <c r="F11" s="57"/>
      <c r="G11" s="57"/>
      <c r="H11" s="57"/>
      <c r="I11" s="57" t="s">
        <v>129</v>
      </c>
      <c r="J11" s="57"/>
      <c r="K11" s="57" t="s">
        <v>129</v>
      </c>
      <c r="L11" s="57"/>
      <c r="M11" s="57" t="s">
        <v>129</v>
      </c>
      <c r="N11" s="57"/>
      <c r="O11" s="57"/>
      <c r="P11" s="57" t="s">
        <v>129</v>
      </c>
      <c r="Q11" s="57"/>
      <c r="R11" s="57"/>
      <c r="S11" s="57" t="s">
        <v>129</v>
      </c>
      <c r="T11" s="57"/>
      <c r="U11" s="5"/>
    </row>
    <row r="12" spans="1:40" ht="36" customHeight="1" x14ac:dyDescent="0.4">
      <c r="A12" s="56"/>
      <c r="B12" s="56"/>
      <c r="C12" s="60">
        <f t="shared" si="0"/>
        <v>9.4</v>
      </c>
      <c r="D12" s="60">
        <v>10.6</v>
      </c>
      <c r="E12" s="57"/>
      <c r="F12" s="57"/>
      <c r="G12" s="57"/>
      <c r="H12" s="57"/>
      <c r="I12" s="57" t="s">
        <v>129</v>
      </c>
      <c r="J12" s="57"/>
      <c r="K12" s="57" t="s">
        <v>129</v>
      </c>
      <c r="L12" s="57"/>
      <c r="M12" s="57" t="s">
        <v>129</v>
      </c>
      <c r="N12" s="57"/>
      <c r="O12" s="57"/>
      <c r="P12" s="57" t="s">
        <v>129</v>
      </c>
      <c r="Q12" s="57"/>
      <c r="R12" s="57"/>
      <c r="S12" s="57" t="s">
        <v>129</v>
      </c>
      <c r="T12" s="57"/>
      <c r="U12" s="5"/>
    </row>
    <row r="13" spans="1:40" ht="36" customHeight="1" x14ac:dyDescent="0.4">
      <c r="A13" s="56"/>
      <c r="B13" s="56"/>
      <c r="C13" s="60">
        <f t="shared" si="0"/>
        <v>10.6</v>
      </c>
      <c r="D13" s="60">
        <v>12.7</v>
      </c>
      <c r="E13" s="57"/>
      <c r="F13" s="57"/>
      <c r="G13" s="57"/>
      <c r="H13" s="57"/>
      <c r="I13" s="57" t="s">
        <v>129</v>
      </c>
      <c r="J13" s="57"/>
      <c r="K13" s="57" t="s">
        <v>129</v>
      </c>
      <c r="L13" s="57"/>
      <c r="M13" s="57" t="s">
        <v>129</v>
      </c>
      <c r="N13" s="57"/>
      <c r="O13" s="57"/>
      <c r="P13" s="57" t="s">
        <v>129</v>
      </c>
      <c r="Q13" s="57"/>
      <c r="R13" s="57"/>
      <c r="S13" s="57" t="s">
        <v>129</v>
      </c>
      <c r="T13" s="57"/>
      <c r="U13" s="5"/>
    </row>
    <row r="14" spans="1:40" ht="36" customHeight="1" x14ac:dyDescent="0.4">
      <c r="A14" s="56"/>
      <c r="B14" s="56"/>
      <c r="C14" s="60">
        <f t="shared" si="0"/>
        <v>12.7</v>
      </c>
      <c r="D14" s="60">
        <v>16.52</v>
      </c>
      <c r="E14" s="57" t="s">
        <v>129</v>
      </c>
      <c r="F14" s="57"/>
      <c r="G14" s="57"/>
      <c r="H14" s="57"/>
      <c r="I14" s="57"/>
      <c r="J14" s="57"/>
      <c r="K14" s="57" t="s">
        <v>129</v>
      </c>
      <c r="L14" s="57"/>
      <c r="M14" s="57" t="s">
        <v>129</v>
      </c>
      <c r="N14" s="57"/>
      <c r="O14" s="57"/>
      <c r="P14" s="57" t="s">
        <v>129</v>
      </c>
      <c r="Q14" s="57"/>
      <c r="R14" s="57"/>
      <c r="S14" s="57" t="s">
        <v>129</v>
      </c>
      <c r="T14" s="57"/>
      <c r="U14" s="5"/>
    </row>
    <row r="15" spans="1:40" ht="36" customHeight="1" x14ac:dyDescent="0.4">
      <c r="A15" s="56" t="s">
        <v>90</v>
      </c>
      <c r="B15" s="56" t="s">
        <v>128</v>
      </c>
      <c r="C15" s="60">
        <v>0</v>
      </c>
      <c r="D15" s="60">
        <v>0.6</v>
      </c>
      <c r="E15" s="57"/>
      <c r="F15" s="57" t="s">
        <v>129</v>
      </c>
      <c r="G15" s="57"/>
      <c r="H15" s="57"/>
      <c r="I15" s="57" t="s">
        <v>129</v>
      </c>
      <c r="J15" s="57"/>
      <c r="K15" s="57" t="s">
        <v>129</v>
      </c>
      <c r="L15" s="57"/>
      <c r="M15" s="57" t="s">
        <v>129</v>
      </c>
      <c r="N15" s="57"/>
      <c r="O15" s="57"/>
      <c r="P15" s="57" t="s">
        <v>129</v>
      </c>
      <c r="Q15" s="57"/>
      <c r="R15" s="57"/>
      <c r="S15" s="57" t="s">
        <v>129</v>
      </c>
      <c r="T15" s="57"/>
      <c r="U15" s="5"/>
    </row>
    <row r="16" spans="1:40" ht="36" customHeight="1" x14ac:dyDescent="0.4">
      <c r="A16" s="56"/>
      <c r="B16" s="56"/>
      <c r="C16" s="60">
        <f>D15</f>
        <v>0.6</v>
      </c>
      <c r="D16" s="60">
        <v>3.9</v>
      </c>
      <c r="E16" s="57" t="s">
        <v>129</v>
      </c>
      <c r="F16" s="57"/>
      <c r="G16" s="57"/>
      <c r="H16" s="57"/>
      <c r="I16" s="57"/>
      <c r="J16" s="57"/>
      <c r="K16" s="57" t="s">
        <v>129</v>
      </c>
      <c r="L16" s="57"/>
      <c r="M16" s="57" t="s">
        <v>129</v>
      </c>
      <c r="N16" s="57"/>
      <c r="O16" s="57"/>
      <c r="P16" s="57" t="s">
        <v>129</v>
      </c>
      <c r="Q16" s="57"/>
      <c r="R16" s="57"/>
      <c r="S16" s="57" t="s">
        <v>129</v>
      </c>
      <c r="T16" s="57"/>
      <c r="U16" s="5"/>
    </row>
    <row r="17" spans="1:21" ht="36" customHeight="1" x14ac:dyDescent="0.4">
      <c r="A17" s="56"/>
      <c r="B17" s="56"/>
      <c r="C17" s="60">
        <f t="shared" ref="C17:C39" si="1">D16</f>
        <v>3.9</v>
      </c>
      <c r="D17" s="60">
        <v>4.7</v>
      </c>
      <c r="E17" s="57"/>
      <c r="F17" s="57" t="s">
        <v>129</v>
      </c>
      <c r="G17" s="57"/>
      <c r="H17" s="57"/>
      <c r="I17" s="57" t="s">
        <v>129</v>
      </c>
      <c r="J17" s="57"/>
      <c r="K17" s="57" t="s">
        <v>129</v>
      </c>
      <c r="L17" s="57"/>
      <c r="M17" s="57" t="s">
        <v>129</v>
      </c>
      <c r="N17" s="57"/>
      <c r="O17" s="57"/>
      <c r="P17" s="57" t="s">
        <v>129</v>
      </c>
      <c r="Q17" s="57"/>
      <c r="R17" s="57"/>
      <c r="S17" s="57" t="s">
        <v>129</v>
      </c>
      <c r="T17" s="57"/>
      <c r="U17" s="5"/>
    </row>
    <row r="18" spans="1:21" ht="36" customHeight="1" x14ac:dyDescent="0.4">
      <c r="A18" s="56"/>
      <c r="B18" s="56"/>
      <c r="C18" s="60">
        <f t="shared" si="1"/>
        <v>4.7</v>
      </c>
      <c r="D18" s="60">
        <v>5.9</v>
      </c>
      <c r="E18" s="57"/>
      <c r="F18" s="57" t="s">
        <v>129</v>
      </c>
      <c r="G18" s="57"/>
      <c r="H18" s="57"/>
      <c r="I18" s="57" t="s">
        <v>129</v>
      </c>
      <c r="J18" s="57"/>
      <c r="K18" s="57" t="s">
        <v>129</v>
      </c>
      <c r="L18" s="57"/>
      <c r="M18" s="57" t="s">
        <v>129</v>
      </c>
      <c r="N18" s="57"/>
      <c r="O18" s="57"/>
      <c r="P18" s="57" t="s">
        <v>129</v>
      </c>
      <c r="Q18" s="57"/>
      <c r="R18" s="57"/>
      <c r="S18" s="57" t="s">
        <v>129</v>
      </c>
      <c r="T18" s="57"/>
      <c r="U18" s="5"/>
    </row>
    <row r="19" spans="1:21" ht="36" customHeight="1" x14ac:dyDescent="0.4">
      <c r="A19" s="56"/>
      <c r="B19" s="56"/>
      <c r="C19" s="60">
        <f t="shared" si="1"/>
        <v>5.9</v>
      </c>
      <c r="D19" s="60">
        <v>7.9</v>
      </c>
      <c r="E19" s="57"/>
      <c r="F19" s="57" t="s">
        <v>129</v>
      </c>
      <c r="G19" s="57"/>
      <c r="H19" s="57"/>
      <c r="I19" s="57" t="s">
        <v>129</v>
      </c>
      <c r="J19" s="57"/>
      <c r="K19" s="57" t="s">
        <v>129</v>
      </c>
      <c r="L19" s="57"/>
      <c r="M19" s="57" t="s">
        <v>129</v>
      </c>
      <c r="N19" s="57"/>
      <c r="O19" s="57"/>
      <c r="P19" s="57" t="s">
        <v>129</v>
      </c>
      <c r="Q19" s="57"/>
      <c r="R19" s="57"/>
      <c r="S19" s="57" t="s">
        <v>129</v>
      </c>
      <c r="T19" s="57"/>
      <c r="U19" s="5"/>
    </row>
    <row r="20" spans="1:21" ht="36" customHeight="1" x14ac:dyDescent="0.4">
      <c r="A20" s="56"/>
      <c r="B20" s="56"/>
      <c r="C20" s="60">
        <f t="shared" si="1"/>
        <v>7.9</v>
      </c>
      <c r="D20" s="60">
        <v>13.3</v>
      </c>
      <c r="E20" s="57"/>
      <c r="F20" s="57"/>
      <c r="G20" s="57" t="s">
        <v>129</v>
      </c>
      <c r="H20" s="57"/>
      <c r="I20" s="57" t="s">
        <v>129</v>
      </c>
      <c r="J20" s="57"/>
      <c r="K20" s="57" t="s">
        <v>129</v>
      </c>
      <c r="L20" s="57"/>
      <c r="M20" s="57" t="s">
        <v>129</v>
      </c>
      <c r="N20" s="57"/>
      <c r="O20" s="57"/>
      <c r="P20" s="57" t="s">
        <v>129</v>
      </c>
      <c r="Q20" s="57"/>
      <c r="R20" s="57"/>
      <c r="S20" s="57" t="s">
        <v>129</v>
      </c>
      <c r="T20" s="57"/>
      <c r="U20" s="5"/>
    </row>
    <row r="21" spans="1:21" ht="36" customHeight="1" x14ac:dyDescent="0.4">
      <c r="A21" s="56"/>
      <c r="B21" s="56"/>
      <c r="C21" s="60">
        <f t="shared" si="1"/>
        <v>13.3</v>
      </c>
      <c r="D21" s="60">
        <v>14.6</v>
      </c>
      <c r="E21" s="57" t="s">
        <v>129</v>
      </c>
      <c r="F21" s="57"/>
      <c r="G21" s="57"/>
      <c r="H21" s="57"/>
      <c r="I21" s="57"/>
      <c r="J21" s="57"/>
      <c r="K21" s="57" t="s">
        <v>129</v>
      </c>
      <c r="L21" s="57"/>
      <c r="M21" s="57" t="s">
        <v>129</v>
      </c>
      <c r="N21" s="57"/>
      <c r="O21" s="57"/>
      <c r="P21" s="57" t="s">
        <v>129</v>
      </c>
      <c r="Q21" s="57"/>
      <c r="R21" s="57"/>
      <c r="S21" s="57" t="s">
        <v>129</v>
      </c>
      <c r="T21" s="57"/>
      <c r="U21" s="5"/>
    </row>
    <row r="22" spans="1:21" ht="36" customHeight="1" x14ac:dyDescent="0.4">
      <c r="A22" s="56"/>
      <c r="B22" s="56"/>
      <c r="C22" s="60">
        <f t="shared" si="1"/>
        <v>14.6</v>
      </c>
      <c r="D22" s="60">
        <v>16.3</v>
      </c>
      <c r="E22" s="57"/>
      <c r="F22" s="57"/>
      <c r="G22" s="57" t="s">
        <v>129</v>
      </c>
      <c r="H22" s="57"/>
      <c r="I22" s="57" t="s">
        <v>129</v>
      </c>
      <c r="J22" s="57"/>
      <c r="K22" s="57" t="s">
        <v>129</v>
      </c>
      <c r="L22" s="57"/>
      <c r="M22" s="57" t="s">
        <v>129</v>
      </c>
      <c r="N22" s="57"/>
      <c r="O22" s="57"/>
      <c r="P22" s="57" t="s">
        <v>129</v>
      </c>
      <c r="Q22" s="57"/>
      <c r="R22" s="57"/>
      <c r="S22" s="57" t="s">
        <v>129</v>
      </c>
      <c r="T22" s="57"/>
      <c r="U22" s="5"/>
    </row>
    <row r="23" spans="1:21" ht="36" customHeight="1" x14ac:dyDescent="0.4">
      <c r="A23" s="56"/>
      <c r="B23" s="56"/>
      <c r="C23" s="60">
        <f t="shared" si="1"/>
        <v>16.3</v>
      </c>
      <c r="D23" s="60">
        <v>18</v>
      </c>
      <c r="E23" s="57"/>
      <c r="F23" s="57" t="s">
        <v>129</v>
      </c>
      <c r="G23" s="57"/>
      <c r="H23" s="57"/>
      <c r="I23" s="57" t="s">
        <v>129</v>
      </c>
      <c r="J23" s="57"/>
      <c r="K23" s="57" t="s">
        <v>129</v>
      </c>
      <c r="L23" s="57"/>
      <c r="M23" s="57" t="s">
        <v>129</v>
      </c>
      <c r="N23" s="57"/>
      <c r="O23" s="57"/>
      <c r="P23" s="57" t="s">
        <v>129</v>
      </c>
      <c r="Q23" s="57"/>
      <c r="R23" s="57"/>
      <c r="S23" s="57" t="s">
        <v>129</v>
      </c>
      <c r="T23" s="57"/>
      <c r="U23" s="5"/>
    </row>
    <row r="24" spans="1:21" ht="36" customHeight="1" x14ac:dyDescent="0.4">
      <c r="A24" s="56"/>
      <c r="B24" s="56"/>
      <c r="C24" s="60">
        <f t="shared" si="1"/>
        <v>18</v>
      </c>
      <c r="D24" s="60">
        <v>19.100000000000001</v>
      </c>
      <c r="E24" s="57"/>
      <c r="F24" s="57" t="s">
        <v>129</v>
      </c>
      <c r="G24" s="57"/>
      <c r="H24" s="57"/>
      <c r="I24" s="57" t="s">
        <v>129</v>
      </c>
      <c r="J24" s="57"/>
      <c r="K24" s="57" t="s">
        <v>129</v>
      </c>
      <c r="L24" s="57"/>
      <c r="M24" s="57" t="s">
        <v>129</v>
      </c>
      <c r="N24" s="57"/>
      <c r="O24" s="57"/>
      <c r="P24" s="57" t="s">
        <v>129</v>
      </c>
      <c r="Q24" s="57"/>
      <c r="R24" s="57"/>
      <c r="S24" s="57" t="s">
        <v>129</v>
      </c>
      <c r="T24" s="57"/>
      <c r="U24" s="5"/>
    </row>
    <row r="25" spans="1:21" ht="36" customHeight="1" x14ac:dyDescent="0.4">
      <c r="A25" s="56"/>
      <c r="B25" s="56"/>
      <c r="C25" s="60">
        <f t="shared" si="1"/>
        <v>19.100000000000001</v>
      </c>
      <c r="D25" s="60">
        <v>20</v>
      </c>
      <c r="E25" s="57"/>
      <c r="F25" s="57"/>
      <c r="G25" s="57" t="s">
        <v>129</v>
      </c>
      <c r="H25" s="57"/>
      <c r="I25" s="57" t="s">
        <v>129</v>
      </c>
      <c r="J25" s="57"/>
      <c r="K25" s="57" t="s">
        <v>129</v>
      </c>
      <c r="L25" s="57"/>
      <c r="M25" s="57" t="s">
        <v>129</v>
      </c>
      <c r="N25" s="57"/>
      <c r="O25" s="57"/>
      <c r="P25" s="57" t="s">
        <v>129</v>
      </c>
      <c r="Q25" s="57"/>
      <c r="R25" s="57"/>
      <c r="S25" s="57" t="s">
        <v>129</v>
      </c>
      <c r="T25" s="57"/>
      <c r="U25" s="5"/>
    </row>
    <row r="26" spans="1:21" ht="36" customHeight="1" x14ac:dyDescent="0.4">
      <c r="A26" s="56"/>
      <c r="B26" s="56"/>
      <c r="C26" s="60">
        <f t="shared" si="1"/>
        <v>20</v>
      </c>
      <c r="D26" s="60">
        <v>22.3</v>
      </c>
      <c r="E26" s="57"/>
      <c r="F26" s="57"/>
      <c r="G26" s="57" t="s">
        <v>129</v>
      </c>
      <c r="H26" s="57"/>
      <c r="I26" s="57" t="s">
        <v>129</v>
      </c>
      <c r="J26" s="57"/>
      <c r="K26" s="57" t="s">
        <v>129</v>
      </c>
      <c r="L26" s="57"/>
      <c r="M26" s="57" t="s">
        <v>129</v>
      </c>
      <c r="N26" s="57"/>
      <c r="O26" s="57"/>
      <c r="P26" s="57" t="s">
        <v>129</v>
      </c>
      <c r="Q26" s="57"/>
      <c r="R26" s="57"/>
      <c r="S26" s="57" t="s">
        <v>129</v>
      </c>
      <c r="T26" s="57"/>
      <c r="U26" s="5"/>
    </row>
    <row r="27" spans="1:21" ht="36" customHeight="1" x14ac:dyDescent="0.4">
      <c r="A27" s="56"/>
      <c r="B27" s="56"/>
      <c r="C27" s="60">
        <f t="shared" si="1"/>
        <v>22.3</v>
      </c>
      <c r="D27" s="60">
        <v>25.4</v>
      </c>
      <c r="E27" s="57"/>
      <c r="F27" s="57" t="s">
        <v>129</v>
      </c>
      <c r="G27" s="57"/>
      <c r="H27" s="57" t="s">
        <v>129</v>
      </c>
      <c r="I27" s="57"/>
      <c r="J27" s="57"/>
      <c r="K27" s="57" t="s">
        <v>129</v>
      </c>
      <c r="L27" s="57"/>
      <c r="M27" s="57"/>
      <c r="N27" s="57"/>
      <c r="O27" s="57"/>
      <c r="P27" s="57"/>
      <c r="Q27" s="57"/>
      <c r="R27" s="57"/>
      <c r="S27" s="57"/>
      <c r="T27" s="57"/>
      <c r="U27" s="5"/>
    </row>
    <row r="28" spans="1:21" ht="36" customHeight="1" x14ac:dyDescent="0.4">
      <c r="A28" s="56"/>
      <c r="B28" s="56"/>
      <c r="C28" s="60">
        <f t="shared" si="1"/>
        <v>25.4</v>
      </c>
      <c r="D28" s="60">
        <v>25.9</v>
      </c>
      <c r="E28" s="57"/>
      <c r="F28" s="57" t="s">
        <v>129</v>
      </c>
      <c r="G28" s="57"/>
      <c r="H28" s="57" t="s">
        <v>129</v>
      </c>
      <c r="I28" s="57"/>
      <c r="J28" s="57"/>
      <c r="K28" s="57" t="s">
        <v>129</v>
      </c>
      <c r="L28" s="57"/>
      <c r="M28" s="57"/>
      <c r="N28" s="57"/>
      <c r="O28" s="57"/>
      <c r="P28" s="57"/>
      <c r="Q28" s="57"/>
      <c r="R28" s="57"/>
      <c r="S28" s="57"/>
      <c r="T28" s="57"/>
      <c r="U28" s="5"/>
    </row>
    <row r="29" spans="1:21" ht="36" customHeight="1" x14ac:dyDescent="0.4">
      <c r="A29" s="56"/>
      <c r="B29" s="56"/>
      <c r="C29" s="60">
        <f t="shared" si="1"/>
        <v>25.9</v>
      </c>
      <c r="D29" s="60">
        <v>27.8</v>
      </c>
      <c r="E29" s="57"/>
      <c r="F29" s="57" t="s">
        <v>129</v>
      </c>
      <c r="G29" s="57" t="s">
        <v>129</v>
      </c>
      <c r="H29" s="57"/>
      <c r="I29" s="57"/>
      <c r="J29" s="57"/>
      <c r="K29" s="57" t="s">
        <v>129</v>
      </c>
      <c r="L29" s="57"/>
      <c r="M29" s="57"/>
      <c r="N29" s="57"/>
      <c r="O29" s="57"/>
      <c r="P29" s="57"/>
      <c r="Q29" s="57"/>
      <c r="R29" s="57"/>
      <c r="S29" s="57"/>
      <c r="T29" s="57"/>
      <c r="U29" s="5"/>
    </row>
    <row r="30" spans="1:21" ht="36" customHeight="1" x14ac:dyDescent="0.4">
      <c r="A30" s="56"/>
      <c r="B30" s="56"/>
      <c r="C30" s="60">
        <f t="shared" si="1"/>
        <v>27.8</v>
      </c>
      <c r="D30" s="60">
        <v>30.4</v>
      </c>
      <c r="E30" s="57" t="s">
        <v>129</v>
      </c>
      <c r="F30" s="57"/>
      <c r="G30" s="57"/>
      <c r="H30" s="57"/>
      <c r="I30" s="57"/>
      <c r="J30" s="57"/>
      <c r="K30" s="57" t="s">
        <v>129</v>
      </c>
      <c r="L30" s="57"/>
      <c r="M30" s="57"/>
      <c r="N30" s="57"/>
      <c r="O30" s="57"/>
      <c r="P30" s="57"/>
      <c r="Q30" s="57"/>
      <c r="R30" s="57"/>
      <c r="S30" s="57"/>
      <c r="T30" s="57"/>
      <c r="U30" s="5"/>
    </row>
    <row r="31" spans="1:21" ht="36" customHeight="1" x14ac:dyDescent="0.4">
      <c r="A31" s="56"/>
      <c r="B31" s="56"/>
      <c r="C31" s="60">
        <f t="shared" si="1"/>
        <v>30.4</v>
      </c>
      <c r="D31" s="60">
        <v>33.5</v>
      </c>
      <c r="E31" s="57"/>
      <c r="F31" s="57" t="s">
        <v>129</v>
      </c>
      <c r="G31" s="57"/>
      <c r="H31" s="57"/>
      <c r="I31" s="57" t="s">
        <v>129</v>
      </c>
      <c r="J31" s="57"/>
      <c r="K31" s="57" t="s">
        <v>129</v>
      </c>
      <c r="L31" s="57"/>
      <c r="M31" s="57"/>
      <c r="N31" s="57"/>
      <c r="O31" s="57"/>
      <c r="P31" s="57"/>
      <c r="Q31" s="57"/>
      <c r="R31" s="57"/>
      <c r="S31" s="57"/>
      <c r="T31" s="57"/>
      <c r="U31" s="5"/>
    </row>
    <row r="32" spans="1:21" ht="36" customHeight="1" x14ac:dyDescent="0.4">
      <c r="A32" s="56"/>
      <c r="B32" s="56"/>
      <c r="C32" s="60">
        <f t="shared" si="1"/>
        <v>33.5</v>
      </c>
      <c r="D32" s="60">
        <v>35</v>
      </c>
      <c r="E32" s="57"/>
      <c r="F32" s="57" t="s">
        <v>129</v>
      </c>
      <c r="G32" s="57"/>
      <c r="H32" s="57"/>
      <c r="I32" s="57" t="s">
        <v>129</v>
      </c>
      <c r="J32" s="57"/>
      <c r="K32" s="57" t="s">
        <v>129</v>
      </c>
      <c r="L32" s="57"/>
      <c r="M32" s="57"/>
      <c r="N32" s="57"/>
      <c r="O32" s="57"/>
      <c r="P32" s="57"/>
      <c r="Q32" s="57"/>
      <c r="R32" s="57"/>
      <c r="S32" s="57"/>
      <c r="T32" s="57"/>
      <c r="U32" s="5"/>
    </row>
    <row r="33" spans="1:21" ht="36" customHeight="1" x14ac:dyDescent="0.4">
      <c r="A33" s="56"/>
      <c r="B33" s="56"/>
      <c r="C33" s="60">
        <f t="shared" si="1"/>
        <v>35</v>
      </c>
      <c r="D33" s="60">
        <v>38.799999999999997</v>
      </c>
      <c r="E33" s="57"/>
      <c r="F33" s="57" t="s">
        <v>129</v>
      </c>
      <c r="G33" s="57"/>
      <c r="H33" s="57" t="s">
        <v>129</v>
      </c>
      <c r="I33" s="57" t="s">
        <v>129</v>
      </c>
      <c r="J33" s="57"/>
      <c r="K33" s="57" t="s">
        <v>129</v>
      </c>
      <c r="L33" s="57"/>
      <c r="M33" s="57"/>
      <c r="N33" s="57"/>
      <c r="O33" s="57"/>
      <c r="P33" s="57"/>
      <c r="Q33" s="57"/>
      <c r="R33" s="57"/>
      <c r="S33" s="57"/>
      <c r="T33" s="57"/>
      <c r="U33" s="5"/>
    </row>
    <row r="34" spans="1:21" ht="36" customHeight="1" x14ac:dyDescent="0.4">
      <c r="A34" s="56"/>
      <c r="B34" s="56"/>
      <c r="C34" s="60">
        <f t="shared" si="1"/>
        <v>38.799999999999997</v>
      </c>
      <c r="D34" s="60">
        <v>40.5</v>
      </c>
      <c r="E34" s="57"/>
      <c r="F34" s="57" t="s">
        <v>129</v>
      </c>
      <c r="G34" s="57"/>
      <c r="H34" s="57" t="s">
        <v>129</v>
      </c>
      <c r="I34" s="57" t="s">
        <v>129</v>
      </c>
      <c r="J34" s="57"/>
      <c r="K34" s="57" t="s">
        <v>129</v>
      </c>
      <c r="L34" s="57"/>
      <c r="M34" s="57"/>
      <c r="N34" s="57"/>
      <c r="O34" s="57"/>
      <c r="P34" s="57"/>
      <c r="Q34" s="57"/>
      <c r="R34" s="57"/>
      <c r="S34" s="57"/>
      <c r="T34" s="57"/>
      <c r="U34" s="5"/>
    </row>
    <row r="35" spans="1:21" ht="36" customHeight="1" x14ac:dyDescent="0.4">
      <c r="A35" s="56"/>
      <c r="B35" s="56"/>
      <c r="C35" s="60">
        <f t="shared" si="1"/>
        <v>40.5</v>
      </c>
      <c r="D35" s="60">
        <v>41.8</v>
      </c>
      <c r="E35" s="57"/>
      <c r="F35" s="57"/>
      <c r="G35" s="57" t="s">
        <v>129</v>
      </c>
      <c r="H35" s="57"/>
      <c r="I35" s="57" t="s">
        <v>129</v>
      </c>
      <c r="J35" s="57"/>
      <c r="K35" s="57" t="s">
        <v>129</v>
      </c>
      <c r="L35" s="57"/>
      <c r="M35" s="57"/>
      <c r="N35" s="57"/>
      <c r="O35" s="57"/>
      <c r="P35" s="57"/>
      <c r="Q35" s="57"/>
      <c r="R35" s="57"/>
      <c r="S35" s="57"/>
      <c r="T35" s="57"/>
      <c r="U35" s="5"/>
    </row>
    <row r="36" spans="1:21" ht="36" customHeight="1" x14ac:dyDescent="0.4">
      <c r="A36" s="56"/>
      <c r="B36" s="56"/>
      <c r="C36" s="60">
        <f t="shared" si="1"/>
        <v>41.8</v>
      </c>
      <c r="D36" s="60">
        <v>43.5</v>
      </c>
      <c r="E36" s="57"/>
      <c r="F36" s="57"/>
      <c r="G36" s="57"/>
      <c r="H36" s="57"/>
      <c r="I36" s="57" t="s">
        <v>129</v>
      </c>
      <c r="J36" s="57"/>
      <c r="K36" s="57" t="s">
        <v>129</v>
      </c>
      <c r="L36" s="57"/>
      <c r="M36" s="57"/>
      <c r="N36" s="57"/>
      <c r="O36" s="57"/>
      <c r="P36" s="57"/>
      <c r="Q36" s="57"/>
      <c r="R36" s="57"/>
      <c r="S36" s="57"/>
      <c r="T36" s="57"/>
      <c r="U36" s="5"/>
    </row>
    <row r="37" spans="1:21" ht="36" customHeight="1" x14ac:dyDescent="0.4">
      <c r="A37" s="56"/>
      <c r="B37" s="56"/>
      <c r="C37" s="60">
        <f t="shared" si="1"/>
        <v>43.5</v>
      </c>
      <c r="D37" s="60">
        <v>43.7</v>
      </c>
      <c r="E37" s="57" t="s">
        <v>129</v>
      </c>
      <c r="F37" s="57"/>
      <c r="G37" s="57"/>
      <c r="H37" s="57"/>
      <c r="I37" s="57"/>
      <c r="J37" s="57"/>
      <c r="K37" s="57" t="s">
        <v>129</v>
      </c>
      <c r="L37" s="57"/>
      <c r="M37" s="57"/>
      <c r="N37" s="57"/>
      <c r="O37" s="57"/>
      <c r="P37" s="57"/>
      <c r="Q37" s="57"/>
      <c r="R37" s="57"/>
      <c r="S37" s="57"/>
      <c r="T37" s="57"/>
      <c r="U37" s="5"/>
    </row>
    <row r="38" spans="1:21" ht="36" customHeight="1" x14ac:dyDescent="0.4">
      <c r="A38" s="56"/>
      <c r="B38" s="56"/>
      <c r="C38" s="60">
        <f t="shared" si="1"/>
        <v>43.7</v>
      </c>
      <c r="D38" s="60">
        <v>43.8</v>
      </c>
      <c r="E38" s="57"/>
      <c r="F38" s="57" t="s">
        <v>129</v>
      </c>
      <c r="G38" s="57"/>
      <c r="H38" s="57" t="s">
        <v>129</v>
      </c>
      <c r="I38" s="57"/>
      <c r="J38" s="57"/>
      <c r="K38" s="57" t="s">
        <v>129</v>
      </c>
      <c r="L38" s="57"/>
      <c r="M38" s="57"/>
      <c r="N38" s="57"/>
      <c r="O38" s="57"/>
      <c r="P38" s="57"/>
      <c r="Q38" s="57"/>
      <c r="R38" s="57"/>
      <c r="S38" s="57"/>
      <c r="T38" s="57"/>
      <c r="U38" s="5"/>
    </row>
    <row r="39" spans="1:21" ht="36" customHeight="1" x14ac:dyDescent="0.4">
      <c r="A39" s="56"/>
      <c r="B39" s="56"/>
      <c r="C39" s="60">
        <f t="shared" si="1"/>
        <v>43.8</v>
      </c>
      <c r="D39" s="60">
        <v>46.38</v>
      </c>
      <c r="E39" s="57"/>
      <c r="F39" s="57" t="s">
        <v>129</v>
      </c>
      <c r="G39" s="57"/>
      <c r="H39" s="57" t="s">
        <v>129</v>
      </c>
      <c r="I39" s="57"/>
      <c r="J39" s="57"/>
      <c r="K39" s="57" t="s">
        <v>129</v>
      </c>
      <c r="L39" s="57"/>
      <c r="M39" s="57"/>
      <c r="N39" s="57"/>
      <c r="O39" s="57"/>
      <c r="P39" s="57"/>
      <c r="Q39" s="57"/>
      <c r="R39" s="57"/>
      <c r="S39" s="57"/>
      <c r="T39" s="57"/>
      <c r="U39" s="5"/>
    </row>
    <row r="40" spans="1:21" ht="36" customHeight="1" x14ac:dyDescent="0.4">
      <c r="A40" s="56"/>
      <c r="B40" s="56"/>
      <c r="C40" s="56"/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6"/>
      <c r="P40" s="56"/>
      <c r="Q40" s="56"/>
      <c r="R40" s="56"/>
      <c r="S40" s="56"/>
      <c r="T40" s="56"/>
      <c r="U40" s="5"/>
    </row>
    <row r="41" spans="1:21" ht="36" customHeight="1" x14ac:dyDescent="0.4">
      <c r="A41" s="56"/>
      <c r="B41" s="56"/>
      <c r="C41" s="56"/>
      <c r="D41" s="56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6"/>
      <c r="P41" s="56"/>
      <c r="Q41" s="56"/>
      <c r="R41" s="56"/>
      <c r="S41" s="56"/>
      <c r="T41" s="56"/>
      <c r="U41" s="5"/>
    </row>
    <row r="42" spans="1:21" ht="36" customHeight="1" x14ac:dyDescent="0.4">
      <c r="A42" s="56"/>
      <c r="B42" s="56"/>
      <c r="C42" s="56"/>
      <c r="D42" s="56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6"/>
      <c r="P42" s="56"/>
      <c r="Q42" s="56"/>
      <c r="R42" s="56"/>
      <c r="S42" s="56"/>
      <c r="T42" s="56"/>
      <c r="U42" s="5"/>
    </row>
    <row r="43" spans="1:21" ht="36" customHeight="1" x14ac:dyDescent="0.4">
      <c r="A43" s="56"/>
      <c r="B43" s="56"/>
      <c r="C43" s="56"/>
      <c r="D43" s="56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6"/>
      <c r="P43" s="56"/>
      <c r="Q43" s="56"/>
      <c r="R43" s="56"/>
      <c r="S43" s="56"/>
      <c r="T43" s="56"/>
      <c r="U43" s="5"/>
    </row>
    <row r="44" spans="1:21" ht="36" customHeight="1" x14ac:dyDescent="0.4">
      <c r="A44" s="56"/>
      <c r="B44" s="56"/>
      <c r="C44" s="56"/>
      <c r="D44" s="56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6"/>
      <c r="P44" s="56"/>
      <c r="Q44" s="56"/>
      <c r="R44" s="56"/>
      <c r="S44" s="56"/>
      <c r="T44" s="56"/>
      <c r="U44" s="5"/>
    </row>
    <row r="45" spans="1:21" ht="36" customHeight="1" x14ac:dyDescent="0.4">
      <c r="A45" s="56"/>
      <c r="B45" s="56"/>
      <c r="C45" s="56"/>
      <c r="D45" s="56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6"/>
      <c r="P45" s="56"/>
      <c r="Q45" s="56"/>
      <c r="R45" s="56"/>
      <c r="S45" s="56"/>
      <c r="T45" s="56"/>
      <c r="U45" s="5"/>
    </row>
    <row r="46" spans="1:21" ht="36" customHeight="1" x14ac:dyDescent="0.4">
      <c r="A46" s="56"/>
      <c r="B46" s="56"/>
      <c r="C46" s="56"/>
      <c r="D46" s="56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6"/>
      <c r="P46" s="56"/>
      <c r="Q46" s="56"/>
      <c r="R46" s="56"/>
      <c r="S46" s="56"/>
      <c r="T46" s="56"/>
      <c r="U46" s="5"/>
    </row>
    <row r="47" spans="1:21" ht="36" customHeight="1" x14ac:dyDescent="0.4">
      <c r="A47" s="56"/>
      <c r="B47" s="56"/>
      <c r="C47" s="56"/>
      <c r="D47" s="56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6"/>
      <c r="P47" s="56"/>
      <c r="Q47" s="56"/>
      <c r="R47" s="56"/>
      <c r="S47" s="56"/>
      <c r="T47" s="56"/>
      <c r="U47" s="5"/>
    </row>
    <row r="48" spans="1:21" ht="36" customHeight="1" x14ac:dyDescent="0.4">
      <c r="A48" s="56"/>
      <c r="B48" s="56"/>
      <c r="C48" s="56"/>
      <c r="D48" s="56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6"/>
      <c r="P48" s="56"/>
      <c r="Q48" s="56"/>
      <c r="R48" s="56"/>
      <c r="S48" s="56"/>
      <c r="T48" s="56"/>
      <c r="U48" s="5"/>
    </row>
    <row r="49" spans="1:40" ht="36" customHeight="1" x14ac:dyDescent="0.4">
      <c r="A49" s="56"/>
      <c r="B49" s="56"/>
      <c r="C49" s="56"/>
      <c r="D49" s="56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6"/>
      <c r="P49" s="56"/>
      <c r="Q49" s="56"/>
      <c r="R49" s="56"/>
      <c r="S49" s="56"/>
      <c r="T49" s="56"/>
      <c r="U49" s="5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36" customHeight="1" x14ac:dyDescent="0.4">
      <c r="A50" s="56"/>
      <c r="B50" s="56"/>
      <c r="C50" s="56"/>
      <c r="D50" s="56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6"/>
      <c r="P50" s="56"/>
      <c r="Q50" s="56"/>
      <c r="R50" s="56"/>
      <c r="S50" s="56"/>
      <c r="T50" s="56"/>
      <c r="U50" s="5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spans="1:40" ht="36" customHeight="1" x14ac:dyDescent="0.4">
      <c r="A51" s="56"/>
      <c r="B51" s="56"/>
      <c r="C51" s="56"/>
      <c r="D51" s="56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6"/>
      <c r="P51" s="56"/>
      <c r="Q51" s="56"/>
      <c r="R51" s="56"/>
      <c r="S51" s="56"/>
      <c r="T51" s="56"/>
      <c r="U51" s="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36" customHeight="1" x14ac:dyDescent="0.4">
      <c r="A52" s="56"/>
      <c r="B52" s="56"/>
      <c r="C52" s="56"/>
      <c r="D52" s="56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6"/>
      <c r="P52" s="56"/>
      <c r="Q52" s="56"/>
      <c r="R52" s="56"/>
      <c r="S52" s="56"/>
      <c r="T52" s="56"/>
      <c r="U52" s="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36" customHeight="1" x14ac:dyDescent="0.4">
      <c r="A53" s="56"/>
      <c r="B53" s="56"/>
      <c r="C53" s="56"/>
      <c r="D53" s="56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6"/>
      <c r="P53" s="56"/>
      <c r="Q53" s="56"/>
      <c r="R53" s="56"/>
      <c r="S53" s="56"/>
      <c r="T53" s="56"/>
      <c r="U53" s="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36" customHeight="1" x14ac:dyDescent="0.4">
      <c r="A54" s="56"/>
      <c r="B54" s="56"/>
      <c r="C54" s="56"/>
      <c r="D54" s="56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6"/>
      <c r="P54" s="56"/>
      <c r="Q54" s="56"/>
      <c r="R54" s="56"/>
      <c r="S54" s="56"/>
      <c r="T54" s="56"/>
      <c r="U54" s="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</row>
    <row r="55" spans="1:40" ht="36" customHeight="1" x14ac:dyDescent="0.4">
      <c r="A55" s="56"/>
      <c r="B55" s="56"/>
      <c r="C55" s="56"/>
      <c r="D55" s="56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6"/>
      <c r="P55" s="56"/>
      <c r="Q55" s="56"/>
      <c r="R55" s="56"/>
      <c r="S55" s="56"/>
      <c r="T55" s="56"/>
      <c r="U55" s="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  <row r="56" spans="1:40" ht="36" customHeight="1" x14ac:dyDescent="0.4">
      <c r="A56" s="56"/>
      <c r="B56" s="56"/>
      <c r="C56" s="56"/>
      <c r="D56" s="56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6"/>
      <c r="P56" s="56"/>
      <c r="Q56" s="56"/>
      <c r="R56" s="56"/>
      <c r="S56" s="56"/>
      <c r="T56" s="56"/>
      <c r="U56" s="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  <row r="57" spans="1:40" ht="36" customHeight="1" x14ac:dyDescent="0.4">
      <c r="A57" s="56"/>
      <c r="B57" s="56"/>
      <c r="C57" s="56"/>
      <c r="D57" s="56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6"/>
      <c r="P57" s="56"/>
      <c r="Q57" s="56"/>
      <c r="R57" s="56"/>
      <c r="S57" s="56"/>
      <c r="T57" s="56"/>
      <c r="U57" s="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</row>
    <row r="58" spans="1:40" ht="36" customHeight="1" x14ac:dyDescent="0.4">
      <c r="A58" s="56"/>
      <c r="B58" s="56"/>
      <c r="C58" s="56"/>
      <c r="D58" s="56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6"/>
      <c r="P58" s="56"/>
      <c r="Q58" s="56"/>
      <c r="R58" s="56"/>
      <c r="S58" s="56"/>
      <c r="T58" s="56"/>
      <c r="U58" s="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1:40" ht="36" customHeight="1" x14ac:dyDescent="0.4">
      <c r="A59" s="56"/>
      <c r="B59" s="56"/>
      <c r="C59" s="56"/>
      <c r="D59" s="56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6"/>
      <c r="P59" s="56"/>
      <c r="Q59" s="56"/>
      <c r="R59" s="56"/>
      <c r="S59" s="56"/>
      <c r="T59" s="56"/>
      <c r="U59" s="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</row>
    <row r="60" spans="1:40" ht="36" customHeight="1" x14ac:dyDescent="0.4">
      <c r="A60" s="56"/>
      <c r="B60" s="56"/>
      <c r="C60" s="56"/>
      <c r="D60" s="56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6"/>
      <c r="P60" s="56"/>
      <c r="Q60" s="56"/>
      <c r="R60" s="56"/>
      <c r="S60" s="56"/>
      <c r="T60" s="56"/>
      <c r="U60" s="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  <row r="61" spans="1:40" ht="36" customHeight="1" x14ac:dyDescent="0.4">
      <c r="A61" s="56"/>
      <c r="B61" s="56"/>
      <c r="C61" s="56"/>
      <c r="D61" s="56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6"/>
      <c r="P61" s="56"/>
      <c r="Q61" s="56"/>
      <c r="R61" s="56"/>
      <c r="S61" s="56"/>
      <c r="T61" s="56"/>
      <c r="U61" s="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36" customHeight="1" x14ac:dyDescent="0.4">
      <c r="A62" s="56"/>
      <c r="B62" s="56"/>
      <c r="C62" s="56"/>
      <c r="D62" s="56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6"/>
      <c r="P62" s="56"/>
      <c r="Q62" s="56"/>
      <c r="R62" s="56"/>
      <c r="S62" s="56"/>
      <c r="T62" s="56"/>
      <c r="U62" s="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36" customHeight="1" x14ac:dyDescent="0.4">
      <c r="A63" s="56"/>
      <c r="B63" s="56"/>
      <c r="C63" s="56"/>
      <c r="D63" s="56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6"/>
      <c r="P63" s="56"/>
      <c r="Q63" s="56"/>
      <c r="R63" s="56"/>
      <c r="S63" s="56"/>
      <c r="T63" s="56"/>
      <c r="U63" s="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36" customHeight="1" x14ac:dyDescent="0.4">
      <c r="A64" s="56"/>
      <c r="B64" s="56"/>
      <c r="C64" s="56"/>
      <c r="D64" s="56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6"/>
      <c r="P64" s="56"/>
      <c r="Q64" s="56"/>
      <c r="R64" s="56"/>
      <c r="S64" s="56"/>
      <c r="T64" s="56"/>
      <c r="U64" s="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36" customHeight="1" x14ac:dyDescent="0.4">
      <c r="A65" s="56"/>
      <c r="B65" s="56"/>
      <c r="C65" s="56"/>
      <c r="D65" s="56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6"/>
      <c r="P65" s="56"/>
      <c r="Q65" s="56"/>
      <c r="R65" s="56"/>
      <c r="S65" s="56"/>
      <c r="T65" s="56"/>
      <c r="U65" s="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36" customHeight="1" x14ac:dyDescent="0.4">
      <c r="A66" s="56"/>
      <c r="B66" s="56"/>
      <c r="C66" s="56"/>
      <c r="D66" s="56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6"/>
      <c r="P66" s="56"/>
      <c r="Q66" s="56"/>
      <c r="R66" s="56"/>
      <c r="S66" s="56"/>
      <c r="T66" s="56"/>
      <c r="U66" s="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36" customHeight="1" x14ac:dyDescent="0.4">
      <c r="A67" s="56"/>
      <c r="B67" s="56"/>
      <c r="C67" s="56"/>
      <c r="D67" s="56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6"/>
      <c r="P67" s="56"/>
      <c r="Q67" s="56"/>
      <c r="R67" s="56"/>
      <c r="S67" s="56"/>
      <c r="T67" s="56"/>
      <c r="U67" s="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36" customHeight="1" x14ac:dyDescent="0.4">
      <c r="A68" s="56"/>
      <c r="B68" s="56"/>
      <c r="C68" s="56"/>
      <c r="D68" s="56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6"/>
      <c r="P68" s="56"/>
      <c r="Q68" s="56"/>
      <c r="R68" s="56"/>
      <c r="S68" s="56"/>
      <c r="T68" s="56"/>
      <c r="U68" s="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36" customHeight="1" x14ac:dyDescent="0.4">
      <c r="A69" s="56"/>
      <c r="B69" s="56"/>
      <c r="C69" s="56"/>
      <c r="D69" s="60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6"/>
      <c r="P69" s="56"/>
      <c r="Q69" s="56"/>
      <c r="R69" s="56"/>
      <c r="S69" s="56"/>
      <c r="T69" s="56"/>
      <c r="U69" s="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36" customHeight="1" thickBot="1" x14ac:dyDescent="0.45">
      <c r="A70" s="58"/>
      <c r="B70" s="58"/>
      <c r="C70" s="58"/>
      <c r="D70" s="58"/>
      <c r="E70" s="59"/>
      <c r="F70" s="59"/>
      <c r="G70" s="59"/>
      <c r="H70" s="59"/>
      <c r="I70" s="59"/>
      <c r="J70" s="59"/>
      <c r="K70" s="59"/>
      <c r="L70" s="59"/>
      <c r="M70" s="57"/>
      <c r="N70" s="59"/>
      <c r="O70" s="58"/>
      <c r="P70" s="58"/>
      <c r="Q70" s="58"/>
      <c r="R70" s="58"/>
      <c r="S70" s="58"/>
      <c r="T70" s="58"/>
      <c r="U70" s="8"/>
    </row>
    <row r="72" spans="1:40" ht="19.2" x14ac:dyDescent="0.35">
      <c r="A72" s="10" t="s">
        <v>7</v>
      </c>
      <c r="B72" s="17" t="s">
        <v>2</v>
      </c>
      <c r="C72" s="11"/>
      <c r="D72" s="11"/>
      <c r="E72" s="91"/>
      <c r="F72" s="91"/>
    </row>
    <row r="73" spans="1:40" ht="19.2" x14ac:dyDescent="0.35">
      <c r="A73" s="10" t="s">
        <v>9</v>
      </c>
      <c r="B73" s="10" t="s">
        <v>10</v>
      </c>
      <c r="E73" s="10" t="s">
        <v>14</v>
      </c>
      <c r="F73" s="10"/>
      <c r="G73" s="10"/>
      <c r="I73" s="10" t="s">
        <v>5</v>
      </c>
      <c r="J73" s="10" t="s">
        <v>12</v>
      </c>
      <c r="K73" s="1"/>
      <c r="L73" s="1"/>
      <c r="M73" s="10" t="s">
        <v>16</v>
      </c>
      <c r="N73" s="10"/>
      <c r="O73" s="10"/>
    </row>
    <row r="74" spans="1:40" ht="19.2" x14ac:dyDescent="0.35">
      <c r="A74" s="10" t="s">
        <v>4</v>
      </c>
      <c r="B74" s="10" t="s">
        <v>11</v>
      </c>
      <c r="E74" s="10" t="s">
        <v>15</v>
      </c>
      <c r="F74" s="10"/>
      <c r="G74" s="10"/>
      <c r="I74" s="10" t="s">
        <v>6</v>
      </c>
      <c r="J74" s="10" t="s">
        <v>13</v>
      </c>
      <c r="K74" s="1"/>
      <c r="L74" s="1"/>
      <c r="M74" s="10" t="s">
        <v>17</v>
      </c>
      <c r="N74" s="10"/>
      <c r="O74" s="10"/>
    </row>
    <row r="75" spans="1:40" x14ac:dyDescent="0.25">
      <c r="E75" s="1"/>
      <c r="F75" s="1"/>
      <c r="G75" s="1"/>
    </row>
    <row r="76" spans="1:40" x14ac:dyDescent="0.25">
      <c r="E76" s="1"/>
      <c r="F76" s="1"/>
      <c r="G76" s="1"/>
    </row>
    <row r="79" spans="1:40" x14ac:dyDescent="0.25">
      <c r="E79" s="2">
        <f>IF(E7="X",(D7-C7),"0")</f>
        <v>1</v>
      </c>
      <c r="F79" s="2" t="str">
        <f>IF(F7="X",(D7-C7),"0")</f>
        <v>0</v>
      </c>
      <c r="G79" s="2" t="str">
        <f>IF(G7="X",(D7-C7),"0")</f>
        <v>0</v>
      </c>
      <c r="H79" s="2" t="str">
        <f>IF(H7="X",(D7-C7),"0")</f>
        <v>0</v>
      </c>
      <c r="I79" s="2" t="str">
        <f>IF(I7="X",(D7-C7),"0")</f>
        <v>0</v>
      </c>
      <c r="J79" s="2">
        <f>IF(J7="X",(D7-C7),"0")</f>
        <v>1</v>
      </c>
      <c r="K79" s="2" t="str">
        <f>IF(K7="X",(D7-C7),"0")</f>
        <v>0</v>
      </c>
      <c r="L79" s="2" t="str">
        <f>IF(L7="X",(D7-C7),"0")</f>
        <v>0</v>
      </c>
      <c r="M79" s="2">
        <f>IF(M7="X",(D7-C7),"0")</f>
        <v>1</v>
      </c>
      <c r="N79" s="2" t="str">
        <f>IF(N7="X",(D7-C7),"0")</f>
        <v>0</v>
      </c>
      <c r="O79" s="2" t="str">
        <f>IF(O7="X",(D7-C7),"0")</f>
        <v>0</v>
      </c>
      <c r="P79" s="2">
        <f>IF(P7="X",(D7-C7),"0")</f>
        <v>1</v>
      </c>
      <c r="Q79" s="2" t="str">
        <f>IF(Q7="X",(D7-C7),"0")</f>
        <v>0</v>
      </c>
      <c r="R79" s="2" t="str">
        <f>IF(R7="X",(D7-C7),"0")</f>
        <v>0</v>
      </c>
      <c r="S79" s="2">
        <f>IF(S7="X",(D7-C7),"0")</f>
        <v>1</v>
      </c>
      <c r="T79" s="2" t="str">
        <f>IF(T7="X",(D7-C7),"0")</f>
        <v>0</v>
      </c>
    </row>
    <row r="80" spans="1:40" x14ac:dyDescent="0.25">
      <c r="E80" s="2" t="str">
        <f t="shared" ref="E80:E143" si="2">IF(E8="X",(D8-C8),"0")</f>
        <v>0</v>
      </c>
      <c r="F80" s="2">
        <f t="shared" ref="F80:F143" si="3">IF(F8="X",(D8-C8),"0")</f>
        <v>1.1000000000000001</v>
      </c>
      <c r="G80" s="2" t="str">
        <f t="shared" ref="G80:G143" si="4">IF(G8="X",(D8-C8),"0")</f>
        <v>0</v>
      </c>
      <c r="H80" s="2" t="str">
        <f t="shared" ref="H80:H143" si="5">IF(H8="X",(D8-C8),"0")</f>
        <v>0</v>
      </c>
      <c r="I80" s="2" t="str">
        <f t="shared" ref="I80:I143" si="6">IF(I8="X",(D8-C8),"0")</f>
        <v>0</v>
      </c>
      <c r="J80" s="2" t="str">
        <f t="shared" ref="J80:J143" si="7">IF(J8="X",(D8-C8),"0")</f>
        <v>0</v>
      </c>
      <c r="K80" s="2">
        <f t="shared" ref="K80:K143" si="8">IF(K8="X",(D8-C8),"0")</f>
        <v>1.1000000000000001</v>
      </c>
      <c r="L80" s="2" t="str">
        <f t="shared" ref="L80:L143" si="9">IF(L8="X",(D8-C8),"0")</f>
        <v>0</v>
      </c>
      <c r="M80" s="2">
        <f t="shared" ref="M80:M143" si="10">IF(M8="X",(D8-C8),"0")</f>
        <v>1.1000000000000001</v>
      </c>
      <c r="N80" s="2">
        <f t="shared" ref="N80:N143" si="11">IF(N8="X",(D8-C8),"0")</f>
        <v>1.1000000000000001</v>
      </c>
      <c r="O80" s="2" t="str">
        <f t="shared" ref="O80:O143" si="12">IF(O8="X",(D8-C8),"0")</f>
        <v>0</v>
      </c>
      <c r="P80" s="2">
        <f t="shared" ref="P80:P143" si="13">IF(P8="X",(D8-C8),"0")</f>
        <v>1.1000000000000001</v>
      </c>
      <c r="Q80" s="2" t="str">
        <f t="shared" ref="Q80:Q143" si="14">IF(Q8="X",(D8-C8),"0")</f>
        <v>0</v>
      </c>
      <c r="R80" s="2" t="str">
        <f t="shared" ref="R80:R143" si="15">IF(R8="X",(D8-C8),"0")</f>
        <v>0</v>
      </c>
      <c r="S80" s="2">
        <f t="shared" ref="S80:S143" si="16">IF(S8="X",(D8-C8),"0")</f>
        <v>1.1000000000000001</v>
      </c>
      <c r="T80" s="2" t="str">
        <f t="shared" ref="T80:T143" si="17">IF(T8="X",(D8-C8),"0")</f>
        <v>0</v>
      </c>
    </row>
    <row r="81" spans="5:20" x14ac:dyDescent="0.25">
      <c r="E81" s="2">
        <f t="shared" si="2"/>
        <v>1.2999999999999998</v>
      </c>
      <c r="F81" s="2" t="str">
        <f t="shared" si="3"/>
        <v>0</v>
      </c>
      <c r="G81" s="2" t="str">
        <f t="shared" si="4"/>
        <v>0</v>
      </c>
      <c r="H81" s="2" t="str">
        <f t="shared" si="5"/>
        <v>0</v>
      </c>
      <c r="I81" s="2" t="str">
        <f t="shared" si="6"/>
        <v>0</v>
      </c>
      <c r="J81" s="2" t="str">
        <f t="shared" si="7"/>
        <v>0</v>
      </c>
      <c r="K81" s="2">
        <f t="shared" si="8"/>
        <v>1.2999999999999998</v>
      </c>
      <c r="L81" s="2" t="str">
        <f t="shared" si="9"/>
        <v>0</v>
      </c>
      <c r="M81" s="2">
        <f t="shared" si="10"/>
        <v>1.2999999999999998</v>
      </c>
      <c r="N81" s="2" t="str">
        <f t="shared" si="11"/>
        <v>0</v>
      </c>
      <c r="O81" s="2" t="str">
        <f t="shared" si="12"/>
        <v>0</v>
      </c>
      <c r="P81" s="2">
        <f t="shared" si="13"/>
        <v>1.2999999999999998</v>
      </c>
      <c r="Q81" s="2" t="str">
        <f t="shared" si="14"/>
        <v>0</v>
      </c>
      <c r="R81" s="2" t="str">
        <f t="shared" si="15"/>
        <v>0</v>
      </c>
      <c r="S81" s="2">
        <f t="shared" si="16"/>
        <v>1.2999999999999998</v>
      </c>
      <c r="T81" s="2" t="str">
        <f t="shared" si="17"/>
        <v>0</v>
      </c>
    </row>
    <row r="82" spans="5:20" x14ac:dyDescent="0.25">
      <c r="E82" s="2">
        <f t="shared" si="2"/>
        <v>0.80000000000000027</v>
      </c>
      <c r="F82" s="2" t="str">
        <f t="shared" si="3"/>
        <v>0</v>
      </c>
      <c r="G82" s="2" t="str">
        <f t="shared" si="4"/>
        <v>0</v>
      </c>
      <c r="H82" s="2" t="str">
        <f t="shared" si="5"/>
        <v>0</v>
      </c>
      <c r="I82" s="2" t="str">
        <f t="shared" si="6"/>
        <v>0</v>
      </c>
      <c r="J82" s="2" t="str">
        <f t="shared" si="7"/>
        <v>0</v>
      </c>
      <c r="K82" s="2">
        <f t="shared" si="8"/>
        <v>0.80000000000000027</v>
      </c>
      <c r="L82" s="2" t="str">
        <f t="shared" si="9"/>
        <v>0</v>
      </c>
      <c r="M82" s="2">
        <f t="shared" si="10"/>
        <v>0.80000000000000027</v>
      </c>
      <c r="N82" s="2" t="str">
        <f t="shared" si="11"/>
        <v>0</v>
      </c>
      <c r="O82" s="2" t="str">
        <f t="shared" si="12"/>
        <v>0</v>
      </c>
      <c r="P82" s="2">
        <f t="shared" si="13"/>
        <v>0.80000000000000027</v>
      </c>
      <c r="Q82" s="2" t="str">
        <f t="shared" si="14"/>
        <v>0</v>
      </c>
      <c r="R82" s="2" t="str">
        <f t="shared" si="15"/>
        <v>0</v>
      </c>
      <c r="S82" s="2">
        <f t="shared" si="16"/>
        <v>0.80000000000000027</v>
      </c>
      <c r="T82" s="2" t="str">
        <f t="shared" si="17"/>
        <v>0</v>
      </c>
    </row>
    <row r="83" spans="5:20" x14ac:dyDescent="0.25">
      <c r="E83" s="2" t="str">
        <f t="shared" si="2"/>
        <v>0</v>
      </c>
      <c r="F83" s="2" t="str">
        <f t="shared" si="3"/>
        <v>0</v>
      </c>
      <c r="G83" s="2" t="str">
        <f t="shared" si="4"/>
        <v>0</v>
      </c>
      <c r="H83" s="2" t="str">
        <f t="shared" si="5"/>
        <v>0</v>
      </c>
      <c r="I83" s="2">
        <f t="shared" si="6"/>
        <v>5.2</v>
      </c>
      <c r="J83" s="2" t="str">
        <f t="shared" si="7"/>
        <v>0</v>
      </c>
      <c r="K83" s="2">
        <f t="shared" si="8"/>
        <v>5.2</v>
      </c>
      <c r="L83" s="2" t="str">
        <f t="shared" si="9"/>
        <v>0</v>
      </c>
      <c r="M83" s="2">
        <f t="shared" si="10"/>
        <v>5.2</v>
      </c>
      <c r="N83" s="2" t="str">
        <f t="shared" si="11"/>
        <v>0</v>
      </c>
      <c r="O83" s="2" t="str">
        <f t="shared" si="12"/>
        <v>0</v>
      </c>
      <c r="P83" s="2">
        <f t="shared" si="13"/>
        <v>5.2</v>
      </c>
      <c r="Q83" s="2" t="str">
        <f t="shared" si="14"/>
        <v>0</v>
      </c>
      <c r="R83" s="2" t="str">
        <f t="shared" si="15"/>
        <v>0</v>
      </c>
      <c r="S83" s="2">
        <f t="shared" si="16"/>
        <v>5.2</v>
      </c>
      <c r="T83" s="2" t="str">
        <f t="shared" si="17"/>
        <v>0</v>
      </c>
    </row>
    <row r="84" spans="5:20" x14ac:dyDescent="0.25">
      <c r="E84" s="2" t="str">
        <f t="shared" si="2"/>
        <v>0</v>
      </c>
      <c r="F84" s="2" t="str">
        <f t="shared" si="3"/>
        <v>0</v>
      </c>
      <c r="G84" s="2" t="str">
        <f t="shared" si="4"/>
        <v>0</v>
      </c>
      <c r="H84" s="2" t="str">
        <f t="shared" si="5"/>
        <v>0</v>
      </c>
      <c r="I84" s="2">
        <f t="shared" si="6"/>
        <v>1.1999999999999993</v>
      </c>
      <c r="J84" s="2" t="str">
        <f t="shared" si="7"/>
        <v>0</v>
      </c>
      <c r="K84" s="2">
        <f t="shared" si="8"/>
        <v>1.1999999999999993</v>
      </c>
      <c r="L84" s="2" t="str">
        <f t="shared" si="9"/>
        <v>0</v>
      </c>
      <c r="M84" s="2">
        <f t="shared" si="10"/>
        <v>1.1999999999999993</v>
      </c>
      <c r="N84" s="2" t="str">
        <f t="shared" si="11"/>
        <v>0</v>
      </c>
      <c r="O84" s="2" t="str">
        <f t="shared" si="12"/>
        <v>0</v>
      </c>
      <c r="P84" s="2">
        <f t="shared" si="13"/>
        <v>1.1999999999999993</v>
      </c>
      <c r="Q84" s="2" t="str">
        <f t="shared" si="14"/>
        <v>0</v>
      </c>
      <c r="R84" s="2" t="str">
        <f t="shared" si="15"/>
        <v>0</v>
      </c>
      <c r="S84" s="2">
        <f t="shared" si="16"/>
        <v>1.1999999999999993</v>
      </c>
      <c r="T84" s="2" t="str">
        <f t="shared" si="17"/>
        <v>0</v>
      </c>
    </row>
    <row r="85" spans="5:20" x14ac:dyDescent="0.25">
      <c r="E85" s="2" t="str">
        <f t="shared" si="2"/>
        <v>0</v>
      </c>
      <c r="F85" s="2" t="str">
        <f t="shared" si="3"/>
        <v>0</v>
      </c>
      <c r="G85" s="2" t="str">
        <f t="shared" si="4"/>
        <v>0</v>
      </c>
      <c r="H85" s="2" t="str">
        <f t="shared" si="5"/>
        <v>0</v>
      </c>
      <c r="I85" s="2">
        <f t="shared" si="6"/>
        <v>2.0999999999999996</v>
      </c>
      <c r="J85" s="2" t="str">
        <f t="shared" si="7"/>
        <v>0</v>
      </c>
      <c r="K85" s="2">
        <f t="shared" si="8"/>
        <v>2.0999999999999996</v>
      </c>
      <c r="L85" s="2" t="str">
        <f t="shared" si="9"/>
        <v>0</v>
      </c>
      <c r="M85" s="2">
        <f t="shared" si="10"/>
        <v>2.0999999999999996</v>
      </c>
      <c r="N85" s="2" t="str">
        <f t="shared" si="11"/>
        <v>0</v>
      </c>
      <c r="O85" s="2" t="str">
        <f t="shared" si="12"/>
        <v>0</v>
      </c>
      <c r="P85" s="2">
        <f t="shared" si="13"/>
        <v>2.0999999999999996</v>
      </c>
      <c r="Q85" s="2" t="str">
        <f t="shared" si="14"/>
        <v>0</v>
      </c>
      <c r="R85" s="2" t="str">
        <f t="shared" si="15"/>
        <v>0</v>
      </c>
      <c r="S85" s="2">
        <f t="shared" si="16"/>
        <v>2.0999999999999996</v>
      </c>
      <c r="T85" s="2" t="str">
        <f t="shared" si="17"/>
        <v>0</v>
      </c>
    </row>
    <row r="86" spans="5:20" x14ac:dyDescent="0.25">
      <c r="E86" s="2">
        <f t="shared" si="2"/>
        <v>3.8200000000000003</v>
      </c>
      <c r="F86" s="2" t="str">
        <f t="shared" si="3"/>
        <v>0</v>
      </c>
      <c r="G86" s="2" t="str">
        <f t="shared" si="4"/>
        <v>0</v>
      </c>
      <c r="H86" s="2" t="str">
        <f t="shared" si="5"/>
        <v>0</v>
      </c>
      <c r="I86" s="2" t="str">
        <f t="shared" si="6"/>
        <v>0</v>
      </c>
      <c r="J86" s="2" t="str">
        <f t="shared" si="7"/>
        <v>0</v>
      </c>
      <c r="K86" s="2">
        <f t="shared" si="8"/>
        <v>3.8200000000000003</v>
      </c>
      <c r="L86" s="2" t="str">
        <f t="shared" si="9"/>
        <v>0</v>
      </c>
      <c r="M86" s="2">
        <f t="shared" si="10"/>
        <v>3.8200000000000003</v>
      </c>
      <c r="N86" s="2" t="str">
        <f t="shared" si="11"/>
        <v>0</v>
      </c>
      <c r="O86" s="2" t="str">
        <f t="shared" si="12"/>
        <v>0</v>
      </c>
      <c r="P86" s="2">
        <f t="shared" si="13"/>
        <v>3.8200000000000003</v>
      </c>
      <c r="Q86" s="2" t="str">
        <f t="shared" si="14"/>
        <v>0</v>
      </c>
      <c r="R86" s="2" t="str">
        <f t="shared" si="15"/>
        <v>0</v>
      </c>
      <c r="S86" s="2">
        <f t="shared" si="16"/>
        <v>3.8200000000000003</v>
      </c>
      <c r="T86" s="2" t="str">
        <f t="shared" si="17"/>
        <v>0</v>
      </c>
    </row>
    <row r="87" spans="5:20" x14ac:dyDescent="0.25">
      <c r="E87" s="2" t="str">
        <f t="shared" si="2"/>
        <v>0</v>
      </c>
      <c r="F87" s="2">
        <f t="shared" si="3"/>
        <v>0.6</v>
      </c>
      <c r="G87" s="2" t="str">
        <f t="shared" si="4"/>
        <v>0</v>
      </c>
      <c r="H87" s="2" t="str">
        <f t="shared" si="5"/>
        <v>0</v>
      </c>
      <c r="I87" s="2">
        <f t="shared" si="6"/>
        <v>0.6</v>
      </c>
      <c r="J87" s="2" t="str">
        <f t="shared" si="7"/>
        <v>0</v>
      </c>
      <c r="K87" s="2">
        <f t="shared" si="8"/>
        <v>0.6</v>
      </c>
      <c r="L87" s="2" t="str">
        <f t="shared" si="9"/>
        <v>0</v>
      </c>
      <c r="M87" s="2">
        <f t="shared" si="10"/>
        <v>0.6</v>
      </c>
      <c r="N87" s="2" t="str">
        <f t="shared" si="11"/>
        <v>0</v>
      </c>
      <c r="O87" s="2" t="str">
        <f t="shared" si="12"/>
        <v>0</v>
      </c>
      <c r="P87" s="2">
        <f t="shared" si="13"/>
        <v>0.6</v>
      </c>
      <c r="Q87" s="2" t="str">
        <f t="shared" si="14"/>
        <v>0</v>
      </c>
      <c r="R87" s="2" t="str">
        <f t="shared" si="15"/>
        <v>0</v>
      </c>
      <c r="S87" s="2">
        <f t="shared" si="16"/>
        <v>0.6</v>
      </c>
      <c r="T87" s="2" t="str">
        <f t="shared" si="17"/>
        <v>0</v>
      </c>
    </row>
    <row r="88" spans="5:20" x14ac:dyDescent="0.25">
      <c r="E88" s="2">
        <f t="shared" si="2"/>
        <v>3.3</v>
      </c>
      <c r="F88" s="2" t="str">
        <f t="shared" si="3"/>
        <v>0</v>
      </c>
      <c r="G88" s="2" t="str">
        <f t="shared" si="4"/>
        <v>0</v>
      </c>
      <c r="H88" s="2" t="str">
        <f t="shared" si="5"/>
        <v>0</v>
      </c>
      <c r="I88" s="2" t="str">
        <f t="shared" si="6"/>
        <v>0</v>
      </c>
      <c r="J88" s="2" t="str">
        <f t="shared" si="7"/>
        <v>0</v>
      </c>
      <c r="K88" s="2">
        <f t="shared" si="8"/>
        <v>3.3</v>
      </c>
      <c r="L88" s="2" t="str">
        <f t="shared" si="9"/>
        <v>0</v>
      </c>
      <c r="M88" s="2">
        <f t="shared" si="10"/>
        <v>3.3</v>
      </c>
      <c r="N88" s="2" t="str">
        <f t="shared" si="11"/>
        <v>0</v>
      </c>
      <c r="O88" s="2" t="str">
        <f t="shared" si="12"/>
        <v>0</v>
      </c>
      <c r="P88" s="2">
        <f t="shared" si="13"/>
        <v>3.3</v>
      </c>
      <c r="Q88" s="2" t="str">
        <f t="shared" si="14"/>
        <v>0</v>
      </c>
      <c r="R88" s="2" t="str">
        <f t="shared" si="15"/>
        <v>0</v>
      </c>
      <c r="S88" s="2">
        <f t="shared" si="16"/>
        <v>3.3</v>
      </c>
      <c r="T88" s="2" t="str">
        <f t="shared" si="17"/>
        <v>0</v>
      </c>
    </row>
    <row r="89" spans="5:20" x14ac:dyDescent="0.25">
      <c r="E89" s="2" t="str">
        <f t="shared" si="2"/>
        <v>0</v>
      </c>
      <c r="F89" s="2">
        <f t="shared" si="3"/>
        <v>0.80000000000000027</v>
      </c>
      <c r="G89" s="2" t="str">
        <f t="shared" si="4"/>
        <v>0</v>
      </c>
      <c r="H89" s="2" t="str">
        <f t="shared" si="5"/>
        <v>0</v>
      </c>
      <c r="I89" s="2">
        <f t="shared" si="6"/>
        <v>0.80000000000000027</v>
      </c>
      <c r="J89" s="2" t="str">
        <f t="shared" si="7"/>
        <v>0</v>
      </c>
      <c r="K89" s="2">
        <f t="shared" si="8"/>
        <v>0.80000000000000027</v>
      </c>
      <c r="L89" s="2" t="str">
        <f t="shared" si="9"/>
        <v>0</v>
      </c>
      <c r="M89" s="2">
        <f t="shared" si="10"/>
        <v>0.80000000000000027</v>
      </c>
      <c r="N89" s="2" t="str">
        <f t="shared" si="11"/>
        <v>0</v>
      </c>
      <c r="O89" s="2" t="str">
        <f t="shared" si="12"/>
        <v>0</v>
      </c>
      <c r="P89" s="2">
        <f t="shared" si="13"/>
        <v>0.80000000000000027</v>
      </c>
      <c r="Q89" s="2" t="str">
        <f t="shared" si="14"/>
        <v>0</v>
      </c>
      <c r="R89" s="2" t="str">
        <f t="shared" si="15"/>
        <v>0</v>
      </c>
      <c r="S89" s="2">
        <f t="shared" si="16"/>
        <v>0.80000000000000027</v>
      </c>
      <c r="T89" s="2" t="str">
        <f t="shared" si="17"/>
        <v>0</v>
      </c>
    </row>
    <row r="90" spans="5:20" x14ac:dyDescent="0.25">
      <c r="E90" s="2" t="str">
        <f t="shared" si="2"/>
        <v>0</v>
      </c>
      <c r="F90" s="2">
        <f t="shared" si="3"/>
        <v>1.2000000000000002</v>
      </c>
      <c r="G90" s="2" t="str">
        <f t="shared" si="4"/>
        <v>0</v>
      </c>
      <c r="H90" s="2" t="str">
        <f t="shared" si="5"/>
        <v>0</v>
      </c>
      <c r="I90" s="2">
        <f t="shared" si="6"/>
        <v>1.2000000000000002</v>
      </c>
      <c r="J90" s="2" t="str">
        <f t="shared" si="7"/>
        <v>0</v>
      </c>
      <c r="K90" s="2">
        <f t="shared" si="8"/>
        <v>1.2000000000000002</v>
      </c>
      <c r="L90" s="2" t="str">
        <f t="shared" si="9"/>
        <v>0</v>
      </c>
      <c r="M90" s="2">
        <f t="shared" si="10"/>
        <v>1.2000000000000002</v>
      </c>
      <c r="N90" s="2" t="str">
        <f t="shared" si="11"/>
        <v>0</v>
      </c>
      <c r="O90" s="2" t="str">
        <f t="shared" si="12"/>
        <v>0</v>
      </c>
      <c r="P90" s="2">
        <f t="shared" si="13"/>
        <v>1.2000000000000002</v>
      </c>
      <c r="Q90" s="2" t="str">
        <f t="shared" si="14"/>
        <v>0</v>
      </c>
      <c r="R90" s="2" t="str">
        <f t="shared" si="15"/>
        <v>0</v>
      </c>
      <c r="S90" s="2">
        <f t="shared" si="16"/>
        <v>1.2000000000000002</v>
      </c>
      <c r="T90" s="2" t="str">
        <f t="shared" si="17"/>
        <v>0</v>
      </c>
    </row>
    <row r="91" spans="5:20" x14ac:dyDescent="0.25">
      <c r="E91" s="2" t="str">
        <f t="shared" si="2"/>
        <v>0</v>
      </c>
      <c r="F91" s="2">
        <f t="shared" si="3"/>
        <v>2</v>
      </c>
      <c r="G91" s="2" t="str">
        <f t="shared" si="4"/>
        <v>0</v>
      </c>
      <c r="H91" s="2" t="str">
        <f t="shared" si="5"/>
        <v>0</v>
      </c>
      <c r="I91" s="2">
        <f t="shared" si="6"/>
        <v>2</v>
      </c>
      <c r="J91" s="2" t="str">
        <f t="shared" si="7"/>
        <v>0</v>
      </c>
      <c r="K91" s="2">
        <f t="shared" si="8"/>
        <v>2</v>
      </c>
      <c r="L91" s="2" t="str">
        <f t="shared" si="9"/>
        <v>0</v>
      </c>
      <c r="M91" s="2">
        <f t="shared" si="10"/>
        <v>2</v>
      </c>
      <c r="N91" s="2" t="str">
        <f t="shared" si="11"/>
        <v>0</v>
      </c>
      <c r="O91" s="2" t="str">
        <f t="shared" si="12"/>
        <v>0</v>
      </c>
      <c r="P91" s="2">
        <f t="shared" si="13"/>
        <v>2</v>
      </c>
      <c r="Q91" s="2" t="str">
        <f t="shared" si="14"/>
        <v>0</v>
      </c>
      <c r="R91" s="2" t="str">
        <f t="shared" si="15"/>
        <v>0</v>
      </c>
      <c r="S91" s="2">
        <f t="shared" si="16"/>
        <v>2</v>
      </c>
      <c r="T91" s="2" t="str">
        <f t="shared" si="17"/>
        <v>0</v>
      </c>
    </row>
    <row r="92" spans="5:20" x14ac:dyDescent="0.25">
      <c r="E92" s="2" t="str">
        <f t="shared" si="2"/>
        <v>0</v>
      </c>
      <c r="F92" s="2" t="str">
        <f t="shared" si="3"/>
        <v>0</v>
      </c>
      <c r="G92" s="2">
        <f t="shared" si="4"/>
        <v>5.4</v>
      </c>
      <c r="H92" s="2" t="str">
        <f t="shared" si="5"/>
        <v>0</v>
      </c>
      <c r="I92" s="2">
        <f t="shared" si="6"/>
        <v>5.4</v>
      </c>
      <c r="J92" s="2" t="str">
        <f t="shared" si="7"/>
        <v>0</v>
      </c>
      <c r="K92" s="2">
        <f t="shared" si="8"/>
        <v>5.4</v>
      </c>
      <c r="L92" s="2" t="str">
        <f t="shared" si="9"/>
        <v>0</v>
      </c>
      <c r="M92" s="2">
        <f t="shared" si="10"/>
        <v>5.4</v>
      </c>
      <c r="N92" s="2" t="str">
        <f t="shared" si="11"/>
        <v>0</v>
      </c>
      <c r="O92" s="2" t="str">
        <f t="shared" si="12"/>
        <v>0</v>
      </c>
      <c r="P92" s="2">
        <f t="shared" si="13"/>
        <v>5.4</v>
      </c>
      <c r="Q92" s="2" t="str">
        <f t="shared" si="14"/>
        <v>0</v>
      </c>
      <c r="R92" s="2" t="str">
        <f t="shared" si="15"/>
        <v>0</v>
      </c>
      <c r="S92" s="2">
        <f t="shared" si="16"/>
        <v>5.4</v>
      </c>
      <c r="T92" s="2" t="str">
        <f t="shared" si="17"/>
        <v>0</v>
      </c>
    </row>
    <row r="93" spans="5:20" x14ac:dyDescent="0.25">
      <c r="E93" s="2">
        <f t="shared" si="2"/>
        <v>1.2999999999999989</v>
      </c>
      <c r="F93" s="2" t="str">
        <f t="shared" si="3"/>
        <v>0</v>
      </c>
      <c r="G93" s="2" t="str">
        <f t="shared" si="4"/>
        <v>0</v>
      </c>
      <c r="H93" s="2" t="str">
        <f t="shared" si="5"/>
        <v>0</v>
      </c>
      <c r="I93" s="2" t="str">
        <f t="shared" si="6"/>
        <v>0</v>
      </c>
      <c r="J93" s="2" t="str">
        <f t="shared" si="7"/>
        <v>0</v>
      </c>
      <c r="K93" s="2">
        <f t="shared" si="8"/>
        <v>1.2999999999999989</v>
      </c>
      <c r="L93" s="2" t="str">
        <f t="shared" si="9"/>
        <v>0</v>
      </c>
      <c r="M93" s="2">
        <f t="shared" si="10"/>
        <v>1.2999999999999989</v>
      </c>
      <c r="N93" s="2" t="str">
        <f t="shared" si="11"/>
        <v>0</v>
      </c>
      <c r="O93" s="2" t="str">
        <f t="shared" si="12"/>
        <v>0</v>
      </c>
      <c r="P93" s="2">
        <f t="shared" si="13"/>
        <v>1.2999999999999989</v>
      </c>
      <c r="Q93" s="2" t="str">
        <f t="shared" si="14"/>
        <v>0</v>
      </c>
      <c r="R93" s="2" t="str">
        <f t="shared" si="15"/>
        <v>0</v>
      </c>
      <c r="S93" s="2">
        <f t="shared" si="16"/>
        <v>1.2999999999999989</v>
      </c>
      <c r="T93" s="2" t="str">
        <f t="shared" si="17"/>
        <v>0</v>
      </c>
    </row>
    <row r="94" spans="5:20" x14ac:dyDescent="0.25">
      <c r="E94" s="2" t="str">
        <f t="shared" si="2"/>
        <v>0</v>
      </c>
      <c r="F94" s="2" t="str">
        <f t="shared" si="3"/>
        <v>0</v>
      </c>
      <c r="G94" s="2">
        <f t="shared" si="4"/>
        <v>1.7000000000000011</v>
      </c>
      <c r="H94" s="2" t="str">
        <f t="shared" si="5"/>
        <v>0</v>
      </c>
      <c r="I94" s="2">
        <f t="shared" si="6"/>
        <v>1.7000000000000011</v>
      </c>
      <c r="J94" s="2" t="str">
        <f t="shared" si="7"/>
        <v>0</v>
      </c>
      <c r="K94" s="2">
        <f t="shared" si="8"/>
        <v>1.7000000000000011</v>
      </c>
      <c r="L94" s="2" t="str">
        <f t="shared" si="9"/>
        <v>0</v>
      </c>
      <c r="M94" s="2">
        <f t="shared" si="10"/>
        <v>1.7000000000000011</v>
      </c>
      <c r="N94" s="2" t="str">
        <f t="shared" si="11"/>
        <v>0</v>
      </c>
      <c r="O94" s="2" t="str">
        <f t="shared" si="12"/>
        <v>0</v>
      </c>
      <c r="P94" s="2">
        <f t="shared" si="13"/>
        <v>1.7000000000000011</v>
      </c>
      <c r="Q94" s="2" t="str">
        <f t="shared" si="14"/>
        <v>0</v>
      </c>
      <c r="R94" s="2" t="str">
        <f t="shared" si="15"/>
        <v>0</v>
      </c>
      <c r="S94" s="2">
        <f t="shared" si="16"/>
        <v>1.7000000000000011</v>
      </c>
      <c r="T94" s="2" t="str">
        <f t="shared" si="17"/>
        <v>0</v>
      </c>
    </row>
    <row r="95" spans="5:20" x14ac:dyDescent="0.25">
      <c r="E95" s="2" t="str">
        <f t="shared" si="2"/>
        <v>0</v>
      </c>
      <c r="F95" s="2">
        <f t="shared" si="3"/>
        <v>1.6999999999999993</v>
      </c>
      <c r="G95" s="2" t="str">
        <f t="shared" si="4"/>
        <v>0</v>
      </c>
      <c r="H95" s="2" t="str">
        <f t="shared" si="5"/>
        <v>0</v>
      </c>
      <c r="I95" s="2">
        <f t="shared" si="6"/>
        <v>1.6999999999999993</v>
      </c>
      <c r="J95" s="2" t="str">
        <f t="shared" si="7"/>
        <v>0</v>
      </c>
      <c r="K95" s="2">
        <f t="shared" si="8"/>
        <v>1.6999999999999993</v>
      </c>
      <c r="L95" s="2" t="str">
        <f t="shared" si="9"/>
        <v>0</v>
      </c>
      <c r="M95" s="2">
        <f t="shared" si="10"/>
        <v>1.6999999999999993</v>
      </c>
      <c r="N95" s="2" t="str">
        <f t="shared" si="11"/>
        <v>0</v>
      </c>
      <c r="O95" s="2" t="str">
        <f t="shared" si="12"/>
        <v>0</v>
      </c>
      <c r="P95" s="2">
        <f t="shared" si="13"/>
        <v>1.6999999999999993</v>
      </c>
      <c r="Q95" s="2" t="str">
        <f t="shared" si="14"/>
        <v>0</v>
      </c>
      <c r="R95" s="2" t="str">
        <f t="shared" si="15"/>
        <v>0</v>
      </c>
      <c r="S95" s="2">
        <f t="shared" si="16"/>
        <v>1.6999999999999993</v>
      </c>
      <c r="T95" s="2" t="str">
        <f t="shared" si="17"/>
        <v>0</v>
      </c>
    </row>
    <row r="96" spans="5:20" x14ac:dyDescent="0.25">
      <c r="E96" s="2" t="str">
        <f t="shared" si="2"/>
        <v>0</v>
      </c>
      <c r="F96" s="2">
        <f t="shared" si="3"/>
        <v>1.1000000000000014</v>
      </c>
      <c r="G96" s="2" t="str">
        <f t="shared" si="4"/>
        <v>0</v>
      </c>
      <c r="H96" s="2" t="str">
        <f t="shared" si="5"/>
        <v>0</v>
      </c>
      <c r="I96" s="2">
        <f t="shared" si="6"/>
        <v>1.1000000000000014</v>
      </c>
      <c r="J96" s="2" t="str">
        <f t="shared" si="7"/>
        <v>0</v>
      </c>
      <c r="K96" s="2">
        <f t="shared" si="8"/>
        <v>1.1000000000000014</v>
      </c>
      <c r="L96" s="2" t="str">
        <f t="shared" si="9"/>
        <v>0</v>
      </c>
      <c r="M96" s="2">
        <f t="shared" si="10"/>
        <v>1.1000000000000014</v>
      </c>
      <c r="N96" s="2" t="str">
        <f t="shared" si="11"/>
        <v>0</v>
      </c>
      <c r="O96" s="2" t="str">
        <f t="shared" si="12"/>
        <v>0</v>
      </c>
      <c r="P96" s="2">
        <f t="shared" si="13"/>
        <v>1.1000000000000014</v>
      </c>
      <c r="Q96" s="2" t="str">
        <f t="shared" si="14"/>
        <v>0</v>
      </c>
      <c r="R96" s="2" t="str">
        <f t="shared" si="15"/>
        <v>0</v>
      </c>
      <c r="S96" s="2">
        <f t="shared" si="16"/>
        <v>1.1000000000000014</v>
      </c>
      <c r="T96" s="2" t="str">
        <f t="shared" si="17"/>
        <v>0</v>
      </c>
    </row>
    <row r="97" spans="5:20" x14ac:dyDescent="0.25">
      <c r="E97" s="2" t="str">
        <f t="shared" si="2"/>
        <v>0</v>
      </c>
      <c r="F97" s="2" t="str">
        <f t="shared" si="3"/>
        <v>0</v>
      </c>
      <c r="G97" s="2">
        <f t="shared" si="4"/>
        <v>0.89999999999999858</v>
      </c>
      <c r="H97" s="2" t="str">
        <f t="shared" si="5"/>
        <v>0</v>
      </c>
      <c r="I97" s="2">
        <f t="shared" si="6"/>
        <v>0.89999999999999858</v>
      </c>
      <c r="J97" s="2" t="str">
        <f t="shared" si="7"/>
        <v>0</v>
      </c>
      <c r="K97" s="2">
        <f t="shared" si="8"/>
        <v>0.89999999999999858</v>
      </c>
      <c r="L97" s="2" t="str">
        <f t="shared" si="9"/>
        <v>0</v>
      </c>
      <c r="M97" s="2">
        <f t="shared" si="10"/>
        <v>0.89999999999999858</v>
      </c>
      <c r="N97" s="2" t="str">
        <f t="shared" si="11"/>
        <v>0</v>
      </c>
      <c r="O97" s="2" t="str">
        <f t="shared" si="12"/>
        <v>0</v>
      </c>
      <c r="P97" s="2">
        <f t="shared" si="13"/>
        <v>0.89999999999999858</v>
      </c>
      <c r="Q97" s="2" t="str">
        <f t="shared" si="14"/>
        <v>0</v>
      </c>
      <c r="R97" s="2" t="str">
        <f t="shared" si="15"/>
        <v>0</v>
      </c>
      <c r="S97" s="2">
        <f t="shared" si="16"/>
        <v>0.89999999999999858</v>
      </c>
      <c r="T97" s="2" t="str">
        <f t="shared" si="17"/>
        <v>0</v>
      </c>
    </row>
    <row r="98" spans="5:20" x14ac:dyDescent="0.25">
      <c r="E98" s="2" t="str">
        <f t="shared" si="2"/>
        <v>0</v>
      </c>
      <c r="F98" s="2" t="str">
        <f t="shared" si="3"/>
        <v>0</v>
      </c>
      <c r="G98" s="2">
        <f t="shared" si="4"/>
        <v>2.3000000000000007</v>
      </c>
      <c r="H98" s="2" t="str">
        <f t="shared" si="5"/>
        <v>0</v>
      </c>
      <c r="I98" s="2">
        <f t="shared" si="6"/>
        <v>2.3000000000000007</v>
      </c>
      <c r="J98" s="2" t="str">
        <f t="shared" si="7"/>
        <v>0</v>
      </c>
      <c r="K98" s="2">
        <f t="shared" si="8"/>
        <v>2.3000000000000007</v>
      </c>
      <c r="L98" s="2" t="str">
        <f t="shared" si="9"/>
        <v>0</v>
      </c>
      <c r="M98" s="2">
        <f t="shared" si="10"/>
        <v>2.3000000000000007</v>
      </c>
      <c r="N98" s="2" t="str">
        <f t="shared" si="11"/>
        <v>0</v>
      </c>
      <c r="O98" s="2" t="str">
        <f t="shared" si="12"/>
        <v>0</v>
      </c>
      <c r="P98" s="2">
        <f t="shared" si="13"/>
        <v>2.3000000000000007</v>
      </c>
      <c r="Q98" s="2" t="str">
        <f t="shared" si="14"/>
        <v>0</v>
      </c>
      <c r="R98" s="2" t="str">
        <f t="shared" si="15"/>
        <v>0</v>
      </c>
      <c r="S98" s="2">
        <f t="shared" si="16"/>
        <v>2.3000000000000007</v>
      </c>
      <c r="T98" s="2" t="str">
        <f t="shared" si="17"/>
        <v>0</v>
      </c>
    </row>
    <row r="99" spans="5:20" x14ac:dyDescent="0.25">
      <c r="E99" s="2" t="str">
        <f t="shared" si="2"/>
        <v>0</v>
      </c>
      <c r="F99" s="2">
        <f t="shared" si="3"/>
        <v>3.0999999999999979</v>
      </c>
      <c r="G99" s="2" t="str">
        <f t="shared" si="4"/>
        <v>0</v>
      </c>
      <c r="H99" s="2">
        <f t="shared" si="5"/>
        <v>3.0999999999999979</v>
      </c>
      <c r="I99" s="2" t="str">
        <f t="shared" si="6"/>
        <v>0</v>
      </c>
      <c r="J99" s="2" t="str">
        <f t="shared" si="7"/>
        <v>0</v>
      </c>
      <c r="K99" s="2">
        <f t="shared" si="8"/>
        <v>3.0999999999999979</v>
      </c>
      <c r="L99" s="2" t="str">
        <f t="shared" si="9"/>
        <v>0</v>
      </c>
      <c r="M99" s="2" t="str">
        <f t="shared" si="10"/>
        <v>0</v>
      </c>
      <c r="N99" s="2" t="str">
        <f t="shared" si="11"/>
        <v>0</v>
      </c>
      <c r="O99" s="2" t="str">
        <f t="shared" si="12"/>
        <v>0</v>
      </c>
      <c r="P99" s="2" t="str">
        <f t="shared" si="13"/>
        <v>0</v>
      </c>
      <c r="Q99" s="2" t="str">
        <f t="shared" si="14"/>
        <v>0</v>
      </c>
      <c r="R99" s="2" t="str">
        <f t="shared" si="15"/>
        <v>0</v>
      </c>
      <c r="S99" s="2" t="str">
        <f t="shared" si="16"/>
        <v>0</v>
      </c>
      <c r="T99" s="2" t="str">
        <f t="shared" si="17"/>
        <v>0</v>
      </c>
    </row>
    <row r="100" spans="5:20" x14ac:dyDescent="0.25">
      <c r="E100" s="2" t="str">
        <f t="shared" si="2"/>
        <v>0</v>
      </c>
      <c r="F100" s="2">
        <f t="shared" si="3"/>
        <v>0.5</v>
      </c>
      <c r="G100" s="2" t="str">
        <f t="shared" si="4"/>
        <v>0</v>
      </c>
      <c r="H100" s="2">
        <f t="shared" si="5"/>
        <v>0.5</v>
      </c>
      <c r="I100" s="2" t="str">
        <f t="shared" si="6"/>
        <v>0</v>
      </c>
      <c r="J100" s="2" t="str">
        <f t="shared" si="7"/>
        <v>0</v>
      </c>
      <c r="K100" s="2">
        <f t="shared" si="8"/>
        <v>0.5</v>
      </c>
      <c r="L100" s="2" t="str">
        <f t="shared" si="9"/>
        <v>0</v>
      </c>
      <c r="M100" s="2" t="str">
        <f t="shared" si="10"/>
        <v>0</v>
      </c>
      <c r="N100" s="2" t="str">
        <f t="shared" si="11"/>
        <v>0</v>
      </c>
      <c r="O100" s="2" t="str">
        <f t="shared" si="12"/>
        <v>0</v>
      </c>
      <c r="P100" s="2" t="str">
        <f t="shared" si="13"/>
        <v>0</v>
      </c>
      <c r="Q100" s="2" t="str">
        <f t="shared" si="14"/>
        <v>0</v>
      </c>
      <c r="R100" s="2" t="str">
        <f t="shared" si="15"/>
        <v>0</v>
      </c>
      <c r="S100" s="2" t="str">
        <f t="shared" si="16"/>
        <v>0</v>
      </c>
      <c r="T100" s="2" t="str">
        <f t="shared" si="17"/>
        <v>0</v>
      </c>
    </row>
    <row r="101" spans="5:20" x14ac:dyDescent="0.25">
      <c r="E101" s="2" t="str">
        <f t="shared" si="2"/>
        <v>0</v>
      </c>
      <c r="F101" s="2">
        <f t="shared" si="3"/>
        <v>1.9000000000000021</v>
      </c>
      <c r="G101" s="2">
        <f t="shared" si="4"/>
        <v>1.9000000000000021</v>
      </c>
      <c r="H101" s="2" t="str">
        <f t="shared" si="5"/>
        <v>0</v>
      </c>
      <c r="I101" s="2" t="str">
        <f t="shared" si="6"/>
        <v>0</v>
      </c>
      <c r="J101" s="2" t="str">
        <f t="shared" si="7"/>
        <v>0</v>
      </c>
      <c r="K101" s="2">
        <f t="shared" si="8"/>
        <v>1.9000000000000021</v>
      </c>
      <c r="L101" s="2" t="str">
        <f t="shared" si="9"/>
        <v>0</v>
      </c>
      <c r="M101" s="2" t="str">
        <f t="shared" si="10"/>
        <v>0</v>
      </c>
      <c r="N101" s="2" t="str">
        <f t="shared" si="11"/>
        <v>0</v>
      </c>
      <c r="O101" s="2" t="str">
        <f t="shared" si="12"/>
        <v>0</v>
      </c>
      <c r="P101" s="2" t="str">
        <f t="shared" si="13"/>
        <v>0</v>
      </c>
      <c r="Q101" s="2" t="str">
        <f t="shared" si="14"/>
        <v>0</v>
      </c>
      <c r="R101" s="2" t="str">
        <f t="shared" si="15"/>
        <v>0</v>
      </c>
      <c r="S101" s="2" t="str">
        <f t="shared" si="16"/>
        <v>0</v>
      </c>
      <c r="T101" s="2" t="str">
        <f t="shared" si="17"/>
        <v>0</v>
      </c>
    </row>
    <row r="102" spans="5:20" x14ac:dyDescent="0.25">
      <c r="E102" s="2">
        <f t="shared" si="2"/>
        <v>2.5999999999999979</v>
      </c>
      <c r="F102" s="2" t="str">
        <f t="shared" si="3"/>
        <v>0</v>
      </c>
      <c r="G102" s="2" t="str">
        <f t="shared" si="4"/>
        <v>0</v>
      </c>
      <c r="H102" s="2" t="str">
        <f t="shared" si="5"/>
        <v>0</v>
      </c>
      <c r="I102" s="2" t="str">
        <f t="shared" si="6"/>
        <v>0</v>
      </c>
      <c r="J102" s="2" t="str">
        <f t="shared" si="7"/>
        <v>0</v>
      </c>
      <c r="K102" s="2">
        <f t="shared" si="8"/>
        <v>2.5999999999999979</v>
      </c>
      <c r="L102" s="2" t="str">
        <f t="shared" si="9"/>
        <v>0</v>
      </c>
      <c r="M102" s="2" t="str">
        <f t="shared" si="10"/>
        <v>0</v>
      </c>
      <c r="N102" s="2" t="str">
        <f t="shared" si="11"/>
        <v>0</v>
      </c>
      <c r="O102" s="2" t="str">
        <f t="shared" si="12"/>
        <v>0</v>
      </c>
      <c r="P102" s="2" t="str">
        <f t="shared" si="13"/>
        <v>0</v>
      </c>
      <c r="Q102" s="2" t="str">
        <f t="shared" si="14"/>
        <v>0</v>
      </c>
      <c r="R102" s="2" t="str">
        <f t="shared" si="15"/>
        <v>0</v>
      </c>
      <c r="S102" s="2" t="str">
        <f t="shared" si="16"/>
        <v>0</v>
      </c>
      <c r="T102" s="2" t="str">
        <f t="shared" si="17"/>
        <v>0</v>
      </c>
    </row>
    <row r="103" spans="5:20" x14ac:dyDescent="0.25">
      <c r="E103" s="2" t="str">
        <f t="shared" si="2"/>
        <v>0</v>
      </c>
      <c r="F103" s="2">
        <f t="shared" si="3"/>
        <v>3.1000000000000014</v>
      </c>
      <c r="G103" s="2" t="str">
        <f t="shared" si="4"/>
        <v>0</v>
      </c>
      <c r="H103" s="2" t="str">
        <f t="shared" si="5"/>
        <v>0</v>
      </c>
      <c r="I103" s="2">
        <f t="shared" si="6"/>
        <v>3.1000000000000014</v>
      </c>
      <c r="J103" s="2" t="str">
        <f t="shared" si="7"/>
        <v>0</v>
      </c>
      <c r="K103" s="2">
        <f t="shared" si="8"/>
        <v>3.1000000000000014</v>
      </c>
      <c r="L103" s="2" t="str">
        <f t="shared" si="9"/>
        <v>0</v>
      </c>
      <c r="M103" s="2" t="str">
        <f t="shared" si="10"/>
        <v>0</v>
      </c>
      <c r="N103" s="2" t="str">
        <f t="shared" si="11"/>
        <v>0</v>
      </c>
      <c r="O103" s="2" t="str">
        <f t="shared" si="12"/>
        <v>0</v>
      </c>
      <c r="P103" s="2" t="str">
        <f t="shared" si="13"/>
        <v>0</v>
      </c>
      <c r="Q103" s="2" t="str">
        <f t="shared" si="14"/>
        <v>0</v>
      </c>
      <c r="R103" s="2" t="str">
        <f t="shared" si="15"/>
        <v>0</v>
      </c>
      <c r="S103" s="2" t="str">
        <f t="shared" si="16"/>
        <v>0</v>
      </c>
      <c r="T103" s="2" t="str">
        <f t="shared" si="17"/>
        <v>0</v>
      </c>
    </row>
    <row r="104" spans="5:20" x14ac:dyDescent="0.25">
      <c r="E104" s="2" t="str">
        <f t="shared" si="2"/>
        <v>0</v>
      </c>
      <c r="F104" s="2">
        <f t="shared" si="3"/>
        <v>1.5</v>
      </c>
      <c r="G104" s="2" t="str">
        <f t="shared" si="4"/>
        <v>0</v>
      </c>
      <c r="H104" s="2" t="str">
        <f t="shared" si="5"/>
        <v>0</v>
      </c>
      <c r="I104" s="2">
        <f t="shared" si="6"/>
        <v>1.5</v>
      </c>
      <c r="J104" s="2" t="str">
        <f t="shared" si="7"/>
        <v>0</v>
      </c>
      <c r="K104" s="2">
        <f t="shared" si="8"/>
        <v>1.5</v>
      </c>
      <c r="L104" s="2" t="str">
        <f t="shared" si="9"/>
        <v>0</v>
      </c>
      <c r="M104" s="2" t="str">
        <f t="shared" si="10"/>
        <v>0</v>
      </c>
      <c r="N104" s="2" t="str">
        <f t="shared" si="11"/>
        <v>0</v>
      </c>
      <c r="O104" s="2" t="str">
        <f t="shared" si="12"/>
        <v>0</v>
      </c>
      <c r="P104" s="2" t="str">
        <f t="shared" si="13"/>
        <v>0</v>
      </c>
      <c r="Q104" s="2" t="str">
        <f t="shared" si="14"/>
        <v>0</v>
      </c>
      <c r="R104" s="2" t="str">
        <f t="shared" si="15"/>
        <v>0</v>
      </c>
      <c r="S104" s="2" t="str">
        <f t="shared" si="16"/>
        <v>0</v>
      </c>
      <c r="T104" s="2" t="str">
        <f t="shared" si="17"/>
        <v>0</v>
      </c>
    </row>
    <row r="105" spans="5:20" x14ac:dyDescent="0.25">
      <c r="E105" s="2" t="str">
        <f t="shared" si="2"/>
        <v>0</v>
      </c>
      <c r="F105" s="2">
        <f t="shared" si="3"/>
        <v>3.7999999999999972</v>
      </c>
      <c r="G105" s="2" t="str">
        <f t="shared" si="4"/>
        <v>0</v>
      </c>
      <c r="H105" s="2">
        <f t="shared" si="5"/>
        <v>3.7999999999999972</v>
      </c>
      <c r="I105" s="2">
        <f t="shared" si="6"/>
        <v>3.7999999999999972</v>
      </c>
      <c r="J105" s="2" t="str">
        <f t="shared" si="7"/>
        <v>0</v>
      </c>
      <c r="K105" s="2">
        <f t="shared" si="8"/>
        <v>3.7999999999999972</v>
      </c>
      <c r="L105" s="2" t="str">
        <f t="shared" si="9"/>
        <v>0</v>
      </c>
      <c r="M105" s="2" t="str">
        <f t="shared" si="10"/>
        <v>0</v>
      </c>
      <c r="N105" s="2" t="str">
        <f t="shared" si="11"/>
        <v>0</v>
      </c>
      <c r="O105" s="2" t="str">
        <f t="shared" si="12"/>
        <v>0</v>
      </c>
      <c r="P105" s="2" t="str">
        <f t="shared" si="13"/>
        <v>0</v>
      </c>
      <c r="Q105" s="2" t="str">
        <f t="shared" si="14"/>
        <v>0</v>
      </c>
      <c r="R105" s="2" t="str">
        <f t="shared" si="15"/>
        <v>0</v>
      </c>
      <c r="S105" s="2" t="str">
        <f t="shared" si="16"/>
        <v>0</v>
      </c>
      <c r="T105" s="2" t="str">
        <f t="shared" si="17"/>
        <v>0</v>
      </c>
    </row>
    <row r="106" spans="5:20" x14ac:dyDescent="0.25">
      <c r="E106" s="2" t="str">
        <f t="shared" si="2"/>
        <v>0</v>
      </c>
      <c r="F106" s="2">
        <f t="shared" si="3"/>
        <v>1.7000000000000028</v>
      </c>
      <c r="G106" s="2" t="str">
        <f t="shared" si="4"/>
        <v>0</v>
      </c>
      <c r="H106" s="2">
        <f t="shared" si="5"/>
        <v>1.7000000000000028</v>
      </c>
      <c r="I106" s="2">
        <f t="shared" si="6"/>
        <v>1.7000000000000028</v>
      </c>
      <c r="J106" s="2" t="str">
        <f t="shared" si="7"/>
        <v>0</v>
      </c>
      <c r="K106" s="2">
        <f t="shared" si="8"/>
        <v>1.7000000000000028</v>
      </c>
      <c r="L106" s="2" t="str">
        <f t="shared" si="9"/>
        <v>0</v>
      </c>
      <c r="M106" s="2" t="str">
        <f t="shared" si="10"/>
        <v>0</v>
      </c>
      <c r="N106" s="2" t="str">
        <f t="shared" si="11"/>
        <v>0</v>
      </c>
      <c r="O106" s="2" t="str">
        <f t="shared" si="12"/>
        <v>0</v>
      </c>
      <c r="P106" s="2" t="str">
        <f t="shared" si="13"/>
        <v>0</v>
      </c>
      <c r="Q106" s="2" t="str">
        <f t="shared" si="14"/>
        <v>0</v>
      </c>
      <c r="R106" s="2" t="str">
        <f t="shared" si="15"/>
        <v>0</v>
      </c>
      <c r="S106" s="2" t="str">
        <f t="shared" si="16"/>
        <v>0</v>
      </c>
      <c r="T106" s="2" t="str">
        <f t="shared" si="17"/>
        <v>0</v>
      </c>
    </row>
    <row r="107" spans="5:20" x14ac:dyDescent="0.25">
      <c r="E107" s="2" t="str">
        <f t="shared" si="2"/>
        <v>0</v>
      </c>
      <c r="F107" s="2" t="str">
        <f t="shared" si="3"/>
        <v>0</v>
      </c>
      <c r="G107" s="2">
        <f t="shared" si="4"/>
        <v>1.2999999999999972</v>
      </c>
      <c r="H107" s="2" t="str">
        <f t="shared" si="5"/>
        <v>0</v>
      </c>
      <c r="I107" s="2">
        <f t="shared" si="6"/>
        <v>1.2999999999999972</v>
      </c>
      <c r="J107" s="2" t="str">
        <f t="shared" si="7"/>
        <v>0</v>
      </c>
      <c r="K107" s="2">
        <f t="shared" si="8"/>
        <v>1.2999999999999972</v>
      </c>
      <c r="L107" s="2" t="str">
        <f t="shared" si="9"/>
        <v>0</v>
      </c>
      <c r="M107" s="2" t="str">
        <f t="shared" si="10"/>
        <v>0</v>
      </c>
      <c r="N107" s="2" t="str">
        <f t="shared" si="11"/>
        <v>0</v>
      </c>
      <c r="O107" s="2" t="str">
        <f t="shared" si="12"/>
        <v>0</v>
      </c>
      <c r="P107" s="2" t="str">
        <f t="shared" si="13"/>
        <v>0</v>
      </c>
      <c r="Q107" s="2" t="str">
        <f t="shared" si="14"/>
        <v>0</v>
      </c>
      <c r="R107" s="2" t="str">
        <f t="shared" si="15"/>
        <v>0</v>
      </c>
      <c r="S107" s="2" t="str">
        <f t="shared" si="16"/>
        <v>0</v>
      </c>
      <c r="T107" s="2" t="str">
        <f t="shared" si="17"/>
        <v>0</v>
      </c>
    </row>
    <row r="108" spans="5:20" x14ac:dyDescent="0.25">
      <c r="E108" s="2" t="str">
        <f t="shared" si="2"/>
        <v>0</v>
      </c>
      <c r="F108" s="2" t="str">
        <f t="shared" si="3"/>
        <v>0</v>
      </c>
      <c r="G108" s="2" t="str">
        <f t="shared" si="4"/>
        <v>0</v>
      </c>
      <c r="H108" s="2" t="str">
        <f t="shared" si="5"/>
        <v>0</v>
      </c>
      <c r="I108" s="2">
        <f t="shared" si="6"/>
        <v>1.7000000000000028</v>
      </c>
      <c r="J108" s="2" t="str">
        <f t="shared" si="7"/>
        <v>0</v>
      </c>
      <c r="K108" s="2">
        <f t="shared" si="8"/>
        <v>1.7000000000000028</v>
      </c>
      <c r="L108" s="2" t="str">
        <f t="shared" si="9"/>
        <v>0</v>
      </c>
      <c r="M108" s="2" t="str">
        <f t="shared" si="10"/>
        <v>0</v>
      </c>
      <c r="N108" s="2" t="str">
        <f t="shared" si="11"/>
        <v>0</v>
      </c>
      <c r="O108" s="2" t="str">
        <f t="shared" si="12"/>
        <v>0</v>
      </c>
      <c r="P108" s="2" t="str">
        <f t="shared" si="13"/>
        <v>0</v>
      </c>
      <c r="Q108" s="2" t="str">
        <f t="shared" si="14"/>
        <v>0</v>
      </c>
      <c r="R108" s="2" t="str">
        <f t="shared" si="15"/>
        <v>0</v>
      </c>
      <c r="S108" s="2" t="str">
        <f t="shared" si="16"/>
        <v>0</v>
      </c>
      <c r="T108" s="2" t="str">
        <f t="shared" si="17"/>
        <v>0</v>
      </c>
    </row>
    <row r="109" spans="5:20" x14ac:dyDescent="0.25">
      <c r="E109" s="2">
        <f t="shared" si="2"/>
        <v>0.20000000000000284</v>
      </c>
      <c r="F109" s="2" t="str">
        <f t="shared" si="3"/>
        <v>0</v>
      </c>
      <c r="G109" s="2" t="str">
        <f t="shared" si="4"/>
        <v>0</v>
      </c>
      <c r="H109" s="2" t="str">
        <f t="shared" si="5"/>
        <v>0</v>
      </c>
      <c r="I109" s="2" t="str">
        <f t="shared" si="6"/>
        <v>0</v>
      </c>
      <c r="J109" s="2" t="str">
        <f t="shared" si="7"/>
        <v>0</v>
      </c>
      <c r="K109" s="2">
        <f t="shared" si="8"/>
        <v>0.20000000000000284</v>
      </c>
      <c r="L109" s="2" t="str">
        <f t="shared" si="9"/>
        <v>0</v>
      </c>
      <c r="M109" s="2" t="str">
        <f t="shared" si="10"/>
        <v>0</v>
      </c>
      <c r="N109" s="2" t="str">
        <f t="shared" si="11"/>
        <v>0</v>
      </c>
      <c r="O109" s="2" t="str">
        <f t="shared" si="12"/>
        <v>0</v>
      </c>
      <c r="P109" s="2" t="str">
        <f t="shared" si="13"/>
        <v>0</v>
      </c>
      <c r="Q109" s="2" t="str">
        <f t="shared" si="14"/>
        <v>0</v>
      </c>
      <c r="R109" s="2" t="str">
        <f t="shared" si="15"/>
        <v>0</v>
      </c>
      <c r="S109" s="2" t="str">
        <f t="shared" si="16"/>
        <v>0</v>
      </c>
      <c r="T109" s="2" t="str">
        <f t="shared" si="17"/>
        <v>0</v>
      </c>
    </row>
    <row r="110" spans="5:20" x14ac:dyDescent="0.25">
      <c r="E110" s="2" t="str">
        <f t="shared" si="2"/>
        <v>0</v>
      </c>
      <c r="F110" s="2">
        <f t="shared" si="3"/>
        <v>9.9999999999994316E-2</v>
      </c>
      <c r="G110" s="2" t="str">
        <f t="shared" si="4"/>
        <v>0</v>
      </c>
      <c r="H110" s="2">
        <f t="shared" si="5"/>
        <v>9.9999999999994316E-2</v>
      </c>
      <c r="I110" s="2" t="str">
        <f t="shared" si="6"/>
        <v>0</v>
      </c>
      <c r="J110" s="2" t="str">
        <f t="shared" si="7"/>
        <v>0</v>
      </c>
      <c r="K110" s="2">
        <f t="shared" si="8"/>
        <v>9.9999999999994316E-2</v>
      </c>
      <c r="L110" s="2" t="str">
        <f t="shared" si="9"/>
        <v>0</v>
      </c>
      <c r="M110" s="2" t="str">
        <f t="shared" si="10"/>
        <v>0</v>
      </c>
      <c r="N110" s="2" t="str">
        <f t="shared" si="11"/>
        <v>0</v>
      </c>
      <c r="O110" s="2" t="str">
        <f t="shared" si="12"/>
        <v>0</v>
      </c>
      <c r="P110" s="2" t="str">
        <f t="shared" si="13"/>
        <v>0</v>
      </c>
      <c r="Q110" s="2" t="str">
        <f t="shared" si="14"/>
        <v>0</v>
      </c>
      <c r="R110" s="2" t="str">
        <f t="shared" si="15"/>
        <v>0</v>
      </c>
      <c r="S110" s="2" t="str">
        <f t="shared" si="16"/>
        <v>0</v>
      </c>
      <c r="T110" s="2" t="str">
        <f t="shared" si="17"/>
        <v>0</v>
      </c>
    </row>
    <row r="111" spans="5:20" x14ac:dyDescent="0.25">
      <c r="E111" s="2" t="str">
        <f t="shared" si="2"/>
        <v>0</v>
      </c>
      <c r="F111" s="2">
        <f>IF(F39="X",(D39-C39),"0")</f>
        <v>2.5800000000000054</v>
      </c>
      <c r="G111" s="2" t="str">
        <f t="shared" si="4"/>
        <v>0</v>
      </c>
      <c r="H111" s="2">
        <f t="shared" si="5"/>
        <v>2.5800000000000054</v>
      </c>
      <c r="I111" s="2" t="str">
        <f t="shared" si="6"/>
        <v>0</v>
      </c>
      <c r="J111" s="2" t="str">
        <f t="shared" si="7"/>
        <v>0</v>
      </c>
      <c r="K111" s="2">
        <f t="shared" si="8"/>
        <v>2.5800000000000054</v>
      </c>
      <c r="L111" s="2" t="str">
        <f t="shared" si="9"/>
        <v>0</v>
      </c>
      <c r="M111" s="2" t="str">
        <f t="shared" si="10"/>
        <v>0</v>
      </c>
      <c r="N111" s="2" t="str">
        <f t="shared" si="11"/>
        <v>0</v>
      </c>
      <c r="O111" s="2" t="str">
        <f t="shared" si="12"/>
        <v>0</v>
      </c>
      <c r="P111" s="2" t="str">
        <f t="shared" si="13"/>
        <v>0</v>
      </c>
      <c r="Q111" s="2" t="str">
        <f t="shared" si="14"/>
        <v>0</v>
      </c>
      <c r="R111" s="2" t="str">
        <f t="shared" si="15"/>
        <v>0</v>
      </c>
      <c r="S111" s="2" t="str">
        <f t="shared" si="16"/>
        <v>0</v>
      </c>
      <c r="T111" s="2" t="str">
        <f t="shared" si="17"/>
        <v>0</v>
      </c>
    </row>
    <row r="112" spans="5:20" x14ac:dyDescent="0.25">
      <c r="E112" s="2" t="str">
        <f t="shared" si="2"/>
        <v>0</v>
      </c>
      <c r="F112" s="2" t="str">
        <f t="shared" si="3"/>
        <v>0</v>
      </c>
      <c r="G112" s="2" t="str">
        <f t="shared" si="4"/>
        <v>0</v>
      </c>
      <c r="H112" s="2" t="str">
        <f t="shared" si="5"/>
        <v>0</v>
      </c>
      <c r="I112" s="2" t="str">
        <f t="shared" si="6"/>
        <v>0</v>
      </c>
      <c r="J112" s="2" t="str">
        <f t="shared" si="7"/>
        <v>0</v>
      </c>
      <c r="K112" s="2" t="str">
        <f t="shared" si="8"/>
        <v>0</v>
      </c>
      <c r="L112" s="2" t="str">
        <f t="shared" si="9"/>
        <v>0</v>
      </c>
      <c r="M112" s="2" t="str">
        <f t="shared" si="10"/>
        <v>0</v>
      </c>
      <c r="N112" s="2" t="str">
        <f t="shared" si="11"/>
        <v>0</v>
      </c>
      <c r="O112" s="2" t="str">
        <f t="shared" si="12"/>
        <v>0</v>
      </c>
      <c r="P112" s="2" t="str">
        <f t="shared" si="13"/>
        <v>0</v>
      </c>
      <c r="Q112" s="2" t="str">
        <f t="shared" si="14"/>
        <v>0</v>
      </c>
      <c r="R112" s="2" t="str">
        <f t="shared" si="15"/>
        <v>0</v>
      </c>
      <c r="S112" s="2" t="str">
        <f t="shared" si="16"/>
        <v>0</v>
      </c>
      <c r="T112" s="2" t="str">
        <f t="shared" si="17"/>
        <v>0</v>
      </c>
    </row>
    <row r="113" spans="5:20" x14ac:dyDescent="0.25">
      <c r="E113" s="2" t="str">
        <f t="shared" si="2"/>
        <v>0</v>
      </c>
      <c r="F113" s="2" t="str">
        <f t="shared" si="3"/>
        <v>0</v>
      </c>
      <c r="G113" s="2" t="str">
        <f t="shared" si="4"/>
        <v>0</v>
      </c>
      <c r="H113" s="2" t="str">
        <f t="shared" si="5"/>
        <v>0</v>
      </c>
      <c r="I113" s="2" t="str">
        <f t="shared" si="6"/>
        <v>0</v>
      </c>
      <c r="J113" s="2" t="str">
        <f t="shared" si="7"/>
        <v>0</v>
      </c>
      <c r="K113" s="2" t="str">
        <f t="shared" si="8"/>
        <v>0</v>
      </c>
      <c r="L113" s="2" t="str">
        <f t="shared" si="9"/>
        <v>0</v>
      </c>
      <c r="M113" s="2" t="str">
        <f t="shared" si="10"/>
        <v>0</v>
      </c>
      <c r="N113" s="2" t="str">
        <f t="shared" si="11"/>
        <v>0</v>
      </c>
      <c r="O113" s="2" t="str">
        <f t="shared" si="12"/>
        <v>0</v>
      </c>
      <c r="P113" s="2" t="str">
        <f t="shared" si="13"/>
        <v>0</v>
      </c>
      <c r="Q113" s="2" t="str">
        <f t="shared" si="14"/>
        <v>0</v>
      </c>
      <c r="R113" s="2" t="str">
        <f t="shared" si="15"/>
        <v>0</v>
      </c>
      <c r="S113" s="2" t="str">
        <f t="shared" si="16"/>
        <v>0</v>
      </c>
      <c r="T113" s="2" t="str">
        <f t="shared" si="17"/>
        <v>0</v>
      </c>
    </row>
    <row r="114" spans="5:20" x14ac:dyDescent="0.25">
      <c r="E114" s="2" t="str">
        <f t="shared" si="2"/>
        <v>0</v>
      </c>
      <c r="F114" s="2" t="str">
        <f t="shared" si="3"/>
        <v>0</v>
      </c>
      <c r="G114" s="2" t="str">
        <f t="shared" si="4"/>
        <v>0</v>
      </c>
      <c r="H114" s="2" t="str">
        <f t="shared" si="5"/>
        <v>0</v>
      </c>
      <c r="I114" s="2" t="str">
        <f t="shared" si="6"/>
        <v>0</v>
      </c>
      <c r="J114" s="2" t="str">
        <f t="shared" si="7"/>
        <v>0</v>
      </c>
      <c r="K114" s="2" t="str">
        <f t="shared" si="8"/>
        <v>0</v>
      </c>
      <c r="L114" s="2" t="str">
        <f t="shared" si="9"/>
        <v>0</v>
      </c>
      <c r="M114" s="2" t="str">
        <f t="shared" si="10"/>
        <v>0</v>
      </c>
      <c r="N114" s="2" t="str">
        <f t="shared" si="11"/>
        <v>0</v>
      </c>
      <c r="O114" s="2" t="str">
        <f t="shared" si="12"/>
        <v>0</v>
      </c>
      <c r="P114" s="2" t="str">
        <f t="shared" si="13"/>
        <v>0</v>
      </c>
      <c r="Q114" s="2" t="str">
        <f t="shared" si="14"/>
        <v>0</v>
      </c>
      <c r="R114" s="2" t="str">
        <f t="shared" si="15"/>
        <v>0</v>
      </c>
      <c r="S114" s="2" t="str">
        <f t="shared" si="16"/>
        <v>0</v>
      </c>
      <c r="T114" s="2" t="str">
        <f t="shared" si="17"/>
        <v>0</v>
      </c>
    </row>
    <row r="115" spans="5:20" x14ac:dyDescent="0.25">
      <c r="E115" s="2" t="str">
        <f t="shared" si="2"/>
        <v>0</v>
      </c>
      <c r="F115" s="2" t="str">
        <f t="shared" si="3"/>
        <v>0</v>
      </c>
      <c r="G115" s="2" t="str">
        <f t="shared" si="4"/>
        <v>0</v>
      </c>
      <c r="H115" s="2" t="str">
        <f t="shared" si="5"/>
        <v>0</v>
      </c>
      <c r="I115" s="2" t="str">
        <f t="shared" si="6"/>
        <v>0</v>
      </c>
      <c r="J115" s="2" t="str">
        <f t="shared" si="7"/>
        <v>0</v>
      </c>
      <c r="K115" s="2" t="str">
        <f t="shared" si="8"/>
        <v>0</v>
      </c>
      <c r="L115" s="2" t="str">
        <f t="shared" si="9"/>
        <v>0</v>
      </c>
      <c r="M115" s="2" t="str">
        <f t="shared" si="10"/>
        <v>0</v>
      </c>
      <c r="N115" s="2" t="str">
        <f t="shared" si="11"/>
        <v>0</v>
      </c>
      <c r="O115" s="2" t="str">
        <f t="shared" si="12"/>
        <v>0</v>
      </c>
      <c r="P115" s="2" t="str">
        <f t="shared" si="13"/>
        <v>0</v>
      </c>
      <c r="Q115" s="2" t="str">
        <f t="shared" si="14"/>
        <v>0</v>
      </c>
      <c r="R115" s="2" t="str">
        <f t="shared" si="15"/>
        <v>0</v>
      </c>
      <c r="S115" s="2" t="str">
        <f t="shared" si="16"/>
        <v>0</v>
      </c>
      <c r="T115" s="2" t="str">
        <f t="shared" si="17"/>
        <v>0</v>
      </c>
    </row>
    <row r="116" spans="5:20" x14ac:dyDescent="0.25">
      <c r="E116" s="2" t="str">
        <f t="shared" si="2"/>
        <v>0</v>
      </c>
      <c r="F116" s="2" t="str">
        <f t="shared" si="3"/>
        <v>0</v>
      </c>
      <c r="G116" s="2" t="str">
        <f t="shared" si="4"/>
        <v>0</v>
      </c>
      <c r="H116" s="2" t="str">
        <f t="shared" si="5"/>
        <v>0</v>
      </c>
      <c r="I116" s="2" t="str">
        <f t="shared" si="6"/>
        <v>0</v>
      </c>
      <c r="J116" s="2" t="str">
        <f t="shared" si="7"/>
        <v>0</v>
      </c>
      <c r="K116" s="2" t="str">
        <f t="shared" si="8"/>
        <v>0</v>
      </c>
      <c r="L116" s="2" t="str">
        <f t="shared" si="9"/>
        <v>0</v>
      </c>
      <c r="M116" s="2" t="str">
        <f t="shared" si="10"/>
        <v>0</v>
      </c>
      <c r="N116" s="2" t="str">
        <f t="shared" si="11"/>
        <v>0</v>
      </c>
      <c r="O116" s="2" t="str">
        <f t="shared" si="12"/>
        <v>0</v>
      </c>
      <c r="P116" s="2" t="str">
        <f t="shared" si="13"/>
        <v>0</v>
      </c>
      <c r="Q116" s="2" t="str">
        <f t="shared" si="14"/>
        <v>0</v>
      </c>
      <c r="R116" s="2" t="str">
        <f t="shared" si="15"/>
        <v>0</v>
      </c>
      <c r="S116" s="2" t="str">
        <f t="shared" si="16"/>
        <v>0</v>
      </c>
      <c r="T116" s="2" t="str">
        <f t="shared" si="17"/>
        <v>0</v>
      </c>
    </row>
    <row r="117" spans="5:20" x14ac:dyDescent="0.25">
      <c r="E117" s="2" t="str">
        <f t="shared" si="2"/>
        <v>0</v>
      </c>
      <c r="F117" s="2" t="str">
        <f t="shared" si="3"/>
        <v>0</v>
      </c>
      <c r="G117" s="2" t="str">
        <f t="shared" si="4"/>
        <v>0</v>
      </c>
      <c r="H117" s="2" t="str">
        <f t="shared" si="5"/>
        <v>0</v>
      </c>
      <c r="I117" s="2" t="str">
        <f t="shared" si="6"/>
        <v>0</v>
      </c>
      <c r="J117" s="2" t="str">
        <f t="shared" si="7"/>
        <v>0</v>
      </c>
      <c r="K117" s="2" t="str">
        <f t="shared" si="8"/>
        <v>0</v>
      </c>
      <c r="L117" s="2" t="str">
        <f t="shared" si="9"/>
        <v>0</v>
      </c>
      <c r="M117" s="2" t="str">
        <f t="shared" si="10"/>
        <v>0</v>
      </c>
      <c r="N117" s="2" t="str">
        <f t="shared" si="11"/>
        <v>0</v>
      </c>
      <c r="O117" s="2" t="str">
        <f t="shared" si="12"/>
        <v>0</v>
      </c>
      <c r="P117" s="2" t="str">
        <f t="shared" si="13"/>
        <v>0</v>
      </c>
      <c r="Q117" s="2" t="str">
        <f t="shared" si="14"/>
        <v>0</v>
      </c>
      <c r="R117" s="2" t="str">
        <f t="shared" si="15"/>
        <v>0</v>
      </c>
      <c r="S117" s="2" t="str">
        <f t="shared" si="16"/>
        <v>0</v>
      </c>
      <c r="T117" s="2" t="str">
        <f t="shared" si="17"/>
        <v>0</v>
      </c>
    </row>
    <row r="118" spans="5:20" x14ac:dyDescent="0.25">
      <c r="E118" s="2" t="str">
        <f t="shared" si="2"/>
        <v>0</v>
      </c>
      <c r="F118" s="2" t="str">
        <f t="shared" si="3"/>
        <v>0</v>
      </c>
      <c r="G118" s="2" t="str">
        <f t="shared" si="4"/>
        <v>0</v>
      </c>
      <c r="H118" s="2" t="str">
        <f t="shared" si="5"/>
        <v>0</v>
      </c>
      <c r="I118" s="2" t="str">
        <f t="shared" si="6"/>
        <v>0</v>
      </c>
      <c r="J118" s="2" t="str">
        <f t="shared" si="7"/>
        <v>0</v>
      </c>
      <c r="K118" s="2" t="str">
        <f t="shared" si="8"/>
        <v>0</v>
      </c>
      <c r="L118" s="2" t="str">
        <f t="shared" si="9"/>
        <v>0</v>
      </c>
      <c r="M118" s="2" t="str">
        <f t="shared" si="10"/>
        <v>0</v>
      </c>
      <c r="N118" s="2" t="str">
        <f t="shared" si="11"/>
        <v>0</v>
      </c>
      <c r="O118" s="2" t="str">
        <f t="shared" si="12"/>
        <v>0</v>
      </c>
      <c r="P118" s="2" t="str">
        <f t="shared" si="13"/>
        <v>0</v>
      </c>
      <c r="Q118" s="2" t="str">
        <f t="shared" si="14"/>
        <v>0</v>
      </c>
      <c r="R118" s="2" t="str">
        <f t="shared" si="15"/>
        <v>0</v>
      </c>
      <c r="S118" s="2" t="str">
        <f t="shared" si="16"/>
        <v>0</v>
      </c>
      <c r="T118" s="2" t="str">
        <f t="shared" si="17"/>
        <v>0</v>
      </c>
    </row>
    <row r="119" spans="5:20" x14ac:dyDescent="0.25">
      <c r="E119" s="2" t="str">
        <f t="shared" si="2"/>
        <v>0</v>
      </c>
      <c r="F119" s="2" t="str">
        <f t="shared" si="3"/>
        <v>0</v>
      </c>
      <c r="G119" s="2" t="str">
        <f t="shared" si="4"/>
        <v>0</v>
      </c>
      <c r="H119" s="2" t="str">
        <f t="shared" si="5"/>
        <v>0</v>
      </c>
      <c r="I119" s="2" t="str">
        <f t="shared" si="6"/>
        <v>0</v>
      </c>
      <c r="J119" s="2" t="str">
        <f t="shared" si="7"/>
        <v>0</v>
      </c>
      <c r="K119" s="2" t="str">
        <f t="shared" si="8"/>
        <v>0</v>
      </c>
      <c r="L119" s="2" t="str">
        <f t="shared" si="9"/>
        <v>0</v>
      </c>
      <c r="M119" s="2" t="str">
        <f t="shared" si="10"/>
        <v>0</v>
      </c>
      <c r="N119" s="2" t="str">
        <f t="shared" si="11"/>
        <v>0</v>
      </c>
      <c r="O119" s="2" t="str">
        <f t="shared" si="12"/>
        <v>0</v>
      </c>
      <c r="P119" s="2" t="str">
        <f t="shared" si="13"/>
        <v>0</v>
      </c>
      <c r="Q119" s="2" t="str">
        <f t="shared" si="14"/>
        <v>0</v>
      </c>
      <c r="R119" s="2" t="str">
        <f t="shared" si="15"/>
        <v>0</v>
      </c>
      <c r="S119" s="2" t="str">
        <f t="shared" si="16"/>
        <v>0</v>
      </c>
      <c r="T119" s="2" t="str">
        <f t="shared" si="17"/>
        <v>0</v>
      </c>
    </row>
    <row r="120" spans="5:20" x14ac:dyDescent="0.25">
      <c r="E120" s="2" t="str">
        <f t="shared" si="2"/>
        <v>0</v>
      </c>
      <c r="F120" s="2" t="str">
        <f t="shared" si="3"/>
        <v>0</v>
      </c>
      <c r="G120" s="2" t="str">
        <f t="shared" si="4"/>
        <v>0</v>
      </c>
      <c r="H120" s="2" t="str">
        <f t="shared" si="5"/>
        <v>0</v>
      </c>
      <c r="I120" s="2" t="str">
        <f t="shared" si="6"/>
        <v>0</v>
      </c>
      <c r="J120" s="2" t="str">
        <f t="shared" si="7"/>
        <v>0</v>
      </c>
      <c r="K120" s="2" t="str">
        <f t="shared" si="8"/>
        <v>0</v>
      </c>
      <c r="L120" s="2" t="str">
        <f t="shared" si="9"/>
        <v>0</v>
      </c>
      <c r="M120" s="2" t="str">
        <f t="shared" si="10"/>
        <v>0</v>
      </c>
      <c r="N120" s="2" t="str">
        <f t="shared" si="11"/>
        <v>0</v>
      </c>
      <c r="O120" s="2" t="str">
        <f t="shared" si="12"/>
        <v>0</v>
      </c>
      <c r="P120" s="2" t="str">
        <f t="shared" si="13"/>
        <v>0</v>
      </c>
      <c r="Q120" s="2" t="str">
        <f t="shared" si="14"/>
        <v>0</v>
      </c>
      <c r="R120" s="2" t="str">
        <f t="shared" si="15"/>
        <v>0</v>
      </c>
      <c r="S120" s="2" t="str">
        <f t="shared" si="16"/>
        <v>0</v>
      </c>
      <c r="T120" s="2" t="str">
        <f t="shared" si="17"/>
        <v>0</v>
      </c>
    </row>
    <row r="121" spans="5:20" x14ac:dyDescent="0.25">
      <c r="E121" s="2" t="str">
        <f t="shared" si="2"/>
        <v>0</v>
      </c>
      <c r="F121" s="2" t="str">
        <f t="shared" si="3"/>
        <v>0</v>
      </c>
      <c r="G121" s="2" t="str">
        <f t="shared" si="4"/>
        <v>0</v>
      </c>
      <c r="H121" s="2" t="str">
        <f t="shared" si="5"/>
        <v>0</v>
      </c>
      <c r="I121" s="2" t="str">
        <f t="shared" si="6"/>
        <v>0</v>
      </c>
      <c r="J121" s="2" t="str">
        <f t="shared" si="7"/>
        <v>0</v>
      </c>
      <c r="K121" s="2" t="str">
        <f t="shared" si="8"/>
        <v>0</v>
      </c>
      <c r="L121" s="2" t="str">
        <f t="shared" si="9"/>
        <v>0</v>
      </c>
      <c r="M121" s="2" t="str">
        <f t="shared" si="10"/>
        <v>0</v>
      </c>
      <c r="N121" s="2" t="str">
        <f t="shared" si="11"/>
        <v>0</v>
      </c>
      <c r="O121" s="2" t="str">
        <f t="shared" si="12"/>
        <v>0</v>
      </c>
      <c r="P121" s="2" t="str">
        <f t="shared" si="13"/>
        <v>0</v>
      </c>
      <c r="Q121" s="2" t="str">
        <f t="shared" si="14"/>
        <v>0</v>
      </c>
      <c r="R121" s="2" t="str">
        <f t="shared" si="15"/>
        <v>0</v>
      </c>
      <c r="S121" s="2" t="str">
        <f t="shared" si="16"/>
        <v>0</v>
      </c>
      <c r="T121" s="2" t="str">
        <f t="shared" si="17"/>
        <v>0</v>
      </c>
    </row>
    <row r="122" spans="5:20" x14ac:dyDescent="0.25">
      <c r="E122" s="2" t="str">
        <f t="shared" si="2"/>
        <v>0</v>
      </c>
      <c r="F122" s="2" t="str">
        <f t="shared" si="3"/>
        <v>0</v>
      </c>
      <c r="G122" s="2" t="str">
        <f t="shared" si="4"/>
        <v>0</v>
      </c>
      <c r="H122" s="2" t="str">
        <f t="shared" si="5"/>
        <v>0</v>
      </c>
      <c r="I122" s="2" t="str">
        <f t="shared" si="6"/>
        <v>0</v>
      </c>
      <c r="J122" s="2" t="str">
        <f t="shared" si="7"/>
        <v>0</v>
      </c>
      <c r="K122" s="2" t="str">
        <f t="shared" si="8"/>
        <v>0</v>
      </c>
      <c r="L122" s="2" t="str">
        <f t="shared" si="9"/>
        <v>0</v>
      </c>
      <c r="M122" s="2" t="str">
        <f t="shared" si="10"/>
        <v>0</v>
      </c>
      <c r="N122" s="2" t="str">
        <f t="shared" si="11"/>
        <v>0</v>
      </c>
      <c r="O122" s="2" t="str">
        <f t="shared" si="12"/>
        <v>0</v>
      </c>
      <c r="P122" s="2" t="str">
        <f t="shared" si="13"/>
        <v>0</v>
      </c>
      <c r="Q122" s="2" t="str">
        <f t="shared" si="14"/>
        <v>0</v>
      </c>
      <c r="R122" s="2" t="str">
        <f t="shared" si="15"/>
        <v>0</v>
      </c>
      <c r="S122" s="2" t="str">
        <f t="shared" si="16"/>
        <v>0</v>
      </c>
      <c r="T122" s="2" t="str">
        <f t="shared" si="17"/>
        <v>0</v>
      </c>
    </row>
    <row r="123" spans="5:20" x14ac:dyDescent="0.25">
      <c r="E123" s="2" t="str">
        <f t="shared" si="2"/>
        <v>0</v>
      </c>
      <c r="F123" s="2" t="str">
        <f t="shared" si="3"/>
        <v>0</v>
      </c>
      <c r="G123" s="2" t="str">
        <f t="shared" si="4"/>
        <v>0</v>
      </c>
      <c r="H123" s="2" t="str">
        <f t="shared" si="5"/>
        <v>0</v>
      </c>
      <c r="I123" s="2" t="str">
        <f t="shared" si="6"/>
        <v>0</v>
      </c>
      <c r="J123" s="2" t="str">
        <f t="shared" si="7"/>
        <v>0</v>
      </c>
      <c r="K123" s="2" t="str">
        <f t="shared" si="8"/>
        <v>0</v>
      </c>
      <c r="L123" s="2" t="str">
        <f t="shared" si="9"/>
        <v>0</v>
      </c>
      <c r="M123" s="2" t="str">
        <f t="shared" si="10"/>
        <v>0</v>
      </c>
      <c r="N123" s="2" t="str">
        <f t="shared" si="11"/>
        <v>0</v>
      </c>
      <c r="O123" s="2" t="str">
        <f t="shared" si="12"/>
        <v>0</v>
      </c>
      <c r="P123" s="2" t="str">
        <f t="shared" si="13"/>
        <v>0</v>
      </c>
      <c r="Q123" s="2" t="str">
        <f t="shared" si="14"/>
        <v>0</v>
      </c>
      <c r="R123" s="2" t="str">
        <f t="shared" si="15"/>
        <v>0</v>
      </c>
      <c r="S123" s="2" t="str">
        <f t="shared" si="16"/>
        <v>0</v>
      </c>
      <c r="T123" s="2" t="str">
        <f t="shared" si="17"/>
        <v>0</v>
      </c>
    </row>
    <row r="124" spans="5:20" x14ac:dyDescent="0.25">
      <c r="E124" s="2" t="str">
        <f t="shared" si="2"/>
        <v>0</v>
      </c>
      <c r="F124" s="2" t="str">
        <f t="shared" si="3"/>
        <v>0</v>
      </c>
      <c r="G124" s="2" t="str">
        <f t="shared" si="4"/>
        <v>0</v>
      </c>
      <c r="H124" s="2" t="str">
        <f t="shared" si="5"/>
        <v>0</v>
      </c>
      <c r="I124" s="2" t="str">
        <f t="shared" si="6"/>
        <v>0</v>
      </c>
      <c r="J124" s="2" t="str">
        <f t="shared" si="7"/>
        <v>0</v>
      </c>
      <c r="K124" s="2" t="str">
        <f t="shared" si="8"/>
        <v>0</v>
      </c>
      <c r="L124" s="2" t="str">
        <f t="shared" si="9"/>
        <v>0</v>
      </c>
      <c r="M124" s="2" t="str">
        <f t="shared" si="10"/>
        <v>0</v>
      </c>
      <c r="N124" s="2" t="str">
        <f t="shared" si="11"/>
        <v>0</v>
      </c>
      <c r="O124" s="2" t="str">
        <f t="shared" si="12"/>
        <v>0</v>
      </c>
      <c r="P124" s="2" t="str">
        <f t="shared" si="13"/>
        <v>0</v>
      </c>
      <c r="Q124" s="2" t="str">
        <f t="shared" si="14"/>
        <v>0</v>
      </c>
      <c r="R124" s="2" t="str">
        <f t="shared" si="15"/>
        <v>0</v>
      </c>
      <c r="S124" s="2" t="str">
        <f t="shared" si="16"/>
        <v>0</v>
      </c>
      <c r="T124" s="2" t="str">
        <f t="shared" si="17"/>
        <v>0</v>
      </c>
    </row>
    <row r="125" spans="5:20" x14ac:dyDescent="0.25">
      <c r="E125" s="2" t="str">
        <f t="shared" si="2"/>
        <v>0</v>
      </c>
      <c r="F125" s="2" t="str">
        <f t="shared" si="3"/>
        <v>0</v>
      </c>
      <c r="G125" s="2" t="str">
        <f t="shared" si="4"/>
        <v>0</v>
      </c>
      <c r="H125" s="2" t="str">
        <f t="shared" si="5"/>
        <v>0</v>
      </c>
      <c r="I125" s="2" t="str">
        <f t="shared" si="6"/>
        <v>0</v>
      </c>
      <c r="J125" s="2" t="str">
        <f t="shared" si="7"/>
        <v>0</v>
      </c>
      <c r="K125" s="2" t="str">
        <f t="shared" si="8"/>
        <v>0</v>
      </c>
      <c r="L125" s="2" t="str">
        <f t="shared" si="9"/>
        <v>0</v>
      </c>
      <c r="M125" s="2" t="str">
        <f t="shared" si="10"/>
        <v>0</v>
      </c>
      <c r="N125" s="2" t="str">
        <f t="shared" si="11"/>
        <v>0</v>
      </c>
      <c r="O125" s="2" t="str">
        <f t="shared" si="12"/>
        <v>0</v>
      </c>
      <c r="P125" s="2" t="str">
        <f t="shared" si="13"/>
        <v>0</v>
      </c>
      <c r="Q125" s="2" t="str">
        <f t="shared" si="14"/>
        <v>0</v>
      </c>
      <c r="R125" s="2" t="str">
        <f t="shared" si="15"/>
        <v>0</v>
      </c>
      <c r="S125" s="2" t="str">
        <f t="shared" si="16"/>
        <v>0</v>
      </c>
      <c r="T125" s="2" t="str">
        <f t="shared" si="17"/>
        <v>0</v>
      </c>
    </row>
    <row r="126" spans="5:20" x14ac:dyDescent="0.25">
      <c r="E126" s="2" t="str">
        <f t="shared" si="2"/>
        <v>0</v>
      </c>
      <c r="F126" s="2" t="str">
        <f t="shared" si="3"/>
        <v>0</v>
      </c>
      <c r="G126" s="2" t="str">
        <f t="shared" si="4"/>
        <v>0</v>
      </c>
      <c r="H126" s="2" t="str">
        <f t="shared" si="5"/>
        <v>0</v>
      </c>
      <c r="I126" s="2" t="str">
        <f t="shared" si="6"/>
        <v>0</v>
      </c>
      <c r="J126" s="2" t="str">
        <f t="shared" si="7"/>
        <v>0</v>
      </c>
      <c r="K126" s="2" t="str">
        <f t="shared" si="8"/>
        <v>0</v>
      </c>
      <c r="L126" s="2" t="str">
        <f t="shared" si="9"/>
        <v>0</v>
      </c>
      <c r="M126" s="2" t="str">
        <f t="shared" si="10"/>
        <v>0</v>
      </c>
      <c r="N126" s="2" t="str">
        <f t="shared" si="11"/>
        <v>0</v>
      </c>
      <c r="O126" s="2" t="str">
        <f t="shared" si="12"/>
        <v>0</v>
      </c>
      <c r="P126" s="2" t="str">
        <f t="shared" si="13"/>
        <v>0</v>
      </c>
      <c r="Q126" s="2" t="str">
        <f t="shared" si="14"/>
        <v>0</v>
      </c>
      <c r="R126" s="2" t="str">
        <f t="shared" si="15"/>
        <v>0</v>
      </c>
      <c r="S126" s="2" t="str">
        <f t="shared" si="16"/>
        <v>0</v>
      </c>
      <c r="T126" s="2" t="str">
        <f t="shared" si="17"/>
        <v>0</v>
      </c>
    </row>
    <row r="127" spans="5:20" x14ac:dyDescent="0.25">
      <c r="E127" s="2" t="str">
        <f t="shared" si="2"/>
        <v>0</v>
      </c>
      <c r="F127" s="2" t="str">
        <f t="shared" si="3"/>
        <v>0</v>
      </c>
      <c r="G127" s="2" t="str">
        <f t="shared" si="4"/>
        <v>0</v>
      </c>
      <c r="H127" s="2" t="str">
        <f t="shared" si="5"/>
        <v>0</v>
      </c>
      <c r="I127" s="2" t="str">
        <f t="shared" si="6"/>
        <v>0</v>
      </c>
      <c r="J127" s="2" t="str">
        <f t="shared" si="7"/>
        <v>0</v>
      </c>
      <c r="K127" s="2" t="str">
        <f t="shared" si="8"/>
        <v>0</v>
      </c>
      <c r="L127" s="2" t="str">
        <f t="shared" si="9"/>
        <v>0</v>
      </c>
      <c r="M127" s="2" t="str">
        <f t="shared" si="10"/>
        <v>0</v>
      </c>
      <c r="N127" s="2" t="str">
        <f t="shared" si="11"/>
        <v>0</v>
      </c>
      <c r="O127" s="2" t="str">
        <f t="shared" si="12"/>
        <v>0</v>
      </c>
      <c r="P127" s="2" t="str">
        <f t="shared" si="13"/>
        <v>0</v>
      </c>
      <c r="Q127" s="2" t="str">
        <f t="shared" si="14"/>
        <v>0</v>
      </c>
      <c r="R127" s="2" t="str">
        <f t="shared" si="15"/>
        <v>0</v>
      </c>
      <c r="S127" s="2" t="str">
        <f t="shared" si="16"/>
        <v>0</v>
      </c>
      <c r="T127" s="2" t="str">
        <f t="shared" si="17"/>
        <v>0</v>
      </c>
    </row>
    <row r="128" spans="5:20" x14ac:dyDescent="0.25">
      <c r="E128" s="2" t="str">
        <f t="shared" si="2"/>
        <v>0</v>
      </c>
      <c r="F128" s="2" t="str">
        <f t="shared" si="3"/>
        <v>0</v>
      </c>
      <c r="G128" s="2" t="str">
        <f t="shared" si="4"/>
        <v>0</v>
      </c>
      <c r="H128" s="2" t="str">
        <f t="shared" si="5"/>
        <v>0</v>
      </c>
      <c r="I128" s="2" t="str">
        <f t="shared" si="6"/>
        <v>0</v>
      </c>
      <c r="J128" s="2" t="str">
        <f t="shared" si="7"/>
        <v>0</v>
      </c>
      <c r="K128" s="2" t="str">
        <f t="shared" si="8"/>
        <v>0</v>
      </c>
      <c r="L128" s="2" t="str">
        <f t="shared" si="9"/>
        <v>0</v>
      </c>
      <c r="M128" s="2" t="str">
        <f t="shared" si="10"/>
        <v>0</v>
      </c>
      <c r="N128" s="2" t="str">
        <f t="shared" si="11"/>
        <v>0</v>
      </c>
      <c r="O128" s="2" t="str">
        <f t="shared" si="12"/>
        <v>0</v>
      </c>
      <c r="P128" s="2" t="str">
        <f t="shared" si="13"/>
        <v>0</v>
      </c>
      <c r="Q128" s="2" t="str">
        <f t="shared" si="14"/>
        <v>0</v>
      </c>
      <c r="R128" s="2" t="str">
        <f t="shared" si="15"/>
        <v>0</v>
      </c>
      <c r="S128" s="2" t="str">
        <f t="shared" si="16"/>
        <v>0</v>
      </c>
      <c r="T128" s="2" t="str">
        <f t="shared" si="17"/>
        <v>0</v>
      </c>
    </row>
    <row r="129" spans="5:20" x14ac:dyDescent="0.25">
      <c r="E129" s="2" t="str">
        <f t="shared" si="2"/>
        <v>0</v>
      </c>
      <c r="F129" s="2" t="str">
        <f t="shared" si="3"/>
        <v>0</v>
      </c>
      <c r="G129" s="2" t="str">
        <f t="shared" si="4"/>
        <v>0</v>
      </c>
      <c r="H129" s="2" t="str">
        <f t="shared" si="5"/>
        <v>0</v>
      </c>
      <c r="I129" s="2" t="str">
        <f t="shared" si="6"/>
        <v>0</v>
      </c>
      <c r="J129" s="2" t="str">
        <f t="shared" si="7"/>
        <v>0</v>
      </c>
      <c r="K129" s="2" t="str">
        <f t="shared" si="8"/>
        <v>0</v>
      </c>
      <c r="L129" s="2" t="str">
        <f t="shared" si="9"/>
        <v>0</v>
      </c>
      <c r="M129" s="2" t="str">
        <f t="shared" si="10"/>
        <v>0</v>
      </c>
      <c r="N129" s="2" t="str">
        <f t="shared" si="11"/>
        <v>0</v>
      </c>
      <c r="O129" s="2" t="str">
        <f t="shared" si="12"/>
        <v>0</v>
      </c>
      <c r="P129" s="2" t="str">
        <f t="shared" si="13"/>
        <v>0</v>
      </c>
      <c r="Q129" s="2" t="str">
        <f t="shared" si="14"/>
        <v>0</v>
      </c>
      <c r="R129" s="2" t="str">
        <f t="shared" si="15"/>
        <v>0</v>
      </c>
      <c r="S129" s="2" t="str">
        <f t="shared" si="16"/>
        <v>0</v>
      </c>
      <c r="T129" s="2" t="str">
        <f t="shared" si="17"/>
        <v>0</v>
      </c>
    </row>
    <row r="130" spans="5:20" x14ac:dyDescent="0.25">
      <c r="E130" s="2" t="str">
        <f t="shared" si="2"/>
        <v>0</v>
      </c>
      <c r="F130" s="2" t="str">
        <f t="shared" si="3"/>
        <v>0</v>
      </c>
      <c r="G130" s="2" t="str">
        <f t="shared" si="4"/>
        <v>0</v>
      </c>
      <c r="H130" s="2" t="str">
        <f t="shared" si="5"/>
        <v>0</v>
      </c>
      <c r="I130" s="2" t="str">
        <f t="shared" si="6"/>
        <v>0</v>
      </c>
      <c r="J130" s="2" t="str">
        <f t="shared" si="7"/>
        <v>0</v>
      </c>
      <c r="K130" s="2" t="str">
        <f t="shared" si="8"/>
        <v>0</v>
      </c>
      <c r="L130" s="2" t="str">
        <f t="shared" si="9"/>
        <v>0</v>
      </c>
      <c r="M130" s="2" t="str">
        <f t="shared" si="10"/>
        <v>0</v>
      </c>
      <c r="N130" s="2" t="str">
        <f t="shared" si="11"/>
        <v>0</v>
      </c>
      <c r="O130" s="2" t="str">
        <f t="shared" si="12"/>
        <v>0</v>
      </c>
      <c r="P130" s="2" t="str">
        <f t="shared" si="13"/>
        <v>0</v>
      </c>
      <c r="Q130" s="2" t="str">
        <f t="shared" si="14"/>
        <v>0</v>
      </c>
      <c r="R130" s="2" t="str">
        <f t="shared" si="15"/>
        <v>0</v>
      </c>
      <c r="S130" s="2" t="str">
        <f t="shared" si="16"/>
        <v>0</v>
      </c>
      <c r="T130" s="2" t="str">
        <f t="shared" si="17"/>
        <v>0</v>
      </c>
    </row>
    <row r="131" spans="5:20" x14ac:dyDescent="0.25">
      <c r="E131" s="2" t="str">
        <f t="shared" si="2"/>
        <v>0</v>
      </c>
      <c r="F131" s="2" t="str">
        <f t="shared" si="3"/>
        <v>0</v>
      </c>
      <c r="G131" s="2" t="str">
        <f t="shared" si="4"/>
        <v>0</v>
      </c>
      <c r="H131" s="2" t="str">
        <f t="shared" si="5"/>
        <v>0</v>
      </c>
      <c r="I131" s="2" t="str">
        <f t="shared" si="6"/>
        <v>0</v>
      </c>
      <c r="J131" s="2" t="str">
        <f t="shared" si="7"/>
        <v>0</v>
      </c>
      <c r="K131" s="2" t="str">
        <f t="shared" si="8"/>
        <v>0</v>
      </c>
      <c r="L131" s="2" t="str">
        <f t="shared" si="9"/>
        <v>0</v>
      </c>
      <c r="M131" s="2" t="str">
        <f t="shared" si="10"/>
        <v>0</v>
      </c>
      <c r="N131" s="2" t="str">
        <f t="shared" si="11"/>
        <v>0</v>
      </c>
      <c r="O131" s="2" t="str">
        <f t="shared" si="12"/>
        <v>0</v>
      </c>
      <c r="P131" s="2" t="str">
        <f t="shared" si="13"/>
        <v>0</v>
      </c>
      <c r="Q131" s="2" t="str">
        <f t="shared" si="14"/>
        <v>0</v>
      </c>
      <c r="R131" s="2" t="str">
        <f t="shared" si="15"/>
        <v>0</v>
      </c>
      <c r="S131" s="2" t="str">
        <f t="shared" si="16"/>
        <v>0</v>
      </c>
      <c r="T131" s="2" t="str">
        <f t="shared" si="17"/>
        <v>0</v>
      </c>
    </row>
    <row r="132" spans="5:20" x14ac:dyDescent="0.25">
      <c r="E132" s="2" t="str">
        <f t="shared" si="2"/>
        <v>0</v>
      </c>
      <c r="F132" s="2" t="str">
        <f t="shared" si="3"/>
        <v>0</v>
      </c>
      <c r="G132" s="2" t="str">
        <f t="shared" si="4"/>
        <v>0</v>
      </c>
      <c r="H132" s="2" t="str">
        <f t="shared" si="5"/>
        <v>0</v>
      </c>
      <c r="I132" s="2" t="str">
        <f t="shared" si="6"/>
        <v>0</v>
      </c>
      <c r="J132" s="2" t="str">
        <f t="shared" si="7"/>
        <v>0</v>
      </c>
      <c r="K132" s="2" t="str">
        <f t="shared" si="8"/>
        <v>0</v>
      </c>
      <c r="L132" s="2" t="str">
        <f t="shared" si="9"/>
        <v>0</v>
      </c>
      <c r="M132" s="2" t="str">
        <f t="shared" si="10"/>
        <v>0</v>
      </c>
      <c r="N132" s="2" t="str">
        <f t="shared" si="11"/>
        <v>0</v>
      </c>
      <c r="O132" s="2" t="str">
        <f t="shared" si="12"/>
        <v>0</v>
      </c>
      <c r="P132" s="2" t="str">
        <f t="shared" si="13"/>
        <v>0</v>
      </c>
      <c r="Q132" s="2" t="str">
        <f t="shared" si="14"/>
        <v>0</v>
      </c>
      <c r="R132" s="2" t="str">
        <f t="shared" si="15"/>
        <v>0</v>
      </c>
      <c r="S132" s="2" t="str">
        <f t="shared" si="16"/>
        <v>0</v>
      </c>
      <c r="T132" s="2" t="str">
        <f t="shared" si="17"/>
        <v>0</v>
      </c>
    </row>
    <row r="133" spans="5:20" x14ac:dyDescent="0.25">
      <c r="E133" s="2" t="str">
        <f t="shared" si="2"/>
        <v>0</v>
      </c>
      <c r="F133" s="2" t="str">
        <f t="shared" si="3"/>
        <v>0</v>
      </c>
      <c r="G133" s="2" t="str">
        <f t="shared" si="4"/>
        <v>0</v>
      </c>
      <c r="H133" s="2" t="str">
        <f t="shared" si="5"/>
        <v>0</v>
      </c>
      <c r="I133" s="2" t="str">
        <f t="shared" si="6"/>
        <v>0</v>
      </c>
      <c r="J133" s="2" t="str">
        <f t="shared" si="7"/>
        <v>0</v>
      </c>
      <c r="K133" s="2" t="str">
        <f t="shared" si="8"/>
        <v>0</v>
      </c>
      <c r="L133" s="2" t="str">
        <f t="shared" si="9"/>
        <v>0</v>
      </c>
      <c r="M133" s="2" t="str">
        <f t="shared" si="10"/>
        <v>0</v>
      </c>
      <c r="N133" s="2" t="str">
        <f t="shared" si="11"/>
        <v>0</v>
      </c>
      <c r="O133" s="2" t="str">
        <f t="shared" si="12"/>
        <v>0</v>
      </c>
      <c r="P133" s="2" t="str">
        <f t="shared" si="13"/>
        <v>0</v>
      </c>
      <c r="Q133" s="2" t="str">
        <f t="shared" si="14"/>
        <v>0</v>
      </c>
      <c r="R133" s="2" t="str">
        <f t="shared" si="15"/>
        <v>0</v>
      </c>
      <c r="S133" s="2" t="str">
        <f t="shared" si="16"/>
        <v>0</v>
      </c>
      <c r="T133" s="2" t="str">
        <f t="shared" si="17"/>
        <v>0</v>
      </c>
    </row>
    <row r="134" spans="5:20" x14ac:dyDescent="0.25">
      <c r="E134" s="2" t="str">
        <f t="shared" si="2"/>
        <v>0</v>
      </c>
      <c r="F134" s="2" t="str">
        <f t="shared" si="3"/>
        <v>0</v>
      </c>
      <c r="G134" s="2" t="str">
        <f t="shared" si="4"/>
        <v>0</v>
      </c>
      <c r="H134" s="2" t="str">
        <f t="shared" si="5"/>
        <v>0</v>
      </c>
      <c r="I134" s="2" t="str">
        <f t="shared" si="6"/>
        <v>0</v>
      </c>
      <c r="J134" s="2" t="str">
        <f t="shared" si="7"/>
        <v>0</v>
      </c>
      <c r="K134" s="2" t="str">
        <f t="shared" si="8"/>
        <v>0</v>
      </c>
      <c r="L134" s="2" t="str">
        <f t="shared" si="9"/>
        <v>0</v>
      </c>
      <c r="M134" s="2" t="str">
        <f t="shared" si="10"/>
        <v>0</v>
      </c>
      <c r="N134" s="2" t="str">
        <f t="shared" si="11"/>
        <v>0</v>
      </c>
      <c r="O134" s="2" t="str">
        <f t="shared" si="12"/>
        <v>0</v>
      </c>
      <c r="P134" s="2" t="str">
        <f t="shared" si="13"/>
        <v>0</v>
      </c>
      <c r="Q134" s="2" t="str">
        <f t="shared" si="14"/>
        <v>0</v>
      </c>
      <c r="R134" s="2" t="str">
        <f t="shared" si="15"/>
        <v>0</v>
      </c>
      <c r="S134" s="2" t="str">
        <f t="shared" si="16"/>
        <v>0</v>
      </c>
      <c r="T134" s="2" t="str">
        <f t="shared" si="17"/>
        <v>0</v>
      </c>
    </row>
    <row r="135" spans="5:20" x14ac:dyDescent="0.25">
      <c r="E135" s="2" t="str">
        <f t="shared" si="2"/>
        <v>0</v>
      </c>
      <c r="F135" s="2" t="str">
        <f t="shared" si="3"/>
        <v>0</v>
      </c>
      <c r="G135" s="2" t="str">
        <f t="shared" si="4"/>
        <v>0</v>
      </c>
      <c r="H135" s="2" t="str">
        <f t="shared" si="5"/>
        <v>0</v>
      </c>
      <c r="I135" s="2" t="str">
        <f t="shared" si="6"/>
        <v>0</v>
      </c>
      <c r="J135" s="2" t="str">
        <f t="shared" si="7"/>
        <v>0</v>
      </c>
      <c r="K135" s="2" t="str">
        <f t="shared" si="8"/>
        <v>0</v>
      </c>
      <c r="L135" s="2" t="str">
        <f t="shared" si="9"/>
        <v>0</v>
      </c>
      <c r="M135" s="2" t="str">
        <f t="shared" si="10"/>
        <v>0</v>
      </c>
      <c r="N135" s="2" t="str">
        <f t="shared" si="11"/>
        <v>0</v>
      </c>
      <c r="O135" s="2" t="str">
        <f t="shared" si="12"/>
        <v>0</v>
      </c>
      <c r="P135" s="2" t="str">
        <f t="shared" si="13"/>
        <v>0</v>
      </c>
      <c r="Q135" s="2" t="str">
        <f t="shared" si="14"/>
        <v>0</v>
      </c>
      <c r="R135" s="2" t="str">
        <f t="shared" si="15"/>
        <v>0</v>
      </c>
      <c r="S135" s="2" t="str">
        <f t="shared" si="16"/>
        <v>0</v>
      </c>
      <c r="T135" s="2" t="str">
        <f t="shared" si="17"/>
        <v>0</v>
      </c>
    </row>
    <row r="136" spans="5:20" x14ac:dyDescent="0.25">
      <c r="E136" s="2" t="str">
        <f t="shared" si="2"/>
        <v>0</v>
      </c>
      <c r="F136" s="2" t="str">
        <f t="shared" si="3"/>
        <v>0</v>
      </c>
      <c r="G136" s="2" t="str">
        <f t="shared" si="4"/>
        <v>0</v>
      </c>
      <c r="H136" s="2" t="str">
        <f t="shared" si="5"/>
        <v>0</v>
      </c>
      <c r="I136" s="2" t="str">
        <f t="shared" si="6"/>
        <v>0</v>
      </c>
      <c r="J136" s="2" t="str">
        <f t="shared" si="7"/>
        <v>0</v>
      </c>
      <c r="K136" s="2" t="str">
        <f t="shared" si="8"/>
        <v>0</v>
      </c>
      <c r="L136" s="2" t="str">
        <f t="shared" si="9"/>
        <v>0</v>
      </c>
      <c r="M136" s="2" t="str">
        <f t="shared" si="10"/>
        <v>0</v>
      </c>
      <c r="N136" s="2" t="str">
        <f t="shared" si="11"/>
        <v>0</v>
      </c>
      <c r="O136" s="2" t="str">
        <f t="shared" si="12"/>
        <v>0</v>
      </c>
      <c r="P136" s="2" t="str">
        <f t="shared" si="13"/>
        <v>0</v>
      </c>
      <c r="Q136" s="2" t="str">
        <f t="shared" si="14"/>
        <v>0</v>
      </c>
      <c r="R136" s="2" t="str">
        <f t="shared" si="15"/>
        <v>0</v>
      </c>
      <c r="S136" s="2" t="str">
        <f t="shared" si="16"/>
        <v>0</v>
      </c>
      <c r="T136" s="2" t="str">
        <f t="shared" si="17"/>
        <v>0</v>
      </c>
    </row>
    <row r="137" spans="5:20" x14ac:dyDescent="0.25">
      <c r="E137" s="2" t="str">
        <f t="shared" si="2"/>
        <v>0</v>
      </c>
      <c r="F137" s="2" t="str">
        <f t="shared" si="3"/>
        <v>0</v>
      </c>
      <c r="G137" s="2" t="str">
        <f t="shared" si="4"/>
        <v>0</v>
      </c>
      <c r="H137" s="2" t="str">
        <f t="shared" si="5"/>
        <v>0</v>
      </c>
      <c r="I137" s="2" t="str">
        <f t="shared" si="6"/>
        <v>0</v>
      </c>
      <c r="J137" s="2" t="str">
        <f t="shared" si="7"/>
        <v>0</v>
      </c>
      <c r="K137" s="2" t="str">
        <f t="shared" si="8"/>
        <v>0</v>
      </c>
      <c r="L137" s="2" t="str">
        <f t="shared" si="9"/>
        <v>0</v>
      </c>
      <c r="M137" s="2" t="str">
        <f t="shared" si="10"/>
        <v>0</v>
      </c>
      <c r="N137" s="2" t="str">
        <f t="shared" si="11"/>
        <v>0</v>
      </c>
      <c r="O137" s="2" t="str">
        <f t="shared" si="12"/>
        <v>0</v>
      </c>
      <c r="P137" s="2" t="str">
        <f t="shared" si="13"/>
        <v>0</v>
      </c>
      <c r="Q137" s="2" t="str">
        <f t="shared" si="14"/>
        <v>0</v>
      </c>
      <c r="R137" s="2" t="str">
        <f t="shared" si="15"/>
        <v>0</v>
      </c>
      <c r="S137" s="2" t="str">
        <f t="shared" si="16"/>
        <v>0</v>
      </c>
      <c r="T137" s="2" t="str">
        <f t="shared" si="17"/>
        <v>0</v>
      </c>
    </row>
    <row r="138" spans="5:20" x14ac:dyDescent="0.25">
      <c r="E138" s="2" t="str">
        <f t="shared" si="2"/>
        <v>0</v>
      </c>
      <c r="F138" s="2" t="str">
        <f t="shared" si="3"/>
        <v>0</v>
      </c>
      <c r="G138" s="2" t="str">
        <f t="shared" si="4"/>
        <v>0</v>
      </c>
      <c r="H138" s="2" t="str">
        <f t="shared" si="5"/>
        <v>0</v>
      </c>
      <c r="I138" s="2" t="str">
        <f t="shared" si="6"/>
        <v>0</v>
      </c>
      <c r="J138" s="2" t="str">
        <f t="shared" si="7"/>
        <v>0</v>
      </c>
      <c r="K138" s="2" t="str">
        <f t="shared" si="8"/>
        <v>0</v>
      </c>
      <c r="L138" s="2" t="str">
        <f t="shared" si="9"/>
        <v>0</v>
      </c>
      <c r="M138" s="2" t="str">
        <f t="shared" si="10"/>
        <v>0</v>
      </c>
      <c r="N138" s="2" t="str">
        <f t="shared" si="11"/>
        <v>0</v>
      </c>
      <c r="O138" s="2" t="str">
        <f t="shared" si="12"/>
        <v>0</v>
      </c>
      <c r="P138" s="2" t="str">
        <f t="shared" si="13"/>
        <v>0</v>
      </c>
      <c r="Q138" s="2" t="str">
        <f t="shared" si="14"/>
        <v>0</v>
      </c>
      <c r="R138" s="2" t="str">
        <f t="shared" si="15"/>
        <v>0</v>
      </c>
      <c r="S138" s="2" t="str">
        <f t="shared" si="16"/>
        <v>0</v>
      </c>
      <c r="T138" s="2" t="str">
        <f t="shared" si="17"/>
        <v>0</v>
      </c>
    </row>
    <row r="139" spans="5:20" x14ac:dyDescent="0.25">
      <c r="E139" s="2" t="str">
        <f t="shared" si="2"/>
        <v>0</v>
      </c>
      <c r="F139" s="2" t="str">
        <f t="shared" si="3"/>
        <v>0</v>
      </c>
      <c r="G139" s="2" t="str">
        <f t="shared" si="4"/>
        <v>0</v>
      </c>
      <c r="H139" s="2" t="str">
        <f t="shared" si="5"/>
        <v>0</v>
      </c>
      <c r="I139" s="2" t="str">
        <f t="shared" si="6"/>
        <v>0</v>
      </c>
      <c r="J139" s="2" t="str">
        <f t="shared" si="7"/>
        <v>0</v>
      </c>
      <c r="K139" s="2" t="str">
        <f t="shared" si="8"/>
        <v>0</v>
      </c>
      <c r="L139" s="2" t="str">
        <f t="shared" si="9"/>
        <v>0</v>
      </c>
      <c r="M139" s="2" t="str">
        <f t="shared" si="10"/>
        <v>0</v>
      </c>
      <c r="N139" s="2" t="str">
        <f t="shared" si="11"/>
        <v>0</v>
      </c>
      <c r="O139" s="2" t="str">
        <f t="shared" si="12"/>
        <v>0</v>
      </c>
      <c r="P139" s="2" t="str">
        <f t="shared" si="13"/>
        <v>0</v>
      </c>
      <c r="Q139" s="2" t="str">
        <f t="shared" si="14"/>
        <v>0</v>
      </c>
      <c r="R139" s="2" t="str">
        <f t="shared" si="15"/>
        <v>0</v>
      </c>
      <c r="S139" s="2" t="str">
        <f t="shared" si="16"/>
        <v>0</v>
      </c>
      <c r="T139" s="2" t="str">
        <f t="shared" si="17"/>
        <v>0</v>
      </c>
    </row>
    <row r="140" spans="5:20" x14ac:dyDescent="0.25">
      <c r="E140" s="2" t="str">
        <f t="shared" si="2"/>
        <v>0</v>
      </c>
      <c r="F140" s="2" t="str">
        <f t="shared" si="3"/>
        <v>0</v>
      </c>
      <c r="G140" s="2" t="str">
        <f t="shared" si="4"/>
        <v>0</v>
      </c>
      <c r="H140" s="2" t="str">
        <f t="shared" si="5"/>
        <v>0</v>
      </c>
      <c r="I140" s="2" t="str">
        <f t="shared" si="6"/>
        <v>0</v>
      </c>
      <c r="J140" s="2" t="str">
        <f t="shared" si="7"/>
        <v>0</v>
      </c>
      <c r="K140" s="2" t="str">
        <f t="shared" si="8"/>
        <v>0</v>
      </c>
      <c r="L140" s="2" t="str">
        <f t="shared" si="9"/>
        <v>0</v>
      </c>
      <c r="M140" s="2" t="str">
        <f t="shared" si="10"/>
        <v>0</v>
      </c>
      <c r="N140" s="2" t="str">
        <f t="shared" si="11"/>
        <v>0</v>
      </c>
      <c r="O140" s="2" t="str">
        <f t="shared" si="12"/>
        <v>0</v>
      </c>
      <c r="P140" s="2" t="str">
        <f t="shared" si="13"/>
        <v>0</v>
      </c>
      <c r="Q140" s="2" t="str">
        <f t="shared" si="14"/>
        <v>0</v>
      </c>
      <c r="R140" s="2" t="str">
        <f t="shared" si="15"/>
        <v>0</v>
      </c>
      <c r="S140" s="2" t="str">
        <f t="shared" si="16"/>
        <v>0</v>
      </c>
      <c r="T140" s="2" t="str">
        <f t="shared" si="17"/>
        <v>0</v>
      </c>
    </row>
    <row r="141" spans="5:20" x14ac:dyDescent="0.25">
      <c r="E141" s="2" t="str">
        <f t="shared" si="2"/>
        <v>0</v>
      </c>
      <c r="F141" s="2" t="str">
        <f t="shared" si="3"/>
        <v>0</v>
      </c>
      <c r="G141" s="2" t="str">
        <f t="shared" si="4"/>
        <v>0</v>
      </c>
      <c r="H141" s="2" t="str">
        <f t="shared" si="5"/>
        <v>0</v>
      </c>
      <c r="I141" s="2" t="str">
        <f t="shared" si="6"/>
        <v>0</v>
      </c>
      <c r="J141" s="2" t="str">
        <f t="shared" si="7"/>
        <v>0</v>
      </c>
      <c r="K141" s="2" t="str">
        <f t="shared" si="8"/>
        <v>0</v>
      </c>
      <c r="L141" s="2" t="str">
        <f t="shared" si="9"/>
        <v>0</v>
      </c>
      <c r="M141" s="2" t="str">
        <f t="shared" si="10"/>
        <v>0</v>
      </c>
      <c r="N141" s="2" t="str">
        <f t="shared" si="11"/>
        <v>0</v>
      </c>
      <c r="O141" s="2" t="str">
        <f t="shared" si="12"/>
        <v>0</v>
      </c>
      <c r="P141" s="2" t="str">
        <f t="shared" si="13"/>
        <v>0</v>
      </c>
      <c r="Q141" s="2" t="str">
        <f t="shared" si="14"/>
        <v>0</v>
      </c>
      <c r="R141" s="2" t="str">
        <f t="shared" si="15"/>
        <v>0</v>
      </c>
      <c r="S141" s="2" t="str">
        <f t="shared" si="16"/>
        <v>0</v>
      </c>
      <c r="T141" s="2" t="str">
        <f t="shared" si="17"/>
        <v>0</v>
      </c>
    </row>
    <row r="142" spans="5:20" x14ac:dyDescent="0.25">
      <c r="E142" s="2" t="str">
        <f t="shared" si="2"/>
        <v>0</v>
      </c>
      <c r="F142" s="2" t="str">
        <f t="shared" si="3"/>
        <v>0</v>
      </c>
      <c r="G142" s="2" t="str">
        <f t="shared" si="4"/>
        <v>0</v>
      </c>
      <c r="H142" s="2" t="str">
        <f t="shared" si="5"/>
        <v>0</v>
      </c>
      <c r="I142" s="2" t="str">
        <f t="shared" si="6"/>
        <v>0</v>
      </c>
      <c r="J142" s="2" t="str">
        <f t="shared" si="7"/>
        <v>0</v>
      </c>
      <c r="K142" s="2" t="str">
        <f t="shared" si="8"/>
        <v>0</v>
      </c>
      <c r="L142" s="2" t="str">
        <f t="shared" si="9"/>
        <v>0</v>
      </c>
      <c r="M142" s="2" t="str">
        <f t="shared" si="10"/>
        <v>0</v>
      </c>
      <c r="N142" s="2" t="str">
        <f t="shared" si="11"/>
        <v>0</v>
      </c>
      <c r="O142" s="2" t="str">
        <f t="shared" si="12"/>
        <v>0</v>
      </c>
      <c r="P142" s="2" t="str">
        <f t="shared" si="13"/>
        <v>0</v>
      </c>
      <c r="Q142" s="2" t="str">
        <f t="shared" si="14"/>
        <v>0</v>
      </c>
      <c r="R142" s="2" t="str">
        <f t="shared" si="15"/>
        <v>0</v>
      </c>
      <c r="S142" s="2" t="str">
        <f t="shared" si="16"/>
        <v>0</v>
      </c>
      <c r="T142" s="2" t="str">
        <f t="shared" si="17"/>
        <v>0</v>
      </c>
    </row>
    <row r="143" spans="5:20" x14ac:dyDescent="0.25">
      <c r="E143" s="2" t="str">
        <f t="shared" si="2"/>
        <v>0</v>
      </c>
      <c r="F143" s="2" t="str">
        <f t="shared" si="3"/>
        <v>0</v>
      </c>
      <c r="G143" s="2" t="str">
        <f t="shared" si="4"/>
        <v>0</v>
      </c>
      <c r="H143" s="2" t="str">
        <f t="shared" si="5"/>
        <v>0</v>
      </c>
      <c r="I143" s="2" t="str">
        <f t="shared" si="6"/>
        <v>0</v>
      </c>
      <c r="J143" s="2" t="str">
        <f t="shared" si="7"/>
        <v>0</v>
      </c>
      <c r="K143" s="2" t="str">
        <f t="shared" si="8"/>
        <v>0</v>
      </c>
      <c r="L143" s="2" t="str">
        <f t="shared" si="9"/>
        <v>0</v>
      </c>
      <c r="M143" s="2" t="str">
        <f t="shared" si="10"/>
        <v>0</v>
      </c>
      <c r="N143" s="2" t="str">
        <f t="shared" si="11"/>
        <v>0</v>
      </c>
      <c r="O143" s="2" t="str">
        <f t="shared" si="12"/>
        <v>0</v>
      </c>
      <c r="P143" s="2" t="str">
        <f t="shared" si="13"/>
        <v>0</v>
      </c>
      <c r="Q143" s="2" t="str">
        <f t="shared" si="14"/>
        <v>0</v>
      </c>
      <c r="R143" s="2" t="str">
        <f t="shared" si="15"/>
        <v>0</v>
      </c>
      <c r="S143" s="2" t="str">
        <f t="shared" si="16"/>
        <v>0</v>
      </c>
      <c r="T143" s="2" t="str">
        <f t="shared" si="17"/>
        <v>0</v>
      </c>
    </row>
    <row r="144" spans="5:20" x14ac:dyDescent="0.25">
      <c r="E144" s="2" t="str">
        <f t="shared" ref="E144:E166" si="18">IF(E72="X",(D72-C72),"0")</f>
        <v>0</v>
      </c>
      <c r="F144" s="2" t="str">
        <f t="shared" ref="F144:F166" si="19">IF(F72="X",(D72-C72),"0")</f>
        <v>0</v>
      </c>
      <c r="G144" s="2" t="str">
        <f t="shared" ref="G144:G166" si="20">IF(G72="X",(D72-C72),"0")</f>
        <v>0</v>
      </c>
      <c r="H144" s="2" t="str">
        <f t="shared" ref="H144:H166" si="21">IF(H72="X",(D72-C72),"0")</f>
        <v>0</v>
      </c>
      <c r="I144" s="2" t="str">
        <f t="shared" ref="I144:I166" si="22">IF(I72="X",(D72-C72),"0")</f>
        <v>0</v>
      </c>
      <c r="J144" s="2" t="str">
        <f t="shared" ref="J144:J166" si="23">IF(J72="X",(D72-C72),"0")</f>
        <v>0</v>
      </c>
      <c r="K144" s="2" t="str">
        <f t="shared" ref="K144:K166" si="24">IF(K72="X",(D72-C72),"0")</f>
        <v>0</v>
      </c>
      <c r="L144" s="2" t="str">
        <f t="shared" ref="L144:L166" si="25">IF(L72="X",(D72-C72),"0")</f>
        <v>0</v>
      </c>
      <c r="M144" s="2" t="str">
        <f t="shared" ref="M144:M166" si="26">IF(M72="X",(D72-C72),"0")</f>
        <v>0</v>
      </c>
      <c r="N144" s="2" t="str">
        <f t="shared" ref="N144:N166" si="27">IF(N72="X",(D72-C72),"0")</f>
        <v>0</v>
      </c>
      <c r="O144" s="2" t="str">
        <f t="shared" ref="O144:O166" si="28">IF(O72="X",(D72-C72),"0")</f>
        <v>0</v>
      </c>
      <c r="P144" s="2" t="str">
        <f t="shared" ref="P144:P166" si="29">IF(P72="X",(D72-C72),"0")</f>
        <v>0</v>
      </c>
      <c r="Q144" s="2" t="str">
        <f t="shared" ref="Q144:Q166" si="30">IF(Q72="X",(D72-C72),"0")</f>
        <v>0</v>
      </c>
      <c r="R144" s="2" t="str">
        <f t="shared" ref="R144:R166" si="31">IF(R72="X",(D72-C72),"0")</f>
        <v>0</v>
      </c>
      <c r="S144" s="2" t="str">
        <f t="shared" ref="S144:S166" si="32">IF(S72="X",(D72-C72),"0")</f>
        <v>0</v>
      </c>
      <c r="T144" s="2" t="str">
        <f t="shared" ref="T144:T166" si="33">IF(T72="X",(D72-C72),"0")</f>
        <v>0</v>
      </c>
    </row>
    <row r="145" spans="5:20" x14ac:dyDescent="0.25">
      <c r="E145" s="2" t="str">
        <f t="shared" si="18"/>
        <v>0</v>
      </c>
      <c r="F145" s="2" t="str">
        <f t="shared" si="19"/>
        <v>0</v>
      </c>
      <c r="G145" s="2" t="str">
        <f t="shared" si="20"/>
        <v>0</v>
      </c>
      <c r="H145" s="2" t="str">
        <f t="shared" si="21"/>
        <v>0</v>
      </c>
      <c r="I145" s="2" t="str">
        <f t="shared" si="22"/>
        <v>0</v>
      </c>
      <c r="J145" s="2" t="str">
        <f t="shared" si="23"/>
        <v>0</v>
      </c>
      <c r="K145" s="2" t="str">
        <f t="shared" si="24"/>
        <v>0</v>
      </c>
      <c r="L145" s="2" t="str">
        <f t="shared" si="25"/>
        <v>0</v>
      </c>
      <c r="M145" s="2" t="str">
        <f t="shared" si="26"/>
        <v>0</v>
      </c>
      <c r="N145" s="2" t="str">
        <f t="shared" si="27"/>
        <v>0</v>
      </c>
      <c r="O145" s="2" t="str">
        <f t="shared" si="28"/>
        <v>0</v>
      </c>
      <c r="P145" s="2" t="str">
        <f t="shared" si="29"/>
        <v>0</v>
      </c>
      <c r="Q145" s="2" t="str">
        <f t="shared" si="30"/>
        <v>0</v>
      </c>
      <c r="R145" s="2" t="str">
        <f t="shared" si="31"/>
        <v>0</v>
      </c>
      <c r="S145" s="2" t="str">
        <f t="shared" si="32"/>
        <v>0</v>
      </c>
      <c r="T145" s="2" t="str">
        <f t="shared" si="33"/>
        <v>0</v>
      </c>
    </row>
    <row r="146" spans="5:20" x14ac:dyDescent="0.25">
      <c r="E146" s="2" t="str">
        <f t="shared" si="18"/>
        <v>0</v>
      </c>
      <c r="F146" s="2" t="str">
        <f t="shared" si="19"/>
        <v>0</v>
      </c>
      <c r="G146" s="2" t="str">
        <f t="shared" si="20"/>
        <v>0</v>
      </c>
      <c r="H146" s="2" t="str">
        <f t="shared" si="21"/>
        <v>0</v>
      </c>
      <c r="I146" s="2" t="str">
        <f t="shared" si="22"/>
        <v>0</v>
      </c>
      <c r="J146" s="2" t="str">
        <f t="shared" si="23"/>
        <v>0</v>
      </c>
      <c r="K146" s="2" t="str">
        <f t="shared" si="24"/>
        <v>0</v>
      </c>
      <c r="L146" s="2" t="str">
        <f t="shared" si="25"/>
        <v>0</v>
      </c>
      <c r="M146" s="2" t="str">
        <f t="shared" si="26"/>
        <v>0</v>
      </c>
      <c r="N146" s="2" t="str">
        <f t="shared" si="27"/>
        <v>0</v>
      </c>
      <c r="O146" s="2" t="str">
        <f t="shared" si="28"/>
        <v>0</v>
      </c>
      <c r="P146" s="2" t="str">
        <f t="shared" si="29"/>
        <v>0</v>
      </c>
      <c r="Q146" s="2" t="str">
        <f t="shared" si="30"/>
        <v>0</v>
      </c>
      <c r="R146" s="2" t="str">
        <f t="shared" si="31"/>
        <v>0</v>
      </c>
      <c r="S146" s="2" t="str">
        <f t="shared" si="32"/>
        <v>0</v>
      </c>
      <c r="T146" s="2" t="str">
        <f t="shared" si="33"/>
        <v>0</v>
      </c>
    </row>
    <row r="147" spans="5:20" x14ac:dyDescent="0.25">
      <c r="E147" s="2" t="str">
        <f t="shared" si="18"/>
        <v>0</v>
      </c>
      <c r="F147" s="2" t="str">
        <f t="shared" si="19"/>
        <v>0</v>
      </c>
      <c r="G147" s="2" t="str">
        <f t="shared" si="20"/>
        <v>0</v>
      </c>
      <c r="H147" s="2" t="str">
        <f t="shared" si="21"/>
        <v>0</v>
      </c>
      <c r="I147" s="2" t="str">
        <f t="shared" si="22"/>
        <v>0</v>
      </c>
      <c r="J147" s="2" t="str">
        <f t="shared" si="23"/>
        <v>0</v>
      </c>
      <c r="K147" s="2" t="str">
        <f t="shared" si="24"/>
        <v>0</v>
      </c>
      <c r="L147" s="2" t="str">
        <f t="shared" si="25"/>
        <v>0</v>
      </c>
      <c r="M147" s="2" t="str">
        <f t="shared" si="26"/>
        <v>0</v>
      </c>
      <c r="N147" s="2" t="str">
        <f t="shared" si="27"/>
        <v>0</v>
      </c>
      <c r="O147" s="2" t="str">
        <f t="shared" si="28"/>
        <v>0</v>
      </c>
      <c r="P147" s="2" t="str">
        <f t="shared" si="29"/>
        <v>0</v>
      </c>
      <c r="Q147" s="2" t="str">
        <f t="shared" si="30"/>
        <v>0</v>
      </c>
      <c r="R147" s="2" t="str">
        <f t="shared" si="31"/>
        <v>0</v>
      </c>
      <c r="S147" s="2" t="str">
        <f t="shared" si="32"/>
        <v>0</v>
      </c>
      <c r="T147" s="2" t="str">
        <f t="shared" si="33"/>
        <v>0</v>
      </c>
    </row>
    <row r="148" spans="5:20" x14ac:dyDescent="0.25">
      <c r="E148" s="2" t="str">
        <f t="shared" si="18"/>
        <v>0</v>
      </c>
      <c r="F148" s="2" t="str">
        <f t="shared" si="19"/>
        <v>0</v>
      </c>
      <c r="G148" s="2" t="str">
        <f t="shared" si="20"/>
        <v>0</v>
      </c>
      <c r="H148" s="2" t="str">
        <f t="shared" si="21"/>
        <v>0</v>
      </c>
      <c r="I148" s="2" t="str">
        <f t="shared" si="22"/>
        <v>0</v>
      </c>
      <c r="J148" s="2" t="str">
        <f t="shared" si="23"/>
        <v>0</v>
      </c>
      <c r="K148" s="2" t="str">
        <f t="shared" si="24"/>
        <v>0</v>
      </c>
      <c r="L148" s="2" t="str">
        <f t="shared" si="25"/>
        <v>0</v>
      </c>
      <c r="M148" s="2" t="str">
        <f t="shared" si="26"/>
        <v>0</v>
      </c>
      <c r="N148" s="2" t="str">
        <f t="shared" si="27"/>
        <v>0</v>
      </c>
      <c r="O148" s="2" t="str">
        <f t="shared" si="28"/>
        <v>0</v>
      </c>
      <c r="P148" s="2" t="str">
        <f t="shared" si="29"/>
        <v>0</v>
      </c>
      <c r="Q148" s="2" t="str">
        <f t="shared" si="30"/>
        <v>0</v>
      </c>
      <c r="R148" s="2" t="str">
        <f t="shared" si="31"/>
        <v>0</v>
      </c>
      <c r="S148" s="2" t="str">
        <f t="shared" si="32"/>
        <v>0</v>
      </c>
      <c r="T148" s="2" t="str">
        <f t="shared" si="33"/>
        <v>0</v>
      </c>
    </row>
    <row r="149" spans="5:20" x14ac:dyDescent="0.25">
      <c r="E149" s="2" t="str">
        <f t="shared" si="18"/>
        <v>0</v>
      </c>
      <c r="F149" s="2" t="str">
        <f t="shared" si="19"/>
        <v>0</v>
      </c>
      <c r="G149" s="2" t="str">
        <f t="shared" si="20"/>
        <v>0</v>
      </c>
      <c r="H149" s="2" t="str">
        <f t="shared" si="21"/>
        <v>0</v>
      </c>
      <c r="I149" s="2" t="str">
        <f t="shared" si="22"/>
        <v>0</v>
      </c>
      <c r="J149" s="2" t="str">
        <f t="shared" si="23"/>
        <v>0</v>
      </c>
      <c r="K149" s="2" t="str">
        <f t="shared" si="24"/>
        <v>0</v>
      </c>
      <c r="L149" s="2" t="str">
        <f t="shared" si="25"/>
        <v>0</v>
      </c>
      <c r="M149" s="2" t="str">
        <f t="shared" si="26"/>
        <v>0</v>
      </c>
      <c r="N149" s="2" t="str">
        <f t="shared" si="27"/>
        <v>0</v>
      </c>
      <c r="O149" s="2" t="str">
        <f t="shared" si="28"/>
        <v>0</v>
      </c>
      <c r="P149" s="2" t="str">
        <f t="shared" si="29"/>
        <v>0</v>
      </c>
      <c r="Q149" s="2" t="str">
        <f t="shared" si="30"/>
        <v>0</v>
      </c>
      <c r="R149" s="2" t="str">
        <f t="shared" si="31"/>
        <v>0</v>
      </c>
      <c r="S149" s="2" t="str">
        <f t="shared" si="32"/>
        <v>0</v>
      </c>
      <c r="T149" s="2" t="str">
        <f t="shared" si="33"/>
        <v>0</v>
      </c>
    </row>
    <row r="150" spans="5:20" x14ac:dyDescent="0.25">
      <c r="E150" s="2" t="str">
        <f t="shared" si="18"/>
        <v>0</v>
      </c>
      <c r="F150" s="2" t="str">
        <f t="shared" si="19"/>
        <v>0</v>
      </c>
      <c r="G150" s="2" t="str">
        <f t="shared" si="20"/>
        <v>0</v>
      </c>
      <c r="H150" s="2" t="str">
        <f t="shared" si="21"/>
        <v>0</v>
      </c>
      <c r="I150" s="2" t="str">
        <f t="shared" si="22"/>
        <v>0</v>
      </c>
      <c r="J150" s="2" t="str">
        <f t="shared" si="23"/>
        <v>0</v>
      </c>
      <c r="K150" s="2" t="str">
        <f t="shared" si="24"/>
        <v>0</v>
      </c>
      <c r="L150" s="2" t="str">
        <f t="shared" si="25"/>
        <v>0</v>
      </c>
      <c r="M150" s="2" t="str">
        <f t="shared" si="26"/>
        <v>0</v>
      </c>
      <c r="N150" s="2" t="str">
        <f t="shared" si="27"/>
        <v>0</v>
      </c>
      <c r="O150" s="2" t="str">
        <f t="shared" si="28"/>
        <v>0</v>
      </c>
      <c r="P150" s="2" t="str">
        <f t="shared" si="29"/>
        <v>0</v>
      </c>
      <c r="Q150" s="2" t="str">
        <f t="shared" si="30"/>
        <v>0</v>
      </c>
      <c r="R150" s="2" t="str">
        <f t="shared" si="31"/>
        <v>0</v>
      </c>
      <c r="S150" s="2" t="str">
        <f t="shared" si="32"/>
        <v>0</v>
      </c>
      <c r="T150" s="2" t="str">
        <f t="shared" si="33"/>
        <v>0</v>
      </c>
    </row>
    <row r="151" spans="5:20" x14ac:dyDescent="0.25">
      <c r="E151" s="2" t="str">
        <f t="shared" si="18"/>
        <v>0</v>
      </c>
      <c r="F151" s="2" t="str">
        <f t="shared" si="19"/>
        <v>0</v>
      </c>
      <c r="G151" s="2" t="str">
        <f t="shared" si="20"/>
        <v>0</v>
      </c>
      <c r="H151" s="2" t="str">
        <f t="shared" si="21"/>
        <v>0</v>
      </c>
      <c r="I151" s="2" t="str">
        <f t="shared" si="22"/>
        <v>0</v>
      </c>
      <c r="J151" s="2" t="str">
        <f t="shared" si="23"/>
        <v>0</v>
      </c>
      <c r="K151" s="2" t="str">
        <f t="shared" si="24"/>
        <v>0</v>
      </c>
      <c r="L151" s="2" t="str">
        <f t="shared" si="25"/>
        <v>0</v>
      </c>
      <c r="M151" s="2" t="str">
        <f t="shared" si="26"/>
        <v>0</v>
      </c>
      <c r="N151" s="2" t="str">
        <f t="shared" si="27"/>
        <v>0</v>
      </c>
      <c r="O151" s="2" t="str">
        <f t="shared" si="28"/>
        <v>0</v>
      </c>
      <c r="P151" s="2" t="str">
        <f t="shared" si="29"/>
        <v>0</v>
      </c>
      <c r="Q151" s="2" t="str">
        <f t="shared" si="30"/>
        <v>0</v>
      </c>
      <c r="R151" s="2" t="str">
        <f t="shared" si="31"/>
        <v>0</v>
      </c>
      <c r="S151" s="2" t="str">
        <f t="shared" si="32"/>
        <v>0</v>
      </c>
      <c r="T151" s="2" t="str">
        <f t="shared" si="33"/>
        <v>0</v>
      </c>
    </row>
    <row r="152" spans="5:20" x14ac:dyDescent="0.25">
      <c r="E152" s="2" t="str">
        <f t="shared" si="18"/>
        <v>0</v>
      </c>
      <c r="F152" s="2" t="str">
        <f t="shared" si="19"/>
        <v>0</v>
      </c>
      <c r="G152" s="2" t="str">
        <f t="shared" si="20"/>
        <v>0</v>
      </c>
      <c r="H152" s="2" t="str">
        <f t="shared" si="21"/>
        <v>0</v>
      </c>
      <c r="I152" s="2" t="str">
        <f t="shared" si="22"/>
        <v>0</v>
      </c>
      <c r="J152" s="2" t="str">
        <f t="shared" si="23"/>
        <v>0</v>
      </c>
      <c r="K152" s="2" t="str">
        <f t="shared" si="24"/>
        <v>0</v>
      </c>
      <c r="L152" s="2" t="str">
        <f t="shared" si="25"/>
        <v>0</v>
      </c>
      <c r="M152" s="2" t="str">
        <f t="shared" si="26"/>
        <v>0</v>
      </c>
      <c r="N152" s="2" t="str">
        <f t="shared" si="27"/>
        <v>0</v>
      </c>
      <c r="O152" s="2" t="str">
        <f t="shared" si="28"/>
        <v>0</v>
      </c>
      <c r="P152" s="2" t="str">
        <f t="shared" si="29"/>
        <v>0</v>
      </c>
      <c r="Q152" s="2" t="str">
        <f t="shared" si="30"/>
        <v>0</v>
      </c>
      <c r="R152" s="2" t="str">
        <f t="shared" si="31"/>
        <v>0</v>
      </c>
      <c r="S152" s="2" t="str">
        <f t="shared" si="32"/>
        <v>0</v>
      </c>
      <c r="T152" s="2" t="str">
        <f t="shared" si="33"/>
        <v>0</v>
      </c>
    </row>
    <row r="153" spans="5:20" x14ac:dyDescent="0.25">
      <c r="E153" s="2" t="str">
        <f t="shared" si="18"/>
        <v>0</v>
      </c>
      <c r="F153" s="2" t="str">
        <f t="shared" si="19"/>
        <v>0</v>
      </c>
      <c r="G153" s="2" t="str">
        <f t="shared" si="20"/>
        <v>0</v>
      </c>
      <c r="H153" s="2" t="str">
        <f t="shared" si="21"/>
        <v>0</v>
      </c>
      <c r="I153" s="2" t="str">
        <f t="shared" si="22"/>
        <v>0</v>
      </c>
      <c r="J153" s="2" t="str">
        <f t="shared" si="23"/>
        <v>0</v>
      </c>
      <c r="K153" s="2" t="str">
        <f t="shared" si="24"/>
        <v>0</v>
      </c>
      <c r="L153" s="2" t="str">
        <f t="shared" si="25"/>
        <v>0</v>
      </c>
      <c r="M153" s="2" t="str">
        <f t="shared" si="26"/>
        <v>0</v>
      </c>
      <c r="N153" s="2" t="str">
        <f t="shared" si="27"/>
        <v>0</v>
      </c>
      <c r="O153" s="2" t="str">
        <f t="shared" si="28"/>
        <v>0</v>
      </c>
      <c r="P153" s="2" t="str">
        <f t="shared" si="29"/>
        <v>0</v>
      </c>
      <c r="Q153" s="2" t="str">
        <f t="shared" si="30"/>
        <v>0</v>
      </c>
      <c r="R153" s="2" t="str">
        <f t="shared" si="31"/>
        <v>0</v>
      </c>
      <c r="S153" s="2" t="str">
        <f t="shared" si="32"/>
        <v>0</v>
      </c>
      <c r="T153" s="2" t="str">
        <f t="shared" si="33"/>
        <v>0</v>
      </c>
    </row>
    <row r="154" spans="5:20" x14ac:dyDescent="0.25">
      <c r="E154" s="2" t="str">
        <f t="shared" si="18"/>
        <v>0</v>
      </c>
      <c r="F154" s="2" t="str">
        <f t="shared" si="19"/>
        <v>0</v>
      </c>
      <c r="G154" s="2" t="str">
        <f t="shared" si="20"/>
        <v>0</v>
      </c>
      <c r="H154" s="2" t="str">
        <f t="shared" si="21"/>
        <v>0</v>
      </c>
      <c r="I154" s="2" t="str">
        <f t="shared" si="22"/>
        <v>0</v>
      </c>
      <c r="J154" s="2" t="str">
        <f t="shared" si="23"/>
        <v>0</v>
      </c>
      <c r="K154" s="2" t="str">
        <f t="shared" si="24"/>
        <v>0</v>
      </c>
      <c r="L154" s="2" t="str">
        <f t="shared" si="25"/>
        <v>0</v>
      </c>
      <c r="M154" s="2" t="str">
        <f t="shared" si="26"/>
        <v>0</v>
      </c>
      <c r="N154" s="2" t="str">
        <f t="shared" si="27"/>
        <v>0</v>
      </c>
      <c r="O154" s="2" t="str">
        <f t="shared" si="28"/>
        <v>0</v>
      </c>
      <c r="P154" s="2" t="str">
        <f t="shared" si="29"/>
        <v>0</v>
      </c>
      <c r="Q154" s="2" t="str">
        <f t="shared" si="30"/>
        <v>0</v>
      </c>
      <c r="R154" s="2" t="str">
        <f t="shared" si="31"/>
        <v>0</v>
      </c>
      <c r="S154" s="2" t="str">
        <f t="shared" si="32"/>
        <v>0</v>
      </c>
      <c r="T154" s="2" t="str">
        <f t="shared" si="33"/>
        <v>0</v>
      </c>
    </row>
    <row r="155" spans="5:20" x14ac:dyDescent="0.25">
      <c r="E155" s="2" t="str">
        <f t="shared" si="18"/>
        <v>0</v>
      </c>
      <c r="F155" s="2" t="str">
        <f t="shared" si="19"/>
        <v>0</v>
      </c>
      <c r="G155" s="2" t="str">
        <f t="shared" si="20"/>
        <v>0</v>
      </c>
      <c r="H155" s="2" t="str">
        <f t="shared" si="21"/>
        <v>0</v>
      </c>
      <c r="I155" s="2" t="str">
        <f t="shared" si="22"/>
        <v>0</v>
      </c>
      <c r="J155" s="2" t="str">
        <f t="shared" si="23"/>
        <v>0</v>
      </c>
      <c r="K155" s="2" t="str">
        <f t="shared" si="24"/>
        <v>0</v>
      </c>
      <c r="L155" s="2" t="str">
        <f t="shared" si="25"/>
        <v>0</v>
      </c>
      <c r="M155" s="2" t="str">
        <f t="shared" si="26"/>
        <v>0</v>
      </c>
      <c r="N155" s="2" t="str">
        <f t="shared" si="27"/>
        <v>0</v>
      </c>
      <c r="O155" s="2" t="str">
        <f t="shared" si="28"/>
        <v>0</v>
      </c>
      <c r="P155" s="2" t="str">
        <f t="shared" si="29"/>
        <v>0</v>
      </c>
      <c r="Q155" s="2" t="str">
        <f t="shared" si="30"/>
        <v>0</v>
      </c>
      <c r="R155" s="2" t="str">
        <f t="shared" si="31"/>
        <v>0</v>
      </c>
      <c r="S155" s="2" t="str">
        <f t="shared" si="32"/>
        <v>0</v>
      </c>
      <c r="T155" s="2" t="str">
        <f t="shared" si="33"/>
        <v>0</v>
      </c>
    </row>
    <row r="156" spans="5:20" x14ac:dyDescent="0.25">
      <c r="E156" s="2" t="str">
        <f t="shared" si="18"/>
        <v>0</v>
      </c>
      <c r="F156" s="2" t="str">
        <f t="shared" si="19"/>
        <v>0</v>
      </c>
      <c r="G156" s="2" t="str">
        <f t="shared" si="20"/>
        <v>0</v>
      </c>
      <c r="H156" s="2" t="str">
        <f t="shared" si="21"/>
        <v>0</v>
      </c>
      <c r="I156" s="2" t="str">
        <f t="shared" si="22"/>
        <v>0</v>
      </c>
      <c r="J156" s="2" t="str">
        <f t="shared" si="23"/>
        <v>0</v>
      </c>
      <c r="K156" s="2" t="str">
        <f t="shared" si="24"/>
        <v>0</v>
      </c>
      <c r="L156" s="2" t="str">
        <f t="shared" si="25"/>
        <v>0</v>
      </c>
      <c r="M156" s="2" t="str">
        <f t="shared" si="26"/>
        <v>0</v>
      </c>
      <c r="N156" s="2" t="str">
        <f t="shared" si="27"/>
        <v>0</v>
      </c>
      <c r="O156" s="2" t="str">
        <f t="shared" si="28"/>
        <v>0</v>
      </c>
      <c r="P156" s="2" t="str">
        <f t="shared" si="29"/>
        <v>0</v>
      </c>
      <c r="Q156" s="2" t="str">
        <f t="shared" si="30"/>
        <v>0</v>
      </c>
      <c r="R156" s="2" t="str">
        <f t="shared" si="31"/>
        <v>0</v>
      </c>
      <c r="S156" s="2" t="str">
        <f t="shared" si="32"/>
        <v>0</v>
      </c>
      <c r="T156" s="2" t="str">
        <f t="shared" si="33"/>
        <v>0</v>
      </c>
    </row>
    <row r="157" spans="5:20" x14ac:dyDescent="0.25">
      <c r="E157" s="2" t="str">
        <f t="shared" si="18"/>
        <v>0</v>
      </c>
      <c r="F157" s="2" t="str">
        <f t="shared" si="19"/>
        <v>0</v>
      </c>
      <c r="G157" s="2" t="str">
        <f t="shared" si="20"/>
        <v>0</v>
      </c>
      <c r="H157" s="2" t="str">
        <f t="shared" si="21"/>
        <v>0</v>
      </c>
      <c r="I157" s="2" t="str">
        <f t="shared" si="22"/>
        <v>0</v>
      </c>
      <c r="J157" s="2" t="str">
        <f t="shared" si="23"/>
        <v>0</v>
      </c>
      <c r="K157" s="2" t="str">
        <f t="shared" si="24"/>
        <v>0</v>
      </c>
      <c r="L157" s="2" t="str">
        <f t="shared" si="25"/>
        <v>0</v>
      </c>
      <c r="M157" s="2" t="str">
        <f t="shared" si="26"/>
        <v>0</v>
      </c>
      <c r="N157" s="2" t="str">
        <f t="shared" si="27"/>
        <v>0</v>
      </c>
      <c r="O157" s="2" t="str">
        <f t="shared" si="28"/>
        <v>0</v>
      </c>
      <c r="P157" s="2" t="str">
        <f t="shared" si="29"/>
        <v>0</v>
      </c>
      <c r="Q157" s="2" t="str">
        <f t="shared" si="30"/>
        <v>0</v>
      </c>
      <c r="R157" s="2" t="str">
        <f t="shared" si="31"/>
        <v>0</v>
      </c>
      <c r="S157" s="2" t="str">
        <f t="shared" si="32"/>
        <v>0</v>
      </c>
      <c r="T157" s="2" t="str">
        <f t="shared" si="33"/>
        <v>0</v>
      </c>
    </row>
    <row r="158" spans="5:20" x14ac:dyDescent="0.25">
      <c r="E158" s="2" t="str">
        <f t="shared" si="18"/>
        <v>0</v>
      </c>
      <c r="F158" s="2" t="str">
        <f t="shared" si="19"/>
        <v>0</v>
      </c>
      <c r="G158" s="2" t="str">
        <f t="shared" si="20"/>
        <v>0</v>
      </c>
      <c r="H158" s="2" t="str">
        <f t="shared" si="21"/>
        <v>0</v>
      </c>
      <c r="I158" s="2" t="str">
        <f t="shared" si="22"/>
        <v>0</v>
      </c>
      <c r="J158" s="2" t="str">
        <f t="shared" si="23"/>
        <v>0</v>
      </c>
      <c r="K158" s="2" t="str">
        <f t="shared" si="24"/>
        <v>0</v>
      </c>
      <c r="L158" s="2" t="str">
        <f t="shared" si="25"/>
        <v>0</v>
      </c>
      <c r="M158" s="2" t="str">
        <f t="shared" si="26"/>
        <v>0</v>
      </c>
      <c r="N158" s="2" t="str">
        <f t="shared" si="27"/>
        <v>0</v>
      </c>
      <c r="O158" s="2" t="str">
        <f t="shared" si="28"/>
        <v>0</v>
      </c>
      <c r="P158" s="2" t="str">
        <f t="shared" si="29"/>
        <v>0</v>
      </c>
      <c r="Q158" s="2" t="str">
        <f t="shared" si="30"/>
        <v>0</v>
      </c>
      <c r="R158" s="2" t="str">
        <f t="shared" si="31"/>
        <v>0</v>
      </c>
      <c r="S158" s="2" t="str">
        <f t="shared" si="32"/>
        <v>0</v>
      </c>
      <c r="T158" s="2" t="str">
        <f t="shared" si="33"/>
        <v>0</v>
      </c>
    </row>
    <row r="159" spans="5:20" x14ac:dyDescent="0.25">
      <c r="E159" s="2" t="str">
        <f t="shared" si="18"/>
        <v>0</v>
      </c>
      <c r="F159" s="2" t="str">
        <f t="shared" si="19"/>
        <v>0</v>
      </c>
      <c r="G159" s="2" t="str">
        <f t="shared" si="20"/>
        <v>0</v>
      </c>
      <c r="H159" s="2" t="str">
        <f t="shared" si="21"/>
        <v>0</v>
      </c>
      <c r="I159" s="2" t="str">
        <f t="shared" si="22"/>
        <v>0</v>
      </c>
      <c r="J159" s="2" t="str">
        <f t="shared" si="23"/>
        <v>0</v>
      </c>
      <c r="K159" s="2" t="str">
        <f t="shared" si="24"/>
        <v>0</v>
      </c>
      <c r="L159" s="2" t="str">
        <f t="shared" si="25"/>
        <v>0</v>
      </c>
      <c r="M159" s="2" t="str">
        <f t="shared" si="26"/>
        <v>0</v>
      </c>
      <c r="N159" s="2" t="str">
        <f t="shared" si="27"/>
        <v>0</v>
      </c>
      <c r="O159" s="2" t="str">
        <f t="shared" si="28"/>
        <v>0</v>
      </c>
      <c r="P159" s="2" t="str">
        <f t="shared" si="29"/>
        <v>0</v>
      </c>
      <c r="Q159" s="2" t="str">
        <f t="shared" si="30"/>
        <v>0</v>
      </c>
      <c r="R159" s="2" t="str">
        <f t="shared" si="31"/>
        <v>0</v>
      </c>
      <c r="S159" s="2" t="str">
        <f t="shared" si="32"/>
        <v>0</v>
      </c>
      <c r="T159" s="2" t="str">
        <f t="shared" si="33"/>
        <v>0</v>
      </c>
    </row>
    <row r="160" spans="5:20" x14ac:dyDescent="0.25">
      <c r="E160" s="2" t="str">
        <f t="shared" si="18"/>
        <v>0</v>
      </c>
      <c r="F160" s="2" t="str">
        <f t="shared" si="19"/>
        <v>0</v>
      </c>
      <c r="G160" s="2" t="str">
        <f t="shared" si="20"/>
        <v>0</v>
      </c>
      <c r="H160" s="2" t="str">
        <f t="shared" si="21"/>
        <v>0</v>
      </c>
      <c r="I160" s="2" t="str">
        <f t="shared" si="22"/>
        <v>0</v>
      </c>
      <c r="J160" s="2" t="str">
        <f t="shared" si="23"/>
        <v>0</v>
      </c>
      <c r="K160" s="2" t="str">
        <f t="shared" si="24"/>
        <v>0</v>
      </c>
      <c r="L160" s="2" t="str">
        <f t="shared" si="25"/>
        <v>0</v>
      </c>
      <c r="M160" s="2" t="str">
        <f t="shared" si="26"/>
        <v>0</v>
      </c>
      <c r="N160" s="2" t="str">
        <f t="shared" si="27"/>
        <v>0</v>
      </c>
      <c r="O160" s="2" t="str">
        <f t="shared" si="28"/>
        <v>0</v>
      </c>
      <c r="P160" s="2" t="str">
        <f t="shared" si="29"/>
        <v>0</v>
      </c>
      <c r="Q160" s="2" t="str">
        <f t="shared" si="30"/>
        <v>0</v>
      </c>
      <c r="R160" s="2" t="str">
        <f t="shared" si="31"/>
        <v>0</v>
      </c>
      <c r="S160" s="2" t="str">
        <f t="shared" si="32"/>
        <v>0</v>
      </c>
      <c r="T160" s="2" t="str">
        <f t="shared" si="33"/>
        <v>0</v>
      </c>
    </row>
    <row r="161" spans="5:20" x14ac:dyDescent="0.25">
      <c r="E161" s="2" t="str">
        <f t="shared" si="18"/>
        <v>0</v>
      </c>
      <c r="F161" s="2" t="str">
        <f t="shared" si="19"/>
        <v>0</v>
      </c>
      <c r="G161" s="2" t="str">
        <f t="shared" si="20"/>
        <v>0</v>
      </c>
      <c r="H161" s="2" t="str">
        <f t="shared" si="21"/>
        <v>0</v>
      </c>
      <c r="I161" s="2" t="str">
        <f t="shared" si="22"/>
        <v>0</v>
      </c>
      <c r="J161" s="2" t="str">
        <f t="shared" si="23"/>
        <v>0</v>
      </c>
      <c r="K161" s="2" t="str">
        <f t="shared" si="24"/>
        <v>0</v>
      </c>
      <c r="L161" s="2" t="str">
        <f t="shared" si="25"/>
        <v>0</v>
      </c>
      <c r="M161" s="2" t="str">
        <f t="shared" si="26"/>
        <v>0</v>
      </c>
      <c r="N161" s="2" t="str">
        <f t="shared" si="27"/>
        <v>0</v>
      </c>
      <c r="O161" s="2" t="str">
        <f t="shared" si="28"/>
        <v>0</v>
      </c>
      <c r="P161" s="2" t="str">
        <f t="shared" si="29"/>
        <v>0</v>
      </c>
      <c r="Q161" s="2" t="str">
        <f t="shared" si="30"/>
        <v>0</v>
      </c>
      <c r="R161" s="2" t="str">
        <f t="shared" si="31"/>
        <v>0</v>
      </c>
      <c r="S161" s="2" t="str">
        <f t="shared" si="32"/>
        <v>0</v>
      </c>
      <c r="T161" s="2" t="str">
        <f t="shared" si="33"/>
        <v>0</v>
      </c>
    </row>
    <row r="162" spans="5:20" x14ac:dyDescent="0.25">
      <c r="E162" s="2" t="str">
        <f t="shared" si="18"/>
        <v>0</v>
      </c>
      <c r="F162" s="2" t="str">
        <f t="shared" si="19"/>
        <v>0</v>
      </c>
      <c r="G162" s="2" t="str">
        <f t="shared" si="20"/>
        <v>0</v>
      </c>
      <c r="H162" s="2" t="str">
        <f t="shared" si="21"/>
        <v>0</v>
      </c>
      <c r="I162" s="2" t="str">
        <f t="shared" si="22"/>
        <v>0</v>
      </c>
      <c r="J162" s="2" t="str">
        <f t="shared" si="23"/>
        <v>0</v>
      </c>
      <c r="K162" s="2" t="str">
        <f t="shared" si="24"/>
        <v>0</v>
      </c>
      <c r="L162" s="2" t="str">
        <f t="shared" si="25"/>
        <v>0</v>
      </c>
      <c r="M162" s="2" t="str">
        <f t="shared" si="26"/>
        <v>0</v>
      </c>
      <c r="N162" s="2" t="str">
        <f t="shared" si="27"/>
        <v>0</v>
      </c>
      <c r="O162" s="2" t="str">
        <f t="shared" si="28"/>
        <v>0</v>
      </c>
      <c r="P162" s="2" t="str">
        <f t="shared" si="29"/>
        <v>0</v>
      </c>
      <c r="Q162" s="2" t="str">
        <f t="shared" si="30"/>
        <v>0</v>
      </c>
      <c r="R162" s="2" t="str">
        <f t="shared" si="31"/>
        <v>0</v>
      </c>
      <c r="S162" s="2" t="str">
        <f t="shared" si="32"/>
        <v>0</v>
      </c>
      <c r="T162" s="2" t="str">
        <f t="shared" si="33"/>
        <v>0</v>
      </c>
    </row>
    <row r="163" spans="5:20" x14ac:dyDescent="0.25">
      <c r="E163" s="2" t="str">
        <f t="shared" si="18"/>
        <v>0</v>
      </c>
      <c r="F163" s="2" t="str">
        <f t="shared" si="19"/>
        <v>0</v>
      </c>
      <c r="G163" s="2" t="str">
        <f t="shared" si="20"/>
        <v>0</v>
      </c>
      <c r="H163" s="2" t="str">
        <f t="shared" si="21"/>
        <v>0</v>
      </c>
      <c r="I163" s="2" t="str">
        <f t="shared" si="22"/>
        <v>0</v>
      </c>
      <c r="J163" s="2" t="str">
        <f t="shared" si="23"/>
        <v>0</v>
      </c>
      <c r="K163" s="2" t="str">
        <f t="shared" si="24"/>
        <v>0</v>
      </c>
      <c r="L163" s="2" t="str">
        <f t="shared" si="25"/>
        <v>0</v>
      </c>
      <c r="M163" s="2" t="str">
        <f t="shared" si="26"/>
        <v>0</v>
      </c>
      <c r="N163" s="2" t="str">
        <f t="shared" si="27"/>
        <v>0</v>
      </c>
      <c r="O163" s="2" t="str">
        <f t="shared" si="28"/>
        <v>0</v>
      </c>
      <c r="P163" s="2" t="str">
        <f t="shared" si="29"/>
        <v>0</v>
      </c>
      <c r="Q163" s="2" t="str">
        <f t="shared" si="30"/>
        <v>0</v>
      </c>
      <c r="R163" s="2" t="str">
        <f t="shared" si="31"/>
        <v>0</v>
      </c>
      <c r="S163" s="2" t="str">
        <f t="shared" si="32"/>
        <v>0</v>
      </c>
      <c r="T163" s="2" t="str">
        <f t="shared" si="33"/>
        <v>0</v>
      </c>
    </row>
    <row r="164" spans="5:20" x14ac:dyDescent="0.25">
      <c r="E164" s="2" t="str">
        <f t="shared" si="18"/>
        <v>0</v>
      </c>
      <c r="F164" s="2" t="str">
        <f t="shared" si="19"/>
        <v>0</v>
      </c>
      <c r="G164" s="2" t="str">
        <f t="shared" si="20"/>
        <v>0</v>
      </c>
      <c r="H164" s="2" t="str">
        <f t="shared" si="21"/>
        <v>0</v>
      </c>
      <c r="I164" s="2" t="str">
        <f t="shared" si="22"/>
        <v>0</v>
      </c>
      <c r="J164" s="2" t="str">
        <f t="shared" si="23"/>
        <v>0</v>
      </c>
      <c r="K164" s="2" t="str">
        <f t="shared" si="24"/>
        <v>0</v>
      </c>
      <c r="L164" s="2" t="str">
        <f t="shared" si="25"/>
        <v>0</v>
      </c>
      <c r="M164" s="2" t="str">
        <f t="shared" si="26"/>
        <v>0</v>
      </c>
      <c r="N164" s="2" t="str">
        <f t="shared" si="27"/>
        <v>0</v>
      </c>
      <c r="O164" s="2" t="str">
        <f t="shared" si="28"/>
        <v>0</v>
      </c>
      <c r="P164" s="2" t="str">
        <f t="shared" si="29"/>
        <v>0</v>
      </c>
      <c r="Q164" s="2" t="str">
        <f t="shared" si="30"/>
        <v>0</v>
      </c>
      <c r="R164" s="2" t="str">
        <f t="shared" si="31"/>
        <v>0</v>
      </c>
      <c r="S164" s="2" t="str">
        <f t="shared" si="32"/>
        <v>0</v>
      </c>
      <c r="T164" s="2" t="str">
        <f t="shared" si="33"/>
        <v>0</v>
      </c>
    </row>
    <row r="165" spans="5:20" x14ac:dyDescent="0.25">
      <c r="E165" s="2" t="str">
        <f t="shared" si="18"/>
        <v>0</v>
      </c>
      <c r="F165" s="2" t="str">
        <f t="shared" si="19"/>
        <v>0</v>
      </c>
      <c r="G165" s="2" t="str">
        <f t="shared" si="20"/>
        <v>0</v>
      </c>
      <c r="H165" s="2" t="str">
        <f t="shared" si="21"/>
        <v>0</v>
      </c>
      <c r="I165" s="2" t="str">
        <f t="shared" si="22"/>
        <v>0</v>
      </c>
      <c r="J165" s="2" t="str">
        <f t="shared" si="23"/>
        <v>0</v>
      </c>
      <c r="K165" s="2" t="str">
        <f t="shared" si="24"/>
        <v>0</v>
      </c>
      <c r="L165" s="2" t="str">
        <f t="shared" si="25"/>
        <v>0</v>
      </c>
      <c r="M165" s="2" t="str">
        <f t="shared" si="26"/>
        <v>0</v>
      </c>
      <c r="N165" s="2" t="str">
        <f t="shared" si="27"/>
        <v>0</v>
      </c>
      <c r="O165" s="2" t="str">
        <f t="shared" si="28"/>
        <v>0</v>
      </c>
      <c r="P165" s="2" t="str">
        <f t="shared" si="29"/>
        <v>0</v>
      </c>
      <c r="Q165" s="2" t="str">
        <f t="shared" si="30"/>
        <v>0</v>
      </c>
      <c r="R165" s="2" t="str">
        <f t="shared" si="31"/>
        <v>0</v>
      </c>
      <c r="S165" s="2" t="str">
        <f t="shared" si="32"/>
        <v>0</v>
      </c>
      <c r="T165" s="2" t="str">
        <f t="shared" si="33"/>
        <v>0</v>
      </c>
    </row>
    <row r="166" spans="5:20" x14ac:dyDescent="0.25">
      <c r="E166" s="2" t="str">
        <f t="shared" si="18"/>
        <v>0</v>
      </c>
      <c r="F166" s="2" t="str">
        <f t="shared" si="19"/>
        <v>0</v>
      </c>
      <c r="G166" s="2" t="str">
        <f t="shared" si="20"/>
        <v>0</v>
      </c>
      <c r="H166" s="2" t="str">
        <f t="shared" si="21"/>
        <v>0</v>
      </c>
      <c r="I166" s="2" t="str">
        <f t="shared" si="22"/>
        <v>0</v>
      </c>
      <c r="J166" s="2" t="str">
        <f t="shared" si="23"/>
        <v>0</v>
      </c>
      <c r="K166" s="2" t="str">
        <f t="shared" si="24"/>
        <v>0</v>
      </c>
      <c r="L166" s="2" t="str">
        <f t="shared" si="25"/>
        <v>0</v>
      </c>
      <c r="M166" s="2" t="str">
        <f t="shared" si="26"/>
        <v>0</v>
      </c>
      <c r="N166" s="2" t="str">
        <f t="shared" si="27"/>
        <v>0</v>
      </c>
      <c r="O166" s="2" t="str">
        <f t="shared" si="28"/>
        <v>0</v>
      </c>
      <c r="P166" s="2" t="str">
        <f t="shared" si="29"/>
        <v>0</v>
      </c>
      <c r="Q166" s="2" t="str">
        <f t="shared" si="30"/>
        <v>0</v>
      </c>
      <c r="R166" s="2" t="str">
        <f t="shared" si="31"/>
        <v>0</v>
      </c>
      <c r="S166" s="2" t="str">
        <f t="shared" si="32"/>
        <v>0</v>
      </c>
      <c r="T166" s="2" t="str">
        <f t="shared" si="33"/>
        <v>0</v>
      </c>
    </row>
    <row r="167" spans="5:20" x14ac:dyDescent="0.25">
      <c r="E167" s="2">
        <f>SUM(E79:E166)</f>
        <v>14.319999999999999</v>
      </c>
      <c r="F167" s="2">
        <f t="shared" ref="F167:T167" si="34">SUM(F79:F166)</f>
        <v>26.78</v>
      </c>
      <c r="G167" s="2">
        <f t="shared" si="34"/>
        <v>13.5</v>
      </c>
      <c r="H167" s="2">
        <f t="shared" si="34"/>
        <v>11.779999999999998</v>
      </c>
      <c r="I167" s="2">
        <f t="shared" si="34"/>
        <v>39.300000000000004</v>
      </c>
      <c r="J167" s="2">
        <f t="shared" si="34"/>
        <v>1</v>
      </c>
      <c r="K167" s="2">
        <f t="shared" si="34"/>
        <v>61.899999999999991</v>
      </c>
      <c r="L167" s="2">
        <f t="shared" si="34"/>
        <v>0</v>
      </c>
      <c r="M167" s="2">
        <f t="shared" si="34"/>
        <v>38.819999999999993</v>
      </c>
      <c r="N167" s="2">
        <f t="shared" si="34"/>
        <v>1.1000000000000001</v>
      </c>
      <c r="O167" s="2">
        <f t="shared" si="34"/>
        <v>0</v>
      </c>
      <c r="P167" s="2">
        <f t="shared" si="34"/>
        <v>38.819999999999993</v>
      </c>
      <c r="Q167" s="2">
        <f t="shared" si="34"/>
        <v>0</v>
      </c>
      <c r="R167" s="2">
        <f t="shared" si="34"/>
        <v>0</v>
      </c>
      <c r="S167" s="2">
        <f t="shared" si="34"/>
        <v>38.819999999999993</v>
      </c>
      <c r="T167" s="2">
        <f t="shared" si="34"/>
        <v>0</v>
      </c>
    </row>
  </sheetData>
  <mergeCells count="14">
    <mergeCell ref="R5:T5"/>
    <mergeCell ref="U5:U6"/>
    <mergeCell ref="E72:F7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2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B09D-8E33-44A4-BE99-1AF373F4C662}">
  <dimension ref="A1:AN127"/>
  <sheetViews>
    <sheetView view="pageBreakPreview" zoomScale="70" zoomScaleNormal="70" zoomScaleSheetLayoutView="70" workbookViewId="0">
      <pane ySplit="6" topLeftCell="A7" activePane="bottomLeft" state="frozen"/>
      <selection activeCell="E14" sqref="E14"/>
      <selection pane="bottomLeft" activeCell="C13" sqref="C13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TT!C11</f>
        <v>RODOVIA TO-365 - TRECHO IPUEIRAS - SILVANÓPOLIS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4">
      <c r="A7" s="63" t="s">
        <v>92</v>
      </c>
      <c r="B7" s="56" t="s">
        <v>128</v>
      </c>
      <c r="C7" s="56">
        <v>0</v>
      </c>
      <c r="D7" s="56">
        <v>1.1299999999999999</v>
      </c>
      <c r="E7" s="57"/>
      <c r="F7" s="57" t="s">
        <v>129</v>
      </c>
      <c r="G7" s="57"/>
      <c r="H7" s="57"/>
      <c r="I7" s="57"/>
      <c r="J7" s="57" t="s">
        <v>129</v>
      </c>
      <c r="K7" s="57"/>
      <c r="L7" s="57" t="s">
        <v>129</v>
      </c>
      <c r="M7" s="57"/>
      <c r="N7" s="57"/>
      <c r="O7" s="56"/>
      <c r="P7" s="56" t="s">
        <v>129</v>
      </c>
      <c r="Q7" s="56"/>
      <c r="R7" s="56"/>
      <c r="S7" s="56" t="s">
        <v>129</v>
      </c>
      <c r="T7" s="56"/>
      <c r="U7" s="61" t="s">
        <v>132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4">
      <c r="A8" s="56"/>
      <c r="B8" s="56"/>
      <c r="C8" s="56"/>
      <c r="D8" s="56"/>
      <c r="E8" s="57"/>
      <c r="F8" s="57"/>
      <c r="G8" s="57"/>
      <c r="H8" s="57"/>
      <c r="I8" s="57"/>
      <c r="J8" s="57"/>
      <c r="K8" s="57"/>
      <c r="L8" s="57"/>
      <c r="M8" s="57"/>
      <c r="N8" s="57"/>
      <c r="O8" s="56"/>
      <c r="P8" s="56"/>
      <c r="Q8" s="56"/>
      <c r="R8" s="56"/>
      <c r="S8" s="56"/>
      <c r="T8" s="56"/>
      <c r="U8" s="61"/>
    </row>
    <row r="9" spans="1:40" ht="36" customHeight="1" x14ac:dyDescent="0.4">
      <c r="A9" s="56"/>
      <c r="B9" s="56"/>
      <c r="C9" s="56"/>
      <c r="D9" s="56"/>
      <c r="E9" s="57"/>
      <c r="F9" s="57"/>
      <c r="G9" s="57"/>
      <c r="H9" s="57"/>
      <c r="I9" s="57"/>
      <c r="J9" s="57"/>
      <c r="K9" s="57"/>
      <c r="L9" s="57"/>
      <c r="M9" s="57"/>
      <c r="N9" s="57"/>
      <c r="O9" s="56"/>
      <c r="P9" s="56"/>
      <c r="Q9" s="56"/>
      <c r="R9" s="56"/>
      <c r="S9" s="56"/>
      <c r="T9" s="56"/>
      <c r="U9" s="61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4">
      <c r="A10" s="56"/>
      <c r="B10" s="56"/>
      <c r="C10" s="56"/>
      <c r="D10" s="56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6"/>
      <c r="P10" s="56"/>
      <c r="Q10" s="56"/>
      <c r="R10" s="56"/>
      <c r="S10" s="56"/>
      <c r="T10" s="56"/>
      <c r="U10" s="61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4">
      <c r="A11" s="56"/>
      <c r="B11" s="56"/>
      <c r="C11" s="56"/>
      <c r="D11" s="56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6"/>
      <c r="P11" s="56"/>
      <c r="Q11" s="56"/>
      <c r="R11" s="56"/>
      <c r="S11" s="56"/>
      <c r="T11" s="56"/>
      <c r="U11" s="61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4">
      <c r="A12" s="63"/>
      <c r="B12" s="56"/>
      <c r="C12" s="56"/>
      <c r="D12" s="5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6"/>
      <c r="P12" s="56"/>
      <c r="Q12" s="56"/>
      <c r="R12" s="56"/>
      <c r="S12" s="56"/>
      <c r="T12" s="56"/>
      <c r="U12" s="61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4">
      <c r="A13" s="56"/>
      <c r="B13" s="56"/>
      <c r="C13" s="56"/>
      <c r="D13" s="56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6"/>
      <c r="P13" s="56"/>
      <c r="Q13" s="56"/>
      <c r="R13" s="56"/>
      <c r="S13" s="56"/>
      <c r="T13" s="56"/>
      <c r="U13" s="61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4">
      <c r="A14" s="56"/>
      <c r="B14" s="56"/>
      <c r="C14" s="56"/>
      <c r="D14" s="56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6"/>
      <c r="P14" s="56"/>
      <c r="Q14" s="56"/>
      <c r="R14" s="56"/>
      <c r="S14" s="56"/>
      <c r="T14" s="56"/>
      <c r="U14" s="61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4">
      <c r="A15" s="56"/>
      <c r="B15" s="56"/>
      <c r="C15" s="56"/>
      <c r="D15" s="56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6"/>
      <c r="P15" s="56"/>
      <c r="Q15" s="56"/>
      <c r="R15" s="56"/>
      <c r="S15" s="56"/>
      <c r="T15" s="56"/>
      <c r="U15" s="61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4">
      <c r="A16" s="56"/>
      <c r="B16" s="56"/>
      <c r="C16" s="56"/>
      <c r="D16" s="56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6"/>
      <c r="P16" s="56"/>
      <c r="Q16" s="56"/>
      <c r="R16" s="56"/>
      <c r="S16" s="56"/>
      <c r="T16" s="56"/>
      <c r="U16" s="61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4">
      <c r="A17" s="56"/>
      <c r="B17" s="56"/>
      <c r="C17" s="56"/>
      <c r="D17" s="56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6"/>
      <c r="P17" s="56"/>
      <c r="Q17" s="56"/>
      <c r="R17" s="56"/>
      <c r="S17" s="56"/>
      <c r="T17" s="56"/>
      <c r="U17" s="61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4">
      <c r="A18" s="56"/>
      <c r="B18" s="56"/>
      <c r="C18" s="56"/>
      <c r="D18" s="56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6"/>
      <c r="P18" s="56"/>
      <c r="Q18" s="56"/>
      <c r="R18" s="56"/>
      <c r="S18" s="56"/>
      <c r="T18" s="56"/>
      <c r="U18" s="61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4">
      <c r="A19" s="56"/>
      <c r="B19" s="56"/>
      <c r="C19" s="56"/>
      <c r="D19" s="56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6"/>
      <c r="P19" s="56"/>
      <c r="Q19" s="56"/>
      <c r="R19" s="56"/>
      <c r="S19" s="56"/>
      <c r="T19" s="56"/>
      <c r="U19" s="61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4">
      <c r="A20" s="56"/>
      <c r="B20" s="56"/>
      <c r="C20" s="56"/>
      <c r="D20" s="56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6"/>
      <c r="P20" s="56"/>
      <c r="Q20" s="56"/>
      <c r="R20" s="56"/>
      <c r="S20" s="56"/>
      <c r="T20" s="56"/>
      <c r="U20" s="61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4">
      <c r="A21" s="56"/>
      <c r="B21" s="56"/>
      <c r="C21" s="56"/>
      <c r="D21" s="56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6"/>
      <c r="P21" s="56"/>
      <c r="Q21" s="56"/>
      <c r="R21" s="56"/>
      <c r="S21" s="56"/>
      <c r="T21" s="56"/>
      <c r="U21" s="61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3"/>
      <c r="B22" s="3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3"/>
      <c r="P22" s="3"/>
      <c r="Q22" s="3"/>
      <c r="R22" s="3"/>
      <c r="S22" s="3"/>
      <c r="T22" s="3"/>
      <c r="U22" s="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  <c r="P23" s="3"/>
      <c r="Q23" s="3"/>
      <c r="R23" s="3"/>
      <c r="S23" s="3"/>
      <c r="T23" s="3"/>
      <c r="U23" s="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3"/>
      <c r="P24" s="3"/>
      <c r="Q24" s="3"/>
      <c r="R24" s="3"/>
      <c r="S24" s="3"/>
      <c r="T24" s="3"/>
      <c r="U24" s="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  <c r="P25" s="3"/>
      <c r="Q25" s="3"/>
      <c r="R25" s="3"/>
      <c r="S25" s="3"/>
      <c r="T25" s="3"/>
      <c r="U25" s="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  <c r="P26" s="3"/>
      <c r="Q26" s="3"/>
      <c r="R26" s="3"/>
      <c r="S26" s="3"/>
      <c r="T26" s="3"/>
      <c r="U26" s="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  <c r="P27" s="3"/>
      <c r="Q27" s="3"/>
      <c r="R27" s="3"/>
      <c r="S27" s="3"/>
      <c r="T27" s="3"/>
      <c r="U27" s="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1.1299999999999999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1.1299999999999999</v>
      </c>
      <c r="K39" s="2" t="str">
        <f>IF(K7="X",(D7-C7),"0")</f>
        <v>0</v>
      </c>
      <c r="L39" s="2">
        <f>IF(L7="X",(D7-C7),"0")</f>
        <v>1.1299999999999999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>
        <f>IF(P7="X",(D7-C7),"0")</f>
        <v>1.1299999999999999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1.1299999999999999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 t="str">
        <f t="shared" ref="F40:F103" si="1">IF(F8="X",(D8-C8),"0")</f>
        <v>0</v>
      </c>
      <c r="G40" s="2" t="str">
        <f t="shared" ref="G40:G103" si="2">IF(G8="X",(D8-C8),"0")</f>
        <v>0</v>
      </c>
      <c r="H40" s="2" t="str">
        <f t="shared" ref="H40:H103" si="3">IF(H8="X",(D8-C8),"0")</f>
        <v>0</v>
      </c>
      <c r="I40" s="2" t="str">
        <f t="shared" ref="I40:I103" si="4">IF(I8="X",(D8-C8),"0")</f>
        <v>0</v>
      </c>
      <c r="J40" s="2" t="str">
        <f t="shared" ref="J40:J103" si="5">IF(J8="X",(D8-C8),"0")</f>
        <v>0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 t="str">
        <f t="shared" ref="M40:M103" si="8">IF(M8="X",(D8-C8),"0")</f>
        <v>0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 t="str">
        <f t="shared" ref="P40:P103" si="11">IF(P8="X",(D8-C8),"0")</f>
        <v>0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 t="str">
        <f t="shared" ref="S40:S103" si="14">IF(S8="X",(D8-C8),"0")</f>
        <v>0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 t="str">
        <f t="shared" si="3"/>
        <v>0</v>
      </c>
      <c r="I41" s="2" t="str">
        <f t="shared" si="4"/>
        <v>0</v>
      </c>
      <c r="J41" s="2" t="str">
        <f t="shared" si="5"/>
        <v>0</v>
      </c>
      <c r="K41" s="2" t="str">
        <f t="shared" si="6"/>
        <v>0</v>
      </c>
      <c r="L41" s="2" t="str">
        <f t="shared" si="7"/>
        <v>0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 t="str">
        <f t="shared" si="11"/>
        <v>0</v>
      </c>
      <c r="Q41" s="2" t="str">
        <f t="shared" si="12"/>
        <v>0</v>
      </c>
      <c r="R41" s="2" t="str">
        <f t="shared" si="13"/>
        <v>0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 t="str">
        <f t="shared" si="5"/>
        <v>0</v>
      </c>
      <c r="K42" s="2" t="str">
        <f t="shared" si="6"/>
        <v>0</v>
      </c>
      <c r="L42" s="2" t="str">
        <f t="shared" si="7"/>
        <v>0</v>
      </c>
      <c r="M42" s="2" t="str">
        <f t="shared" si="8"/>
        <v>0</v>
      </c>
      <c r="N42" s="2" t="str">
        <f t="shared" si="9"/>
        <v>0</v>
      </c>
      <c r="O42" s="2" t="str">
        <f t="shared" si="10"/>
        <v>0</v>
      </c>
      <c r="P42" s="2" t="str">
        <f t="shared" si="11"/>
        <v>0</v>
      </c>
      <c r="Q42" s="2" t="str">
        <f t="shared" si="12"/>
        <v>0</v>
      </c>
      <c r="R42" s="2" t="str">
        <f t="shared" si="13"/>
        <v>0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 t="str">
        <f t="shared" si="5"/>
        <v>0</v>
      </c>
      <c r="K43" s="2" t="str">
        <f t="shared" si="6"/>
        <v>0</v>
      </c>
      <c r="L43" s="2" t="str">
        <f t="shared" si="7"/>
        <v>0</v>
      </c>
      <c r="M43" s="2" t="str">
        <f t="shared" si="8"/>
        <v>0</v>
      </c>
      <c r="N43" s="2" t="str">
        <f t="shared" si="9"/>
        <v>0</v>
      </c>
      <c r="O43" s="2" t="str">
        <f t="shared" si="10"/>
        <v>0</v>
      </c>
      <c r="P43" s="2" t="str">
        <f t="shared" si="11"/>
        <v>0</v>
      </c>
      <c r="Q43" s="2" t="str">
        <f t="shared" si="12"/>
        <v>0</v>
      </c>
      <c r="R43" s="2" t="str">
        <f t="shared" si="13"/>
        <v>0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 t="str">
        <f t="shared" si="2"/>
        <v>0</v>
      </c>
      <c r="H44" s="2" t="str">
        <f t="shared" si="3"/>
        <v>0</v>
      </c>
      <c r="I44" s="2" t="str">
        <f t="shared" si="4"/>
        <v>0</v>
      </c>
      <c r="J44" s="2" t="str">
        <f t="shared" si="5"/>
        <v>0</v>
      </c>
      <c r="K44" s="2" t="str">
        <f t="shared" si="6"/>
        <v>0</v>
      </c>
      <c r="L44" s="2" t="str">
        <f t="shared" si="7"/>
        <v>0</v>
      </c>
      <c r="M44" s="2" t="str">
        <f t="shared" si="8"/>
        <v>0</v>
      </c>
      <c r="N44" s="2" t="str">
        <f t="shared" si="9"/>
        <v>0</v>
      </c>
      <c r="O44" s="2" t="str">
        <f t="shared" si="10"/>
        <v>0</v>
      </c>
      <c r="P44" s="2" t="str">
        <f t="shared" si="11"/>
        <v>0</v>
      </c>
      <c r="Q44" s="2" t="str">
        <f t="shared" si="12"/>
        <v>0</v>
      </c>
      <c r="R44" s="2" t="str">
        <f t="shared" si="13"/>
        <v>0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>
        <f>SUM(E39:E126)</f>
        <v>0</v>
      </c>
      <c r="F127" s="2">
        <f t="shared" ref="F127:T127" si="32">SUM(F39:F126)</f>
        <v>1.1299999999999999</v>
      </c>
      <c r="G127" s="2">
        <f t="shared" si="32"/>
        <v>0</v>
      </c>
      <c r="H127" s="2">
        <f t="shared" si="32"/>
        <v>0</v>
      </c>
      <c r="I127" s="2">
        <f t="shared" si="32"/>
        <v>0</v>
      </c>
      <c r="J127" s="2">
        <f t="shared" si="32"/>
        <v>1.1299999999999999</v>
      </c>
      <c r="K127" s="2">
        <f t="shared" si="32"/>
        <v>0</v>
      </c>
      <c r="L127" s="2">
        <f t="shared" si="32"/>
        <v>1.1299999999999999</v>
      </c>
      <c r="M127" s="2">
        <f t="shared" si="32"/>
        <v>0</v>
      </c>
      <c r="N127" s="2">
        <f t="shared" si="32"/>
        <v>0</v>
      </c>
      <c r="O127" s="2">
        <f t="shared" si="32"/>
        <v>0</v>
      </c>
      <c r="P127" s="2">
        <f t="shared" si="32"/>
        <v>1.1299999999999999</v>
      </c>
      <c r="Q127" s="2">
        <f t="shared" si="32"/>
        <v>0</v>
      </c>
      <c r="R127" s="2">
        <f t="shared" si="32"/>
        <v>0</v>
      </c>
      <c r="S127" s="2">
        <f t="shared" si="32"/>
        <v>1.1299999999999999</v>
      </c>
      <c r="T127" s="2">
        <f t="shared" si="32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8EED-939C-4967-A321-555957D1FD05}">
  <dimension ref="A1:AN158"/>
  <sheetViews>
    <sheetView view="pageBreakPreview" zoomScale="70" zoomScaleNormal="70" zoomScaleSheetLayoutView="70" workbookViewId="0">
      <pane ySplit="6" topLeftCell="A7" activePane="bottomLeft" state="frozen"/>
      <selection activeCell="J2" sqref="J2:K2"/>
      <selection pane="bottomLeft" activeCell="H8" sqref="H8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25" width="8.88671875" style="1"/>
    <col min="26" max="26" width="10.5546875" style="1" customWidth="1"/>
    <col min="27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TT!C12</f>
        <v>RODOVIA TO-373 - TRECHO ALVORADA - ENTR. BR-242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25">
      <c r="A7" s="63" t="s">
        <v>94</v>
      </c>
      <c r="B7" s="63" t="s">
        <v>128</v>
      </c>
      <c r="C7" s="79">
        <v>0</v>
      </c>
      <c r="D7" s="79">
        <v>3</v>
      </c>
      <c r="E7" s="63"/>
      <c r="F7" s="63" t="s">
        <v>129</v>
      </c>
      <c r="G7" s="63"/>
      <c r="H7" s="63"/>
      <c r="I7" s="63"/>
      <c r="J7" s="63" t="s">
        <v>129</v>
      </c>
      <c r="K7" s="63"/>
      <c r="L7" s="63"/>
      <c r="M7" s="63" t="s">
        <v>129</v>
      </c>
      <c r="N7" s="63"/>
      <c r="O7" s="63"/>
      <c r="P7" s="63" t="s">
        <v>129</v>
      </c>
      <c r="Q7" s="63"/>
      <c r="R7" s="63"/>
      <c r="S7" s="63" t="s">
        <v>129</v>
      </c>
      <c r="T7" s="63"/>
      <c r="U7" s="79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25">
      <c r="A8" s="63"/>
      <c r="B8" s="63"/>
      <c r="C8" s="79">
        <f>D7</f>
        <v>3</v>
      </c>
      <c r="D8" s="79">
        <v>9</v>
      </c>
      <c r="E8" s="63"/>
      <c r="F8" s="63" t="s">
        <v>129</v>
      </c>
      <c r="G8" s="63"/>
      <c r="H8" s="63"/>
      <c r="I8" s="63"/>
      <c r="J8" s="63" t="s">
        <v>129</v>
      </c>
      <c r="K8" s="63"/>
      <c r="L8" s="63" t="s">
        <v>129</v>
      </c>
      <c r="M8" s="63"/>
      <c r="N8" s="63"/>
      <c r="O8" s="63"/>
      <c r="P8" s="63" t="s">
        <v>129</v>
      </c>
      <c r="Q8" s="63"/>
      <c r="R8" s="63"/>
      <c r="S8" s="63" t="s">
        <v>129</v>
      </c>
      <c r="T8" s="63"/>
      <c r="U8" s="79"/>
    </row>
    <row r="9" spans="1:40" ht="36" customHeight="1" x14ac:dyDescent="0.25">
      <c r="A9" s="63"/>
      <c r="B9" s="63"/>
      <c r="C9" s="79">
        <f t="shared" ref="C9:C15" si="0">D8</f>
        <v>9</v>
      </c>
      <c r="D9" s="79">
        <v>13</v>
      </c>
      <c r="E9" s="63" t="s">
        <v>129</v>
      </c>
      <c r="F9" s="63"/>
      <c r="G9" s="63"/>
      <c r="H9" s="63"/>
      <c r="I9" s="63"/>
      <c r="J9" s="63" t="s">
        <v>129</v>
      </c>
      <c r="K9" s="63"/>
      <c r="L9" s="63"/>
      <c r="M9" s="63" t="s">
        <v>129</v>
      </c>
      <c r="N9" s="63"/>
      <c r="O9" s="63"/>
      <c r="P9" s="63" t="s">
        <v>129</v>
      </c>
      <c r="Q9" s="63"/>
      <c r="R9" s="63"/>
      <c r="S9" s="63" t="s">
        <v>129</v>
      </c>
      <c r="T9" s="63"/>
      <c r="U9" s="79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25">
      <c r="A10" s="63"/>
      <c r="B10" s="63"/>
      <c r="C10" s="79">
        <f t="shared" si="0"/>
        <v>13</v>
      </c>
      <c r="D10" s="79">
        <v>14</v>
      </c>
      <c r="E10" s="63"/>
      <c r="F10" s="63" t="s">
        <v>129</v>
      </c>
      <c r="G10" s="63"/>
      <c r="H10" s="63"/>
      <c r="I10" s="63"/>
      <c r="J10" s="63" t="s">
        <v>129</v>
      </c>
      <c r="K10" s="63"/>
      <c r="L10" s="63"/>
      <c r="M10" s="63" t="s">
        <v>129</v>
      </c>
      <c r="N10" s="63"/>
      <c r="O10" s="63"/>
      <c r="P10" s="63" t="s">
        <v>129</v>
      </c>
      <c r="Q10" s="63"/>
      <c r="R10" s="63"/>
      <c r="S10" s="63" t="s">
        <v>129</v>
      </c>
      <c r="T10" s="63"/>
      <c r="U10" s="79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25">
      <c r="A11" s="63"/>
      <c r="B11" s="63"/>
      <c r="C11" s="79">
        <f t="shared" si="0"/>
        <v>14</v>
      </c>
      <c r="D11" s="79">
        <v>15</v>
      </c>
      <c r="E11" s="63" t="s">
        <v>129</v>
      </c>
      <c r="F11" s="63"/>
      <c r="G11" s="63"/>
      <c r="H11" s="63"/>
      <c r="I11" s="63"/>
      <c r="J11" s="63" t="s">
        <v>129</v>
      </c>
      <c r="K11" s="63"/>
      <c r="L11" s="63"/>
      <c r="M11" s="63" t="s">
        <v>129</v>
      </c>
      <c r="N11" s="63"/>
      <c r="O11" s="63"/>
      <c r="P11" s="63" t="s">
        <v>129</v>
      </c>
      <c r="Q11" s="63"/>
      <c r="R11" s="63"/>
      <c r="S11" s="63" t="s">
        <v>129</v>
      </c>
      <c r="T11" s="63"/>
      <c r="U11" s="79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25">
      <c r="A12" s="63"/>
      <c r="B12" s="63"/>
      <c r="C12" s="79">
        <f t="shared" si="0"/>
        <v>15</v>
      </c>
      <c r="D12" s="79">
        <v>21</v>
      </c>
      <c r="E12" s="63"/>
      <c r="F12" s="63" t="s">
        <v>129</v>
      </c>
      <c r="G12" s="63"/>
      <c r="H12" s="63"/>
      <c r="I12" s="63"/>
      <c r="J12" s="63" t="s">
        <v>129</v>
      </c>
      <c r="K12" s="63"/>
      <c r="L12" s="63"/>
      <c r="M12" s="63" t="s">
        <v>129</v>
      </c>
      <c r="N12" s="63"/>
      <c r="O12" s="63"/>
      <c r="P12" s="63" t="s">
        <v>129</v>
      </c>
      <c r="Q12" s="63"/>
      <c r="R12" s="63"/>
      <c r="S12" s="63" t="s">
        <v>129</v>
      </c>
      <c r="T12" s="63"/>
      <c r="U12" s="79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25">
      <c r="A13" s="63"/>
      <c r="B13" s="63"/>
      <c r="C13" s="79">
        <f t="shared" si="0"/>
        <v>21</v>
      </c>
      <c r="D13" s="79">
        <v>22.79</v>
      </c>
      <c r="E13" s="63"/>
      <c r="F13" s="63" t="s">
        <v>129</v>
      </c>
      <c r="G13" s="63"/>
      <c r="H13" s="63"/>
      <c r="I13" s="63"/>
      <c r="J13" s="63" t="s">
        <v>129</v>
      </c>
      <c r="K13" s="63"/>
      <c r="L13" s="63"/>
      <c r="M13" s="63" t="s">
        <v>129</v>
      </c>
      <c r="N13" s="63"/>
      <c r="O13" s="63"/>
      <c r="P13" s="63" t="s">
        <v>129</v>
      </c>
      <c r="Q13" s="63"/>
      <c r="R13" s="63"/>
      <c r="S13" s="63" t="s">
        <v>129</v>
      </c>
      <c r="T13" s="63"/>
      <c r="U13" s="79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25">
      <c r="A14" s="63" t="s">
        <v>96</v>
      </c>
      <c r="B14" s="63" t="s">
        <v>128</v>
      </c>
      <c r="C14" s="79">
        <v>0</v>
      </c>
      <c r="D14" s="79">
        <v>1</v>
      </c>
      <c r="E14" s="63" t="s">
        <v>129</v>
      </c>
      <c r="F14" s="63"/>
      <c r="G14" s="63"/>
      <c r="H14" s="63"/>
      <c r="I14" s="63"/>
      <c r="J14" s="63" t="s">
        <v>129</v>
      </c>
      <c r="K14" s="63"/>
      <c r="L14" s="63"/>
      <c r="M14" s="63" t="s">
        <v>129</v>
      </c>
      <c r="N14" s="63"/>
      <c r="O14" s="63"/>
      <c r="P14" s="63" t="s">
        <v>129</v>
      </c>
      <c r="Q14" s="63"/>
      <c r="R14" s="63"/>
      <c r="S14" s="63" t="s">
        <v>129</v>
      </c>
      <c r="T14" s="63"/>
      <c r="U14" s="79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25">
      <c r="A15" s="63"/>
      <c r="B15" s="63"/>
      <c r="C15" s="79">
        <f t="shared" si="0"/>
        <v>1</v>
      </c>
      <c r="D15" s="79">
        <v>5</v>
      </c>
      <c r="E15" s="63"/>
      <c r="F15" s="63" t="s">
        <v>129</v>
      </c>
      <c r="G15" s="63"/>
      <c r="H15" s="63"/>
      <c r="I15" s="63"/>
      <c r="J15" s="63" t="s">
        <v>129</v>
      </c>
      <c r="K15" s="63"/>
      <c r="L15" s="63"/>
      <c r="M15" s="63" t="s">
        <v>129</v>
      </c>
      <c r="N15" s="63"/>
      <c r="O15" s="63"/>
      <c r="P15" s="63" t="s">
        <v>129</v>
      </c>
      <c r="Q15" s="63"/>
      <c r="R15" s="63"/>
      <c r="S15" s="63" t="s">
        <v>129</v>
      </c>
      <c r="T15" s="63"/>
      <c r="U15" s="79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25">
      <c r="A16" s="63"/>
      <c r="B16" s="63"/>
      <c r="C16" s="79">
        <v>0</v>
      </c>
      <c r="D16" s="79">
        <v>7</v>
      </c>
      <c r="E16" s="63"/>
      <c r="F16" s="63"/>
      <c r="G16" s="63" t="s">
        <v>129</v>
      </c>
      <c r="H16" s="63"/>
      <c r="I16" s="63" t="s">
        <v>129</v>
      </c>
      <c r="J16" s="63" t="s">
        <v>129</v>
      </c>
      <c r="K16" s="63"/>
      <c r="L16" s="63"/>
      <c r="M16" s="63" t="s">
        <v>129</v>
      </c>
      <c r="N16" s="63" t="s">
        <v>129</v>
      </c>
      <c r="O16" s="63"/>
      <c r="P16" s="63" t="s">
        <v>129</v>
      </c>
      <c r="Q16" s="63"/>
      <c r="R16" s="63"/>
      <c r="S16" s="63" t="s">
        <v>129</v>
      </c>
      <c r="T16" s="63"/>
      <c r="U16" s="79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25">
      <c r="A17" s="63"/>
      <c r="B17" s="63"/>
      <c r="C17" s="79">
        <f>D16</f>
        <v>7</v>
      </c>
      <c r="D17" s="79">
        <v>9</v>
      </c>
      <c r="E17" s="63"/>
      <c r="F17" s="63"/>
      <c r="G17" s="63" t="s">
        <v>129</v>
      </c>
      <c r="H17" s="63"/>
      <c r="I17" s="63"/>
      <c r="J17" s="63" t="s">
        <v>129</v>
      </c>
      <c r="K17" s="63"/>
      <c r="L17" s="63"/>
      <c r="M17" s="63" t="s">
        <v>129</v>
      </c>
      <c r="N17" s="63"/>
      <c r="O17" s="63"/>
      <c r="P17" s="63" t="s">
        <v>129</v>
      </c>
      <c r="Q17" s="63"/>
      <c r="R17" s="63"/>
      <c r="S17" s="63" t="s">
        <v>129</v>
      </c>
      <c r="T17" s="63"/>
      <c r="U17" s="79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25">
      <c r="A18" s="63"/>
      <c r="B18" s="63"/>
      <c r="C18" s="79">
        <f t="shared" ref="C18:C23" si="1">D17</f>
        <v>9</v>
      </c>
      <c r="D18" s="79">
        <v>10</v>
      </c>
      <c r="E18" s="63"/>
      <c r="F18" s="63"/>
      <c r="G18" s="63" t="s">
        <v>129</v>
      </c>
      <c r="H18" s="63"/>
      <c r="I18" s="63"/>
      <c r="J18" s="63" t="s">
        <v>129</v>
      </c>
      <c r="K18" s="63"/>
      <c r="L18" s="63"/>
      <c r="M18" s="63" t="s">
        <v>129</v>
      </c>
      <c r="N18" s="63"/>
      <c r="O18" s="63"/>
      <c r="P18" s="63" t="s">
        <v>129</v>
      </c>
      <c r="Q18" s="63"/>
      <c r="R18" s="63"/>
      <c r="S18" s="63" t="s">
        <v>129</v>
      </c>
      <c r="T18" s="63"/>
      <c r="U18" s="79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25">
      <c r="A19" s="63"/>
      <c r="B19" s="63"/>
      <c r="C19" s="79">
        <f t="shared" si="1"/>
        <v>10</v>
      </c>
      <c r="D19" s="79">
        <v>11</v>
      </c>
      <c r="E19" s="63"/>
      <c r="F19" s="63" t="s">
        <v>129</v>
      </c>
      <c r="G19" s="63"/>
      <c r="H19" s="63"/>
      <c r="I19" s="63"/>
      <c r="J19" s="63" t="s">
        <v>129</v>
      </c>
      <c r="K19" s="63"/>
      <c r="L19" s="63"/>
      <c r="M19" s="63" t="s">
        <v>129</v>
      </c>
      <c r="N19" s="63"/>
      <c r="O19" s="63"/>
      <c r="P19" s="63" t="s">
        <v>129</v>
      </c>
      <c r="Q19" s="63"/>
      <c r="R19" s="63"/>
      <c r="S19" s="63" t="s">
        <v>129</v>
      </c>
      <c r="T19" s="63"/>
      <c r="U19" s="79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25">
      <c r="A20" s="63"/>
      <c r="B20" s="63"/>
      <c r="C20" s="79">
        <f t="shared" si="1"/>
        <v>11</v>
      </c>
      <c r="D20" s="79">
        <v>15</v>
      </c>
      <c r="E20" s="63"/>
      <c r="F20" s="63"/>
      <c r="G20" s="63" t="s">
        <v>129</v>
      </c>
      <c r="H20" s="63"/>
      <c r="I20" s="63" t="s">
        <v>129</v>
      </c>
      <c r="J20" s="63" t="s">
        <v>129</v>
      </c>
      <c r="K20" s="63"/>
      <c r="L20" s="63"/>
      <c r="M20" s="63" t="s">
        <v>129</v>
      </c>
      <c r="N20" s="63"/>
      <c r="O20" s="63"/>
      <c r="P20" s="63" t="s">
        <v>129</v>
      </c>
      <c r="Q20" s="63"/>
      <c r="R20" s="63"/>
      <c r="S20" s="63" t="s">
        <v>129</v>
      </c>
      <c r="T20" s="63"/>
      <c r="U20" s="79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25">
      <c r="A21" s="63"/>
      <c r="B21" s="63"/>
      <c r="C21" s="79">
        <f t="shared" si="1"/>
        <v>15</v>
      </c>
      <c r="D21" s="79">
        <v>21.79</v>
      </c>
      <c r="E21" s="63"/>
      <c r="F21" s="63" t="s">
        <v>129</v>
      </c>
      <c r="G21" s="63"/>
      <c r="H21" s="63"/>
      <c r="I21" s="63"/>
      <c r="J21" s="63" t="s">
        <v>129</v>
      </c>
      <c r="K21" s="63"/>
      <c r="L21" s="63"/>
      <c r="M21" s="63" t="s">
        <v>129</v>
      </c>
      <c r="N21" s="63"/>
      <c r="O21" s="63"/>
      <c r="P21" s="63" t="s">
        <v>129</v>
      </c>
      <c r="Q21" s="63"/>
      <c r="R21" s="63"/>
      <c r="S21" s="63" t="s">
        <v>129</v>
      </c>
      <c r="T21" s="63"/>
      <c r="U21" s="79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63" t="s">
        <v>98</v>
      </c>
      <c r="B22" s="63" t="s">
        <v>128</v>
      </c>
      <c r="C22" s="79">
        <v>0</v>
      </c>
      <c r="D22" s="79">
        <v>1</v>
      </c>
      <c r="E22" s="63" t="s">
        <v>129</v>
      </c>
      <c r="F22" s="63"/>
      <c r="G22" s="63"/>
      <c r="H22" s="63"/>
      <c r="I22" s="63"/>
      <c r="J22" s="63"/>
      <c r="K22" s="63"/>
      <c r="L22" s="63"/>
      <c r="M22" s="63" t="s">
        <v>129</v>
      </c>
      <c r="N22" s="63"/>
      <c r="O22" s="63"/>
      <c r="P22" s="63" t="s">
        <v>129</v>
      </c>
      <c r="Q22" s="63"/>
      <c r="R22" s="63"/>
      <c r="S22" s="63" t="s">
        <v>129</v>
      </c>
      <c r="T22" s="63"/>
      <c r="U22" s="79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63"/>
      <c r="B23" s="63"/>
      <c r="C23" s="79">
        <f t="shared" si="1"/>
        <v>1</v>
      </c>
      <c r="D23" s="79">
        <v>3</v>
      </c>
      <c r="E23" s="63"/>
      <c r="F23" s="63" t="s">
        <v>129</v>
      </c>
      <c r="G23" s="63"/>
      <c r="H23" s="63"/>
      <c r="I23" s="63"/>
      <c r="J23" s="63" t="s">
        <v>129</v>
      </c>
      <c r="K23" s="63"/>
      <c r="L23" s="63"/>
      <c r="M23" s="63" t="s">
        <v>129</v>
      </c>
      <c r="N23" s="63"/>
      <c r="O23" s="63"/>
      <c r="P23" s="63" t="s">
        <v>129</v>
      </c>
      <c r="Q23" s="63"/>
      <c r="R23" s="63"/>
      <c r="S23" s="63" t="s">
        <v>129</v>
      </c>
      <c r="T23" s="63"/>
      <c r="U23" s="79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63"/>
      <c r="B24" s="63"/>
      <c r="C24" s="79">
        <v>0</v>
      </c>
      <c r="D24" s="79">
        <v>5</v>
      </c>
      <c r="E24" s="63"/>
      <c r="F24" s="63" t="s">
        <v>129</v>
      </c>
      <c r="G24" s="63"/>
      <c r="H24" s="63"/>
      <c r="I24" s="63"/>
      <c r="J24" s="63" t="s">
        <v>129</v>
      </c>
      <c r="K24" s="63"/>
      <c r="L24" s="63"/>
      <c r="M24" s="63" t="s">
        <v>129</v>
      </c>
      <c r="N24" s="63"/>
      <c r="O24" s="63"/>
      <c r="P24" s="63" t="s">
        <v>129</v>
      </c>
      <c r="Q24" s="63"/>
      <c r="R24" s="63"/>
      <c r="S24" s="63" t="s">
        <v>129</v>
      </c>
      <c r="T24" s="63"/>
      <c r="U24" s="79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63"/>
      <c r="B25" s="63"/>
      <c r="C25" s="79">
        <f>D24</f>
        <v>5</v>
      </c>
      <c r="D25" s="79">
        <v>9</v>
      </c>
      <c r="E25" s="63"/>
      <c r="F25" s="63"/>
      <c r="G25" s="63" t="s">
        <v>129</v>
      </c>
      <c r="H25" s="63"/>
      <c r="I25" s="63"/>
      <c r="J25" s="63" t="s">
        <v>129</v>
      </c>
      <c r="K25" s="63"/>
      <c r="L25" s="63" t="s">
        <v>129</v>
      </c>
      <c r="M25" s="63"/>
      <c r="N25" s="63"/>
      <c r="O25" s="63"/>
      <c r="P25" s="63" t="s">
        <v>129</v>
      </c>
      <c r="Q25" s="63"/>
      <c r="R25" s="63"/>
      <c r="S25" s="63" t="s">
        <v>129</v>
      </c>
      <c r="T25" s="63"/>
      <c r="U25" s="79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63"/>
      <c r="B26" s="63"/>
      <c r="C26" s="79">
        <f t="shared" ref="C26:C33" si="2">D25</f>
        <v>9</v>
      </c>
      <c r="D26" s="79">
        <v>13.87</v>
      </c>
      <c r="E26" s="63"/>
      <c r="F26" s="63"/>
      <c r="G26" s="63" t="s">
        <v>129</v>
      </c>
      <c r="H26" s="63"/>
      <c r="I26" s="63"/>
      <c r="J26" s="63" t="s">
        <v>129</v>
      </c>
      <c r="K26" s="63"/>
      <c r="L26" s="63"/>
      <c r="M26" s="63" t="s">
        <v>129</v>
      </c>
      <c r="N26" s="63"/>
      <c r="O26" s="63"/>
      <c r="P26" s="63" t="s">
        <v>129</v>
      </c>
      <c r="Q26" s="63"/>
      <c r="R26" s="63"/>
      <c r="S26" s="63" t="s">
        <v>129</v>
      </c>
      <c r="T26" s="63"/>
      <c r="U26" s="79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63" t="s">
        <v>100</v>
      </c>
      <c r="B27" s="63" t="s">
        <v>128</v>
      </c>
      <c r="C27" s="79">
        <v>0</v>
      </c>
      <c r="D27" s="79">
        <v>1</v>
      </c>
      <c r="E27" s="63"/>
      <c r="F27" s="63" t="s">
        <v>129</v>
      </c>
      <c r="G27" s="63" t="s">
        <v>129</v>
      </c>
      <c r="H27" s="63"/>
      <c r="I27" s="63"/>
      <c r="J27" s="63" t="s">
        <v>129</v>
      </c>
      <c r="K27" s="63"/>
      <c r="L27" s="63"/>
      <c r="M27" s="63" t="s">
        <v>129</v>
      </c>
      <c r="N27" s="63"/>
      <c r="O27" s="63"/>
      <c r="P27" s="63" t="s">
        <v>129</v>
      </c>
      <c r="Q27" s="63"/>
      <c r="R27" s="63"/>
      <c r="S27" s="63" t="s">
        <v>129</v>
      </c>
      <c r="T27" s="63"/>
      <c r="U27" s="79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63"/>
      <c r="B28" s="63"/>
      <c r="C28" s="79">
        <f t="shared" si="2"/>
        <v>1</v>
      </c>
      <c r="D28" s="79">
        <v>3</v>
      </c>
      <c r="E28" s="63"/>
      <c r="F28" s="63" t="s">
        <v>129</v>
      </c>
      <c r="G28" s="63"/>
      <c r="H28" s="63"/>
      <c r="I28" s="63"/>
      <c r="J28" s="63" t="s">
        <v>129</v>
      </c>
      <c r="K28" s="63"/>
      <c r="L28" s="63"/>
      <c r="M28" s="63" t="s">
        <v>129</v>
      </c>
      <c r="N28" s="63"/>
      <c r="O28" s="63"/>
      <c r="P28" s="63" t="s">
        <v>129</v>
      </c>
      <c r="Q28" s="63"/>
      <c r="R28" s="63"/>
      <c r="S28" s="63" t="s">
        <v>129</v>
      </c>
      <c r="T28" s="63"/>
      <c r="U28" s="79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63"/>
      <c r="B29" s="63"/>
      <c r="C29" s="79">
        <f t="shared" si="2"/>
        <v>3</v>
      </c>
      <c r="D29" s="79">
        <v>7</v>
      </c>
      <c r="E29" s="63"/>
      <c r="F29" s="63" t="s">
        <v>129</v>
      </c>
      <c r="G29" s="63" t="s">
        <v>129</v>
      </c>
      <c r="H29" s="63"/>
      <c r="I29" s="63"/>
      <c r="J29" s="63" t="s">
        <v>129</v>
      </c>
      <c r="K29" s="63"/>
      <c r="L29" s="63"/>
      <c r="M29" s="63" t="s">
        <v>129</v>
      </c>
      <c r="N29" s="63"/>
      <c r="O29" s="63"/>
      <c r="P29" s="63" t="s">
        <v>129</v>
      </c>
      <c r="Q29" s="63"/>
      <c r="R29" s="63"/>
      <c r="S29" s="63" t="s">
        <v>129</v>
      </c>
      <c r="T29" s="63"/>
      <c r="U29" s="79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x14ac:dyDescent="0.25">
      <c r="A30" s="63"/>
      <c r="B30" s="63"/>
      <c r="C30" s="79">
        <f t="shared" si="2"/>
        <v>7</v>
      </c>
      <c r="D30" s="79">
        <v>9</v>
      </c>
      <c r="E30" s="63" t="s">
        <v>129</v>
      </c>
      <c r="F30" s="63"/>
      <c r="G30" s="63"/>
      <c r="H30" s="63"/>
      <c r="I30" s="63"/>
      <c r="J30" s="63" t="s">
        <v>129</v>
      </c>
      <c r="K30" s="63"/>
      <c r="L30" s="63"/>
      <c r="M30" s="63"/>
      <c r="N30" s="63"/>
      <c r="O30" s="63"/>
      <c r="P30" s="63" t="s">
        <v>129</v>
      </c>
      <c r="Q30" s="63"/>
      <c r="R30" s="63"/>
      <c r="S30" s="63" t="s">
        <v>129</v>
      </c>
      <c r="T30" s="63"/>
      <c r="U30" s="79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 spans="1:40" ht="36" customHeight="1" x14ac:dyDescent="0.25">
      <c r="A31" s="63"/>
      <c r="B31" s="63"/>
      <c r="C31" s="79">
        <f t="shared" si="2"/>
        <v>9</v>
      </c>
      <c r="D31" s="79">
        <v>14</v>
      </c>
      <c r="E31" s="63"/>
      <c r="F31" s="63" t="s">
        <v>129</v>
      </c>
      <c r="G31" s="63" t="s">
        <v>129</v>
      </c>
      <c r="H31" s="63"/>
      <c r="I31" s="63"/>
      <c r="J31" s="63" t="s">
        <v>129</v>
      </c>
      <c r="K31" s="63"/>
      <c r="L31" s="63"/>
      <c r="M31" s="63" t="s">
        <v>129</v>
      </c>
      <c r="N31" s="63"/>
      <c r="O31" s="63"/>
      <c r="P31" s="63" t="s">
        <v>129</v>
      </c>
      <c r="Q31" s="63"/>
      <c r="R31" s="63"/>
      <c r="S31" s="63" t="s">
        <v>129</v>
      </c>
      <c r="T31" s="63"/>
      <c r="U31" s="79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  <row r="32" spans="1:40" ht="36" customHeight="1" x14ac:dyDescent="0.25">
      <c r="A32" s="63"/>
      <c r="B32" s="63"/>
      <c r="C32" s="79">
        <f t="shared" si="2"/>
        <v>14</v>
      </c>
      <c r="D32" s="79">
        <v>23</v>
      </c>
      <c r="E32" s="63"/>
      <c r="F32" s="63" t="s">
        <v>129</v>
      </c>
      <c r="G32" s="63"/>
      <c r="H32" s="63"/>
      <c r="I32" s="63"/>
      <c r="J32" s="63" t="s">
        <v>129</v>
      </c>
      <c r="K32" s="63"/>
      <c r="L32" s="63"/>
      <c r="M32" s="63" t="s">
        <v>129</v>
      </c>
      <c r="N32" s="63"/>
      <c r="O32" s="63"/>
      <c r="P32" s="63" t="s">
        <v>129</v>
      </c>
      <c r="Q32" s="63"/>
      <c r="R32" s="63"/>
      <c r="S32" s="63" t="s">
        <v>129</v>
      </c>
      <c r="T32" s="63"/>
      <c r="U32" s="79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</row>
    <row r="33" spans="1:40" ht="36" customHeight="1" x14ac:dyDescent="0.25">
      <c r="A33" s="63"/>
      <c r="B33" s="63"/>
      <c r="C33" s="79">
        <f t="shared" si="2"/>
        <v>23</v>
      </c>
      <c r="D33" s="79">
        <v>23.4</v>
      </c>
      <c r="E33" s="63"/>
      <c r="F33" s="63"/>
      <c r="G33" s="63" t="s">
        <v>129</v>
      </c>
      <c r="H33" s="63"/>
      <c r="I33" s="63"/>
      <c r="J33" s="63" t="s">
        <v>129</v>
      </c>
      <c r="K33" s="63"/>
      <c r="L33" s="63"/>
      <c r="M33" s="63" t="s">
        <v>129</v>
      </c>
      <c r="N33" s="63"/>
      <c r="O33" s="63"/>
      <c r="P33" s="63" t="s">
        <v>129</v>
      </c>
      <c r="Q33" s="63"/>
      <c r="R33" s="63"/>
      <c r="S33" s="63" t="s">
        <v>129</v>
      </c>
      <c r="T33" s="63"/>
      <c r="U33" s="79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</row>
    <row r="34" spans="1:40" ht="36" customHeight="1" x14ac:dyDescent="0.25">
      <c r="A34" s="63"/>
      <c r="B34" s="63"/>
      <c r="C34" s="79"/>
      <c r="D34" s="79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79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</row>
    <row r="35" spans="1:40" ht="36" customHeight="1" x14ac:dyDescent="0.25">
      <c r="A35" s="63"/>
      <c r="B35" s="63"/>
      <c r="C35" s="79"/>
      <c r="D35" s="79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79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</row>
    <row r="36" spans="1:40" ht="36" customHeight="1" x14ac:dyDescent="0.25">
      <c r="A36" s="63"/>
      <c r="B36" s="63"/>
      <c r="C36" s="79"/>
      <c r="D36" s="79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79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</row>
    <row r="37" spans="1:40" ht="36" customHeight="1" x14ac:dyDescent="0.25">
      <c r="A37" s="63"/>
      <c r="B37" s="63"/>
      <c r="C37" s="79"/>
      <c r="D37" s="79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79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</row>
    <row r="38" spans="1:40" ht="36" customHeight="1" x14ac:dyDescent="0.25">
      <c r="A38" s="63"/>
      <c r="B38" s="63"/>
      <c r="C38" s="79"/>
      <c r="D38" s="79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79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</row>
    <row r="39" spans="1:40" ht="36" customHeight="1" x14ac:dyDescent="0.25">
      <c r="A39" s="63"/>
      <c r="B39" s="63"/>
      <c r="C39" s="79"/>
      <c r="D39" s="79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79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</row>
    <row r="40" spans="1:40" ht="36" customHeight="1" x14ac:dyDescent="0.25">
      <c r="A40" s="63"/>
      <c r="B40" s="63"/>
      <c r="C40" s="79"/>
      <c r="D40" s="79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79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</row>
    <row r="41" spans="1:40" ht="36" customHeight="1" x14ac:dyDescent="0.25">
      <c r="A41" s="63"/>
      <c r="B41" s="63"/>
      <c r="C41" s="79"/>
      <c r="D41" s="79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79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</row>
    <row r="42" spans="1:40" ht="36" customHeight="1" x14ac:dyDescent="0.25">
      <c r="A42" s="63"/>
      <c r="B42" s="63"/>
      <c r="C42" s="79"/>
      <c r="D42" s="79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79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36" customHeight="1" x14ac:dyDescent="0.25">
      <c r="A43" s="63"/>
      <c r="B43" s="63"/>
      <c r="C43" s="79"/>
      <c r="D43" s="79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79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</row>
    <row r="44" spans="1:40" ht="36" customHeight="1" x14ac:dyDescent="0.25">
      <c r="A44" s="63"/>
      <c r="B44" s="63"/>
      <c r="C44" s="79"/>
      <c r="D44" s="79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79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</row>
    <row r="45" spans="1:40" ht="36" customHeight="1" x14ac:dyDescent="0.25">
      <c r="A45" s="63"/>
      <c r="B45" s="63"/>
      <c r="C45" s="79"/>
      <c r="D45" s="79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79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</row>
    <row r="46" spans="1:40" ht="36" customHeight="1" x14ac:dyDescent="0.25">
      <c r="A46" s="63"/>
      <c r="B46" s="63"/>
      <c r="C46" s="79"/>
      <c r="D46" s="79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79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</row>
    <row r="47" spans="1:40" ht="36" customHeight="1" x14ac:dyDescent="0.25">
      <c r="A47" s="63"/>
      <c r="B47" s="63"/>
      <c r="C47" s="79"/>
      <c r="D47" s="79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79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</row>
    <row r="48" spans="1:40" ht="36" customHeight="1" x14ac:dyDescent="0.25">
      <c r="A48" s="63"/>
      <c r="B48" s="63"/>
      <c r="C48" s="79"/>
      <c r="D48" s="79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79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</row>
    <row r="49" spans="1:40" ht="36" customHeight="1" x14ac:dyDescent="0.25">
      <c r="A49" s="63"/>
      <c r="B49" s="63"/>
      <c r="C49" s="79"/>
      <c r="D49" s="79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79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36" customHeight="1" x14ac:dyDescent="0.25">
      <c r="A50" s="63"/>
      <c r="B50" s="63"/>
      <c r="C50" s="79"/>
      <c r="D50" s="79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79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36" customHeight="1" x14ac:dyDescent="0.25">
      <c r="A51" s="63"/>
      <c r="B51" s="63"/>
      <c r="C51" s="79"/>
      <c r="D51" s="79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79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36" customHeight="1" x14ac:dyDescent="0.25">
      <c r="A52" s="63"/>
      <c r="B52" s="63"/>
      <c r="C52" s="79"/>
      <c r="D52" s="79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79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36" customHeight="1" x14ac:dyDescent="0.25">
      <c r="A53" s="63"/>
      <c r="B53" s="63"/>
      <c r="C53" s="79"/>
      <c r="D53" s="79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79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36" customHeight="1" x14ac:dyDescent="0.25">
      <c r="A54" s="63"/>
      <c r="B54" s="63"/>
      <c r="C54" s="79"/>
      <c r="D54" s="79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79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</row>
    <row r="55" spans="1:40" ht="36" customHeight="1" x14ac:dyDescent="0.25">
      <c r="A55" s="63"/>
      <c r="B55" s="63"/>
      <c r="C55" s="79"/>
      <c r="D55" s="79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79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</row>
    <row r="56" spans="1:40" ht="36" customHeight="1" x14ac:dyDescent="0.25">
      <c r="A56" s="63"/>
      <c r="B56" s="63"/>
      <c r="C56" s="79"/>
      <c r="D56" s="79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79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</row>
    <row r="57" spans="1:40" ht="36" customHeight="1" x14ac:dyDescent="0.25">
      <c r="A57" s="63"/>
      <c r="B57" s="63"/>
      <c r="C57" s="79"/>
      <c r="D57" s="79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79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</row>
    <row r="58" spans="1:40" ht="36" customHeight="1" x14ac:dyDescent="0.25">
      <c r="A58" s="63"/>
      <c r="B58" s="63"/>
      <c r="C58" s="79"/>
      <c r="D58" s="79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79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1:40" ht="36" customHeight="1" x14ac:dyDescent="0.25">
      <c r="A59" s="63"/>
      <c r="B59" s="63"/>
      <c r="C59" s="79"/>
      <c r="D59" s="79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79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</row>
    <row r="60" spans="1:40" ht="36" customHeight="1" x14ac:dyDescent="0.25">
      <c r="A60" s="48"/>
      <c r="B60" s="48"/>
      <c r="C60" s="49"/>
      <c r="D60" s="49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9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</row>
    <row r="61" spans="1:40" ht="36" customHeight="1" thickBot="1" x14ac:dyDescent="0.3">
      <c r="A61" s="6"/>
      <c r="B61" s="6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6"/>
      <c r="P61" s="6"/>
      <c r="Q61" s="6"/>
      <c r="R61" s="6"/>
      <c r="S61" s="6"/>
      <c r="T61" s="6"/>
      <c r="U61" s="8"/>
    </row>
    <row r="63" spans="1:40" ht="19.2" x14ac:dyDescent="0.35">
      <c r="A63" s="10" t="s">
        <v>7</v>
      </c>
      <c r="B63" s="17" t="s">
        <v>2</v>
      </c>
      <c r="C63" s="11"/>
      <c r="D63" s="11"/>
      <c r="E63" s="91"/>
      <c r="F63" s="91"/>
    </row>
    <row r="64" spans="1:40" ht="19.2" x14ac:dyDescent="0.35">
      <c r="A64" s="10" t="s">
        <v>9</v>
      </c>
      <c r="B64" s="10" t="s">
        <v>10</v>
      </c>
      <c r="E64" s="10" t="s">
        <v>14</v>
      </c>
      <c r="F64" s="10"/>
      <c r="G64" s="10"/>
      <c r="I64" s="10" t="s">
        <v>5</v>
      </c>
      <c r="J64" s="10" t="s">
        <v>12</v>
      </c>
      <c r="K64" s="1"/>
      <c r="L64" s="1"/>
      <c r="M64" s="10" t="s">
        <v>16</v>
      </c>
      <c r="N64" s="10"/>
      <c r="O64" s="10"/>
    </row>
    <row r="65" spans="1:20" ht="19.2" x14ac:dyDescent="0.35">
      <c r="A65" s="10" t="s">
        <v>4</v>
      </c>
      <c r="B65" s="10" t="s">
        <v>11</v>
      </c>
      <c r="E65" s="10" t="s">
        <v>15</v>
      </c>
      <c r="F65" s="10"/>
      <c r="G65" s="10"/>
      <c r="I65" s="10" t="s">
        <v>6</v>
      </c>
      <c r="J65" s="10" t="s">
        <v>13</v>
      </c>
      <c r="K65" s="1"/>
      <c r="L65" s="1"/>
      <c r="M65" s="10" t="s">
        <v>17</v>
      </c>
      <c r="N65" s="10"/>
      <c r="O65" s="10"/>
    </row>
    <row r="66" spans="1:20" x14ac:dyDescent="0.25">
      <c r="E66" s="1"/>
      <c r="F66" s="1"/>
      <c r="G66" s="1"/>
    </row>
    <row r="67" spans="1:20" x14ac:dyDescent="0.25">
      <c r="E67" s="1"/>
      <c r="F67" s="1"/>
      <c r="G67" s="1"/>
    </row>
    <row r="70" spans="1:20" x14ac:dyDescent="0.25">
      <c r="E70" s="2" t="str">
        <f>IF(E7="X",(D7-C7),"0")</f>
        <v>0</v>
      </c>
      <c r="F70" s="2">
        <f>IF(F7="X",(D7-C7),"0")</f>
        <v>3</v>
      </c>
      <c r="G70" s="2" t="str">
        <f>IF(G7="X",(D7-C7),"0")</f>
        <v>0</v>
      </c>
      <c r="H70" s="2" t="str">
        <f>IF(H7="X",(D7-C7),"0")</f>
        <v>0</v>
      </c>
      <c r="I70" s="2" t="str">
        <f>IF(I7="X",(D7-C7),"0")</f>
        <v>0</v>
      </c>
      <c r="J70" s="2">
        <f>IF(J7="X",(D7-C7),"0")</f>
        <v>3</v>
      </c>
      <c r="K70" s="2" t="str">
        <f>IF(K7="X",(D7-C7),"0")</f>
        <v>0</v>
      </c>
      <c r="L70" s="2" t="str">
        <f>IF(L7="X",(D7-C7),"0")</f>
        <v>0</v>
      </c>
      <c r="M70" s="2">
        <f>IF(M7="X",(D7-C7),"0")</f>
        <v>3</v>
      </c>
      <c r="N70" s="2" t="str">
        <f>IF(N7="X",(D7-C7),"0")</f>
        <v>0</v>
      </c>
      <c r="O70" s="2" t="str">
        <f>IF(O7="X",(D7-C7),"0")</f>
        <v>0</v>
      </c>
      <c r="P70" s="2">
        <f>IF(P7="X",(D7-C7),"0")</f>
        <v>3</v>
      </c>
      <c r="Q70" s="2" t="str">
        <f>IF(Q7="X",(D7-C7),"0")</f>
        <v>0</v>
      </c>
      <c r="R70" s="2" t="str">
        <f>IF(R7="X",(D7-C7),"0")</f>
        <v>0</v>
      </c>
      <c r="S70" s="2">
        <f>IF(S7="X",(D7-C7),"0")</f>
        <v>3</v>
      </c>
      <c r="T70" s="2" t="str">
        <f>IF(T7="X",(D7-C7),"0")</f>
        <v>0</v>
      </c>
    </row>
    <row r="71" spans="1:20" x14ac:dyDescent="0.25">
      <c r="E71" s="2" t="str">
        <f t="shared" ref="E71:E134" si="3">IF(E8="X",(D8-C8),"0")</f>
        <v>0</v>
      </c>
      <c r="F71" s="2">
        <f t="shared" ref="F71:F134" si="4">IF(F8="X",(D8-C8),"0")</f>
        <v>6</v>
      </c>
      <c r="G71" s="2" t="str">
        <f t="shared" ref="G71:G134" si="5">IF(G8="X",(D8-C8),"0")</f>
        <v>0</v>
      </c>
      <c r="H71" s="2" t="str">
        <f t="shared" ref="H71:H134" si="6">IF(H8="X",(D8-C8),"0")</f>
        <v>0</v>
      </c>
      <c r="I71" s="2" t="str">
        <f t="shared" ref="I71:I134" si="7">IF(I8="X",(D8-C8),"0")</f>
        <v>0</v>
      </c>
      <c r="J71" s="2">
        <f t="shared" ref="J71:J134" si="8">IF(J8="X",(D8-C8),"0")</f>
        <v>6</v>
      </c>
      <c r="K71" s="2" t="str">
        <f t="shared" ref="K71:K134" si="9">IF(K8="X",(D8-C8),"0")</f>
        <v>0</v>
      </c>
      <c r="L71" s="2">
        <f t="shared" ref="L71:L134" si="10">IF(L8="X",(D8-C8),"0")</f>
        <v>6</v>
      </c>
      <c r="M71" s="2" t="str">
        <f t="shared" ref="M71:M134" si="11">IF(M8="X",(D8-C8),"0")</f>
        <v>0</v>
      </c>
      <c r="N71" s="2" t="str">
        <f t="shared" ref="N71:N134" si="12">IF(N8="X",(D8-C8),"0")</f>
        <v>0</v>
      </c>
      <c r="O71" s="2" t="str">
        <f t="shared" ref="O71:O134" si="13">IF(O8="X",(D8-C8),"0")</f>
        <v>0</v>
      </c>
      <c r="P71" s="2">
        <f t="shared" ref="P71:P134" si="14">IF(P8="X",(D8-C8),"0")</f>
        <v>6</v>
      </c>
      <c r="Q71" s="2" t="str">
        <f t="shared" ref="Q71:Q134" si="15">IF(Q8="X",(D8-C8),"0")</f>
        <v>0</v>
      </c>
      <c r="R71" s="2" t="str">
        <f t="shared" ref="R71:R134" si="16">IF(R8="X",(D8-C8),"0")</f>
        <v>0</v>
      </c>
      <c r="S71" s="2">
        <f>IF(S8="X",(D8-C8),"0")</f>
        <v>6</v>
      </c>
      <c r="T71" s="2" t="str">
        <f>IF(T8="X",(D8-C8),"0")</f>
        <v>0</v>
      </c>
    </row>
    <row r="72" spans="1:20" x14ac:dyDescent="0.25">
      <c r="E72" s="2">
        <f t="shared" si="3"/>
        <v>4</v>
      </c>
      <c r="F72" s="2" t="str">
        <f t="shared" si="4"/>
        <v>0</v>
      </c>
      <c r="G72" s="2" t="str">
        <f t="shared" si="5"/>
        <v>0</v>
      </c>
      <c r="H72" s="2" t="str">
        <f t="shared" si="6"/>
        <v>0</v>
      </c>
      <c r="I72" s="2" t="str">
        <f t="shared" si="7"/>
        <v>0</v>
      </c>
      <c r="J72" s="2">
        <f t="shared" si="8"/>
        <v>4</v>
      </c>
      <c r="K72" s="2" t="str">
        <f t="shared" si="9"/>
        <v>0</v>
      </c>
      <c r="L72" s="2" t="str">
        <f t="shared" si="10"/>
        <v>0</v>
      </c>
      <c r="M72" s="2">
        <f t="shared" si="11"/>
        <v>4</v>
      </c>
      <c r="N72" s="2" t="str">
        <f t="shared" si="12"/>
        <v>0</v>
      </c>
      <c r="O72" s="2" t="str">
        <f t="shared" si="13"/>
        <v>0</v>
      </c>
      <c r="P72" s="2">
        <f t="shared" si="14"/>
        <v>4</v>
      </c>
      <c r="Q72" s="2" t="str">
        <f t="shared" si="15"/>
        <v>0</v>
      </c>
      <c r="R72" s="2" t="str">
        <f t="shared" si="16"/>
        <v>0</v>
      </c>
      <c r="S72" s="2">
        <f>IF(S9="X",(D9-C9),"0")</f>
        <v>4</v>
      </c>
      <c r="T72" s="2" t="str">
        <f>IF(T9="X",(D9-C9),"0")</f>
        <v>0</v>
      </c>
    </row>
    <row r="73" spans="1:20" x14ac:dyDescent="0.25">
      <c r="E73" s="2" t="str">
        <f t="shared" si="3"/>
        <v>0</v>
      </c>
      <c r="F73" s="2">
        <f t="shared" si="4"/>
        <v>1</v>
      </c>
      <c r="G73" s="2" t="str">
        <f t="shared" si="5"/>
        <v>0</v>
      </c>
      <c r="H73" s="2" t="str">
        <f t="shared" si="6"/>
        <v>0</v>
      </c>
      <c r="I73" s="2" t="str">
        <f t="shared" si="7"/>
        <v>0</v>
      </c>
      <c r="J73" s="2">
        <f t="shared" si="8"/>
        <v>1</v>
      </c>
      <c r="K73" s="2" t="str">
        <f t="shared" si="9"/>
        <v>0</v>
      </c>
      <c r="L73" s="2" t="str">
        <f t="shared" si="10"/>
        <v>0</v>
      </c>
      <c r="M73" s="2">
        <f t="shared" si="11"/>
        <v>1</v>
      </c>
      <c r="N73" s="2" t="str">
        <f t="shared" si="12"/>
        <v>0</v>
      </c>
      <c r="O73" s="2" t="str">
        <f t="shared" si="13"/>
        <v>0</v>
      </c>
      <c r="P73" s="2">
        <f t="shared" si="14"/>
        <v>1</v>
      </c>
      <c r="Q73" s="2" t="str">
        <f t="shared" si="15"/>
        <v>0</v>
      </c>
      <c r="R73" s="2" t="str">
        <f t="shared" si="16"/>
        <v>0</v>
      </c>
      <c r="S73" s="2">
        <f>IF(S10="X",(D10-C10),"0")</f>
        <v>1</v>
      </c>
      <c r="T73" s="2" t="str">
        <f>IF(T10="X",(D10-C10),"0")</f>
        <v>0</v>
      </c>
    </row>
    <row r="74" spans="1:20" x14ac:dyDescent="0.25">
      <c r="E74" s="2">
        <f t="shared" si="3"/>
        <v>1</v>
      </c>
      <c r="F74" s="2" t="str">
        <f t="shared" si="4"/>
        <v>0</v>
      </c>
      <c r="G74" s="2" t="str">
        <f t="shared" si="5"/>
        <v>0</v>
      </c>
      <c r="H74" s="2" t="str">
        <f t="shared" si="6"/>
        <v>0</v>
      </c>
      <c r="I74" s="2" t="str">
        <f t="shared" si="7"/>
        <v>0</v>
      </c>
      <c r="J74" s="2">
        <f t="shared" si="8"/>
        <v>1</v>
      </c>
      <c r="K74" s="2" t="str">
        <f t="shared" si="9"/>
        <v>0</v>
      </c>
      <c r="L74" s="2" t="str">
        <f t="shared" si="10"/>
        <v>0</v>
      </c>
      <c r="M74" s="2">
        <f t="shared" si="11"/>
        <v>1</v>
      </c>
      <c r="N74" s="2" t="str">
        <f t="shared" si="12"/>
        <v>0</v>
      </c>
      <c r="O74" s="2" t="str">
        <f t="shared" si="13"/>
        <v>0</v>
      </c>
      <c r="P74" s="2">
        <f t="shared" si="14"/>
        <v>1</v>
      </c>
      <c r="Q74" s="2" t="str">
        <f t="shared" si="15"/>
        <v>0</v>
      </c>
      <c r="R74" s="2" t="str">
        <f t="shared" si="16"/>
        <v>0</v>
      </c>
      <c r="S74" s="2">
        <f>IF(S11="X",(D11-C11),"0")</f>
        <v>1</v>
      </c>
      <c r="T74" s="2" t="str">
        <f>IF(T11="X",(D11-C11),"0")</f>
        <v>0</v>
      </c>
    </row>
    <row r="75" spans="1:20" x14ac:dyDescent="0.25">
      <c r="E75" s="2" t="str">
        <f t="shared" si="3"/>
        <v>0</v>
      </c>
      <c r="F75" s="2">
        <f t="shared" si="4"/>
        <v>6</v>
      </c>
      <c r="G75" s="2" t="str">
        <f t="shared" si="5"/>
        <v>0</v>
      </c>
      <c r="H75" s="2" t="str">
        <f t="shared" si="6"/>
        <v>0</v>
      </c>
      <c r="I75" s="2" t="str">
        <f t="shared" si="7"/>
        <v>0</v>
      </c>
      <c r="J75" s="2">
        <f t="shared" si="8"/>
        <v>6</v>
      </c>
      <c r="K75" s="2" t="str">
        <f t="shared" si="9"/>
        <v>0</v>
      </c>
      <c r="L75" s="2" t="str">
        <f t="shared" si="10"/>
        <v>0</v>
      </c>
      <c r="M75" s="2">
        <f t="shared" si="11"/>
        <v>6</v>
      </c>
      <c r="N75" s="2" t="str">
        <f t="shared" si="12"/>
        <v>0</v>
      </c>
      <c r="O75" s="2" t="str">
        <f t="shared" si="13"/>
        <v>0</v>
      </c>
      <c r="P75" s="2">
        <f t="shared" si="14"/>
        <v>6</v>
      </c>
      <c r="Q75" s="2" t="str">
        <f t="shared" si="15"/>
        <v>0</v>
      </c>
      <c r="R75" s="2" t="str">
        <f t="shared" si="16"/>
        <v>0</v>
      </c>
      <c r="S75" s="2">
        <f t="shared" ref="S75:S134" si="17">IF(S12="X",(D12-C12),"0")</f>
        <v>6</v>
      </c>
      <c r="T75" s="2" t="str">
        <f t="shared" ref="T75:T134" si="18">IF(T12="X",(D12-C12),"0")</f>
        <v>0</v>
      </c>
    </row>
    <row r="76" spans="1:20" x14ac:dyDescent="0.25">
      <c r="E76" s="2" t="str">
        <f t="shared" si="3"/>
        <v>0</v>
      </c>
      <c r="F76" s="2">
        <f t="shared" si="4"/>
        <v>1.7899999999999991</v>
      </c>
      <c r="G76" s="2" t="str">
        <f t="shared" si="5"/>
        <v>0</v>
      </c>
      <c r="H76" s="2" t="str">
        <f t="shared" si="6"/>
        <v>0</v>
      </c>
      <c r="I76" s="2" t="str">
        <f t="shared" si="7"/>
        <v>0</v>
      </c>
      <c r="J76" s="2">
        <f t="shared" si="8"/>
        <v>1.7899999999999991</v>
      </c>
      <c r="K76" s="2" t="str">
        <f t="shared" si="9"/>
        <v>0</v>
      </c>
      <c r="L76" s="2" t="str">
        <f t="shared" si="10"/>
        <v>0</v>
      </c>
      <c r="M76" s="2">
        <f t="shared" si="11"/>
        <v>1.7899999999999991</v>
      </c>
      <c r="N76" s="2" t="str">
        <f t="shared" si="12"/>
        <v>0</v>
      </c>
      <c r="O76" s="2" t="str">
        <f t="shared" si="13"/>
        <v>0</v>
      </c>
      <c r="P76" s="2">
        <f t="shared" si="14"/>
        <v>1.7899999999999991</v>
      </c>
      <c r="Q76" s="2" t="str">
        <f t="shared" si="15"/>
        <v>0</v>
      </c>
      <c r="R76" s="2" t="str">
        <f t="shared" si="16"/>
        <v>0</v>
      </c>
      <c r="S76" s="2">
        <f t="shared" si="17"/>
        <v>1.7899999999999991</v>
      </c>
      <c r="T76" s="2" t="str">
        <f t="shared" si="18"/>
        <v>0</v>
      </c>
    </row>
    <row r="77" spans="1:20" x14ac:dyDescent="0.25">
      <c r="E77" s="2">
        <f t="shared" si="3"/>
        <v>1</v>
      </c>
      <c r="F77" s="2" t="str">
        <f t="shared" si="4"/>
        <v>0</v>
      </c>
      <c r="G77" s="2" t="str">
        <f t="shared" si="5"/>
        <v>0</v>
      </c>
      <c r="H77" s="2" t="str">
        <f t="shared" si="6"/>
        <v>0</v>
      </c>
      <c r="I77" s="2" t="str">
        <f t="shared" si="7"/>
        <v>0</v>
      </c>
      <c r="J77" s="2">
        <f t="shared" si="8"/>
        <v>1</v>
      </c>
      <c r="K77" s="2" t="str">
        <f t="shared" si="9"/>
        <v>0</v>
      </c>
      <c r="L77" s="2" t="str">
        <f t="shared" si="10"/>
        <v>0</v>
      </c>
      <c r="M77" s="2">
        <f t="shared" si="11"/>
        <v>1</v>
      </c>
      <c r="N77" s="2" t="str">
        <f t="shared" si="12"/>
        <v>0</v>
      </c>
      <c r="O77" s="2" t="str">
        <f t="shared" si="13"/>
        <v>0</v>
      </c>
      <c r="P77" s="2">
        <f t="shared" si="14"/>
        <v>1</v>
      </c>
      <c r="Q77" s="2" t="str">
        <f t="shared" si="15"/>
        <v>0</v>
      </c>
      <c r="R77" s="2" t="str">
        <f t="shared" si="16"/>
        <v>0</v>
      </c>
      <c r="S77" s="2">
        <f t="shared" si="17"/>
        <v>1</v>
      </c>
      <c r="T77" s="2" t="str">
        <f t="shared" si="18"/>
        <v>0</v>
      </c>
    </row>
    <row r="78" spans="1:20" x14ac:dyDescent="0.25">
      <c r="E78" s="2" t="str">
        <f t="shared" si="3"/>
        <v>0</v>
      </c>
      <c r="F78" s="2">
        <f t="shared" si="4"/>
        <v>4</v>
      </c>
      <c r="G78" s="2" t="str">
        <f t="shared" si="5"/>
        <v>0</v>
      </c>
      <c r="H78" s="2" t="str">
        <f t="shared" si="6"/>
        <v>0</v>
      </c>
      <c r="I78" s="2" t="str">
        <f t="shared" si="7"/>
        <v>0</v>
      </c>
      <c r="J78" s="2">
        <f t="shared" si="8"/>
        <v>4</v>
      </c>
      <c r="K78" s="2" t="str">
        <f t="shared" si="9"/>
        <v>0</v>
      </c>
      <c r="L78" s="2" t="str">
        <f t="shared" si="10"/>
        <v>0</v>
      </c>
      <c r="M78" s="2">
        <f t="shared" si="11"/>
        <v>4</v>
      </c>
      <c r="N78" s="2" t="str">
        <f t="shared" si="12"/>
        <v>0</v>
      </c>
      <c r="O78" s="2" t="str">
        <f t="shared" si="13"/>
        <v>0</v>
      </c>
      <c r="P78" s="2">
        <f t="shared" si="14"/>
        <v>4</v>
      </c>
      <c r="Q78" s="2" t="str">
        <f t="shared" si="15"/>
        <v>0</v>
      </c>
      <c r="R78" s="2" t="str">
        <f t="shared" si="16"/>
        <v>0</v>
      </c>
      <c r="S78" s="2">
        <f t="shared" si="17"/>
        <v>4</v>
      </c>
      <c r="T78" s="2" t="str">
        <f t="shared" si="18"/>
        <v>0</v>
      </c>
    </row>
    <row r="79" spans="1:20" x14ac:dyDescent="0.25">
      <c r="E79" s="2" t="str">
        <f t="shared" si="3"/>
        <v>0</v>
      </c>
      <c r="F79" s="2" t="str">
        <f t="shared" si="4"/>
        <v>0</v>
      </c>
      <c r="G79" s="2">
        <f t="shared" si="5"/>
        <v>7</v>
      </c>
      <c r="H79" s="2" t="str">
        <f t="shared" si="6"/>
        <v>0</v>
      </c>
      <c r="I79" s="2">
        <f t="shared" si="7"/>
        <v>7</v>
      </c>
      <c r="J79" s="2">
        <f t="shared" si="8"/>
        <v>7</v>
      </c>
      <c r="K79" s="2" t="str">
        <f t="shared" si="9"/>
        <v>0</v>
      </c>
      <c r="L79" s="2" t="str">
        <f t="shared" si="10"/>
        <v>0</v>
      </c>
      <c r="M79" s="2">
        <f t="shared" si="11"/>
        <v>7</v>
      </c>
      <c r="N79" s="2">
        <f t="shared" si="12"/>
        <v>7</v>
      </c>
      <c r="O79" s="2" t="str">
        <f t="shared" si="13"/>
        <v>0</v>
      </c>
      <c r="P79" s="2">
        <f t="shared" si="14"/>
        <v>7</v>
      </c>
      <c r="Q79" s="2" t="str">
        <f t="shared" si="15"/>
        <v>0</v>
      </c>
      <c r="R79" s="2" t="str">
        <f t="shared" si="16"/>
        <v>0</v>
      </c>
      <c r="S79" s="2">
        <f t="shared" si="17"/>
        <v>7</v>
      </c>
      <c r="T79" s="2" t="str">
        <f t="shared" si="18"/>
        <v>0</v>
      </c>
    </row>
    <row r="80" spans="1:20" x14ac:dyDescent="0.25">
      <c r="E80" s="2" t="str">
        <f t="shared" si="3"/>
        <v>0</v>
      </c>
      <c r="F80" s="2" t="str">
        <f t="shared" si="4"/>
        <v>0</v>
      </c>
      <c r="G80" s="2">
        <f t="shared" si="5"/>
        <v>2</v>
      </c>
      <c r="H80" s="2" t="str">
        <f t="shared" si="6"/>
        <v>0</v>
      </c>
      <c r="I80" s="2" t="str">
        <f t="shared" si="7"/>
        <v>0</v>
      </c>
      <c r="J80" s="2">
        <f t="shared" si="8"/>
        <v>2</v>
      </c>
      <c r="K80" s="2" t="str">
        <f t="shared" si="9"/>
        <v>0</v>
      </c>
      <c r="L80" s="2" t="str">
        <f t="shared" si="10"/>
        <v>0</v>
      </c>
      <c r="M80" s="2">
        <f t="shared" si="11"/>
        <v>2</v>
      </c>
      <c r="N80" s="2" t="str">
        <f t="shared" si="12"/>
        <v>0</v>
      </c>
      <c r="O80" s="2" t="str">
        <f t="shared" si="13"/>
        <v>0</v>
      </c>
      <c r="P80" s="2">
        <f t="shared" si="14"/>
        <v>2</v>
      </c>
      <c r="Q80" s="2" t="str">
        <f t="shared" si="15"/>
        <v>0</v>
      </c>
      <c r="R80" s="2" t="str">
        <f t="shared" si="16"/>
        <v>0</v>
      </c>
      <c r="S80" s="2">
        <f t="shared" si="17"/>
        <v>2</v>
      </c>
      <c r="T80" s="2" t="str">
        <f t="shared" si="18"/>
        <v>0</v>
      </c>
    </row>
    <row r="81" spans="5:20" x14ac:dyDescent="0.25">
      <c r="E81" s="2" t="str">
        <f t="shared" si="3"/>
        <v>0</v>
      </c>
      <c r="F81" s="2" t="str">
        <f t="shared" si="4"/>
        <v>0</v>
      </c>
      <c r="G81" s="2">
        <f t="shared" si="5"/>
        <v>1</v>
      </c>
      <c r="H81" s="2" t="str">
        <f t="shared" si="6"/>
        <v>0</v>
      </c>
      <c r="I81" s="2" t="str">
        <f t="shared" si="7"/>
        <v>0</v>
      </c>
      <c r="J81" s="2">
        <f t="shared" si="8"/>
        <v>1</v>
      </c>
      <c r="K81" s="2" t="str">
        <f t="shared" si="9"/>
        <v>0</v>
      </c>
      <c r="L81" s="2" t="str">
        <f t="shared" si="10"/>
        <v>0</v>
      </c>
      <c r="M81" s="2">
        <f t="shared" si="11"/>
        <v>1</v>
      </c>
      <c r="N81" s="2" t="str">
        <f t="shared" si="12"/>
        <v>0</v>
      </c>
      <c r="O81" s="2" t="str">
        <f t="shared" si="13"/>
        <v>0</v>
      </c>
      <c r="P81" s="2">
        <f t="shared" si="14"/>
        <v>1</v>
      </c>
      <c r="Q81" s="2" t="str">
        <f t="shared" si="15"/>
        <v>0</v>
      </c>
      <c r="R81" s="2" t="str">
        <f t="shared" si="16"/>
        <v>0</v>
      </c>
      <c r="S81" s="2">
        <f t="shared" si="17"/>
        <v>1</v>
      </c>
      <c r="T81" s="2" t="str">
        <f t="shared" si="18"/>
        <v>0</v>
      </c>
    </row>
    <row r="82" spans="5:20" x14ac:dyDescent="0.25">
      <c r="E82" s="2" t="str">
        <f t="shared" si="3"/>
        <v>0</v>
      </c>
      <c r="F82" s="2">
        <f t="shared" si="4"/>
        <v>1</v>
      </c>
      <c r="G82" s="2" t="str">
        <f t="shared" si="5"/>
        <v>0</v>
      </c>
      <c r="H82" s="2" t="str">
        <f t="shared" si="6"/>
        <v>0</v>
      </c>
      <c r="I82" s="2" t="str">
        <f t="shared" si="7"/>
        <v>0</v>
      </c>
      <c r="J82" s="2">
        <f t="shared" si="8"/>
        <v>1</v>
      </c>
      <c r="K82" s="2" t="str">
        <f t="shared" si="9"/>
        <v>0</v>
      </c>
      <c r="L82" s="2" t="str">
        <f t="shared" si="10"/>
        <v>0</v>
      </c>
      <c r="M82" s="2">
        <f t="shared" si="11"/>
        <v>1</v>
      </c>
      <c r="N82" s="2" t="str">
        <f t="shared" si="12"/>
        <v>0</v>
      </c>
      <c r="O82" s="2" t="str">
        <f t="shared" si="13"/>
        <v>0</v>
      </c>
      <c r="P82" s="2">
        <f t="shared" si="14"/>
        <v>1</v>
      </c>
      <c r="Q82" s="2" t="str">
        <f t="shared" si="15"/>
        <v>0</v>
      </c>
      <c r="R82" s="2" t="str">
        <f t="shared" si="16"/>
        <v>0</v>
      </c>
      <c r="S82" s="2">
        <f t="shared" si="17"/>
        <v>1</v>
      </c>
      <c r="T82" s="2" t="str">
        <f t="shared" si="18"/>
        <v>0</v>
      </c>
    </row>
    <row r="83" spans="5:20" x14ac:dyDescent="0.25">
      <c r="E83" s="2" t="str">
        <f t="shared" si="3"/>
        <v>0</v>
      </c>
      <c r="F83" s="2" t="str">
        <f t="shared" si="4"/>
        <v>0</v>
      </c>
      <c r="G83" s="2">
        <f t="shared" si="5"/>
        <v>4</v>
      </c>
      <c r="H83" s="2" t="str">
        <f t="shared" si="6"/>
        <v>0</v>
      </c>
      <c r="I83" s="2">
        <f t="shared" si="7"/>
        <v>4</v>
      </c>
      <c r="J83" s="2">
        <f t="shared" si="8"/>
        <v>4</v>
      </c>
      <c r="K83" s="2" t="str">
        <f t="shared" si="9"/>
        <v>0</v>
      </c>
      <c r="L83" s="2" t="str">
        <f t="shared" si="10"/>
        <v>0</v>
      </c>
      <c r="M83" s="2">
        <f t="shared" si="11"/>
        <v>4</v>
      </c>
      <c r="N83" s="2" t="str">
        <f t="shared" si="12"/>
        <v>0</v>
      </c>
      <c r="O83" s="2" t="str">
        <f t="shared" si="13"/>
        <v>0</v>
      </c>
      <c r="P83" s="2">
        <f t="shared" si="14"/>
        <v>4</v>
      </c>
      <c r="Q83" s="2" t="str">
        <f t="shared" si="15"/>
        <v>0</v>
      </c>
      <c r="R83" s="2" t="str">
        <f t="shared" si="16"/>
        <v>0</v>
      </c>
      <c r="S83" s="2">
        <f t="shared" si="17"/>
        <v>4</v>
      </c>
      <c r="T83" s="2" t="str">
        <f t="shared" si="18"/>
        <v>0</v>
      </c>
    </row>
    <row r="84" spans="5:20" x14ac:dyDescent="0.25">
      <c r="E84" s="2" t="str">
        <f t="shared" si="3"/>
        <v>0</v>
      </c>
      <c r="F84" s="2">
        <f t="shared" si="4"/>
        <v>6.7899999999999991</v>
      </c>
      <c r="G84" s="2" t="str">
        <f t="shared" si="5"/>
        <v>0</v>
      </c>
      <c r="H84" s="2" t="str">
        <f t="shared" si="6"/>
        <v>0</v>
      </c>
      <c r="I84" s="2" t="str">
        <f t="shared" si="7"/>
        <v>0</v>
      </c>
      <c r="J84" s="2">
        <f t="shared" si="8"/>
        <v>6.7899999999999991</v>
      </c>
      <c r="K84" s="2" t="str">
        <f t="shared" si="9"/>
        <v>0</v>
      </c>
      <c r="L84" s="2" t="str">
        <f t="shared" si="10"/>
        <v>0</v>
      </c>
      <c r="M84" s="2">
        <f t="shared" si="11"/>
        <v>6.7899999999999991</v>
      </c>
      <c r="N84" s="2" t="str">
        <f t="shared" si="12"/>
        <v>0</v>
      </c>
      <c r="O84" s="2" t="str">
        <f t="shared" si="13"/>
        <v>0</v>
      </c>
      <c r="P84" s="2">
        <f t="shared" si="14"/>
        <v>6.7899999999999991</v>
      </c>
      <c r="Q84" s="2" t="str">
        <f t="shared" si="15"/>
        <v>0</v>
      </c>
      <c r="R84" s="2" t="str">
        <f t="shared" si="16"/>
        <v>0</v>
      </c>
      <c r="S84" s="2">
        <f t="shared" si="17"/>
        <v>6.7899999999999991</v>
      </c>
      <c r="T84" s="2" t="str">
        <f t="shared" si="18"/>
        <v>0</v>
      </c>
    </row>
    <row r="85" spans="5:20" x14ac:dyDescent="0.25">
      <c r="E85" s="2">
        <f t="shared" si="3"/>
        <v>1</v>
      </c>
      <c r="F85" s="2" t="str">
        <f t="shared" si="4"/>
        <v>0</v>
      </c>
      <c r="G85" s="2" t="str">
        <f t="shared" si="5"/>
        <v>0</v>
      </c>
      <c r="H85" s="2" t="str">
        <f t="shared" si="6"/>
        <v>0</v>
      </c>
      <c r="I85" s="2" t="str">
        <f t="shared" si="7"/>
        <v>0</v>
      </c>
      <c r="J85" s="2" t="str">
        <f t="shared" si="8"/>
        <v>0</v>
      </c>
      <c r="K85" s="2" t="str">
        <f t="shared" si="9"/>
        <v>0</v>
      </c>
      <c r="L85" s="2" t="str">
        <f t="shared" si="10"/>
        <v>0</v>
      </c>
      <c r="M85" s="2">
        <f t="shared" si="11"/>
        <v>1</v>
      </c>
      <c r="N85" s="2" t="str">
        <f t="shared" si="12"/>
        <v>0</v>
      </c>
      <c r="O85" s="2" t="str">
        <f t="shared" si="13"/>
        <v>0</v>
      </c>
      <c r="P85" s="2">
        <f t="shared" si="14"/>
        <v>1</v>
      </c>
      <c r="Q85" s="2" t="str">
        <f t="shared" si="15"/>
        <v>0</v>
      </c>
      <c r="R85" s="2" t="str">
        <f t="shared" si="16"/>
        <v>0</v>
      </c>
      <c r="S85" s="2">
        <f t="shared" si="17"/>
        <v>1</v>
      </c>
      <c r="T85" s="2" t="str">
        <f t="shared" si="18"/>
        <v>0</v>
      </c>
    </row>
    <row r="86" spans="5:20" x14ac:dyDescent="0.25">
      <c r="E86" s="2" t="str">
        <f t="shared" si="3"/>
        <v>0</v>
      </c>
      <c r="F86" s="2">
        <f t="shared" si="4"/>
        <v>2</v>
      </c>
      <c r="G86" s="2" t="str">
        <f t="shared" si="5"/>
        <v>0</v>
      </c>
      <c r="H86" s="2" t="str">
        <f t="shared" si="6"/>
        <v>0</v>
      </c>
      <c r="I86" s="2" t="str">
        <f t="shared" si="7"/>
        <v>0</v>
      </c>
      <c r="J86" s="2">
        <f t="shared" si="8"/>
        <v>2</v>
      </c>
      <c r="K86" s="2" t="str">
        <f t="shared" si="9"/>
        <v>0</v>
      </c>
      <c r="L86" s="2" t="str">
        <f t="shared" si="10"/>
        <v>0</v>
      </c>
      <c r="M86" s="2">
        <f t="shared" si="11"/>
        <v>2</v>
      </c>
      <c r="N86" s="2" t="str">
        <f t="shared" si="12"/>
        <v>0</v>
      </c>
      <c r="O86" s="2" t="str">
        <f t="shared" si="13"/>
        <v>0</v>
      </c>
      <c r="P86" s="2">
        <f t="shared" si="14"/>
        <v>2</v>
      </c>
      <c r="Q86" s="2" t="str">
        <f t="shared" si="15"/>
        <v>0</v>
      </c>
      <c r="R86" s="2" t="str">
        <f t="shared" si="16"/>
        <v>0</v>
      </c>
      <c r="S86" s="2">
        <f t="shared" si="17"/>
        <v>2</v>
      </c>
      <c r="T86" s="2" t="str">
        <f t="shared" si="18"/>
        <v>0</v>
      </c>
    </row>
    <row r="87" spans="5:20" x14ac:dyDescent="0.25">
      <c r="E87" s="2" t="str">
        <f t="shared" si="3"/>
        <v>0</v>
      </c>
      <c r="F87" s="2">
        <f t="shared" si="4"/>
        <v>5</v>
      </c>
      <c r="G87" s="2" t="str">
        <f t="shared" si="5"/>
        <v>0</v>
      </c>
      <c r="H87" s="2" t="str">
        <f t="shared" si="6"/>
        <v>0</v>
      </c>
      <c r="I87" s="2" t="str">
        <f t="shared" si="7"/>
        <v>0</v>
      </c>
      <c r="J87" s="2">
        <f t="shared" si="8"/>
        <v>5</v>
      </c>
      <c r="K87" s="2" t="str">
        <f t="shared" si="9"/>
        <v>0</v>
      </c>
      <c r="L87" s="2" t="str">
        <f t="shared" si="10"/>
        <v>0</v>
      </c>
      <c r="M87" s="2">
        <f t="shared" si="11"/>
        <v>5</v>
      </c>
      <c r="N87" s="2" t="str">
        <f t="shared" si="12"/>
        <v>0</v>
      </c>
      <c r="O87" s="2" t="str">
        <f t="shared" si="13"/>
        <v>0</v>
      </c>
      <c r="P87" s="2">
        <f t="shared" si="14"/>
        <v>5</v>
      </c>
      <c r="Q87" s="2" t="str">
        <f t="shared" si="15"/>
        <v>0</v>
      </c>
      <c r="R87" s="2" t="str">
        <f t="shared" si="16"/>
        <v>0</v>
      </c>
      <c r="S87" s="2">
        <f t="shared" si="17"/>
        <v>5</v>
      </c>
      <c r="T87" s="2" t="str">
        <f t="shared" si="18"/>
        <v>0</v>
      </c>
    </row>
    <row r="88" spans="5:20" x14ac:dyDescent="0.25">
      <c r="E88" s="2" t="str">
        <f t="shared" si="3"/>
        <v>0</v>
      </c>
      <c r="F88" s="2" t="str">
        <f t="shared" si="4"/>
        <v>0</v>
      </c>
      <c r="G88" s="2">
        <f t="shared" si="5"/>
        <v>4</v>
      </c>
      <c r="H88" s="2" t="str">
        <f t="shared" si="6"/>
        <v>0</v>
      </c>
      <c r="I88" s="2" t="str">
        <f t="shared" si="7"/>
        <v>0</v>
      </c>
      <c r="J88" s="2">
        <f t="shared" si="8"/>
        <v>4</v>
      </c>
      <c r="K88" s="2" t="str">
        <f t="shared" si="9"/>
        <v>0</v>
      </c>
      <c r="L88" s="2">
        <f t="shared" si="10"/>
        <v>4</v>
      </c>
      <c r="M88" s="2" t="str">
        <f t="shared" si="11"/>
        <v>0</v>
      </c>
      <c r="N88" s="2" t="str">
        <f t="shared" si="12"/>
        <v>0</v>
      </c>
      <c r="O88" s="2" t="str">
        <f t="shared" si="13"/>
        <v>0</v>
      </c>
      <c r="P88" s="2">
        <f t="shared" si="14"/>
        <v>4</v>
      </c>
      <c r="Q88" s="2" t="str">
        <f t="shared" si="15"/>
        <v>0</v>
      </c>
      <c r="R88" s="2" t="str">
        <f t="shared" si="16"/>
        <v>0</v>
      </c>
      <c r="S88" s="2">
        <f t="shared" si="17"/>
        <v>4</v>
      </c>
      <c r="T88" s="2" t="str">
        <f t="shared" si="18"/>
        <v>0</v>
      </c>
    </row>
    <row r="89" spans="5:20" x14ac:dyDescent="0.25">
      <c r="E89" s="2" t="str">
        <f t="shared" si="3"/>
        <v>0</v>
      </c>
      <c r="F89" s="2" t="str">
        <f t="shared" si="4"/>
        <v>0</v>
      </c>
      <c r="G89" s="2">
        <f t="shared" si="5"/>
        <v>4.8699999999999992</v>
      </c>
      <c r="H89" s="2" t="str">
        <f t="shared" si="6"/>
        <v>0</v>
      </c>
      <c r="I89" s="2" t="str">
        <f t="shared" si="7"/>
        <v>0</v>
      </c>
      <c r="J89" s="2">
        <f t="shared" si="8"/>
        <v>4.8699999999999992</v>
      </c>
      <c r="K89" s="2" t="str">
        <f t="shared" si="9"/>
        <v>0</v>
      </c>
      <c r="L89" s="2" t="str">
        <f t="shared" si="10"/>
        <v>0</v>
      </c>
      <c r="M89" s="2">
        <f t="shared" si="11"/>
        <v>4.8699999999999992</v>
      </c>
      <c r="N89" s="2" t="str">
        <f t="shared" si="12"/>
        <v>0</v>
      </c>
      <c r="O89" s="2" t="str">
        <f t="shared" si="13"/>
        <v>0</v>
      </c>
      <c r="P89" s="2">
        <f t="shared" si="14"/>
        <v>4.8699999999999992</v>
      </c>
      <c r="Q89" s="2" t="str">
        <f t="shared" si="15"/>
        <v>0</v>
      </c>
      <c r="R89" s="2" t="str">
        <f t="shared" si="16"/>
        <v>0</v>
      </c>
      <c r="S89" s="2">
        <f t="shared" si="17"/>
        <v>4.8699999999999992</v>
      </c>
      <c r="T89" s="2" t="str">
        <f t="shared" si="18"/>
        <v>0</v>
      </c>
    </row>
    <row r="90" spans="5:20" x14ac:dyDescent="0.25">
      <c r="E90" s="2" t="str">
        <f t="shared" si="3"/>
        <v>0</v>
      </c>
      <c r="F90" s="2">
        <f t="shared" si="4"/>
        <v>1</v>
      </c>
      <c r="G90" s="2">
        <f t="shared" si="5"/>
        <v>1</v>
      </c>
      <c r="H90" s="2" t="str">
        <f t="shared" si="6"/>
        <v>0</v>
      </c>
      <c r="I90" s="2" t="str">
        <f t="shared" si="7"/>
        <v>0</v>
      </c>
      <c r="J90" s="2">
        <f t="shared" si="8"/>
        <v>1</v>
      </c>
      <c r="K90" s="2" t="str">
        <f t="shared" si="9"/>
        <v>0</v>
      </c>
      <c r="L90" s="2" t="str">
        <f t="shared" si="10"/>
        <v>0</v>
      </c>
      <c r="M90" s="2">
        <f t="shared" si="11"/>
        <v>1</v>
      </c>
      <c r="N90" s="2" t="str">
        <f t="shared" si="12"/>
        <v>0</v>
      </c>
      <c r="O90" s="2" t="str">
        <f t="shared" si="13"/>
        <v>0</v>
      </c>
      <c r="P90" s="2">
        <f t="shared" si="14"/>
        <v>1</v>
      </c>
      <c r="Q90" s="2" t="str">
        <f t="shared" si="15"/>
        <v>0</v>
      </c>
      <c r="R90" s="2" t="str">
        <f t="shared" si="16"/>
        <v>0</v>
      </c>
      <c r="S90" s="2">
        <f t="shared" si="17"/>
        <v>1</v>
      </c>
      <c r="T90" s="2" t="str">
        <f t="shared" si="18"/>
        <v>0</v>
      </c>
    </row>
    <row r="91" spans="5:20" x14ac:dyDescent="0.25">
      <c r="E91" s="2" t="str">
        <f t="shared" si="3"/>
        <v>0</v>
      </c>
      <c r="F91" s="2">
        <f t="shared" si="4"/>
        <v>2</v>
      </c>
      <c r="G91" s="2" t="str">
        <f t="shared" si="5"/>
        <v>0</v>
      </c>
      <c r="H91" s="2" t="str">
        <f t="shared" si="6"/>
        <v>0</v>
      </c>
      <c r="I91" s="2" t="str">
        <f t="shared" si="7"/>
        <v>0</v>
      </c>
      <c r="J91" s="2">
        <f t="shared" si="8"/>
        <v>2</v>
      </c>
      <c r="K91" s="2" t="str">
        <f t="shared" si="9"/>
        <v>0</v>
      </c>
      <c r="L91" s="2" t="str">
        <f t="shared" si="10"/>
        <v>0</v>
      </c>
      <c r="M91" s="2">
        <f t="shared" si="11"/>
        <v>2</v>
      </c>
      <c r="N91" s="2" t="str">
        <f t="shared" si="12"/>
        <v>0</v>
      </c>
      <c r="O91" s="2" t="str">
        <f t="shared" si="13"/>
        <v>0</v>
      </c>
      <c r="P91" s="2">
        <f t="shared" si="14"/>
        <v>2</v>
      </c>
      <c r="Q91" s="2" t="str">
        <f t="shared" si="15"/>
        <v>0</v>
      </c>
      <c r="R91" s="2" t="str">
        <f t="shared" si="16"/>
        <v>0</v>
      </c>
      <c r="S91" s="2">
        <f t="shared" si="17"/>
        <v>2</v>
      </c>
      <c r="T91" s="2" t="str">
        <f t="shared" si="18"/>
        <v>0</v>
      </c>
    </row>
    <row r="92" spans="5:20" x14ac:dyDescent="0.25">
      <c r="E92" s="2" t="str">
        <f t="shared" si="3"/>
        <v>0</v>
      </c>
      <c r="F92" s="2">
        <f t="shared" si="4"/>
        <v>4</v>
      </c>
      <c r="G92" s="2">
        <f t="shared" si="5"/>
        <v>4</v>
      </c>
      <c r="H92" s="2" t="str">
        <f t="shared" si="6"/>
        <v>0</v>
      </c>
      <c r="I92" s="2" t="str">
        <f t="shared" si="7"/>
        <v>0</v>
      </c>
      <c r="J92" s="2">
        <f t="shared" si="8"/>
        <v>4</v>
      </c>
      <c r="K92" s="2" t="str">
        <f t="shared" si="9"/>
        <v>0</v>
      </c>
      <c r="L92" s="2" t="str">
        <f t="shared" si="10"/>
        <v>0</v>
      </c>
      <c r="M92" s="2">
        <f t="shared" si="11"/>
        <v>4</v>
      </c>
      <c r="N92" s="2" t="str">
        <f t="shared" si="12"/>
        <v>0</v>
      </c>
      <c r="O92" s="2" t="str">
        <f t="shared" si="13"/>
        <v>0</v>
      </c>
      <c r="P92" s="2">
        <f t="shared" si="14"/>
        <v>4</v>
      </c>
      <c r="Q92" s="2" t="str">
        <f t="shared" si="15"/>
        <v>0</v>
      </c>
      <c r="R92" s="2" t="str">
        <f t="shared" si="16"/>
        <v>0</v>
      </c>
      <c r="S92" s="2">
        <f t="shared" si="17"/>
        <v>4</v>
      </c>
      <c r="T92" s="2" t="str">
        <f t="shared" si="18"/>
        <v>0</v>
      </c>
    </row>
    <row r="93" spans="5:20" x14ac:dyDescent="0.25">
      <c r="E93" s="2">
        <f t="shared" si="3"/>
        <v>2</v>
      </c>
      <c r="F93" s="2" t="str">
        <f t="shared" si="4"/>
        <v>0</v>
      </c>
      <c r="G93" s="2" t="str">
        <f t="shared" si="5"/>
        <v>0</v>
      </c>
      <c r="H93" s="2" t="str">
        <f t="shared" si="6"/>
        <v>0</v>
      </c>
      <c r="I93" s="2" t="str">
        <f t="shared" si="7"/>
        <v>0</v>
      </c>
      <c r="J93" s="2">
        <f t="shared" si="8"/>
        <v>2</v>
      </c>
      <c r="K93" s="2" t="str">
        <f t="shared" si="9"/>
        <v>0</v>
      </c>
      <c r="L93" s="2" t="str">
        <f t="shared" si="10"/>
        <v>0</v>
      </c>
      <c r="M93" s="2" t="str">
        <f t="shared" si="11"/>
        <v>0</v>
      </c>
      <c r="N93" s="2" t="str">
        <f t="shared" si="12"/>
        <v>0</v>
      </c>
      <c r="O93" s="2" t="str">
        <f t="shared" si="13"/>
        <v>0</v>
      </c>
      <c r="P93" s="2">
        <f t="shared" si="14"/>
        <v>2</v>
      </c>
      <c r="Q93" s="2" t="str">
        <f t="shared" si="15"/>
        <v>0</v>
      </c>
      <c r="R93" s="2" t="str">
        <f t="shared" si="16"/>
        <v>0</v>
      </c>
      <c r="S93" s="2">
        <f t="shared" si="17"/>
        <v>2</v>
      </c>
      <c r="T93" s="2" t="str">
        <f t="shared" si="18"/>
        <v>0</v>
      </c>
    </row>
    <row r="94" spans="5:20" x14ac:dyDescent="0.25">
      <c r="E94" s="2" t="str">
        <f t="shared" si="3"/>
        <v>0</v>
      </c>
      <c r="F94" s="2">
        <f t="shared" si="4"/>
        <v>5</v>
      </c>
      <c r="G94" s="2">
        <f t="shared" si="5"/>
        <v>5</v>
      </c>
      <c r="H94" s="2" t="str">
        <f t="shared" si="6"/>
        <v>0</v>
      </c>
      <c r="I94" s="2" t="str">
        <f t="shared" si="7"/>
        <v>0</v>
      </c>
      <c r="J94" s="2">
        <f t="shared" si="8"/>
        <v>5</v>
      </c>
      <c r="K94" s="2" t="str">
        <f t="shared" si="9"/>
        <v>0</v>
      </c>
      <c r="L94" s="2" t="str">
        <f t="shared" si="10"/>
        <v>0</v>
      </c>
      <c r="M94" s="2">
        <f t="shared" si="11"/>
        <v>5</v>
      </c>
      <c r="N94" s="2" t="str">
        <f t="shared" si="12"/>
        <v>0</v>
      </c>
      <c r="O94" s="2" t="str">
        <f t="shared" si="13"/>
        <v>0</v>
      </c>
      <c r="P94" s="2">
        <f t="shared" si="14"/>
        <v>5</v>
      </c>
      <c r="Q94" s="2" t="str">
        <f t="shared" si="15"/>
        <v>0</v>
      </c>
      <c r="R94" s="2" t="str">
        <f t="shared" si="16"/>
        <v>0</v>
      </c>
      <c r="S94" s="2">
        <f t="shared" si="17"/>
        <v>5</v>
      </c>
      <c r="T94" s="2" t="str">
        <f t="shared" si="18"/>
        <v>0</v>
      </c>
    </row>
    <row r="95" spans="5:20" x14ac:dyDescent="0.25">
      <c r="E95" s="2" t="str">
        <f t="shared" si="3"/>
        <v>0</v>
      </c>
      <c r="F95" s="2">
        <f t="shared" si="4"/>
        <v>9</v>
      </c>
      <c r="G95" s="2" t="str">
        <f t="shared" si="5"/>
        <v>0</v>
      </c>
      <c r="H95" s="2" t="str">
        <f t="shared" si="6"/>
        <v>0</v>
      </c>
      <c r="I95" s="2" t="str">
        <f t="shared" si="7"/>
        <v>0</v>
      </c>
      <c r="J95" s="2">
        <f t="shared" si="8"/>
        <v>9</v>
      </c>
      <c r="K95" s="2" t="str">
        <f t="shared" si="9"/>
        <v>0</v>
      </c>
      <c r="L95" s="2" t="str">
        <f t="shared" si="10"/>
        <v>0</v>
      </c>
      <c r="M95" s="2">
        <f t="shared" si="11"/>
        <v>9</v>
      </c>
      <c r="N95" s="2" t="str">
        <f t="shared" si="12"/>
        <v>0</v>
      </c>
      <c r="O95" s="2" t="str">
        <f t="shared" si="13"/>
        <v>0</v>
      </c>
      <c r="P95" s="2">
        <f t="shared" si="14"/>
        <v>9</v>
      </c>
      <c r="Q95" s="2" t="str">
        <f t="shared" si="15"/>
        <v>0</v>
      </c>
      <c r="R95" s="2" t="str">
        <f t="shared" si="16"/>
        <v>0</v>
      </c>
      <c r="S95" s="2">
        <f t="shared" si="17"/>
        <v>9</v>
      </c>
      <c r="T95" s="2" t="str">
        <f t="shared" si="18"/>
        <v>0</v>
      </c>
    </row>
    <row r="96" spans="5:20" x14ac:dyDescent="0.25">
      <c r="E96" s="2" t="str">
        <f t="shared" si="3"/>
        <v>0</v>
      </c>
      <c r="F96" s="2" t="str">
        <f t="shared" si="4"/>
        <v>0</v>
      </c>
      <c r="G96" s="2">
        <f t="shared" si="5"/>
        <v>0.39999999999999858</v>
      </c>
      <c r="H96" s="2" t="str">
        <f t="shared" si="6"/>
        <v>0</v>
      </c>
      <c r="I96" s="2" t="str">
        <f t="shared" si="7"/>
        <v>0</v>
      </c>
      <c r="J96" s="2">
        <f t="shared" si="8"/>
        <v>0.39999999999999858</v>
      </c>
      <c r="K96" s="2" t="str">
        <f t="shared" si="9"/>
        <v>0</v>
      </c>
      <c r="L96" s="2" t="str">
        <f t="shared" si="10"/>
        <v>0</v>
      </c>
      <c r="M96" s="2">
        <f t="shared" si="11"/>
        <v>0.39999999999999858</v>
      </c>
      <c r="N96" s="2" t="str">
        <f t="shared" si="12"/>
        <v>0</v>
      </c>
      <c r="O96" s="2" t="str">
        <f t="shared" si="13"/>
        <v>0</v>
      </c>
      <c r="P96" s="2">
        <f t="shared" si="14"/>
        <v>0.39999999999999858</v>
      </c>
      <c r="Q96" s="2" t="str">
        <f t="shared" si="15"/>
        <v>0</v>
      </c>
      <c r="R96" s="2" t="str">
        <f t="shared" si="16"/>
        <v>0</v>
      </c>
      <c r="S96" s="2">
        <f t="shared" si="17"/>
        <v>0.39999999999999858</v>
      </c>
      <c r="T96" s="2" t="str">
        <f t="shared" si="18"/>
        <v>0</v>
      </c>
    </row>
    <row r="97" spans="5:20" x14ac:dyDescent="0.25">
      <c r="E97" s="2" t="str">
        <f t="shared" si="3"/>
        <v>0</v>
      </c>
      <c r="F97" s="2" t="str">
        <f t="shared" si="4"/>
        <v>0</v>
      </c>
      <c r="G97" s="2" t="str">
        <f t="shared" si="5"/>
        <v>0</v>
      </c>
      <c r="H97" s="2" t="str">
        <f t="shared" si="6"/>
        <v>0</v>
      </c>
      <c r="I97" s="2" t="str">
        <f t="shared" si="7"/>
        <v>0</v>
      </c>
      <c r="J97" s="2" t="str">
        <f t="shared" si="8"/>
        <v>0</v>
      </c>
      <c r="K97" s="2" t="str">
        <f t="shared" si="9"/>
        <v>0</v>
      </c>
      <c r="L97" s="2" t="str">
        <f t="shared" si="10"/>
        <v>0</v>
      </c>
      <c r="M97" s="2" t="str">
        <f t="shared" si="11"/>
        <v>0</v>
      </c>
      <c r="N97" s="2" t="str">
        <f t="shared" si="12"/>
        <v>0</v>
      </c>
      <c r="O97" s="2" t="str">
        <f t="shared" si="13"/>
        <v>0</v>
      </c>
      <c r="P97" s="2" t="str">
        <f t="shared" si="14"/>
        <v>0</v>
      </c>
      <c r="Q97" s="2" t="str">
        <f t="shared" si="15"/>
        <v>0</v>
      </c>
      <c r="R97" s="2" t="str">
        <f t="shared" si="16"/>
        <v>0</v>
      </c>
      <c r="S97" s="2" t="str">
        <f t="shared" si="17"/>
        <v>0</v>
      </c>
      <c r="T97" s="2" t="str">
        <f t="shared" si="18"/>
        <v>0</v>
      </c>
    </row>
    <row r="98" spans="5:20" x14ac:dyDescent="0.25">
      <c r="E98" s="2" t="str">
        <f t="shared" si="3"/>
        <v>0</v>
      </c>
      <c r="F98" s="2" t="str">
        <f t="shared" si="4"/>
        <v>0</v>
      </c>
      <c r="G98" s="2" t="str">
        <f t="shared" si="5"/>
        <v>0</v>
      </c>
      <c r="H98" s="2" t="str">
        <f t="shared" si="6"/>
        <v>0</v>
      </c>
      <c r="I98" s="2" t="str">
        <f t="shared" si="7"/>
        <v>0</v>
      </c>
      <c r="J98" s="2" t="str">
        <f t="shared" si="8"/>
        <v>0</v>
      </c>
      <c r="K98" s="2" t="str">
        <f t="shared" si="9"/>
        <v>0</v>
      </c>
      <c r="L98" s="2" t="str">
        <f t="shared" si="10"/>
        <v>0</v>
      </c>
      <c r="M98" s="2" t="str">
        <f t="shared" si="11"/>
        <v>0</v>
      </c>
      <c r="N98" s="2" t="str">
        <f t="shared" si="12"/>
        <v>0</v>
      </c>
      <c r="O98" s="2" t="str">
        <f t="shared" si="13"/>
        <v>0</v>
      </c>
      <c r="P98" s="2" t="str">
        <f t="shared" si="14"/>
        <v>0</v>
      </c>
      <c r="Q98" s="2" t="str">
        <f t="shared" si="15"/>
        <v>0</v>
      </c>
      <c r="R98" s="2" t="str">
        <f t="shared" si="16"/>
        <v>0</v>
      </c>
      <c r="S98" s="2" t="str">
        <f t="shared" si="17"/>
        <v>0</v>
      </c>
      <c r="T98" s="2" t="str">
        <f t="shared" si="18"/>
        <v>0</v>
      </c>
    </row>
    <row r="99" spans="5:20" x14ac:dyDescent="0.25">
      <c r="E99" s="2" t="str">
        <f t="shared" si="3"/>
        <v>0</v>
      </c>
      <c r="F99" s="2" t="str">
        <f t="shared" si="4"/>
        <v>0</v>
      </c>
      <c r="G99" s="2" t="str">
        <f t="shared" si="5"/>
        <v>0</v>
      </c>
      <c r="H99" s="2" t="str">
        <f t="shared" si="6"/>
        <v>0</v>
      </c>
      <c r="I99" s="2" t="str">
        <f t="shared" si="7"/>
        <v>0</v>
      </c>
      <c r="J99" s="2" t="str">
        <f t="shared" si="8"/>
        <v>0</v>
      </c>
      <c r="K99" s="2" t="str">
        <f t="shared" si="9"/>
        <v>0</v>
      </c>
      <c r="L99" s="2" t="str">
        <f t="shared" si="10"/>
        <v>0</v>
      </c>
      <c r="M99" s="2" t="str">
        <f t="shared" si="11"/>
        <v>0</v>
      </c>
      <c r="N99" s="2" t="str">
        <f t="shared" si="12"/>
        <v>0</v>
      </c>
      <c r="O99" s="2" t="str">
        <f t="shared" si="13"/>
        <v>0</v>
      </c>
      <c r="P99" s="2" t="str">
        <f t="shared" si="14"/>
        <v>0</v>
      </c>
      <c r="Q99" s="2" t="str">
        <f t="shared" si="15"/>
        <v>0</v>
      </c>
      <c r="R99" s="2" t="str">
        <f t="shared" si="16"/>
        <v>0</v>
      </c>
      <c r="S99" s="2" t="str">
        <f t="shared" si="17"/>
        <v>0</v>
      </c>
      <c r="T99" s="2" t="str">
        <f t="shared" si="18"/>
        <v>0</v>
      </c>
    </row>
    <row r="100" spans="5:20" x14ac:dyDescent="0.25">
      <c r="E100" s="2" t="str">
        <f t="shared" si="3"/>
        <v>0</v>
      </c>
      <c r="F100" s="2" t="str">
        <f t="shared" si="4"/>
        <v>0</v>
      </c>
      <c r="G100" s="2" t="str">
        <f t="shared" si="5"/>
        <v>0</v>
      </c>
      <c r="H100" s="2" t="str">
        <f t="shared" si="6"/>
        <v>0</v>
      </c>
      <c r="I100" s="2" t="str">
        <f t="shared" si="7"/>
        <v>0</v>
      </c>
      <c r="J100" s="2" t="str">
        <f t="shared" si="8"/>
        <v>0</v>
      </c>
      <c r="K100" s="2" t="str">
        <f t="shared" si="9"/>
        <v>0</v>
      </c>
      <c r="L100" s="2" t="str">
        <f t="shared" si="10"/>
        <v>0</v>
      </c>
      <c r="M100" s="2" t="str">
        <f t="shared" si="11"/>
        <v>0</v>
      </c>
      <c r="N100" s="2" t="str">
        <f t="shared" si="12"/>
        <v>0</v>
      </c>
      <c r="O100" s="2" t="str">
        <f t="shared" si="13"/>
        <v>0</v>
      </c>
      <c r="P100" s="2" t="str">
        <f t="shared" si="14"/>
        <v>0</v>
      </c>
      <c r="Q100" s="2" t="str">
        <f t="shared" si="15"/>
        <v>0</v>
      </c>
      <c r="R100" s="2" t="str">
        <f t="shared" si="16"/>
        <v>0</v>
      </c>
      <c r="S100" s="2" t="str">
        <f t="shared" si="17"/>
        <v>0</v>
      </c>
      <c r="T100" s="2" t="str">
        <f t="shared" si="18"/>
        <v>0</v>
      </c>
    </row>
    <row r="101" spans="5:20" x14ac:dyDescent="0.25">
      <c r="E101" s="2" t="str">
        <f t="shared" si="3"/>
        <v>0</v>
      </c>
      <c r="F101" s="2" t="str">
        <f t="shared" si="4"/>
        <v>0</v>
      </c>
      <c r="G101" s="2" t="str">
        <f t="shared" si="5"/>
        <v>0</v>
      </c>
      <c r="H101" s="2" t="str">
        <f t="shared" si="6"/>
        <v>0</v>
      </c>
      <c r="I101" s="2" t="str">
        <f t="shared" si="7"/>
        <v>0</v>
      </c>
      <c r="J101" s="2" t="str">
        <f t="shared" si="8"/>
        <v>0</v>
      </c>
      <c r="K101" s="2" t="str">
        <f t="shared" si="9"/>
        <v>0</v>
      </c>
      <c r="L101" s="2" t="str">
        <f t="shared" si="10"/>
        <v>0</v>
      </c>
      <c r="M101" s="2" t="str">
        <f t="shared" si="11"/>
        <v>0</v>
      </c>
      <c r="N101" s="2" t="str">
        <f t="shared" si="12"/>
        <v>0</v>
      </c>
      <c r="O101" s="2" t="str">
        <f t="shared" si="13"/>
        <v>0</v>
      </c>
      <c r="P101" s="2" t="str">
        <f t="shared" si="14"/>
        <v>0</v>
      </c>
      <c r="Q101" s="2" t="str">
        <f t="shared" si="15"/>
        <v>0</v>
      </c>
      <c r="R101" s="2" t="str">
        <f t="shared" si="16"/>
        <v>0</v>
      </c>
      <c r="S101" s="2" t="str">
        <f t="shared" si="17"/>
        <v>0</v>
      </c>
      <c r="T101" s="2" t="str">
        <f t="shared" si="18"/>
        <v>0</v>
      </c>
    </row>
    <row r="102" spans="5:20" x14ac:dyDescent="0.25">
      <c r="E102" s="2" t="str">
        <f t="shared" si="3"/>
        <v>0</v>
      </c>
      <c r="F102" s="2" t="str">
        <f t="shared" si="4"/>
        <v>0</v>
      </c>
      <c r="G102" s="2" t="str">
        <f t="shared" si="5"/>
        <v>0</v>
      </c>
      <c r="H102" s="2" t="str">
        <f t="shared" si="6"/>
        <v>0</v>
      </c>
      <c r="I102" s="2" t="str">
        <f t="shared" si="7"/>
        <v>0</v>
      </c>
      <c r="J102" s="2" t="str">
        <f t="shared" si="8"/>
        <v>0</v>
      </c>
      <c r="K102" s="2" t="str">
        <f t="shared" si="9"/>
        <v>0</v>
      </c>
      <c r="L102" s="2" t="str">
        <f t="shared" si="10"/>
        <v>0</v>
      </c>
      <c r="M102" s="2" t="str">
        <f t="shared" si="11"/>
        <v>0</v>
      </c>
      <c r="N102" s="2" t="str">
        <f t="shared" si="12"/>
        <v>0</v>
      </c>
      <c r="O102" s="2" t="str">
        <f t="shared" si="13"/>
        <v>0</v>
      </c>
      <c r="P102" s="2" t="str">
        <f t="shared" si="14"/>
        <v>0</v>
      </c>
      <c r="Q102" s="2" t="str">
        <f t="shared" si="15"/>
        <v>0</v>
      </c>
      <c r="R102" s="2" t="str">
        <f t="shared" si="16"/>
        <v>0</v>
      </c>
      <c r="S102" s="2" t="str">
        <f t="shared" si="17"/>
        <v>0</v>
      </c>
      <c r="T102" s="2" t="str">
        <f t="shared" si="18"/>
        <v>0</v>
      </c>
    </row>
    <row r="103" spans="5:20" x14ac:dyDescent="0.25">
      <c r="E103" s="2" t="str">
        <f t="shared" si="3"/>
        <v>0</v>
      </c>
      <c r="F103" s="2" t="str">
        <f t="shared" si="4"/>
        <v>0</v>
      </c>
      <c r="G103" s="2" t="str">
        <f t="shared" si="5"/>
        <v>0</v>
      </c>
      <c r="H103" s="2" t="str">
        <f t="shared" si="6"/>
        <v>0</v>
      </c>
      <c r="I103" s="2" t="str">
        <f t="shared" si="7"/>
        <v>0</v>
      </c>
      <c r="J103" s="2" t="str">
        <f t="shared" si="8"/>
        <v>0</v>
      </c>
      <c r="K103" s="2" t="str">
        <f t="shared" si="9"/>
        <v>0</v>
      </c>
      <c r="L103" s="2" t="str">
        <f t="shared" si="10"/>
        <v>0</v>
      </c>
      <c r="M103" s="2" t="str">
        <f t="shared" si="11"/>
        <v>0</v>
      </c>
      <c r="N103" s="2" t="str">
        <f t="shared" si="12"/>
        <v>0</v>
      </c>
      <c r="O103" s="2" t="str">
        <f t="shared" si="13"/>
        <v>0</v>
      </c>
      <c r="P103" s="2" t="str">
        <f t="shared" si="14"/>
        <v>0</v>
      </c>
      <c r="Q103" s="2" t="str">
        <f t="shared" si="15"/>
        <v>0</v>
      </c>
      <c r="R103" s="2" t="str">
        <f t="shared" si="16"/>
        <v>0</v>
      </c>
      <c r="S103" s="2" t="str">
        <f t="shared" si="17"/>
        <v>0</v>
      </c>
      <c r="T103" s="2" t="str">
        <f t="shared" si="18"/>
        <v>0</v>
      </c>
    </row>
    <row r="104" spans="5:20" x14ac:dyDescent="0.25">
      <c r="E104" s="2" t="str">
        <f t="shared" si="3"/>
        <v>0</v>
      </c>
      <c r="F104" s="2" t="str">
        <f t="shared" si="4"/>
        <v>0</v>
      </c>
      <c r="G104" s="2" t="str">
        <f t="shared" si="5"/>
        <v>0</v>
      </c>
      <c r="H104" s="2" t="str">
        <f t="shared" si="6"/>
        <v>0</v>
      </c>
      <c r="I104" s="2" t="str">
        <f t="shared" si="7"/>
        <v>0</v>
      </c>
      <c r="J104" s="2" t="str">
        <f t="shared" si="8"/>
        <v>0</v>
      </c>
      <c r="K104" s="2" t="str">
        <f t="shared" si="9"/>
        <v>0</v>
      </c>
      <c r="L104" s="2" t="str">
        <f t="shared" si="10"/>
        <v>0</v>
      </c>
      <c r="M104" s="2" t="str">
        <f t="shared" si="11"/>
        <v>0</v>
      </c>
      <c r="N104" s="2" t="str">
        <f t="shared" si="12"/>
        <v>0</v>
      </c>
      <c r="O104" s="2" t="str">
        <f t="shared" si="13"/>
        <v>0</v>
      </c>
      <c r="P104" s="2" t="str">
        <f t="shared" si="14"/>
        <v>0</v>
      </c>
      <c r="Q104" s="2" t="str">
        <f t="shared" si="15"/>
        <v>0</v>
      </c>
      <c r="R104" s="2" t="str">
        <f t="shared" si="16"/>
        <v>0</v>
      </c>
      <c r="S104" s="2" t="str">
        <f t="shared" si="17"/>
        <v>0</v>
      </c>
      <c r="T104" s="2" t="str">
        <f t="shared" si="18"/>
        <v>0</v>
      </c>
    </row>
    <row r="105" spans="5:20" x14ac:dyDescent="0.25">
      <c r="E105" s="2" t="str">
        <f t="shared" si="3"/>
        <v>0</v>
      </c>
      <c r="F105" s="2" t="str">
        <f t="shared" si="4"/>
        <v>0</v>
      </c>
      <c r="G105" s="2" t="str">
        <f t="shared" si="5"/>
        <v>0</v>
      </c>
      <c r="H105" s="2" t="str">
        <f t="shared" si="6"/>
        <v>0</v>
      </c>
      <c r="I105" s="2" t="str">
        <f t="shared" si="7"/>
        <v>0</v>
      </c>
      <c r="J105" s="2" t="str">
        <f t="shared" si="8"/>
        <v>0</v>
      </c>
      <c r="K105" s="2" t="str">
        <f t="shared" si="9"/>
        <v>0</v>
      </c>
      <c r="L105" s="2" t="str">
        <f t="shared" si="10"/>
        <v>0</v>
      </c>
      <c r="M105" s="2" t="str">
        <f t="shared" si="11"/>
        <v>0</v>
      </c>
      <c r="N105" s="2" t="str">
        <f t="shared" si="12"/>
        <v>0</v>
      </c>
      <c r="O105" s="2" t="str">
        <f t="shared" si="13"/>
        <v>0</v>
      </c>
      <c r="P105" s="2" t="str">
        <f t="shared" si="14"/>
        <v>0</v>
      </c>
      <c r="Q105" s="2" t="str">
        <f t="shared" si="15"/>
        <v>0</v>
      </c>
      <c r="R105" s="2" t="str">
        <f t="shared" si="16"/>
        <v>0</v>
      </c>
      <c r="S105" s="2" t="str">
        <f t="shared" si="17"/>
        <v>0</v>
      </c>
      <c r="T105" s="2" t="str">
        <f t="shared" si="18"/>
        <v>0</v>
      </c>
    </row>
    <row r="106" spans="5:20" x14ac:dyDescent="0.25">
      <c r="E106" s="2" t="str">
        <f t="shared" si="3"/>
        <v>0</v>
      </c>
      <c r="F106" s="2" t="str">
        <f t="shared" si="4"/>
        <v>0</v>
      </c>
      <c r="G106" s="2" t="str">
        <f t="shared" si="5"/>
        <v>0</v>
      </c>
      <c r="H106" s="2" t="str">
        <f t="shared" si="6"/>
        <v>0</v>
      </c>
      <c r="I106" s="2" t="str">
        <f t="shared" si="7"/>
        <v>0</v>
      </c>
      <c r="J106" s="2" t="str">
        <f t="shared" si="8"/>
        <v>0</v>
      </c>
      <c r="K106" s="2" t="str">
        <f t="shared" si="9"/>
        <v>0</v>
      </c>
      <c r="L106" s="2" t="str">
        <f t="shared" si="10"/>
        <v>0</v>
      </c>
      <c r="M106" s="2" t="str">
        <f t="shared" si="11"/>
        <v>0</v>
      </c>
      <c r="N106" s="2" t="str">
        <f t="shared" si="12"/>
        <v>0</v>
      </c>
      <c r="O106" s="2" t="str">
        <f t="shared" si="13"/>
        <v>0</v>
      </c>
      <c r="P106" s="2" t="str">
        <f t="shared" si="14"/>
        <v>0</v>
      </c>
      <c r="Q106" s="2" t="str">
        <f t="shared" si="15"/>
        <v>0</v>
      </c>
      <c r="R106" s="2" t="str">
        <f t="shared" si="16"/>
        <v>0</v>
      </c>
      <c r="S106" s="2" t="str">
        <f t="shared" si="17"/>
        <v>0</v>
      </c>
      <c r="T106" s="2" t="str">
        <f t="shared" si="18"/>
        <v>0</v>
      </c>
    </row>
    <row r="107" spans="5:20" x14ac:dyDescent="0.25">
      <c r="E107" s="2" t="str">
        <f t="shared" si="3"/>
        <v>0</v>
      </c>
      <c r="F107" s="2" t="str">
        <f t="shared" si="4"/>
        <v>0</v>
      </c>
      <c r="G107" s="2" t="str">
        <f t="shared" si="5"/>
        <v>0</v>
      </c>
      <c r="H107" s="2" t="str">
        <f t="shared" si="6"/>
        <v>0</v>
      </c>
      <c r="I107" s="2" t="str">
        <f t="shared" si="7"/>
        <v>0</v>
      </c>
      <c r="J107" s="2" t="str">
        <f t="shared" si="8"/>
        <v>0</v>
      </c>
      <c r="K107" s="2" t="str">
        <f t="shared" si="9"/>
        <v>0</v>
      </c>
      <c r="L107" s="2" t="str">
        <f t="shared" si="10"/>
        <v>0</v>
      </c>
      <c r="M107" s="2" t="str">
        <f t="shared" si="11"/>
        <v>0</v>
      </c>
      <c r="N107" s="2" t="str">
        <f t="shared" si="12"/>
        <v>0</v>
      </c>
      <c r="O107" s="2" t="str">
        <f t="shared" si="13"/>
        <v>0</v>
      </c>
      <c r="P107" s="2" t="str">
        <f t="shared" si="14"/>
        <v>0</v>
      </c>
      <c r="Q107" s="2" t="str">
        <f t="shared" si="15"/>
        <v>0</v>
      </c>
      <c r="R107" s="2" t="str">
        <f t="shared" si="16"/>
        <v>0</v>
      </c>
      <c r="S107" s="2" t="str">
        <f t="shared" si="17"/>
        <v>0</v>
      </c>
      <c r="T107" s="2" t="str">
        <f t="shared" si="18"/>
        <v>0</v>
      </c>
    </row>
    <row r="108" spans="5:20" x14ac:dyDescent="0.25">
      <c r="E108" s="2" t="str">
        <f t="shared" si="3"/>
        <v>0</v>
      </c>
      <c r="F108" s="2" t="str">
        <f t="shared" si="4"/>
        <v>0</v>
      </c>
      <c r="G108" s="2" t="str">
        <f t="shared" si="5"/>
        <v>0</v>
      </c>
      <c r="H108" s="2" t="str">
        <f t="shared" si="6"/>
        <v>0</v>
      </c>
      <c r="I108" s="2" t="str">
        <f t="shared" si="7"/>
        <v>0</v>
      </c>
      <c r="J108" s="2" t="str">
        <f t="shared" si="8"/>
        <v>0</v>
      </c>
      <c r="K108" s="2" t="str">
        <f t="shared" si="9"/>
        <v>0</v>
      </c>
      <c r="L108" s="2" t="str">
        <f t="shared" si="10"/>
        <v>0</v>
      </c>
      <c r="M108" s="2" t="str">
        <f t="shared" si="11"/>
        <v>0</v>
      </c>
      <c r="N108" s="2" t="str">
        <f t="shared" si="12"/>
        <v>0</v>
      </c>
      <c r="O108" s="2" t="str">
        <f t="shared" si="13"/>
        <v>0</v>
      </c>
      <c r="P108" s="2" t="str">
        <f t="shared" si="14"/>
        <v>0</v>
      </c>
      <c r="Q108" s="2" t="str">
        <f t="shared" si="15"/>
        <v>0</v>
      </c>
      <c r="R108" s="2" t="str">
        <f t="shared" si="16"/>
        <v>0</v>
      </c>
      <c r="S108" s="2" t="str">
        <f t="shared" si="17"/>
        <v>0</v>
      </c>
      <c r="T108" s="2" t="str">
        <f t="shared" si="18"/>
        <v>0</v>
      </c>
    </row>
    <row r="109" spans="5:20" x14ac:dyDescent="0.25">
      <c r="E109" s="2" t="str">
        <f t="shared" si="3"/>
        <v>0</v>
      </c>
      <c r="F109" s="2" t="str">
        <f t="shared" si="4"/>
        <v>0</v>
      </c>
      <c r="G109" s="2" t="str">
        <f t="shared" si="5"/>
        <v>0</v>
      </c>
      <c r="H109" s="2" t="str">
        <f t="shared" si="6"/>
        <v>0</v>
      </c>
      <c r="I109" s="2" t="str">
        <f t="shared" si="7"/>
        <v>0</v>
      </c>
      <c r="J109" s="2" t="str">
        <f t="shared" si="8"/>
        <v>0</v>
      </c>
      <c r="K109" s="2" t="str">
        <f t="shared" si="9"/>
        <v>0</v>
      </c>
      <c r="L109" s="2" t="str">
        <f t="shared" si="10"/>
        <v>0</v>
      </c>
      <c r="M109" s="2" t="str">
        <f t="shared" si="11"/>
        <v>0</v>
      </c>
      <c r="N109" s="2" t="str">
        <f t="shared" si="12"/>
        <v>0</v>
      </c>
      <c r="O109" s="2" t="str">
        <f t="shared" si="13"/>
        <v>0</v>
      </c>
      <c r="P109" s="2" t="str">
        <f t="shared" si="14"/>
        <v>0</v>
      </c>
      <c r="Q109" s="2" t="str">
        <f t="shared" si="15"/>
        <v>0</v>
      </c>
      <c r="R109" s="2" t="str">
        <f t="shared" si="16"/>
        <v>0</v>
      </c>
      <c r="S109" s="2" t="str">
        <f t="shared" si="17"/>
        <v>0</v>
      </c>
      <c r="T109" s="2" t="str">
        <f t="shared" si="18"/>
        <v>0</v>
      </c>
    </row>
    <row r="110" spans="5:20" x14ac:dyDescent="0.25">
      <c r="E110" s="2" t="str">
        <f t="shared" si="3"/>
        <v>0</v>
      </c>
      <c r="F110" s="2" t="str">
        <f t="shared" si="4"/>
        <v>0</v>
      </c>
      <c r="G110" s="2" t="str">
        <f t="shared" si="5"/>
        <v>0</v>
      </c>
      <c r="H110" s="2" t="str">
        <f t="shared" si="6"/>
        <v>0</v>
      </c>
      <c r="I110" s="2" t="str">
        <f t="shared" si="7"/>
        <v>0</v>
      </c>
      <c r="J110" s="2" t="str">
        <f t="shared" si="8"/>
        <v>0</v>
      </c>
      <c r="K110" s="2" t="str">
        <f t="shared" si="9"/>
        <v>0</v>
      </c>
      <c r="L110" s="2" t="str">
        <f t="shared" si="10"/>
        <v>0</v>
      </c>
      <c r="M110" s="2" t="str">
        <f t="shared" si="11"/>
        <v>0</v>
      </c>
      <c r="N110" s="2" t="str">
        <f t="shared" si="12"/>
        <v>0</v>
      </c>
      <c r="O110" s="2" t="str">
        <f t="shared" si="13"/>
        <v>0</v>
      </c>
      <c r="P110" s="2" t="str">
        <f t="shared" si="14"/>
        <v>0</v>
      </c>
      <c r="Q110" s="2" t="str">
        <f t="shared" si="15"/>
        <v>0</v>
      </c>
      <c r="R110" s="2" t="str">
        <f t="shared" si="16"/>
        <v>0</v>
      </c>
      <c r="S110" s="2" t="str">
        <f t="shared" si="17"/>
        <v>0</v>
      </c>
      <c r="T110" s="2" t="str">
        <f t="shared" si="18"/>
        <v>0</v>
      </c>
    </row>
    <row r="111" spans="5:20" x14ac:dyDescent="0.25">
      <c r="E111" s="2" t="str">
        <f t="shared" si="3"/>
        <v>0</v>
      </c>
      <c r="F111" s="2" t="str">
        <f t="shared" si="4"/>
        <v>0</v>
      </c>
      <c r="G111" s="2" t="str">
        <f t="shared" si="5"/>
        <v>0</v>
      </c>
      <c r="H111" s="2" t="str">
        <f t="shared" si="6"/>
        <v>0</v>
      </c>
      <c r="I111" s="2" t="str">
        <f t="shared" si="7"/>
        <v>0</v>
      </c>
      <c r="J111" s="2" t="str">
        <f t="shared" si="8"/>
        <v>0</v>
      </c>
      <c r="K111" s="2" t="str">
        <f t="shared" si="9"/>
        <v>0</v>
      </c>
      <c r="L111" s="2" t="str">
        <f t="shared" si="10"/>
        <v>0</v>
      </c>
      <c r="M111" s="2" t="str">
        <f t="shared" si="11"/>
        <v>0</v>
      </c>
      <c r="N111" s="2" t="str">
        <f t="shared" si="12"/>
        <v>0</v>
      </c>
      <c r="O111" s="2" t="str">
        <f t="shared" si="13"/>
        <v>0</v>
      </c>
      <c r="P111" s="2" t="str">
        <f t="shared" si="14"/>
        <v>0</v>
      </c>
      <c r="Q111" s="2" t="str">
        <f t="shared" si="15"/>
        <v>0</v>
      </c>
      <c r="R111" s="2" t="str">
        <f t="shared" si="16"/>
        <v>0</v>
      </c>
      <c r="S111" s="2" t="str">
        <f t="shared" si="17"/>
        <v>0</v>
      </c>
      <c r="T111" s="2" t="str">
        <f t="shared" si="18"/>
        <v>0</v>
      </c>
    </row>
    <row r="112" spans="5:20" x14ac:dyDescent="0.25">
      <c r="E112" s="2" t="str">
        <f t="shared" si="3"/>
        <v>0</v>
      </c>
      <c r="F112" s="2" t="str">
        <f t="shared" si="4"/>
        <v>0</v>
      </c>
      <c r="G112" s="2" t="str">
        <f t="shared" si="5"/>
        <v>0</v>
      </c>
      <c r="H112" s="2" t="str">
        <f t="shared" si="6"/>
        <v>0</v>
      </c>
      <c r="I112" s="2" t="str">
        <f t="shared" si="7"/>
        <v>0</v>
      </c>
      <c r="J112" s="2" t="str">
        <f t="shared" si="8"/>
        <v>0</v>
      </c>
      <c r="K112" s="2" t="str">
        <f t="shared" si="9"/>
        <v>0</v>
      </c>
      <c r="L112" s="2" t="str">
        <f t="shared" si="10"/>
        <v>0</v>
      </c>
      <c r="M112" s="2" t="str">
        <f t="shared" si="11"/>
        <v>0</v>
      </c>
      <c r="N112" s="2" t="str">
        <f t="shared" si="12"/>
        <v>0</v>
      </c>
      <c r="O112" s="2" t="str">
        <f t="shared" si="13"/>
        <v>0</v>
      </c>
      <c r="P112" s="2" t="str">
        <f t="shared" si="14"/>
        <v>0</v>
      </c>
      <c r="Q112" s="2" t="str">
        <f t="shared" si="15"/>
        <v>0</v>
      </c>
      <c r="R112" s="2" t="str">
        <f t="shared" si="16"/>
        <v>0</v>
      </c>
      <c r="S112" s="2" t="str">
        <f t="shared" si="17"/>
        <v>0</v>
      </c>
      <c r="T112" s="2" t="str">
        <f t="shared" si="18"/>
        <v>0</v>
      </c>
    </row>
    <row r="113" spans="5:20" x14ac:dyDescent="0.25">
      <c r="E113" s="2" t="str">
        <f t="shared" si="3"/>
        <v>0</v>
      </c>
      <c r="F113" s="2" t="str">
        <f t="shared" si="4"/>
        <v>0</v>
      </c>
      <c r="G113" s="2" t="str">
        <f t="shared" si="5"/>
        <v>0</v>
      </c>
      <c r="H113" s="2" t="str">
        <f t="shared" si="6"/>
        <v>0</v>
      </c>
      <c r="I113" s="2" t="str">
        <f t="shared" si="7"/>
        <v>0</v>
      </c>
      <c r="J113" s="2" t="str">
        <f t="shared" si="8"/>
        <v>0</v>
      </c>
      <c r="K113" s="2" t="str">
        <f t="shared" si="9"/>
        <v>0</v>
      </c>
      <c r="L113" s="2" t="str">
        <f t="shared" si="10"/>
        <v>0</v>
      </c>
      <c r="M113" s="2" t="str">
        <f t="shared" si="11"/>
        <v>0</v>
      </c>
      <c r="N113" s="2" t="str">
        <f t="shared" si="12"/>
        <v>0</v>
      </c>
      <c r="O113" s="2" t="str">
        <f t="shared" si="13"/>
        <v>0</v>
      </c>
      <c r="P113" s="2" t="str">
        <f t="shared" si="14"/>
        <v>0</v>
      </c>
      <c r="Q113" s="2" t="str">
        <f t="shared" si="15"/>
        <v>0</v>
      </c>
      <c r="R113" s="2" t="str">
        <f t="shared" si="16"/>
        <v>0</v>
      </c>
      <c r="S113" s="2" t="str">
        <f t="shared" si="17"/>
        <v>0</v>
      </c>
      <c r="T113" s="2" t="str">
        <f t="shared" si="18"/>
        <v>0</v>
      </c>
    </row>
    <row r="114" spans="5:20" x14ac:dyDescent="0.25">
      <c r="E114" s="2" t="str">
        <f t="shared" si="3"/>
        <v>0</v>
      </c>
      <c r="F114" s="2" t="str">
        <f t="shared" si="4"/>
        <v>0</v>
      </c>
      <c r="G114" s="2" t="str">
        <f t="shared" si="5"/>
        <v>0</v>
      </c>
      <c r="H114" s="2" t="str">
        <f t="shared" si="6"/>
        <v>0</v>
      </c>
      <c r="I114" s="2" t="str">
        <f t="shared" si="7"/>
        <v>0</v>
      </c>
      <c r="J114" s="2" t="str">
        <f t="shared" si="8"/>
        <v>0</v>
      </c>
      <c r="K114" s="2" t="str">
        <f t="shared" si="9"/>
        <v>0</v>
      </c>
      <c r="L114" s="2" t="str">
        <f t="shared" si="10"/>
        <v>0</v>
      </c>
      <c r="M114" s="2" t="str">
        <f t="shared" si="11"/>
        <v>0</v>
      </c>
      <c r="N114" s="2" t="str">
        <f t="shared" si="12"/>
        <v>0</v>
      </c>
      <c r="O114" s="2" t="str">
        <f t="shared" si="13"/>
        <v>0</v>
      </c>
      <c r="P114" s="2" t="str">
        <f t="shared" si="14"/>
        <v>0</v>
      </c>
      <c r="Q114" s="2" t="str">
        <f t="shared" si="15"/>
        <v>0</v>
      </c>
      <c r="R114" s="2" t="str">
        <f t="shared" si="16"/>
        <v>0</v>
      </c>
      <c r="S114" s="2" t="str">
        <f t="shared" si="17"/>
        <v>0</v>
      </c>
      <c r="T114" s="2" t="str">
        <f t="shared" si="18"/>
        <v>0</v>
      </c>
    </row>
    <row r="115" spans="5:20" x14ac:dyDescent="0.25">
      <c r="E115" s="2" t="str">
        <f t="shared" si="3"/>
        <v>0</v>
      </c>
      <c r="F115" s="2" t="str">
        <f t="shared" si="4"/>
        <v>0</v>
      </c>
      <c r="G115" s="2" t="str">
        <f t="shared" si="5"/>
        <v>0</v>
      </c>
      <c r="H115" s="2" t="str">
        <f t="shared" si="6"/>
        <v>0</v>
      </c>
      <c r="I115" s="2" t="str">
        <f t="shared" si="7"/>
        <v>0</v>
      </c>
      <c r="J115" s="2" t="str">
        <f t="shared" si="8"/>
        <v>0</v>
      </c>
      <c r="K115" s="2" t="str">
        <f t="shared" si="9"/>
        <v>0</v>
      </c>
      <c r="L115" s="2" t="str">
        <f t="shared" si="10"/>
        <v>0</v>
      </c>
      <c r="M115" s="2" t="str">
        <f t="shared" si="11"/>
        <v>0</v>
      </c>
      <c r="N115" s="2" t="str">
        <f t="shared" si="12"/>
        <v>0</v>
      </c>
      <c r="O115" s="2" t="str">
        <f t="shared" si="13"/>
        <v>0</v>
      </c>
      <c r="P115" s="2" t="str">
        <f t="shared" si="14"/>
        <v>0</v>
      </c>
      <c r="Q115" s="2" t="str">
        <f t="shared" si="15"/>
        <v>0</v>
      </c>
      <c r="R115" s="2" t="str">
        <f t="shared" si="16"/>
        <v>0</v>
      </c>
      <c r="S115" s="2" t="str">
        <f t="shared" si="17"/>
        <v>0</v>
      </c>
      <c r="T115" s="2" t="str">
        <f t="shared" si="18"/>
        <v>0</v>
      </c>
    </row>
    <row r="116" spans="5:20" x14ac:dyDescent="0.25">
      <c r="E116" s="2" t="str">
        <f t="shared" si="3"/>
        <v>0</v>
      </c>
      <c r="F116" s="2" t="str">
        <f t="shared" si="4"/>
        <v>0</v>
      </c>
      <c r="G116" s="2" t="str">
        <f t="shared" si="5"/>
        <v>0</v>
      </c>
      <c r="H116" s="2" t="str">
        <f t="shared" si="6"/>
        <v>0</v>
      </c>
      <c r="I116" s="2" t="str">
        <f t="shared" si="7"/>
        <v>0</v>
      </c>
      <c r="J116" s="2" t="str">
        <f t="shared" si="8"/>
        <v>0</v>
      </c>
      <c r="K116" s="2" t="str">
        <f t="shared" si="9"/>
        <v>0</v>
      </c>
      <c r="L116" s="2" t="str">
        <f t="shared" si="10"/>
        <v>0</v>
      </c>
      <c r="M116" s="2" t="str">
        <f t="shared" si="11"/>
        <v>0</v>
      </c>
      <c r="N116" s="2" t="str">
        <f t="shared" si="12"/>
        <v>0</v>
      </c>
      <c r="O116" s="2" t="str">
        <f t="shared" si="13"/>
        <v>0</v>
      </c>
      <c r="P116" s="2" t="str">
        <f t="shared" si="14"/>
        <v>0</v>
      </c>
      <c r="Q116" s="2" t="str">
        <f t="shared" si="15"/>
        <v>0</v>
      </c>
      <c r="R116" s="2" t="str">
        <f t="shared" si="16"/>
        <v>0</v>
      </c>
      <c r="S116" s="2" t="str">
        <f t="shared" si="17"/>
        <v>0</v>
      </c>
      <c r="T116" s="2" t="str">
        <f t="shared" si="18"/>
        <v>0</v>
      </c>
    </row>
    <row r="117" spans="5:20" x14ac:dyDescent="0.25">
      <c r="E117" s="2" t="str">
        <f t="shared" si="3"/>
        <v>0</v>
      </c>
      <c r="F117" s="2" t="str">
        <f t="shared" si="4"/>
        <v>0</v>
      </c>
      <c r="G117" s="2" t="str">
        <f t="shared" si="5"/>
        <v>0</v>
      </c>
      <c r="H117" s="2" t="str">
        <f t="shared" si="6"/>
        <v>0</v>
      </c>
      <c r="I117" s="2" t="str">
        <f t="shared" si="7"/>
        <v>0</v>
      </c>
      <c r="J117" s="2" t="str">
        <f t="shared" si="8"/>
        <v>0</v>
      </c>
      <c r="K117" s="2" t="str">
        <f t="shared" si="9"/>
        <v>0</v>
      </c>
      <c r="L117" s="2" t="str">
        <f t="shared" si="10"/>
        <v>0</v>
      </c>
      <c r="M117" s="2" t="str">
        <f t="shared" si="11"/>
        <v>0</v>
      </c>
      <c r="N117" s="2" t="str">
        <f t="shared" si="12"/>
        <v>0</v>
      </c>
      <c r="O117" s="2" t="str">
        <f t="shared" si="13"/>
        <v>0</v>
      </c>
      <c r="P117" s="2" t="str">
        <f t="shared" si="14"/>
        <v>0</v>
      </c>
      <c r="Q117" s="2" t="str">
        <f t="shared" si="15"/>
        <v>0</v>
      </c>
      <c r="R117" s="2" t="str">
        <f t="shared" si="16"/>
        <v>0</v>
      </c>
      <c r="S117" s="2" t="str">
        <f t="shared" si="17"/>
        <v>0</v>
      </c>
      <c r="T117" s="2" t="str">
        <f t="shared" si="18"/>
        <v>0</v>
      </c>
    </row>
    <row r="118" spans="5:20" x14ac:dyDescent="0.25">
      <c r="E118" s="2" t="str">
        <f t="shared" si="3"/>
        <v>0</v>
      </c>
      <c r="F118" s="2" t="str">
        <f t="shared" si="4"/>
        <v>0</v>
      </c>
      <c r="G118" s="2" t="str">
        <f t="shared" si="5"/>
        <v>0</v>
      </c>
      <c r="H118" s="2" t="str">
        <f t="shared" si="6"/>
        <v>0</v>
      </c>
      <c r="I118" s="2" t="str">
        <f t="shared" si="7"/>
        <v>0</v>
      </c>
      <c r="J118" s="2" t="str">
        <f t="shared" si="8"/>
        <v>0</v>
      </c>
      <c r="K118" s="2" t="str">
        <f t="shared" si="9"/>
        <v>0</v>
      </c>
      <c r="L118" s="2" t="str">
        <f t="shared" si="10"/>
        <v>0</v>
      </c>
      <c r="M118" s="2" t="str">
        <f t="shared" si="11"/>
        <v>0</v>
      </c>
      <c r="N118" s="2" t="str">
        <f t="shared" si="12"/>
        <v>0</v>
      </c>
      <c r="O118" s="2" t="str">
        <f t="shared" si="13"/>
        <v>0</v>
      </c>
      <c r="P118" s="2" t="str">
        <f t="shared" si="14"/>
        <v>0</v>
      </c>
      <c r="Q118" s="2" t="str">
        <f t="shared" si="15"/>
        <v>0</v>
      </c>
      <c r="R118" s="2" t="str">
        <f t="shared" si="16"/>
        <v>0</v>
      </c>
      <c r="S118" s="2" t="str">
        <f t="shared" si="17"/>
        <v>0</v>
      </c>
      <c r="T118" s="2" t="str">
        <f t="shared" si="18"/>
        <v>0</v>
      </c>
    </row>
    <row r="119" spans="5:20" x14ac:dyDescent="0.25">
      <c r="E119" s="2" t="str">
        <f t="shared" si="3"/>
        <v>0</v>
      </c>
      <c r="F119" s="2" t="str">
        <f t="shared" si="4"/>
        <v>0</v>
      </c>
      <c r="G119" s="2" t="str">
        <f t="shared" si="5"/>
        <v>0</v>
      </c>
      <c r="H119" s="2" t="str">
        <f t="shared" si="6"/>
        <v>0</v>
      </c>
      <c r="I119" s="2" t="str">
        <f t="shared" si="7"/>
        <v>0</v>
      </c>
      <c r="J119" s="2" t="str">
        <f t="shared" si="8"/>
        <v>0</v>
      </c>
      <c r="K119" s="2" t="str">
        <f t="shared" si="9"/>
        <v>0</v>
      </c>
      <c r="L119" s="2" t="str">
        <f t="shared" si="10"/>
        <v>0</v>
      </c>
      <c r="M119" s="2" t="str">
        <f t="shared" si="11"/>
        <v>0</v>
      </c>
      <c r="N119" s="2" t="str">
        <f t="shared" si="12"/>
        <v>0</v>
      </c>
      <c r="O119" s="2" t="str">
        <f t="shared" si="13"/>
        <v>0</v>
      </c>
      <c r="P119" s="2" t="str">
        <f t="shared" si="14"/>
        <v>0</v>
      </c>
      <c r="Q119" s="2" t="str">
        <f t="shared" si="15"/>
        <v>0</v>
      </c>
      <c r="R119" s="2" t="str">
        <f t="shared" si="16"/>
        <v>0</v>
      </c>
      <c r="S119" s="2" t="str">
        <f t="shared" si="17"/>
        <v>0</v>
      </c>
      <c r="T119" s="2" t="str">
        <f t="shared" si="18"/>
        <v>0</v>
      </c>
    </row>
    <row r="120" spans="5:20" x14ac:dyDescent="0.25">
      <c r="E120" s="2" t="str">
        <f t="shared" si="3"/>
        <v>0</v>
      </c>
      <c r="F120" s="2" t="str">
        <f t="shared" si="4"/>
        <v>0</v>
      </c>
      <c r="G120" s="2" t="str">
        <f t="shared" si="5"/>
        <v>0</v>
      </c>
      <c r="H120" s="2" t="str">
        <f t="shared" si="6"/>
        <v>0</v>
      </c>
      <c r="I120" s="2" t="str">
        <f t="shared" si="7"/>
        <v>0</v>
      </c>
      <c r="J120" s="2" t="str">
        <f t="shared" si="8"/>
        <v>0</v>
      </c>
      <c r="K120" s="2" t="str">
        <f t="shared" si="9"/>
        <v>0</v>
      </c>
      <c r="L120" s="2" t="str">
        <f t="shared" si="10"/>
        <v>0</v>
      </c>
      <c r="M120" s="2" t="str">
        <f t="shared" si="11"/>
        <v>0</v>
      </c>
      <c r="N120" s="2" t="str">
        <f t="shared" si="12"/>
        <v>0</v>
      </c>
      <c r="O120" s="2" t="str">
        <f t="shared" si="13"/>
        <v>0</v>
      </c>
      <c r="P120" s="2" t="str">
        <f t="shared" si="14"/>
        <v>0</v>
      </c>
      <c r="Q120" s="2" t="str">
        <f t="shared" si="15"/>
        <v>0</v>
      </c>
      <c r="R120" s="2" t="str">
        <f t="shared" si="16"/>
        <v>0</v>
      </c>
      <c r="S120" s="2" t="str">
        <f t="shared" si="17"/>
        <v>0</v>
      </c>
      <c r="T120" s="2" t="str">
        <f t="shared" si="18"/>
        <v>0</v>
      </c>
    </row>
    <row r="121" spans="5:20" x14ac:dyDescent="0.25">
      <c r="E121" s="2" t="str">
        <f t="shared" si="3"/>
        <v>0</v>
      </c>
      <c r="F121" s="2" t="str">
        <f t="shared" si="4"/>
        <v>0</v>
      </c>
      <c r="G121" s="2" t="str">
        <f t="shared" si="5"/>
        <v>0</v>
      </c>
      <c r="H121" s="2" t="str">
        <f t="shared" si="6"/>
        <v>0</v>
      </c>
      <c r="I121" s="2" t="str">
        <f t="shared" si="7"/>
        <v>0</v>
      </c>
      <c r="J121" s="2" t="str">
        <f t="shared" si="8"/>
        <v>0</v>
      </c>
      <c r="K121" s="2" t="str">
        <f t="shared" si="9"/>
        <v>0</v>
      </c>
      <c r="L121" s="2" t="str">
        <f t="shared" si="10"/>
        <v>0</v>
      </c>
      <c r="M121" s="2" t="str">
        <f t="shared" si="11"/>
        <v>0</v>
      </c>
      <c r="N121" s="2" t="str">
        <f t="shared" si="12"/>
        <v>0</v>
      </c>
      <c r="O121" s="2" t="str">
        <f t="shared" si="13"/>
        <v>0</v>
      </c>
      <c r="P121" s="2" t="str">
        <f t="shared" si="14"/>
        <v>0</v>
      </c>
      <c r="Q121" s="2" t="str">
        <f t="shared" si="15"/>
        <v>0</v>
      </c>
      <c r="R121" s="2" t="str">
        <f t="shared" si="16"/>
        <v>0</v>
      </c>
      <c r="S121" s="2" t="str">
        <f t="shared" si="17"/>
        <v>0</v>
      </c>
      <c r="T121" s="2" t="str">
        <f t="shared" si="18"/>
        <v>0</v>
      </c>
    </row>
    <row r="122" spans="5:20" x14ac:dyDescent="0.25">
      <c r="E122" s="2" t="str">
        <f t="shared" si="3"/>
        <v>0</v>
      </c>
      <c r="F122" s="2" t="str">
        <f t="shared" si="4"/>
        <v>0</v>
      </c>
      <c r="G122" s="2" t="str">
        <f t="shared" si="5"/>
        <v>0</v>
      </c>
      <c r="H122" s="2" t="str">
        <f t="shared" si="6"/>
        <v>0</v>
      </c>
      <c r="I122" s="2" t="str">
        <f t="shared" si="7"/>
        <v>0</v>
      </c>
      <c r="J122" s="2" t="str">
        <f t="shared" si="8"/>
        <v>0</v>
      </c>
      <c r="K122" s="2" t="str">
        <f t="shared" si="9"/>
        <v>0</v>
      </c>
      <c r="L122" s="2" t="str">
        <f t="shared" si="10"/>
        <v>0</v>
      </c>
      <c r="M122" s="2" t="str">
        <f t="shared" si="11"/>
        <v>0</v>
      </c>
      <c r="N122" s="2" t="str">
        <f t="shared" si="12"/>
        <v>0</v>
      </c>
      <c r="O122" s="2" t="str">
        <f t="shared" si="13"/>
        <v>0</v>
      </c>
      <c r="P122" s="2" t="str">
        <f t="shared" si="14"/>
        <v>0</v>
      </c>
      <c r="Q122" s="2" t="str">
        <f t="shared" si="15"/>
        <v>0</v>
      </c>
      <c r="R122" s="2" t="str">
        <f t="shared" si="16"/>
        <v>0</v>
      </c>
      <c r="S122" s="2" t="str">
        <f t="shared" si="17"/>
        <v>0</v>
      </c>
      <c r="T122" s="2" t="str">
        <f t="shared" si="18"/>
        <v>0</v>
      </c>
    </row>
    <row r="123" spans="5:20" x14ac:dyDescent="0.25">
      <c r="E123" s="2" t="str">
        <f t="shared" si="3"/>
        <v>0</v>
      </c>
      <c r="F123" s="2" t="str">
        <f t="shared" si="4"/>
        <v>0</v>
      </c>
      <c r="G123" s="2" t="str">
        <f t="shared" si="5"/>
        <v>0</v>
      </c>
      <c r="H123" s="2" t="str">
        <f t="shared" si="6"/>
        <v>0</v>
      </c>
      <c r="I123" s="2" t="str">
        <f t="shared" si="7"/>
        <v>0</v>
      </c>
      <c r="J123" s="2" t="str">
        <f t="shared" si="8"/>
        <v>0</v>
      </c>
      <c r="K123" s="2" t="str">
        <f t="shared" si="9"/>
        <v>0</v>
      </c>
      <c r="L123" s="2" t="str">
        <f t="shared" si="10"/>
        <v>0</v>
      </c>
      <c r="M123" s="2" t="str">
        <f t="shared" si="11"/>
        <v>0</v>
      </c>
      <c r="N123" s="2" t="str">
        <f t="shared" si="12"/>
        <v>0</v>
      </c>
      <c r="O123" s="2" t="str">
        <f t="shared" si="13"/>
        <v>0</v>
      </c>
      <c r="P123" s="2" t="str">
        <f t="shared" si="14"/>
        <v>0</v>
      </c>
      <c r="Q123" s="2" t="str">
        <f t="shared" si="15"/>
        <v>0</v>
      </c>
      <c r="R123" s="2" t="str">
        <f t="shared" si="16"/>
        <v>0</v>
      </c>
      <c r="S123" s="2" t="str">
        <f t="shared" si="17"/>
        <v>0</v>
      </c>
      <c r="T123" s="2" t="str">
        <f t="shared" si="18"/>
        <v>0</v>
      </c>
    </row>
    <row r="124" spans="5:20" x14ac:dyDescent="0.25">
      <c r="E124" s="2" t="str">
        <f t="shared" si="3"/>
        <v>0</v>
      </c>
      <c r="F124" s="2" t="str">
        <f t="shared" si="4"/>
        <v>0</v>
      </c>
      <c r="G124" s="2" t="str">
        <f t="shared" si="5"/>
        <v>0</v>
      </c>
      <c r="H124" s="2" t="str">
        <f t="shared" si="6"/>
        <v>0</v>
      </c>
      <c r="I124" s="2" t="str">
        <f t="shared" si="7"/>
        <v>0</v>
      </c>
      <c r="J124" s="2" t="str">
        <f t="shared" si="8"/>
        <v>0</v>
      </c>
      <c r="K124" s="2" t="str">
        <f t="shared" si="9"/>
        <v>0</v>
      </c>
      <c r="L124" s="2" t="str">
        <f t="shared" si="10"/>
        <v>0</v>
      </c>
      <c r="M124" s="2" t="str">
        <f t="shared" si="11"/>
        <v>0</v>
      </c>
      <c r="N124" s="2" t="str">
        <f t="shared" si="12"/>
        <v>0</v>
      </c>
      <c r="O124" s="2" t="str">
        <f t="shared" si="13"/>
        <v>0</v>
      </c>
      <c r="P124" s="2" t="str">
        <f t="shared" si="14"/>
        <v>0</v>
      </c>
      <c r="Q124" s="2" t="str">
        <f t="shared" si="15"/>
        <v>0</v>
      </c>
      <c r="R124" s="2" t="str">
        <f t="shared" si="16"/>
        <v>0</v>
      </c>
      <c r="S124" s="2" t="str">
        <f t="shared" si="17"/>
        <v>0</v>
      </c>
      <c r="T124" s="2" t="str">
        <f t="shared" si="18"/>
        <v>0</v>
      </c>
    </row>
    <row r="125" spans="5:20" x14ac:dyDescent="0.25">
      <c r="E125" s="2" t="str">
        <f t="shared" si="3"/>
        <v>0</v>
      </c>
      <c r="F125" s="2" t="str">
        <f t="shared" si="4"/>
        <v>0</v>
      </c>
      <c r="G125" s="2" t="str">
        <f t="shared" si="5"/>
        <v>0</v>
      </c>
      <c r="H125" s="2" t="str">
        <f t="shared" si="6"/>
        <v>0</v>
      </c>
      <c r="I125" s="2" t="str">
        <f t="shared" si="7"/>
        <v>0</v>
      </c>
      <c r="J125" s="2" t="str">
        <f t="shared" si="8"/>
        <v>0</v>
      </c>
      <c r="K125" s="2" t="str">
        <f t="shared" si="9"/>
        <v>0</v>
      </c>
      <c r="L125" s="2" t="str">
        <f t="shared" si="10"/>
        <v>0</v>
      </c>
      <c r="M125" s="2" t="str">
        <f t="shared" si="11"/>
        <v>0</v>
      </c>
      <c r="N125" s="2" t="str">
        <f t="shared" si="12"/>
        <v>0</v>
      </c>
      <c r="O125" s="2" t="str">
        <f t="shared" si="13"/>
        <v>0</v>
      </c>
      <c r="P125" s="2" t="str">
        <f t="shared" si="14"/>
        <v>0</v>
      </c>
      <c r="Q125" s="2" t="str">
        <f t="shared" si="15"/>
        <v>0</v>
      </c>
      <c r="R125" s="2" t="str">
        <f t="shared" si="16"/>
        <v>0</v>
      </c>
      <c r="S125" s="2" t="str">
        <f t="shared" si="17"/>
        <v>0</v>
      </c>
      <c r="T125" s="2" t="str">
        <f t="shared" si="18"/>
        <v>0</v>
      </c>
    </row>
    <row r="126" spans="5:20" x14ac:dyDescent="0.25">
      <c r="E126" s="2" t="str">
        <f t="shared" si="3"/>
        <v>0</v>
      </c>
      <c r="F126" s="2" t="str">
        <f t="shared" si="4"/>
        <v>0</v>
      </c>
      <c r="G126" s="2" t="str">
        <f t="shared" si="5"/>
        <v>0</v>
      </c>
      <c r="H126" s="2" t="str">
        <f t="shared" si="6"/>
        <v>0</v>
      </c>
      <c r="I126" s="2" t="str">
        <f t="shared" si="7"/>
        <v>0</v>
      </c>
      <c r="J126" s="2" t="str">
        <f t="shared" si="8"/>
        <v>0</v>
      </c>
      <c r="K126" s="2" t="str">
        <f t="shared" si="9"/>
        <v>0</v>
      </c>
      <c r="L126" s="2" t="str">
        <f t="shared" si="10"/>
        <v>0</v>
      </c>
      <c r="M126" s="2" t="str">
        <f t="shared" si="11"/>
        <v>0</v>
      </c>
      <c r="N126" s="2" t="str">
        <f t="shared" si="12"/>
        <v>0</v>
      </c>
      <c r="O126" s="2" t="str">
        <f t="shared" si="13"/>
        <v>0</v>
      </c>
      <c r="P126" s="2" t="str">
        <f t="shared" si="14"/>
        <v>0</v>
      </c>
      <c r="Q126" s="2" t="str">
        <f t="shared" si="15"/>
        <v>0</v>
      </c>
      <c r="R126" s="2" t="str">
        <f t="shared" si="16"/>
        <v>0</v>
      </c>
      <c r="S126" s="2" t="str">
        <f t="shared" si="17"/>
        <v>0</v>
      </c>
      <c r="T126" s="2" t="str">
        <f t="shared" si="18"/>
        <v>0</v>
      </c>
    </row>
    <row r="127" spans="5:20" x14ac:dyDescent="0.25">
      <c r="E127" s="2" t="str">
        <f t="shared" si="3"/>
        <v>0</v>
      </c>
      <c r="F127" s="2" t="str">
        <f t="shared" si="4"/>
        <v>0</v>
      </c>
      <c r="G127" s="2" t="str">
        <f t="shared" si="5"/>
        <v>0</v>
      </c>
      <c r="H127" s="2" t="str">
        <f t="shared" si="6"/>
        <v>0</v>
      </c>
      <c r="I127" s="2" t="str">
        <f t="shared" si="7"/>
        <v>0</v>
      </c>
      <c r="J127" s="2" t="str">
        <f t="shared" si="8"/>
        <v>0</v>
      </c>
      <c r="K127" s="2" t="str">
        <f t="shared" si="9"/>
        <v>0</v>
      </c>
      <c r="L127" s="2" t="str">
        <f t="shared" si="10"/>
        <v>0</v>
      </c>
      <c r="M127" s="2" t="str">
        <f t="shared" si="11"/>
        <v>0</v>
      </c>
      <c r="N127" s="2" t="str">
        <f t="shared" si="12"/>
        <v>0</v>
      </c>
      <c r="O127" s="2" t="str">
        <f t="shared" si="13"/>
        <v>0</v>
      </c>
      <c r="P127" s="2" t="str">
        <f t="shared" si="14"/>
        <v>0</v>
      </c>
      <c r="Q127" s="2" t="str">
        <f t="shared" si="15"/>
        <v>0</v>
      </c>
      <c r="R127" s="2" t="str">
        <f t="shared" si="16"/>
        <v>0</v>
      </c>
      <c r="S127" s="2" t="str">
        <f t="shared" si="17"/>
        <v>0</v>
      </c>
      <c r="T127" s="2" t="str">
        <f t="shared" si="18"/>
        <v>0</v>
      </c>
    </row>
    <row r="128" spans="5:20" x14ac:dyDescent="0.25">
      <c r="E128" s="2" t="str">
        <f t="shared" si="3"/>
        <v>0</v>
      </c>
      <c r="F128" s="2" t="str">
        <f t="shared" si="4"/>
        <v>0</v>
      </c>
      <c r="G128" s="2" t="str">
        <f t="shared" si="5"/>
        <v>0</v>
      </c>
      <c r="H128" s="2" t="str">
        <f t="shared" si="6"/>
        <v>0</v>
      </c>
      <c r="I128" s="2" t="str">
        <f t="shared" si="7"/>
        <v>0</v>
      </c>
      <c r="J128" s="2" t="str">
        <f t="shared" si="8"/>
        <v>0</v>
      </c>
      <c r="K128" s="2" t="str">
        <f t="shared" si="9"/>
        <v>0</v>
      </c>
      <c r="L128" s="2" t="str">
        <f t="shared" si="10"/>
        <v>0</v>
      </c>
      <c r="M128" s="2" t="str">
        <f t="shared" si="11"/>
        <v>0</v>
      </c>
      <c r="N128" s="2" t="str">
        <f t="shared" si="12"/>
        <v>0</v>
      </c>
      <c r="O128" s="2" t="str">
        <f t="shared" si="13"/>
        <v>0</v>
      </c>
      <c r="P128" s="2" t="str">
        <f t="shared" si="14"/>
        <v>0</v>
      </c>
      <c r="Q128" s="2" t="str">
        <f t="shared" si="15"/>
        <v>0</v>
      </c>
      <c r="R128" s="2" t="str">
        <f t="shared" si="16"/>
        <v>0</v>
      </c>
      <c r="S128" s="2" t="str">
        <f t="shared" si="17"/>
        <v>0</v>
      </c>
      <c r="T128" s="2" t="str">
        <f t="shared" si="18"/>
        <v>0</v>
      </c>
    </row>
    <row r="129" spans="5:20" x14ac:dyDescent="0.25">
      <c r="E129" s="2" t="str">
        <f t="shared" si="3"/>
        <v>0</v>
      </c>
      <c r="F129" s="2" t="str">
        <f t="shared" si="4"/>
        <v>0</v>
      </c>
      <c r="G129" s="2" t="str">
        <f t="shared" si="5"/>
        <v>0</v>
      </c>
      <c r="H129" s="2" t="str">
        <f t="shared" si="6"/>
        <v>0</v>
      </c>
      <c r="I129" s="2" t="str">
        <f t="shared" si="7"/>
        <v>0</v>
      </c>
      <c r="J129" s="2" t="str">
        <f t="shared" si="8"/>
        <v>0</v>
      </c>
      <c r="K129" s="2" t="str">
        <f t="shared" si="9"/>
        <v>0</v>
      </c>
      <c r="L129" s="2" t="str">
        <f t="shared" si="10"/>
        <v>0</v>
      </c>
      <c r="M129" s="2" t="str">
        <f t="shared" si="11"/>
        <v>0</v>
      </c>
      <c r="N129" s="2" t="str">
        <f t="shared" si="12"/>
        <v>0</v>
      </c>
      <c r="O129" s="2" t="str">
        <f t="shared" si="13"/>
        <v>0</v>
      </c>
      <c r="P129" s="2" t="str">
        <f t="shared" si="14"/>
        <v>0</v>
      </c>
      <c r="Q129" s="2" t="str">
        <f t="shared" si="15"/>
        <v>0</v>
      </c>
      <c r="R129" s="2" t="str">
        <f t="shared" si="16"/>
        <v>0</v>
      </c>
      <c r="S129" s="2" t="str">
        <f t="shared" si="17"/>
        <v>0</v>
      </c>
      <c r="T129" s="2" t="str">
        <f t="shared" si="18"/>
        <v>0</v>
      </c>
    </row>
    <row r="130" spans="5:20" x14ac:dyDescent="0.25">
      <c r="E130" s="2" t="str">
        <f t="shared" si="3"/>
        <v>0</v>
      </c>
      <c r="F130" s="2" t="str">
        <f t="shared" si="4"/>
        <v>0</v>
      </c>
      <c r="G130" s="2" t="str">
        <f t="shared" si="5"/>
        <v>0</v>
      </c>
      <c r="H130" s="2" t="str">
        <f t="shared" si="6"/>
        <v>0</v>
      </c>
      <c r="I130" s="2" t="str">
        <f t="shared" si="7"/>
        <v>0</v>
      </c>
      <c r="J130" s="2" t="str">
        <f t="shared" si="8"/>
        <v>0</v>
      </c>
      <c r="K130" s="2" t="str">
        <f t="shared" si="9"/>
        <v>0</v>
      </c>
      <c r="L130" s="2" t="str">
        <f t="shared" si="10"/>
        <v>0</v>
      </c>
      <c r="M130" s="2" t="str">
        <f t="shared" si="11"/>
        <v>0</v>
      </c>
      <c r="N130" s="2" t="str">
        <f t="shared" si="12"/>
        <v>0</v>
      </c>
      <c r="O130" s="2" t="str">
        <f t="shared" si="13"/>
        <v>0</v>
      </c>
      <c r="P130" s="2" t="str">
        <f t="shared" si="14"/>
        <v>0</v>
      </c>
      <c r="Q130" s="2" t="str">
        <f t="shared" si="15"/>
        <v>0</v>
      </c>
      <c r="R130" s="2" t="str">
        <f t="shared" si="16"/>
        <v>0</v>
      </c>
      <c r="S130" s="2" t="str">
        <f t="shared" si="17"/>
        <v>0</v>
      </c>
      <c r="T130" s="2" t="str">
        <f t="shared" si="18"/>
        <v>0</v>
      </c>
    </row>
    <row r="131" spans="5:20" x14ac:dyDescent="0.25">
      <c r="E131" s="2" t="str">
        <f t="shared" si="3"/>
        <v>0</v>
      </c>
      <c r="F131" s="2" t="str">
        <f t="shared" si="4"/>
        <v>0</v>
      </c>
      <c r="G131" s="2" t="str">
        <f t="shared" si="5"/>
        <v>0</v>
      </c>
      <c r="H131" s="2" t="str">
        <f t="shared" si="6"/>
        <v>0</v>
      </c>
      <c r="I131" s="2" t="str">
        <f t="shared" si="7"/>
        <v>0</v>
      </c>
      <c r="J131" s="2" t="str">
        <f t="shared" si="8"/>
        <v>0</v>
      </c>
      <c r="K131" s="2" t="str">
        <f t="shared" si="9"/>
        <v>0</v>
      </c>
      <c r="L131" s="2" t="str">
        <f t="shared" si="10"/>
        <v>0</v>
      </c>
      <c r="M131" s="2" t="str">
        <f t="shared" si="11"/>
        <v>0</v>
      </c>
      <c r="N131" s="2" t="str">
        <f t="shared" si="12"/>
        <v>0</v>
      </c>
      <c r="O131" s="2" t="str">
        <f t="shared" si="13"/>
        <v>0</v>
      </c>
      <c r="P131" s="2" t="str">
        <f t="shared" si="14"/>
        <v>0</v>
      </c>
      <c r="Q131" s="2" t="str">
        <f t="shared" si="15"/>
        <v>0</v>
      </c>
      <c r="R131" s="2" t="str">
        <f t="shared" si="16"/>
        <v>0</v>
      </c>
      <c r="S131" s="2" t="str">
        <f t="shared" si="17"/>
        <v>0</v>
      </c>
      <c r="T131" s="2" t="str">
        <f t="shared" si="18"/>
        <v>0</v>
      </c>
    </row>
    <row r="132" spans="5:20" x14ac:dyDescent="0.25">
      <c r="E132" s="2" t="str">
        <f t="shared" si="3"/>
        <v>0</v>
      </c>
      <c r="F132" s="2" t="str">
        <f t="shared" si="4"/>
        <v>0</v>
      </c>
      <c r="G132" s="2" t="str">
        <f t="shared" si="5"/>
        <v>0</v>
      </c>
      <c r="H132" s="2" t="str">
        <f t="shared" si="6"/>
        <v>0</v>
      </c>
      <c r="I132" s="2" t="str">
        <f t="shared" si="7"/>
        <v>0</v>
      </c>
      <c r="J132" s="2" t="str">
        <f t="shared" si="8"/>
        <v>0</v>
      </c>
      <c r="K132" s="2" t="str">
        <f t="shared" si="9"/>
        <v>0</v>
      </c>
      <c r="L132" s="2" t="str">
        <f t="shared" si="10"/>
        <v>0</v>
      </c>
      <c r="M132" s="2" t="str">
        <f t="shared" si="11"/>
        <v>0</v>
      </c>
      <c r="N132" s="2" t="str">
        <f t="shared" si="12"/>
        <v>0</v>
      </c>
      <c r="O132" s="2" t="str">
        <f t="shared" si="13"/>
        <v>0</v>
      </c>
      <c r="P132" s="2" t="str">
        <f t="shared" si="14"/>
        <v>0</v>
      </c>
      <c r="Q132" s="2" t="str">
        <f t="shared" si="15"/>
        <v>0</v>
      </c>
      <c r="R132" s="2" t="str">
        <f t="shared" si="16"/>
        <v>0</v>
      </c>
      <c r="S132" s="2" t="str">
        <f t="shared" si="17"/>
        <v>0</v>
      </c>
      <c r="T132" s="2" t="str">
        <f t="shared" si="18"/>
        <v>0</v>
      </c>
    </row>
    <row r="133" spans="5:20" x14ac:dyDescent="0.25">
      <c r="E133" s="2" t="str">
        <f t="shared" si="3"/>
        <v>0</v>
      </c>
      <c r="F133" s="2" t="str">
        <f t="shared" si="4"/>
        <v>0</v>
      </c>
      <c r="G133" s="2" t="str">
        <f t="shared" si="5"/>
        <v>0</v>
      </c>
      <c r="H133" s="2" t="str">
        <f t="shared" si="6"/>
        <v>0</v>
      </c>
      <c r="I133" s="2" t="str">
        <f t="shared" si="7"/>
        <v>0</v>
      </c>
      <c r="J133" s="2" t="str">
        <f t="shared" si="8"/>
        <v>0</v>
      </c>
      <c r="K133" s="2" t="str">
        <f t="shared" si="9"/>
        <v>0</v>
      </c>
      <c r="L133" s="2" t="str">
        <f t="shared" si="10"/>
        <v>0</v>
      </c>
      <c r="M133" s="2" t="str">
        <f t="shared" si="11"/>
        <v>0</v>
      </c>
      <c r="N133" s="2" t="str">
        <f t="shared" si="12"/>
        <v>0</v>
      </c>
      <c r="O133" s="2" t="str">
        <f t="shared" si="13"/>
        <v>0</v>
      </c>
      <c r="P133" s="2" t="str">
        <f t="shared" si="14"/>
        <v>0</v>
      </c>
      <c r="Q133" s="2" t="str">
        <f t="shared" si="15"/>
        <v>0</v>
      </c>
      <c r="R133" s="2" t="str">
        <f t="shared" si="16"/>
        <v>0</v>
      </c>
      <c r="S133" s="2" t="str">
        <f t="shared" si="17"/>
        <v>0</v>
      </c>
      <c r="T133" s="2" t="str">
        <f t="shared" si="18"/>
        <v>0</v>
      </c>
    </row>
    <row r="134" spans="5:20" x14ac:dyDescent="0.25">
      <c r="E134" s="2" t="str">
        <f t="shared" si="3"/>
        <v>0</v>
      </c>
      <c r="F134" s="2" t="str">
        <f t="shared" si="4"/>
        <v>0</v>
      </c>
      <c r="G134" s="2" t="str">
        <f t="shared" si="5"/>
        <v>0</v>
      </c>
      <c r="H134" s="2" t="str">
        <f t="shared" si="6"/>
        <v>0</v>
      </c>
      <c r="I134" s="2" t="str">
        <f t="shared" si="7"/>
        <v>0</v>
      </c>
      <c r="J134" s="2" t="str">
        <f t="shared" si="8"/>
        <v>0</v>
      </c>
      <c r="K134" s="2" t="str">
        <f t="shared" si="9"/>
        <v>0</v>
      </c>
      <c r="L134" s="2" t="str">
        <f t="shared" si="10"/>
        <v>0</v>
      </c>
      <c r="M134" s="2" t="str">
        <f t="shared" si="11"/>
        <v>0</v>
      </c>
      <c r="N134" s="2" t="str">
        <f t="shared" si="12"/>
        <v>0</v>
      </c>
      <c r="O134" s="2" t="str">
        <f t="shared" si="13"/>
        <v>0</v>
      </c>
      <c r="P134" s="2" t="str">
        <f t="shared" si="14"/>
        <v>0</v>
      </c>
      <c r="Q134" s="2" t="str">
        <f t="shared" si="15"/>
        <v>0</v>
      </c>
      <c r="R134" s="2" t="str">
        <f t="shared" si="16"/>
        <v>0</v>
      </c>
      <c r="S134" s="2" t="str">
        <f t="shared" si="17"/>
        <v>0</v>
      </c>
      <c r="T134" s="2" t="str">
        <f t="shared" si="18"/>
        <v>0</v>
      </c>
    </row>
    <row r="135" spans="5:20" x14ac:dyDescent="0.25">
      <c r="E135" s="2" t="str">
        <f t="shared" ref="E135:E157" si="19">IF(E72="X",(D72-C72),"0")</f>
        <v>0</v>
      </c>
      <c r="F135" s="2" t="str">
        <f t="shared" ref="F135:F157" si="20">IF(F72="X",(D72-C72),"0")</f>
        <v>0</v>
      </c>
      <c r="G135" s="2" t="str">
        <f t="shared" ref="G135:G157" si="21">IF(G72="X",(D72-C72),"0")</f>
        <v>0</v>
      </c>
      <c r="H135" s="2" t="str">
        <f t="shared" ref="H135:H157" si="22">IF(H72="X",(D72-C72),"0")</f>
        <v>0</v>
      </c>
      <c r="I135" s="2" t="str">
        <f t="shared" ref="I135:I157" si="23">IF(I72="X",(D72-C72),"0")</f>
        <v>0</v>
      </c>
      <c r="J135" s="2" t="str">
        <f t="shared" ref="J135:J157" si="24">IF(J72="X",(D72-C72),"0")</f>
        <v>0</v>
      </c>
      <c r="K135" s="2" t="str">
        <f t="shared" ref="K135:K157" si="25">IF(K72="X",(D72-C72),"0")</f>
        <v>0</v>
      </c>
      <c r="L135" s="2" t="str">
        <f t="shared" ref="L135:L157" si="26">IF(L72="X",(D72-C72),"0")</f>
        <v>0</v>
      </c>
      <c r="M135" s="2" t="str">
        <f t="shared" ref="M135:M157" si="27">IF(M72="X",(D72-C72),"0")</f>
        <v>0</v>
      </c>
      <c r="N135" s="2" t="str">
        <f t="shared" ref="N135:N157" si="28">IF(N72="X",(D72-C72),"0")</f>
        <v>0</v>
      </c>
      <c r="O135" s="2" t="str">
        <f t="shared" ref="O135:O157" si="29">IF(O72="X",(D72-C72),"0")</f>
        <v>0</v>
      </c>
      <c r="P135" s="2" t="str">
        <f t="shared" ref="P135:P157" si="30">IF(P72="X",(D72-C72),"0")</f>
        <v>0</v>
      </c>
      <c r="Q135" s="2" t="str">
        <f t="shared" ref="Q135:Q157" si="31">IF(Q72="X",(D72-C72),"0")</f>
        <v>0</v>
      </c>
      <c r="R135" s="2" t="str">
        <f t="shared" ref="R135:R157" si="32">IF(R72="X",(D72-C72),"0")</f>
        <v>0</v>
      </c>
      <c r="S135" s="2" t="str">
        <f t="shared" ref="S135:S157" si="33">IF(S72="X",(D72-C72),"0")</f>
        <v>0</v>
      </c>
      <c r="T135" s="2" t="str">
        <f t="shared" ref="T135:T157" si="34">IF(T72="X",(D72-C72),"0")</f>
        <v>0</v>
      </c>
    </row>
    <row r="136" spans="5:20" x14ac:dyDescent="0.25">
      <c r="E136" s="2" t="str">
        <f t="shared" si="19"/>
        <v>0</v>
      </c>
      <c r="F136" s="2" t="str">
        <f t="shared" si="20"/>
        <v>0</v>
      </c>
      <c r="G136" s="2" t="str">
        <f t="shared" si="21"/>
        <v>0</v>
      </c>
      <c r="H136" s="2" t="str">
        <f t="shared" si="22"/>
        <v>0</v>
      </c>
      <c r="I136" s="2" t="str">
        <f t="shared" si="23"/>
        <v>0</v>
      </c>
      <c r="J136" s="2" t="str">
        <f t="shared" si="24"/>
        <v>0</v>
      </c>
      <c r="K136" s="2" t="str">
        <f t="shared" si="25"/>
        <v>0</v>
      </c>
      <c r="L136" s="2" t="str">
        <f t="shared" si="26"/>
        <v>0</v>
      </c>
      <c r="M136" s="2" t="str">
        <f t="shared" si="27"/>
        <v>0</v>
      </c>
      <c r="N136" s="2" t="str">
        <f t="shared" si="28"/>
        <v>0</v>
      </c>
      <c r="O136" s="2" t="str">
        <f t="shared" si="29"/>
        <v>0</v>
      </c>
      <c r="P136" s="2" t="str">
        <f t="shared" si="30"/>
        <v>0</v>
      </c>
      <c r="Q136" s="2" t="str">
        <f t="shared" si="31"/>
        <v>0</v>
      </c>
      <c r="R136" s="2" t="str">
        <f t="shared" si="32"/>
        <v>0</v>
      </c>
      <c r="S136" s="2" t="str">
        <f t="shared" si="33"/>
        <v>0</v>
      </c>
      <c r="T136" s="2" t="str">
        <f t="shared" si="34"/>
        <v>0</v>
      </c>
    </row>
    <row r="137" spans="5:20" x14ac:dyDescent="0.25">
      <c r="E137" s="2" t="str">
        <f t="shared" si="19"/>
        <v>0</v>
      </c>
      <c r="F137" s="2" t="str">
        <f t="shared" si="20"/>
        <v>0</v>
      </c>
      <c r="G137" s="2" t="str">
        <f t="shared" si="21"/>
        <v>0</v>
      </c>
      <c r="H137" s="2" t="str">
        <f t="shared" si="22"/>
        <v>0</v>
      </c>
      <c r="I137" s="2" t="str">
        <f t="shared" si="23"/>
        <v>0</v>
      </c>
      <c r="J137" s="2" t="str">
        <f t="shared" si="24"/>
        <v>0</v>
      </c>
      <c r="K137" s="2" t="str">
        <f t="shared" si="25"/>
        <v>0</v>
      </c>
      <c r="L137" s="2" t="str">
        <f t="shared" si="26"/>
        <v>0</v>
      </c>
      <c r="M137" s="2" t="str">
        <f t="shared" si="27"/>
        <v>0</v>
      </c>
      <c r="N137" s="2" t="str">
        <f t="shared" si="28"/>
        <v>0</v>
      </c>
      <c r="O137" s="2" t="str">
        <f t="shared" si="29"/>
        <v>0</v>
      </c>
      <c r="P137" s="2" t="str">
        <f t="shared" si="30"/>
        <v>0</v>
      </c>
      <c r="Q137" s="2" t="str">
        <f t="shared" si="31"/>
        <v>0</v>
      </c>
      <c r="R137" s="2" t="str">
        <f t="shared" si="32"/>
        <v>0</v>
      </c>
      <c r="S137" s="2" t="str">
        <f t="shared" si="33"/>
        <v>0</v>
      </c>
      <c r="T137" s="2" t="str">
        <f t="shared" si="34"/>
        <v>0</v>
      </c>
    </row>
    <row r="138" spans="5:20" x14ac:dyDescent="0.25">
      <c r="E138" s="2" t="str">
        <f t="shared" si="19"/>
        <v>0</v>
      </c>
      <c r="F138" s="2" t="str">
        <f t="shared" si="20"/>
        <v>0</v>
      </c>
      <c r="G138" s="2" t="str">
        <f t="shared" si="21"/>
        <v>0</v>
      </c>
      <c r="H138" s="2" t="str">
        <f t="shared" si="22"/>
        <v>0</v>
      </c>
      <c r="I138" s="2" t="str">
        <f t="shared" si="23"/>
        <v>0</v>
      </c>
      <c r="J138" s="2" t="str">
        <f t="shared" si="24"/>
        <v>0</v>
      </c>
      <c r="K138" s="2" t="str">
        <f t="shared" si="25"/>
        <v>0</v>
      </c>
      <c r="L138" s="2" t="str">
        <f t="shared" si="26"/>
        <v>0</v>
      </c>
      <c r="M138" s="2" t="str">
        <f t="shared" si="27"/>
        <v>0</v>
      </c>
      <c r="N138" s="2" t="str">
        <f t="shared" si="28"/>
        <v>0</v>
      </c>
      <c r="O138" s="2" t="str">
        <f t="shared" si="29"/>
        <v>0</v>
      </c>
      <c r="P138" s="2" t="str">
        <f t="shared" si="30"/>
        <v>0</v>
      </c>
      <c r="Q138" s="2" t="str">
        <f t="shared" si="31"/>
        <v>0</v>
      </c>
      <c r="R138" s="2" t="str">
        <f t="shared" si="32"/>
        <v>0</v>
      </c>
      <c r="S138" s="2" t="str">
        <f t="shared" si="33"/>
        <v>0</v>
      </c>
      <c r="T138" s="2" t="str">
        <f t="shared" si="34"/>
        <v>0</v>
      </c>
    </row>
    <row r="139" spans="5:20" x14ac:dyDescent="0.25">
      <c r="E139" s="2" t="str">
        <f t="shared" si="19"/>
        <v>0</v>
      </c>
      <c r="F139" s="2" t="str">
        <f t="shared" si="20"/>
        <v>0</v>
      </c>
      <c r="G139" s="2" t="str">
        <f t="shared" si="21"/>
        <v>0</v>
      </c>
      <c r="H139" s="2" t="str">
        <f t="shared" si="22"/>
        <v>0</v>
      </c>
      <c r="I139" s="2" t="str">
        <f t="shared" si="23"/>
        <v>0</v>
      </c>
      <c r="J139" s="2" t="str">
        <f t="shared" si="24"/>
        <v>0</v>
      </c>
      <c r="K139" s="2" t="str">
        <f t="shared" si="25"/>
        <v>0</v>
      </c>
      <c r="L139" s="2" t="str">
        <f t="shared" si="26"/>
        <v>0</v>
      </c>
      <c r="M139" s="2" t="str">
        <f t="shared" si="27"/>
        <v>0</v>
      </c>
      <c r="N139" s="2" t="str">
        <f t="shared" si="28"/>
        <v>0</v>
      </c>
      <c r="O139" s="2" t="str">
        <f t="shared" si="29"/>
        <v>0</v>
      </c>
      <c r="P139" s="2" t="str">
        <f t="shared" si="30"/>
        <v>0</v>
      </c>
      <c r="Q139" s="2" t="str">
        <f t="shared" si="31"/>
        <v>0</v>
      </c>
      <c r="R139" s="2" t="str">
        <f t="shared" si="32"/>
        <v>0</v>
      </c>
      <c r="S139" s="2" t="str">
        <f t="shared" si="33"/>
        <v>0</v>
      </c>
      <c r="T139" s="2" t="str">
        <f t="shared" si="34"/>
        <v>0</v>
      </c>
    </row>
    <row r="140" spans="5:20" x14ac:dyDescent="0.25">
      <c r="E140" s="2" t="str">
        <f t="shared" si="19"/>
        <v>0</v>
      </c>
      <c r="F140" s="2" t="str">
        <f t="shared" si="20"/>
        <v>0</v>
      </c>
      <c r="G140" s="2" t="str">
        <f t="shared" si="21"/>
        <v>0</v>
      </c>
      <c r="H140" s="2" t="str">
        <f t="shared" si="22"/>
        <v>0</v>
      </c>
      <c r="I140" s="2" t="str">
        <f t="shared" si="23"/>
        <v>0</v>
      </c>
      <c r="J140" s="2" t="str">
        <f t="shared" si="24"/>
        <v>0</v>
      </c>
      <c r="K140" s="2" t="str">
        <f t="shared" si="25"/>
        <v>0</v>
      </c>
      <c r="L140" s="2" t="str">
        <f t="shared" si="26"/>
        <v>0</v>
      </c>
      <c r="M140" s="2" t="str">
        <f t="shared" si="27"/>
        <v>0</v>
      </c>
      <c r="N140" s="2" t="str">
        <f t="shared" si="28"/>
        <v>0</v>
      </c>
      <c r="O140" s="2" t="str">
        <f t="shared" si="29"/>
        <v>0</v>
      </c>
      <c r="P140" s="2" t="str">
        <f t="shared" si="30"/>
        <v>0</v>
      </c>
      <c r="Q140" s="2" t="str">
        <f t="shared" si="31"/>
        <v>0</v>
      </c>
      <c r="R140" s="2" t="str">
        <f t="shared" si="32"/>
        <v>0</v>
      </c>
      <c r="S140" s="2" t="str">
        <f t="shared" si="33"/>
        <v>0</v>
      </c>
      <c r="T140" s="2" t="str">
        <f t="shared" si="34"/>
        <v>0</v>
      </c>
    </row>
    <row r="141" spans="5:20" x14ac:dyDescent="0.25">
      <c r="E141" s="2" t="str">
        <f t="shared" si="19"/>
        <v>0</v>
      </c>
      <c r="F141" s="2" t="str">
        <f t="shared" si="20"/>
        <v>0</v>
      </c>
      <c r="G141" s="2" t="str">
        <f t="shared" si="21"/>
        <v>0</v>
      </c>
      <c r="H141" s="2" t="str">
        <f t="shared" si="22"/>
        <v>0</v>
      </c>
      <c r="I141" s="2" t="str">
        <f t="shared" si="23"/>
        <v>0</v>
      </c>
      <c r="J141" s="2" t="str">
        <f t="shared" si="24"/>
        <v>0</v>
      </c>
      <c r="K141" s="2" t="str">
        <f t="shared" si="25"/>
        <v>0</v>
      </c>
      <c r="L141" s="2" t="str">
        <f t="shared" si="26"/>
        <v>0</v>
      </c>
      <c r="M141" s="2" t="str">
        <f t="shared" si="27"/>
        <v>0</v>
      </c>
      <c r="N141" s="2" t="str">
        <f t="shared" si="28"/>
        <v>0</v>
      </c>
      <c r="O141" s="2" t="str">
        <f t="shared" si="29"/>
        <v>0</v>
      </c>
      <c r="P141" s="2" t="str">
        <f t="shared" si="30"/>
        <v>0</v>
      </c>
      <c r="Q141" s="2" t="str">
        <f t="shared" si="31"/>
        <v>0</v>
      </c>
      <c r="R141" s="2" t="str">
        <f t="shared" si="32"/>
        <v>0</v>
      </c>
      <c r="S141" s="2" t="str">
        <f t="shared" si="33"/>
        <v>0</v>
      </c>
      <c r="T141" s="2" t="str">
        <f t="shared" si="34"/>
        <v>0</v>
      </c>
    </row>
    <row r="142" spans="5:20" x14ac:dyDescent="0.25">
      <c r="E142" s="2" t="str">
        <f t="shared" si="19"/>
        <v>0</v>
      </c>
      <c r="F142" s="2" t="str">
        <f t="shared" si="20"/>
        <v>0</v>
      </c>
      <c r="G142" s="2" t="str">
        <f t="shared" si="21"/>
        <v>0</v>
      </c>
      <c r="H142" s="2" t="str">
        <f t="shared" si="22"/>
        <v>0</v>
      </c>
      <c r="I142" s="2" t="str">
        <f t="shared" si="23"/>
        <v>0</v>
      </c>
      <c r="J142" s="2" t="str">
        <f t="shared" si="24"/>
        <v>0</v>
      </c>
      <c r="K142" s="2" t="str">
        <f t="shared" si="25"/>
        <v>0</v>
      </c>
      <c r="L142" s="2" t="str">
        <f t="shared" si="26"/>
        <v>0</v>
      </c>
      <c r="M142" s="2" t="str">
        <f t="shared" si="27"/>
        <v>0</v>
      </c>
      <c r="N142" s="2" t="str">
        <f t="shared" si="28"/>
        <v>0</v>
      </c>
      <c r="O142" s="2" t="str">
        <f t="shared" si="29"/>
        <v>0</v>
      </c>
      <c r="P142" s="2" t="str">
        <f t="shared" si="30"/>
        <v>0</v>
      </c>
      <c r="Q142" s="2" t="str">
        <f t="shared" si="31"/>
        <v>0</v>
      </c>
      <c r="R142" s="2" t="str">
        <f t="shared" si="32"/>
        <v>0</v>
      </c>
      <c r="S142" s="2" t="str">
        <f t="shared" si="33"/>
        <v>0</v>
      </c>
      <c r="T142" s="2" t="str">
        <f t="shared" si="34"/>
        <v>0</v>
      </c>
    </row>
    <row r="143" spans="5:20" x14ac:dyDescent="0.25">
      <c r="E143" s="2" t="str">
        <f t="shared" si="19"/>
        <v>0</v>
      </c>
      <c r="F143" s="2" t="str">
        <f t="shared" si="20"/>
        <v>0</v>
      </c>
      <c r="G143" s="2" t="str">
        <f t="shared" si="21"/>
        <v>0</v>
      </c>
      <c r="H143" s="2" t="str">
        <f t="shared" si="22"/>
        <v>0</v>
      </c>
      <c r="I143" s="2" t="str">
        <f t="shared" si="23"/>
        <v>0</v>
      </c>
      <c r="J143" s="2" t="str">
        <f t="shared" si="24"/>
        <v>0</v>
      </c>
      <c r="K143" s="2" t="str">
        <f t="shared" si="25"/>
        <v>0</v>
      </c>
      <c r="L143" s="2" t="str">
        <f t="shared" si="26"/>
        <v>0</v>
      </c>
      <c r="M143" s="2" t="str">
        <f t="shared" si="27"/>
        <v>0</v>
      </c>
      <c r="N143" s="2" t="str">
        <f t="shared" si="28"/>
        <v>0</v>
      </c>
      <c r="O143" s="2" t="str">
        <f t="shared" si="29"/>
        <v>0</v>
      </c>
      <c r="P143" s="2" t="str">
        <f t="shared" si="30"/>
        <v>0</v>
      </c>
      <c r="Q143" s="2" t="str">
        <f t="shared" si="31"/>
        <v>0</v>
      </c>
      <c r="R143" s="2" t="str">
        <f t="shared" si="32"/>
        <v>0</v>
      </c>
      <c r="S143" s="2" t="str">
        <f t="shared" si="33"/>
        <v>0</v>
      </c>
      <c r="T143" s="2" t="str">
        <f t="shared" si="34"/>
        <v>0</v>
      </c>
    </row>
    <row r="144" spans="5:20" x14ac:dyDescent="0.25">
      <c r="E144" s="2" t="str">
        <f t="shared" si="19"/>
        <v>0</v>
      </c>
      <c r="F144" s="2" t="str">
        <f t="shared" si="20"/>
        <v>0</v>
      </c>
      <c r="G144" s="2" t="str">
        <f t="shared" si="21"/>
        <v>0</v>
      </c>
      <c r="H144" s="2" t="str">
        <f t="shared" si="22"/>
        <v>0</v>
      </c>
      <c r="I144" s="2" t="str">
        <f t="shared" si="23"/>
        <v>0</v>
      </c>
      <c r="J144" s="2" t="str">
        <f t="shared" si="24"/>
        <v>0</v>
      </c>
      <c r="K144" s="2" t="str">
        <f t="shared" si="25"/>
        <v>0</v>
      </c>
      <c r="L144" s="2" t="str">
        <f t="shared" si="26"/>
        <v>0</v>
      </c>
      <c r="M144" s="2" t="str">
        <f t="shared" si="27"/>
        <v>0</v>
      </c>
      <c r="N144" s="2" t="str">
        <f t="shared" si="28"/>
        <v>0</v>
      </c>
      <c r="O144" s="2" t="str">
        <f t="shared" si="29"/>
        <v>0</v>
      </c>
      <c r="P144" s="2" t="str">
        <f t="shared" si="30"/>
        <v>0</v>
      </c>
      <c r="Q144" s="2" t="str">
        <f t="shared" si="31"/>
        <v>0</v>
      </c>
      <c r="R144" s="2" t="str">
        <f t="shared" si="32"/>
        <v>0</v>
      </c>
      <c r="S144" s="2" t="str">
        <f t="shared" si="33"/>
        <v>0</v>
      </c>
      <c r="T144" s="2" t="str">
        <f t="shared" si="34"/>
        <v>0</v>
      </c>
    </row>
    <row r="145" spans="5:20" x14ac:dyDescent="0.25">
      <c r="E145" s="2" t="str">
        <f t="shared" si="19"/>
        <v>0</v>
      </c>
      <c r="F145" s="2" t="str">
        <f t="shared" si="20"/>
        <v>0</v>
      </c>
      <c r="G145" s="2" t="str">
        <f t="shared" si="21"/>
        <v>0</v>
      </c>
      <c r="H145" s="2" t="str">
        <f t="shared" si="22"/>
        <v>0</v>
      </c>
      <c r="I145" s="2" t="str">
        <f t="shared" si="23"/>
        <v>0</v>
      </c>
      <c r="J145" s="2" t="str">
        <f t="shared" si="24"/>
        <v>0</v>
      </c>
      <c r="K145" s="2" t="str">
        <f t="shared" si="25"/>
        <v>0</v>
      </c>
      <c r="L145" s="2" t="str">
        <f t="shared" si="26"/>
        <v>0</v>
      </c>
      <c r="M145" s="2" t="str">
        <f t="shared" si="27"/>
        <v>0</v>
      </c>
      <c r="N145" s="2" t="str">
        <f t="shared" si="28"/>
        <v>0</v>
      </c>
      <c r="O145" s="2" t="str">
        <f t="shared" si="29"/>
        <v>0</v>
      </c>
      <c r="P145" s="2" t="str">
        <f t="shared" si="30"/>
        <v>0</v>
      </c>
      <c r="Q145" s="2" t="str">
        <f t="shared" si="31"/>
        <v>0</v>
      </c>
      <c r="R145" s="2" t="str">
        <f t="shared" si="32"/>
        <v>0</v>
      </c>
      <c r="S145" s="2" t="str">
        <f t="shared" si="33"/>
        <v>0</v>
      </c>
      <c r="T145" s="2" t="str">
        <f t="shared" si="34"/>
        <v>0</v>
      </c>
    </row>
    <row r="146" spans="5:20" x14ac:dyDescent="0.25">
      <c r="E146" s="2" t="str">
        <f t="shared" si="19"/>
        <v>0</v>
      </c>
      <c r="F146" s="2" t="str">
        <f t="shared" si="20"/>
        <v>0</v>
      </c>
      <c r="G146" s="2" t="str">
        <f t="shared" si="21"/>
        <v>0</v>
      </c>
      <c r="H146" s="2" t="str">
        <f t="shared" si="22"/>
        <v>0</v>
      </c>
      <c r="I146" s="2" t="str">
        <f t="shared" si="23"/>
        <v>0</v>
      </c>
      <c r="J146" s="2" t="str">
        <f t="shared" si="24"/>
        <v>0</v>
      </c>
      <c r="K146" s="2" t="str">
        <f t="shared" si="25"/>
        <v>0</v>
      </c>
      <c r="L146" s="2" t="str">
        <f t="shared" si="26"/>
        <v>0</v>
      </c>
      <c r="M146" s="2" t="str">
        <f t="shared" si="27"/>
        <v>0</v>
      </c>
      <c r="N146" s="2" t="str">
        <f t="shared" si="28"/>
        <v>0</v>
      </c>
      <c r="O146" s="2" t="str">
        <f t="shared" si="29"/>
        <v>0</v>
      </c>
      <c r="P146" s="2" t="str">
        <f t="shared" si="30"/>
        <v>0</v>
      </c>
      <c r="Q146" s="2" t="str">
        <f t="shared" si="31"/>
        <v>0</v>
      </c>
      <c r="R146" s="2" t="str">
        <f t="shared" si="32"/>
        <v>0</v>
      </c>
      <c r="S146" s="2" t="str">
        <f t="shared" si="33"/>
        <v>0</v>
      </c>
      <c r="T146" s="2" t="str">
        <f t="shared" si="34"/>
        <v>0</v>
      </c>
    </row>
    <row r="147" spans="5:20" x14ac:dyDescent="0.25">
      <c r="E147" s="2" t="str">
        <f t="shared" si="19"/>
        <v>0</v>
      </c>
      <c r="F147" s="2" t="str">
        <f t="shared" si="20"/>
        <v>0</v>
      </c>
      <c r="G147" s="2" t="str">
        <f t="shared" si="21"/>
        <v>0</v>
      </c>
      <c r="H147" s="2" t="str">
        <f t="shared" si="22"/>
        <v>0</v>
      </c>
      <c r="I147" s="2" t="str">
        <f t="shared" si="23"/>
        <v>0</v>
      </c>
      <c r="J147" s="2" t="str">
        <f t="shared" si="24"/>
        <v>0</v>
      </c>
      <c r="K147" s="2" t="str">
        <f t="shared" si="25"/>
        <v>0</v>
      </c>
      <c r="L147" s="2" t="str">
        <f t="shared" si="26"/>
        <v>0</v>
      </c>
      <c r="M147" s="2" t="str">
        <f t="shared" si="27"/>
        <v>0</v>
      </c>
      <c r="N147" s="2" t="str">
        <f t="shared" si="28"/>
        <v>0</v>
      </c>
      <c r="O147" s="2" t="str">
        <f t="shared" si="29"/>
        <v>0</v>
      </c>
      <c r="P147" s="2" t="str">
        <f t="shared" si="30"/>
        <v>0</v>
      </c>
      <c r="Q147" s="2" t="str">
        <f t="shared" si="31"/>
        <v>0</v>
      </c>
      <c r="R147" s="2" t="str">
        <f t="shared" si="32"/>
        <v>0</v>
      </c>
      <c r="S147" s="2" t="str">
        <f t="shared" si="33"/>
        <v>0</v>
      </c>
      <c r="T147" s="2" t="str">
        <f t="shared" si="34"/>
        <v>0</v>
      </c>
    </row>
    <row r="148" spans="5:20" x14ac:dyDescent="0.25">
      <c r="E148" s="2" t="str">
        <f t="shared" si="19"/>
        <v>0</v>
      </c>
      <c r="F148" s="2" t="str">
        <f t="shared" si="20"/>
        <v>0</v>
      </c>
      <c r="G148" s="2" t="str">
        <f t="shared" si="21"/>
        <v>0</v>
      </c>
      <c r="H148" s="2" t="str">
        <f t="shared" si="22"/>
        <v>0</v>
      </c>
      <c r="I148" s="2" t="str">
        <f t="shared" si="23"/>
        <v>0</v>
      </c>
      <c r="J148" s="2" t="str">
        <f t="shared" si="24"/>
        <v>0</v>
      </c>
      <c r="K148" s="2" t="str">
        <f t="shared" si="25"/>
        <v>0</v>
      </c>
      <c r="L148" s="2" t="str">
        <f t="shared" si="26"/>
        <v>0</v>
      </c>
      <c r="M148" s="2" t="str">
        <f t="shared" si="27"/>
        <v>0</v>
      </c>
      <c r="N148" s="2" t="str">
        <f t="shared" si="28"/>
        <v>0</v>
      </c>
      <c r="O148" s="2" t="str">
        <f t="shared" si="29"/>
        <v>0</v>
      </c>
      <c r="P148" s="2" t="str">
        <f t="shared" si="30"/>
        <v>0</v>
      </c>
      <c r="Q148" s="2" t="str">
        <f t="shared" si="31"/>
        <v>0</v>
      </c>
      <c r="R148" s="2" t="str">
        <f t="shared" si="32"/>
        <v>0</v>
      </c>
      <c r="S148" s="2" t="str">
        <f t="shared" si="33"/>
        <v>0</v>
      </c>
      <c r="T148" s="2" t="str">
        <f t="shared" si="34"/>
        <v>0</v>
      </c>
    </row>
    <row r="149" spans="5:20" x14ac:dyDescent="0.25">
      <c r="E149" s="2" t="str">
        <f t="shared" si="19"/>
        <v>0</v>
      </c>
      <c r="F149" s="2" t="str">
        <f t="shared" si="20"/>
        <v>0</v>
      </c>
      <c r="G149" s="2" t="str">
        <f t="shared" si="21"/>
        <v>0</v>
      </c>
      <c r="H149" s="2" t="str">
        <f t="shared" si="22"/>
        <v>0</v>
      </c>
      <c r="I149" s="2" t="str">
        <f t="shared" si="23"/>
        <v>0</v>
      </c>
      <c r="J149" s="2" t="str">
        <f t="shared" si="24"/>
        <v>0</v>
      </c>
      <c r="K149" s="2" t="str">
        <f t="shared" si="25"/>
        <v>0</v>
      </c>
      <c r="L149" s="2" t="str">
        <f t="shared" si="26"/>
        <v>0</v>
      </c>
      <c r="M149" s="2" t="str">
        <f t="shared" si="27"/>
        <v>0</v>
      </c>
      <c r="N149" s="2" t="str">
        <f t="shared" si="28"/>
        <v>0</v>
      </c>
      <c r="O149" s="2" t="str">
        <f t="shared" si="29"/>
        <v>0</v>
      </c>
      <c r="P149" s="2" t="str">
        <f t="shared" si="30"/>
        <v>0</v>
      </c>
      <c r="Q149" s="2" t="str">
        <f t="shared" si="31"/>
        <v>0</v>
      </c>
      <c r="R149" s="2" t="str">
        <f t="shared" si="32"/>
        <v>0</v>
      </c>
      <c r="S149" s="2" t="str">
        <f t="shared" si="33"/>
        <v>0</v>
      </c>
      <c r="T149" s="2" t="str">
        <f t="shared" si="34"/>
        <v>0</v>
      </c>
    </row>
    <row r="150" spans="5:20" x14ac:dyDescent="0.25">
      <c r="E150" s="2" t="str">
        <f t="shared" si="19"/>
        <v>0</v>
      </c>
      <c r="F150" s="2" t="str">
        <f t="shared" si="20"/>
        <v>0</v>
      </c>
      <c r="G150" s="2" t="str">
        <f t="shared" si="21"/>
        <v>0</v>
      </c>
      <c r="H150" s="2" t="str">
        <f t="shared" si="22"/>
        <v>0</v>
      </c>
      <c r="I150" s="2" t="str">
        <f t="shared" si="23"/>
        <v>0</v>
      </c>
      <c r="J150" s="2" t="str">
        <f t="shared" si="24"/>
        <v>0</v>
      </c>
      <c r="K150" s="2" t="str">
        <f t="shared" si="25"/>
        <v>0</v>
      </c>
      <c r="L150" s="2" t="str">
        <f t="shared" si="26"/>
        <v>0</v>
      </c>
      <c r="M150" s="2" t="str">
        <f t="shared" si="27"/>
        <v>0</v>
      </c>
      <c r="N150" s="2" t="str">
        <f t="shared" si="28"/>
        <v>0</v>
      </c>
      <c r="O150" s="2" t="str">
        <f t="shared" si="29"/>
        <v>0</v>
      </c>
      <c r="P150" s="2" t="str">
        <f t="shared" si="30"/>
        <v>0</v>
      </c>
      <c r="Q150" s="2" t="str">
        <f t="shared" si="31"/>
        <v>0</v>
      </c>
      <c r="R150" s="2" t="str">
        <f t="shared" si="32"/>
        <v>0</v>
      </c>
      <c r="S150" s="2" t="str">
        <f t="shared" si="33"/>
        <v>0</v>
      </c>
      <c r="T150" s="2" t="str">
        <f t="shared" si="34"/>
        <v>0</v>
      </c>
    </row>
    <row r="151" spans="5:20" x14ac:dyDescent="0.25">
      <c r="E151" s="2" t="str">
        <f t="shared" si="19"/>
        <v>0</v>
      </c>
      <c r="F151" s="2" t="str">
        <f t="shared" si="20"/>
        <v>0</v>
      </c>
      <c r="G151" s="2" t="str">
        <f t="shared" si="21"/>
        <v>0</v>
      </c>
      <c r="H151" s="2" t="str">
        <f t="shared" si="22"/>
        <v>0</v>
      </c>
      <c r="I151" s="2" t="str">
        <f t="shared" si="23"/>
        <v>0</v>
      </c>
      <c r="J151" s="2" t="str">
        <f t="shared" si="24"/>
        <v>0</v>
      </c>
      <c r="K151" s="2" t="str">
        <f t="shared" si="25"/>
        <v>0</v>
      </c>
      <c r="L151" s="2" t="str">
        <f t="shared" si="26"/>
        <v>0</v>
      </c>
      <c r="M151" s="2" t="str">
        <f t="shared" si="27"/>
        <v>0</v>
      </c>
      <c r="N151" s="2" t="str">
        <f t="shared" si="28"/>
        <v>0</v>
      </c>
      <c r="O151" s="2" t="str">
        <f t="shared" si="29"/>
        <v>0</v>
      </c>
      <c r="P151" s="2" t="str">
        <f t="shared" si="30"/>
        <v>0</v>
      </c>
      <c r="Q151" s="2" t="str">
        <f t="shared" si="31"/>
        <v>0</v>
      </c>
      <c r="R151" s="2" t="str">
        <f t="shared" si="32"/>
        <v>0</v>
      </c>
      <c r="S151" s="2" t="str">
        <f t="shared" si="33"/>
        <v>0</v>
      </c>
      <c r="T151" s="2" t="str">
        <f t="shared" si="34"/>
        <v>0</v>
      </c>
    </row>
    <row r="152" spans="5:20" x14ac:dyDescent="0.25">
      <c r="E152" s="2" t="str">
        <f t="shared" si="19"/>
        <v>0</v>
      </c>
      <c r="F152" s="2" t="str">
        <f t="shared" si="20"/>
        <v>0</v>
      </c>
      <c r="G152" s="2" t="str">
        <f t="shared" si="21"/>
        <v>0</v>
      </c>
      <c r="H152" s="2" t="str">
        <f t="shared" si="22"/>
        <v>0</v>
      </c>
      <c r="I152" s="2" t="str">
        <f t="shared" si="23"/>
        <v>0</v>
      </c>
      <c r="J152" s="2" t="str">
        <f t="shared" si="24"/>
        <v>0</v>
      </c>
      <c r="K152" s="2" t="str">
        <f t="shared" si="25"/>
        <v>0</v>
      </c>
      <c r="L152" s="2" t="str">
        <f t="shared" si="26"/>
        <v>0</v>
      </c>
      <c r="M152" s="2" t="str">
        <f t="shared" si="27"/>
        <v>0</v>
      </c>
      <c r="N152" s="2" t="str">
        <f t="shared" si="28"/>
        <v>0</v>
      </c>
      <c r="O152" s="2" t="str">
        <f t="shared" si="29"/>
        <v>0</v>
      </c>
      <c r="P152" s="2" t="str">
        <f t="shared" si="30"/>
        <v>0</v>
      </c>
      <c r="Q152" s="2" t="str">
        <f t="shared" si="31"/>
        <v>0</v>
      </c>
      <c r="R152" s="2" t="str">
        <f t="shared" si="32"/>
        <v>0</v>
      </c>
      <c r="S152" s="2" t="str">
        <f t="shared" si="33"/>
        <v>0</v>
      </c>
      <c r="T152" s="2" t="str">
        <f t="shared" si="34"/>
        <v>0</v>
      </c>
    </row>
    <row r="153" spans="5:20" x14ac:dyDescent="0.25">
      <c r="E153" s="2" t="str">
        <f t="shared" si="19"/>
        <v>0</v>
      </c>
      <c r="F153" s="2" t="str">
        <f t="shared" si="20"/>
        <v>0</v>
      </c>
      <c r="G153" s="2" t="str">
        <f t="shared" si="21"/>
        <v>0</v>
      </c>
      <c r="H153" s="2" t="str">
        <f t="shared" si="22"/>
        <v>0</v>
      </c>
      <c r="I153" s="2" t="str">
        <f t="shared" si="23"/>
        <v>0</v>
      </c>
      <c r="J153" s="2" t="str">
        <f t="shared" si="24"/>
        <v>0</v>
      </c>
      <c r="K153" s="2" t="str">
        <f t="shared" si="25"/>
        <v>0</v>
      </c>
      <c r="L153" s="2" t="str">
        <f t="shared" si="26"/>
        <v>0</v>
      </c>
      <c r="M153" s="2" t="str">
        <f t="shared" si="27"/>
        <v>0</v>
      </c>
      <c r="N153" s="2" t="str">
        <f t="shared" si="28"/>
        <v>0</v>
      </c>
      <c r="O153" s="2" t="str">
        <f t="shared" si="29"/>
        <v>0</v>
      </c>
      <c r="P153" s="2" t="str">
        <f t="shared" si="30"/>
        <v>0</v>
      </c>
      <c r="Q153" s="2" t="str">
        <f t="shared" si="31"/>
        <v>0</v>
      </c>
      <c r="R153" s="2" t="str">
        <f t="shared" si="32"/>
        <v>0</v>
      </c>
      <c r="S153" s="2" t="str">
        <f t="shared" si="33"/>
        <v>0</v>
      </c>
      <c r="T153" s="2" t="str">
        <f t="shared" si="34"/>
        <v>0</v>
      </c>
    </row>
    <row r="154" spans="5:20" x14ac:dyDescent="0.25">
      <c r="E154" s="2" t="str">
        <f t="shared" si="19"/>
        <v>0</v>
      </c>
      <c r="F154" s="2" t="str">
        <f t="shared" si="20"/>
        <v>0</v>
      </c>
      <c r="G154" s="2" t="str">
        <f t="shared" si="21"/>
        <v>0</v>
      </c>
      <c r="H154" s="2" t="str">
        <f t="shared" si="22"/>
        <v>0</v>
      </c>
      <c r="I154" s="2" t="str">
        <f t="shared" si="23"/>
        <v>0</v>
      </c>
      <c r="J154" s="2" t="str">
        <f t="shared" si="24"/>
        <v>0</v>
      </c>
      <c r="K154" s="2" t="str">
        <f t="shared" si="25"/>
        <v>0</v>
      </c>
      <c r="L154" s="2" t="str">
        <f t="shared" si="26"/>
        <v>0</v>
      </c>
      <c r="M154" s="2" t="str">
        <f t="shared" si="27"/>
        <v>0</v>
      </c>
      <c r="N154" s="2" t="str">
        <f t="shared" si="28"/>
        <v>0</v>
      </c>
      <c r="O154" s="2" t="str">
        <f t="shared" si="29"/>
        <v>0</v>
      </c>
      <c r="P154" s="2" t="str">
        <f t="shared" si="30"/>
        <v>0</v>
      </c>
      <c r="Q154" s="2" t="str">
        <f t="shared" si="31"/>
        <v>0</v>
      </c>
      <c r="R154" s="2" t="str">
        <f t="shared" si="32"/>
        <v>0</v>
      </c>
      <c r="S154" s="2" t="str">
        <f t="shared" si="33"/>
        <v>0</v>
      </c>
      <c r="T154" s="2" t="str">
        <f t="shared" si="34"/>
        <v>0</v>
      </c>
    </row>
    <row r="155" spans="5:20" x14ac:dyDescent="0.25">
      <c r="E155" s="2" t="str">
        <f t="shared" si="19"/>
        <v>0</v>
      </c>
      <c r="F155" s="2" t="str">
        <f t="shared" si="20"/>
        <v>0</v>
      </c>
      <c r="G155" s="2" t="str">
        <f t="shared" si="21"/>
        <v>0</v>
      </c>
      <c r="H155" s="2" t="str">
        <f t="shared" si="22"/>
        <v>0</v>
      </c>
      <c r="I155" s="2" t="str">
        <f t="shared" si="23"/>
        <v>0</v>
      </c>
      <c r="J155" s="2" t="str">
        <f t="shared" si="24"/>
        <v>0</v>
      </c>
      <c r="K155" s="2" t="str">
        <f t="shared" si="25"/>
        <v>0</v>
      </c>
      <c r="L155" s="2" t="str">
        <f t="shared" si="26"/>
        <v>0</v>
      </c>
      <c r="M155" s="2" t="str">
        <f t="shared" si="27"/>
        <v>0</v>
      </c>
      <c r="N155" s="2" t="str">
        <f t="shared" si="28"/>
        <v>0</v>
      </c>
      <c r="O155" s="2" t="str">
        <f t="shared" si="29"/>
        <v>0</v>
      </c>
      <c r="P155" s="2" t="str">
        <f t="shared" si="30"/>
        <v>0</v>
      </c>
      <c r="Q155" s="2" t="str">
        <f t="shared" si="31"/>
        <v>0</v>
      </c>
      <c r="R155" s="2" t="str">
        <f t="shared" si="32"/>
        <v>0</v>
      </c>
      <c r="S155" s="2" t="str">
        <f t="shared" si="33"/>
        <v>0</v>
      </c>
      <c r="T155" s="2" t="str">
        <f t="shared" si="34"/>
        <v>0</v>
      </c>
    </row>
    <row r="156" spans="5:20" x14ac:dyDescent="0.25">
      <c r="E156" s="2" t="str">
        <f t="shared" si="19"/>
        <v>0</v>
      </c>
      <c r="F156" s="2" t="str">
        <f t="shared" si="20"/>
        <v>0</v>
      </c>
      <c r="G156" s="2" t="str">
        <f t="shared" si="21"/>
        <v>0</v>
      </c>
      <c r="H156" s="2" t="str">
        <f t="shared" si="22"/>
        <v>0</v>
      </c>
      <c r="I156" s="2" t="str">
        <f t="shared" si="23"/>
        <v>0</v>
      </c>
      <c r="J156" s="2" t="str">
        <f t="shared" si="24"/>
        <v>0</v>
      </c>
      <c r="K156" s="2" t="str">
        <f t="shared" si="25"/>
        <v>0</v>
      </c>
      <c r="L156" s="2" t="str">
        <f t="shared" si="26"/>
        <v>0</v>
      </c>
      <c r="M156" s="2" t="str">
        <f t="shared" si="27"/>
        <v>0</v>
      </c>
      <c r="N156" s="2" t="str">
        <f t="shared" si="28"/>
        <v>0</v>
      </c>
      <c r="O156" s="2" t="str">
        <f t="shared" si="29"/>
        <v>0</v>
      </c>
      <c r="P156" s="2" t="str">
        <f t="shared" si="30"/>
        <v>0</v>
      </c>
      <c r="Q156" s="2" t="str">
        <f t="shared" si="31"/>
        <v>0</v>
      </c>
      <c r="R156" s="2" t="str">
        <f t="shared" si="32"/>
        <v>0</v>
      </c>
      <c r="S156" s="2" t="str">
        <f t="shared" si="33"/>
        <v>0</v>
      </c>
      <c r="T156" s="2" t="str">
        <f t="shared" si="34"/>
        <v>0</v>
      </c>
    </row>
    <row r="157" spans="5:20" x14ac:dyDescent="0.25">
      <c r="E157" s="2" t="str">
        <f t="shared" si="19"/>
        <v>0</v>
      </c>
      <c r="F157" s="2" t="str">
        <f t="shared" si="20"/>
        <v>0</v>
      </c>
      <c r="G157" s="2" t="str">
        <f t="shared" si="21"/>
        <v>0</v>
      </c>
      <c r="H157" s="2" t="str">
        <f t="shared" si="22"/>
        <v>0</v>
      </c>
      <c r="I157" s="2" t="str">
        <f t="shared" si="23"/>
        <v>0</v>
      </c>
      <c r="J157" s="2" t="str">
        <f t="shared" si="24"/>
        <v>0</v>
      </c>
      <c r="K157" s="2" t="str">
        <f t="shared" si="25"/>
        <v>0</v>
      </c>
      <c r="L157" s="2" t="str">
        <f t="shared" si="26"/>
        <v>0</v>
      </c>
      <c r="M157" s="2" t="str">
        <f t="shared" si="27"/>
        <v>0</v>
      </c>
      <c r="N157" s="2" t="str">
        <f t="shared" si="28"/>
        <v>0</v>
      </c>
      <c r="O157" s="2" t="str">
        <f t="shared" si="29"/>
        <v>0</v>
      </c>
      <c r="P157" s="2" t="str">
        <f t="shared" si="30"/>
        <v>0</v>
      </c>
      <c r="Q157" s="2" t="str">
        <f t="shared" si="31"/>
        <v>0</v>
      </c>
      <c r="R157" s="2" t="str">
        <f t="shared" si="32"/>
        <v>0</v>
      </c>
      <c r="S157" s="2" t="str">
        <f t="shared" si="33"/>
        <v>0</v>
      </c>
      <c r="T157" s="2" t="str">
        <f t="shared" si="34"/>
        <v>0</v>
      </c>
    </row>
    <row r="158" spans="5:20" x14ac:dyDescent="0.25">
      <c r="E158" s="2">
        <f>SUM(E70:E157)</f>
        <v>9</v>
      </c>
      <c r="F158" s="2">
        <f t="shared" ref="F158:T158" si="35">SUM(F70:F157)</f>
        <v>57.58</v>
      </c>
      <c r="G158" s="2">
        <f t="shared" si="35"/>
        <v>33.269999999999996</v>
      </c>
      <c r="H158" s="2">
        <f t="shared" si="35"/>
        <v>0</v>
      </c>
      <c r="I158" s="2">
        <f t="shared" si="35"/>
        <v>11</v>
      </c>
      <c r="J158" s="2">
        <f t="shared" si="35"/>
        <v>88.85</v>
      </c>
      <c r="K158" s="2">
        <f t="shared" si="35"/>
        <v>0</v>
      </c>
      <c r="L158" s="2">
        <f t="shared" si="35"/>
        <v>10</v>
      </c>
      <c r="M158" s="2">
        <f t="shared" si="35"/>
        <v>77.849999999999994</v>
      </c>
      <c r="N158" s="2">
        <f t="shared" si="35"/>
        <v>7</v>
      </c>
      <c r="O158" s="2">
        <f t="shared" si="35"/>
        <v>0</v>
      </c>
      <c r="P158" s="2">
        <f t="shared" si="35"/>
        <v>89.85</v>
      </c>
      <c r="Q158" s="2">
        <f t="shared" si="35"/>
        <v>0</v>
      </c>
      <c r="R158" s="2">
        <f t="shared" si="35"/>
        <v>0</v>
      </c>
      <c r="S158" s="2">
        <f t="shared" si="35"/>
        <v>89.85</v>
      </c>
      <c r="T158" s="2">
        <f t="shared" si="35"/>
        <v>0</v>
      </c>
    </row>
  </sheetData>
  <mergeCells count="14">
    <mergeCell ref="R5:T5"/>
    <mergeCell ref="U5:U6"/>
    <mergeCell ref="E63:F63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16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2A40-2E57-4B5B-A787-B71550A0CCFB}">
  <dimension ref="A1:AN127"/>
  <sheetViews>
    <sheetView view="pageBreakPreview" zoomScale="70" zoomScaleNormal="70" zoomScaleSheetLayoutView="70" workbookViewId="0">
      <selection activeCell="I17" sqref="I17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TT!C13</f>
        <v>RODOVIA TO-387 - TRECHO PALMEIRÓPOLIS - SÃO SALVADOR DO TOCANTINS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4">
      <c r="A7" s="56" t="s">
        <v>102</v>
      </c>
      <c r="B7" s="56" t="s">
        <v>130</v>
      </c>
      <c r="C7" s="60">
        <v>0</v>
      </c>
      <c r="D7" s="60">
        <v>0.8</v>
      </c>
      <c r="E7" s="57"/>
      <c r="F7" s="57" t="s">
        <v>129</v>
      </c>
      <c r="G7" s="57"/>
      <c r="H7" s="57"/>
      <c r="I7" s="57" t="s">
        <v>129</v>
      </c>
      <c r="J7" s="57"/>
      <c r="K7" s="57" t="s">
        <v>129</v>
      </c>
      <c r="L7" s="57"/>
      <c r="M7" s="57" t="s">
        <v>129</v>
      </c>
      <c r="N7" s="57" t="s">
        <v>129</v>
      </c>
      <c r="O7" s="57"/>
      <c r="P7" s="57" t="s">
        <v>129</v>
      </c>
      <c r="Q7" s="57"/>
      <c r="R7" s="57"/>
      <c r="S7" s="57" t="s">
        <v>129</v>
      </c>
      <c r="T7" s="3"/>
      <c r="U7" s="5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4">
      <c r="A8" s="56"/>
      <c r="B8" s="56"/>
      <c r="C8" s="60">
        <f>D7</f>
        <v>0.8</v>
      </c>
      <c r="D8" s="60">
        <v>4.7</v>
      </c>
      <c r="E8" s="57"/>
      <c r="F8" s="57" t="s">
        <v>129</v>
      </c>
      <c r="G8" s="57"/>
      <c r="H8" s="57"/>
      <c r="I8" s="57" t="s">
        <v>129</v>
      </c>
      <c r="J8" s="57"/>
      <c r="K8" s="57" t="s">
        <v>129</v>
      </c>
      <c r="L8" s="57"/>
      <c r="M8" s="57" t="s">
        <v>129</v>
      </c>
      <c r="N8" s="57" t="s">
        <v>129</v>
      </c>
      <c r="O8" s="57"/>
      <c r="P8" s="57" t="s">
        <v>129</v>
      </c>
      <c r="Q8" s="57"/>
      <c r="R8" s="57"/>
      <c r="S8" s="57" t="s">
        <v>129</v>
      </c>
      <c r="T8" s="3"/>
      <c r="U8" s="5"/>
    </row>
    <row r="9" spans="1:40" ht="36" customHeight="1" x14ac:dyDescent="0.4">
      <c r="A9" s="56"/>
      <c r="B9" s="56"/>
      <c r="C9" s="60">
        <f t="shared" ref="C9:C25" si="0">D8</f>
        <v>4.7</v>
      </c>
      <c r="D9" s="60">
        <v>6.3</v>
      </c>
      <c r="E9" s="57"/>
      <c r="F9" s="57"/>
      <c r="G9" s="57" t="s">
        <v>129</v>
      </c>
      <c r="H9" s="57"/>
      <c r="I9" s="57" t="s">
        <v>129</v>
      </c>
      <c r="J9" s="57"/>
      <c r="K9" s="57" t="s">
        <v>129</v>
      </c>
      <c r="L9" s="57"/>
      <c r="M9" s="57" t="s">
        <v>129</v>
      </c>
      <c r="N9" s="57" t="s">
        <v>129</v>
      </c>
      <c r="O9" s="57"/>
      <c r="P9" s="57" t="s">
        <v>129</v>
      </c>
      <c r="Q9" s="57"/>
      <c r="R9" s="57"/>
      <c r="S9" s="57" t="s">
        <v>129</v>
      </c>
      <c r="T9" s="3"/>
      <c r="U9" s="5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4">
      <c r="A10" s="56"/>
      <c r="B10" s="56"/>
      <c r="C10" s="60">
        <f t="shared" si="0"/>
        <v>6.3</v>
      </c>
      <c r="D10" s="60">
        <v>8.1</v>
      </c>
      <c r="E10" s="57"/>
      <c r="F10" s="57" t="s">
        <v>129</v>
      </c>
      <c r="G10" s="57"/>
      <c r="H10" s="57" t="s">
        <v>129</v>
      </c>
      <c r="I10" s="57"/>
      <c r="J10" s="57"/>
      <c r="K10" s="57" t="s">
        <v>129</v>
      </c>
      <c r="L10" s="57"/>
      <c r="M10" s="57" t="s">
        <v>129</v>
      </c>
      <c r="N10" s="57" t="s">
        <v>129</v>
      </c>
      <c r="O10" s="57"/>
      <c r="P10" s="57" t="s">
        <v>129</v>
      </c>
      <c r="Q10" s="57"/>
      <c r="R10" s="57"/>
      <c r="S10" s="57" t="s">
        <v>129</v>
      </c>
      <c r="T10" s="3"/>
      <c r="U10" s="5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4">
      <c r="A11" s="56"/>
      <c r="B11" s="56"/>
      <c r="C11" s="60">
        <f t="shared" si="0"/>
        <v>8.1</v>
      </c>
      <c r="D11" s="60">
        <v>9.3000000000000007</v>
      </c>
      <c r="E11" s="57"/>
      <c r="F11" s="57" t="s">
        <v>129</v>
      </c>
      <c r="G11" s="57"/>
      <c r="H11" s="57"/>
      <c r="I11" s="57" t="s">
        <v>129</v>
      </c>
      <c r="J11" s="57"/>
      <c r="K11" s="57" t="s">
        <v>129</v>
      </c>
      <c r="L11" s="57"/>
      <c r="M11" s="57" t="s">
        <v>129</v>
      </c>
      <c r="N11" s="57" t="s">
        <v>129</v>
      </c>
      <c r="O11" s="57"/>
      <c r="P11" s="57" t="s">
        <v>129</v>
      </c>
      <c r="Q11" s="57"/>
      <c r="R11" s="57"/>
      <c r="S11" s="57" t="s">
        <v>129</v>
      </c>
      <c r="T11" s="3"/>
      <c r="U11" s="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4">
      <c r="A12" s="56"/>
      <c r="B12" s="56"/>
      <c r="C12" s="60">
        <f t="shared" si="0"/>
        <v>9.3000000000000007</v>
      </c>
      <c r="D12" s="60">
        <v>10.8</v>
      </c>
      <c r="E12" s="57" t="s">
        <v>129</v>
      </c>
      <c r="F12" s="57"/>
      <c r="G12" s="57"/>
      <c r="H12" s="57"/>
      <c r="I12" s="57"/>
      <c r="J12" s="57"/>
      <c r="K12" s="57" t="s">
        <v>129</v>
      </c>
      <c r="L12" s="57"/>
      <c r="M12" s="57" t="s">
        <v>129</v>
      </c>
      <c r="N12" s="57"/>
      <c r="O12" s="57"/>
      <c r="P12" s="57" t="s">
        <v>129</v>
      </c>
      <c r="Q12" s="57"/>
      <c r="R12" s="57"/>
      <c r="S12" s="57" t="s">
        <v>129</v>
      </c>
      <c r="T12" s="3"/>
      <c r="U12" s="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4">
      <c r="A13" s="56"/>
      <c r="B13" s="56"/>
      <c r="C13" s="60">
        <f t="shared" si="0"/>
        <v>10.8</v>
      </c>
      <c r="D13" s="60">
        <v>10.9</v>
      </c>
      <c r="E13" s="57"/>
      <c r="F13" s="57"/>
      <c r="G13" s="57" t="s">
        <v>129</v>
      </c>
      <c r="H13" s="57"/>
      <c r="I13" s="57" t="s">
        <v>129</v>
      </c>
      <c r="J13" s="57"/>
      <c r="K13" s="57" t="s">
        <v>129</v>
      </c>
      <c r="L13" s="57"/>
      <c r="M13" s="57" t="s">
        <v>129</v>
      </c>
      <c r="N13" s="57" t="s">
        <v>129</v>
      </c>
      <c r="O13" s="57"/>
      <c r="P13" s="57" t="s">
        <v>129</v>
      </c>
      <c r="Q13" s="57"/>
      <c r="R13" s="57"/>
      <c r="S13" s="57" t="s">
        <v>129</v>
      </c>
      <c r="T13" s="3"/>
      <c r="U13" s="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4">
      <c r="A14" s="56"/>
      <c r="B14" s="56"/>
      <c r="C14" s="60">
        <f t="shared" si="0"/>
        <v>10.9</v>
      </c>
      <c r="D14" s="60">
        <v>11.8</v>
      </c>
      <c r="E14" s="57"/>
      <c r="F14" s="57" t="s">
        <v>129</v>
      </c>
      <c r="G14" s="57"/>
      <c r="H14" s="57"/>
      <c r="I14" s="57" t="s">
        <v>129</v>
      </c>
      <c r="J14" s="57"/>
      <c r="K14" s="57" t="s">
        <v>129</v>
      </c>
      <c r="L14" s="57"/>
      <c r="M14" s="57" t="s">
        <v>129</v>
      </c>
      <c r="N14" s="57"/>
      <c r="O14" s="57"/>
      <c r="P14" s="57" t="s">
        <v>129</v>
      </c>
      <c r="Q14" s="57"/>
      <c r="R14" s="57"/>
      <c r="S14" s="57" t="s">
        <v>129</v>
      </c>
      <c r="T14" s="3"/>
      <c r="U14" s="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4">
      <c r="A15" s="56"/>
      <c r="B15" s="56"/>
      <c r="C15" s="60">
        <f t="shared" si="0"/>
        <v>11.8</v>
      </c>
      <c r="D15" s="60">
        <v>13.5</v>
      </c>
      <c r="E15" s="57"/>
      <c r="F15" s="57" t="s">
        <v>129</v>
      </c>
      <c r="G15" s="57"/>
      <c r="H15" s="57"/>
      <c r="I15" s="57"/>
      <c r="J15" s="57"/>
      <c r="K15" s="57" t="s">
        <v>129</v>
      </c>
      <c r="L15" s="57"/>
      <c r="M15" s="57" t="s">
        <v>129</v>
      </c>
      <c r="N15" s="57"/>
      <c r="O15" s="57"/>
      <c r="P15" s="57" t="s">
        <v>129</v>
      </c>
      <c r="Q15" s="57"/>
      <c r="R15" s="57"/>
      <c r="S15" s="57" t="s">
        <v>129</v>
      </c>
      <c r="T15" s="56"/>
      <c r="U15" s="61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4">
      <c r="A16" s="56"/>
      <c r="B16" s="56"/>
      <c r="C16" s="60">
        <f t="shared" si="0"/>
        <v>13.5</v>
      </c>
      <c r="D16" s="60">
        <v>14.1</v>
      </c>
      <c r="E16" s="57"/>
      <c r="F16" s="57"/>
      <c r="G16" s="57" t="s">
        <v>129</v>
      </c>
      <c r="H16" s="57"/>
      <c r="I16" s="57" t="s">
        <v>129</v>
      </c>
      <c r="J16" s="57"/>
      <c r="K16" s="57" t="s">
        <v>129</v>
      </c>
      <c r="L16" s="57"/>
      <c r="M16" s="57" t="s">
        <v>129</v>
      </c>
      <c r="N16" s="57" t="s">
        <v>129</v>
      </c>
      <c r="O16" s="57"/>
      <c r="P16" s="57" t="s">
        <v>129</v>
      </c>
      <c r="Q16" s="57"/>
      <c r="R16" s="57"/>
      <c r="S16" s="57" t="s">
        <v>129</v>
      </c>
      <c r="T16" s="56"/>
      <c r="U16" s="61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4">
      <c r="A17" s="56"/>
      <c r="B17" s="56"/>
      <c r="C17" s="60">
        <f t="shared" si="0"/>
        <v>14.1</v>
      </c>
      <c r="D17" s="60">
        <v>16.5</v>
      </c>
      <c r="E17" s="57"/>
      <c r="F17" s="57" t="s">
        <v>129</v>
      </c>
      <c r="G17" s="57"/>
      <c r="H17" s="57"/>
      <c r="I17" s="57" t="s">
        <v>129</v>
      </c>
      <c r="J17" s="57"/>
      <c r="K17" s="57" t="s">
        <v>129</v>
      </c>
      <c r="L17" s="57"/>
      <c r="M17" s="57" t="s">
        <v>129</v>
      </c>
      <c r="N17" s="57"/>
      <c r="O17" s="57"/>
      <c r="P17" s="57" t="s">
        <v>129</v>
      </c>
      <c r="Q17" s="57"/>
      <c r="R17" s="57"/>
      <c r="S17" s="57" t="s">
        <v>129</v>
      </c>
      <c r="T17" s="56"/>
      <c r="U17" s="61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4">
      <c r="A18" s="56"/>
      <c r="B18" s="56"/>
      <c r="C18" s="60">
        <f t="shared" si="0"/>
        <v>16.5</v>
      </c>
      <c r="D18" s="60">
        <v>19.399999999999999</v>
      </c>
      <c r="E18" s="57"/>
      <c r="F18" s="57" t="s">
        <v>129</v>
      </c>
      <c r="G18" s="57"/>
      <c r="H18" s="57"/>
      <c r="I18" s="57" t="s">
        <v>129</v>
      </c>
      <c r="J18" s="57"/>
      <c r="K18" s="57" t="s">
        <v>129</v>
      </c>
      <c r="L18" s="57"/>
      <c r="M18" s="57" t="s">
        <v>129</v>
      </c>
      <c r="N18" s="57"/>
      <c r="O18" s="57"/>
      <c r="P18" s="57" t="s">
        <v>129</v>
      </c>
      <c r="Q18" s="57"/>
      <c r="R18" s="57"/>
      <c r="S18" s="57" t="s">
        <v>129</v>
      </c>
      <c r="T18" s="56"/>
      <c r="U18" s="61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4">
      <c r="A19" s="56"/>
      <c r="B19" s="56"/>
      <c r="C19" s="60">
        <f t="shared" si="0"/>
        <v>19.399999999999999</v>
      </c>
      <c r="D19" s="60">
        <v>25.4</v>
      </c>
      <c r="E19" s="57"/>
      <c r="F19" s="57" t="s">
        <v>129</v>
      </c>
      <c r="G19" s="57"/>
      <c r="H19" s="57"/>
      <c r="I19" s="57" t="s">
        <v>129</v>
      </c>
      <c r="J19" s="57"/>
      <c r="K19" s="57" t="s">
        <v>129</v>
      </c>
      <c r="L19" s="57"/>
      <c r="M19" s="57" t="s">
        <v>129</v>
      </c>
      <c r="N19" s="57"/>
      <c r="O19" s="57"/>
      <c r="P19" s="57" t="s">
        <v>129</v>
      </c>
      <c r="Q19" s="57"/>
      <c r="R19" s="57"/>
      <c r="S19" s="57" t="s">
        <v>129</v>
      </c>
      <c r="T19" s="56"/>
      <c r="U19" s="61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4">
      <c r="A20" s="56"/>
      <c r="B20" s="56"/>
      <c r="C20" s="60">
        <f t="shared" si="0"/>
        <v>25.4</v>
      </c>
      <c r="D20" s="60">
        <v>26.5</v>
      </c>
      <c r="E20" s="57"/>
      <c r="F20" s="57" t="s">
        <v>129</v>
      </c>
      <c r="G20" s="57"/>
      <c r="H20" s="57"/>
      <c r="I20" s="57"/>
      <c r="J20" s="57"/>
      <c r="K20" s="57" t="s">
        <v>129</v>
      </c>
      <c r="L20" s="57"/>
      <c r="M20" s="57" t="s">
        <v>129</v>
      </c>
      <c r="N20" s="57"/>
      <c r="O20" s="57"/>
      <c r="P20" s="57" t="s">
        <v>129</v>
      </c>
      <c r="Q20" s="57"/>
      <c r="R20" s="57"/>
      <c r="S20" s="57" t="s">
        <v>129</v>
      </c>
      <c r="T20" s="56"/>
      <c r="U20" s="61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4">
      <c r="A21" s="56"/>
      <c r="B21" s="56"/>
      <c r="C21" s="60">
        <f t="shared" si="0"/>
        <v>26.5</v>
      </c>
      <c r="D21" s="60">
        <v>28</v>
      </c>
      <c r="E21" s="57" t="s">
        <v>129</v>
      </c>
      <c r="F21" s="57"/>
      <c r="G21" s="57"/>
      <c r="H21" s="57"/>
      <c r="I21" s="57"/>
      <c r="J21" s="57"/>
      <c r="K21" s="57" t="s">
        <v>129</v>
      </c>
      <c r="L21" s="57"/>
      <c r="M21" s="57" t="s">
        <v>129</v>
      </c>
      <c r="N21" s="57"/>
      <c r="O21" s="57"/>
      <c r="P21" s="57" t="s">
        <v>129</v>
      </c>
      <c r="Q21" s="57"/>
      <c r="R21" s="57"/>
      <c r="S21" s="57" t="s">
        <v>129</v>
      </c>
      <c r="T21" s="56"/>
      <c r="U21" s="61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4">
      <c r="A22" s="56"/>
      <c r="B22" s="56"/>
      <c r="C22" s="60">
        <f t="shared" si="0"/>
        <v>28</v>
      </c>
      <c r="D22" s="60">
        <v>30.7</v>
      </c>
      <c r="E22" s="57"/>
      <c r="F22" s="57" t="s">
        <v>129</v>
      </c>
      <c r="G22" s="57"/>
      <c r="H22" s="57"/>
      <c r="I22" s="57" t="s">
        <v>129</v>
      </c>
      <c r="J22" s="57"/>
      <c r="K22" s="57" t="s">
        <v>129</v>
      </c>
      <c r="L22" s="57"/>
      <c r="M22" s="57" t="s">
        <v>129</v>
      </c>
      <c r="N22" s="57"/>
      <c r="O22" s="57"/>
      <c r="P22" s="57" t="s">
        <v>129</v>
      </c>
      <c r="Q22" s="57"/>
      <c r="R22" s="57"/>
      <c r="S22" s="57" t="s">
        <v>129</v>
      </c>
      <c r="T22" s="56"/>
      <c r="U22" s="61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4">
      <c r="A23" s="56"/>
      <c r="B23" s="56"/>
      <c r="C23" s="60">
        <f t="shared" si="0"/>
        <v>30.7</v>
      </c>
      <c r="D23" s="60">
        <v>32.5</v>
      </c>
      <c r="E23" s="57"/>
      <c r="F23" s="57" t="s">
        <v>129</v>
      </c>
      <c r="G23" s="57"/>
      <c r="H23" s="57"/>
      <c r="I23" s="57"/>
      <c r="J23" s="57"/>
      <c r="K23" s="57" t="s">
        <v>129</v>
      </c>
      <c r="L23" s="57"/>
      <c r="M23" s="57" t="s">
        <v>129</v>
      </c>
      <c r="N23" s="57"/>
      <c r="O23" s="56"/>
      <c r="P23" s="57" t="s">
        <v>129</v>
      </c>
      <c r="Q23" s="56"/>
      <c r="R23" s="56"/>
      <c r="S23" s="57" t="s">
        <v>129</v>
      </c>
      <c r="T23" s="56"/>
      <c r="U23" s="61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4">
      <c r="A24" s="56"/>
      <c r="B24" s="56"/>
      <c r="C24" s="60">
        <f t="shared" si="0"/>
        <v>32.5</v>
      </c>
      <c r="D24" s="60">
        <v>36.5</v>
      </c>
      <c r="E24" s="57"/>
      <c r="F24" s="57" t="s">
        <v>129</v>
      </c>
      <c r="G24" s="57"/>
      <c r="H24" s="57"/>
      <c r="I24" s="57"/>
      <c r="J24" s="57"/>
      <c r="K24" s="57" t="s">
        <v>129</v>
      </c>
      <c r="L24" s="57"/>
      <c r="M24" s="57" t="s">
        <v>129</v>
      </c>
      <c r="N24" s="57"/>
      <c r="O24" s="56"/>
      <c r="P24" s="57" t="s">
        <v>129</v>
      </c>
      <c r="Q24" s="56"/>
      <c r="R24" s="56"/>
      <c r="S24" s="57" t="s">
        <v>129</v>
      </c>
      <c r="T24" s="56"/>
      <c r="U24" s="61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4">
      <c r="A25" s="56"/>
      <c r="B25" s="56"/>
      <c r="C25" s="60">
        <f t="shared" si="0"/>
        <v>36.5</v>
      </c>
      <c r="D25" s="60">
        <v>37.42</v>
      </c>
      <c r="E25" s="57"/>
      <c r="F25" s="57" t="s">
        <v>129</v>
      </c>
      <c r="G25" s="57"/>
      <c r="H25" s="57"/>
      <c r="I25" s="57" t="s">
        <v>129</v>
      </c>
      <c r="J25" s="57"/>
      <c r="K25" s="57" t="s">
        <v>129</v>
      </c>
      <c r="L25" s="57"/>
      <c r="M25" s="57" t="s">
        <v>129</v>
      </c>
      <c r="N25" s="57"/>
      <c r="O25" s="56"/>
      <c r="P25" s="57" t="s">
        <v>129</v>
      </c>
      <c r="Q25" s="56"/>
      <c r="R25" s="56"/>
      <c r="S25" s="57" t="s">
        <v>129</v>
      </c>
      <c r="T25" s="56"/>
      <c r="U25" s="61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4">
      <c r="A26" s="56"/>
      <c r="B26" s="56"/>
      <c r="C26" s="56"/>
      <c r="D26" s="56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6"/>
      <c r="P26" s="56"/>
      <c r="Q26" s="56"/>
      <c r="R26" s="56"/>
      <c r="S26" s="56"/>
      <c r="T26" s="56"/>
      <c r="U26" s="61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4">
      <c r="A27" s="56"/>
      <c r="B27" s="56"/>
      <c r="C27" s="56"/>
      <c r="D27" s="56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6"/>
      <c r="P27" s="56"/>
      <c r="Q27" s="56"/>
      <c r="R27" s="56"/>
      <c r="S27" s="56"/>
      <c r="T27" s="56"/>
      <c r="U27" s="61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4">
      <c r="A28" s="56"/>
      <c r="B28" s="56"/>
      <c r="C28" s="56"/>
      <c r="D28" s="5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6"/>
      <c r="P28" s="56"/>
      <c r="Q28" s="56"/>
      <c r="R28" s="56"/>
      <c r="S28" s="56"/>
      <c r="T28" s="56"/>
      <c r="U28" s="61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4">
      <c r="A29" s="56"/>
      <c r="B29" s="56"/>
      <c r="C29" s="56"/>
      <c r="D29" s="56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6"/>
      <c r="P29" s="56"/>
      <c r="Q29" s="56"/>
      <c r="R29" s="56"/>
      <c r="S29" s="56"/>
      <c r="T29" s="56"/>
      <c r="U29" s="61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45">
      <c r="A30" s="58"/>
      <c r="B30" s="58"/>
      <c r="C30" s="58"/>
      <c r="D30" s="58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8"/>
      <c r="P30" s="58"/>
      <c r="Q30" s="58"/>
      <c r="R30" s="58"/>
      <c r="S30" s="58"/>
      <c r="T30" s="58"/>
      <c r="U30" s="62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>
        <f>IF(F7="X",(D7-C7),"0")</f>
        <v>0.8</v>
      </c>
      <c r="G39" s="2" t="str">
        <f>IF(G7="X",(D7-C7),"0")</f>
        <v>0</v>
      </c>
      <c r="H39" s="2" t="str">
        <f>IF(H7="X",(D7-C7),"0")</f>
        <v>0</v>
      </c>
      <c r="I39" s="2">
        <f>IF(I7="X",(D7-C7),"0")</f>
        <v>0.8</v>
      </c>
      <c r="J39" s="2" t="str">
        <f>IF(J7="X",(D7-C7),"0")</f>
        <v>0</v>
      </c>
      <c r="K39" s="2">
        <f>IF(K7="X",(D7-C7),"0")</f>
        <v>0.8</v>
      </c>
      <c r="L39" s="2" t="str">
        <f>IF(L7="X",(D7-C7),"0")</f>
        <v>0</v>
      </c>
      <c r="M39" s="2">
        <f>IF(M7="X",(D7-C7),"0")</f>
        <v>0.8</v>
      </c>
      <c r="N39" s="2">
        <f>IF(N7="X",(D7-C7),"0")</f>
        <v>0.8</v>
      </c>
      <c r="O39" s="2" t="str">
        <f>IF(O7="X",(D7-C7),"0")</f>
        <v>0</v>
      </c>
      <c r="P39" s="2">
        <f>IF(P7="X",(D7-C7),"0")</f>
        <v>0.8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0.8</v>
      </c>
      <c r="T39" s="2" t="str">
        <f>IF(T7="X",(D7-C7),"0")</f>
        <v>0</v>
      </c>
    </row>
    <row r="40" spans="1:20" x14ac:dyDescent="0.25">
      <c r="E40" s="2" t="str">
        <f t="shared" ref="E40:E103" si="1">IF(E8="X",(D8-C8),"0")</f>
        <v>0</v>
      </c>
      <c r="F40" s="2">
        <f t="shared" ref="F40:F103" si="2">IF(F8="X",(D8-C8),"0")</f>
        <v>3.9000000000000004</v>
      </c>
      <c r="G40" s="2" t="str">
        <f t="shared" ref="G40:G103" si="3">IF(G8="X",(D8-C8),"0")</f>
        <v>0</v>
      </c>
      <c r="H40" s="2" t="str">
        <f t="shared" ref="H40:H103" si="4">IF(H8="X",(D8-C8),"0")</f>
        <v>0</v>
      </c>
      <c r="I40" s="2">
        <f t="shared" ref="I40:I103" si="5">IF(I8="X",(D8-C8),"0")</f>
        <v>3.9000000000000004</v>
      </c>
      <c r="J40" s="2" t="str">
        <f t="shared" ref="J40:J103" si="6">IF(J8="X",(D8-C8),"0")</f>
        <v>0</v>
      </c>
      <c r="K40" s="2">
        <f t="shared" ref="K40:K103" si="7">IF(K8="X",(D8-C8),"0")</f>
        <v>3.9000000000000004</v>
      </c>
      <c r="L40" s="2" t="str">
        <f t="shared" ref="L40:L103" si="8">IF(L8="X",(D8-C8),"0")</f>
        <v>0</v>
      </c>
      <c r="M40" s="2">
        <f t="shared" ref="M40:M103" si="9">IF(M8="X",(D8-C8),"0")</f>
        <v>3.9000000000000004</v>
      </c>
      <c r="N40" s="2">
        <f t="shared" ref="N40:N103" si="10">IF(N8="X",(D8-C8),"0")</f>
        <v>3.9000000000000004</v>
      </c>
      <c r="O40" s="2" t="str">
        <f t="shared" ref="O40:O103" si="11">IF(O8="X",(D8-C8),"0")</f>
        <v>0</v>
      </c>
      <c r="P40" s="2">
        <f t="shared" ref="P40:P103" si="12">IF(P8="X",(D8-C8),"0")</f>
        <v>3.9000000000000004</v>
      </c>
      <c r="Q40" s="2" t="str">
        <f t="shared" ref="Q40:Q103" si="13">IF(Q8="X",(D8-C8),"0")</f>
        <v>0</v>
      </c>
      <c r="R40" s="2" t="str">
        <f t="shared" ref="R40:R103" si="14">IF(R8="X",(D8-C8),"0")</f>
        <v>0</v>
      </c>
      <c r="S40" s="2">
        <f t="shared" ref="S40:S103" si="15">IF(S8="X",(D8-C8),"0")</f>
        <v>3.9000000000000004</v>
      </c>
      <c r="T40" s="2" t="str">
        <f t="shared" ref="T40:T103" si="16">IF(T8="X",(D8-C8),"0")</f>
        <v>0</v>
      </c>
    </row>
    <row r="41" spans="1:20" x14ac:dyDescent="0.25">
      <c r="E41" s="2" t="str">
        <f t="shared" si="1"/>
        <v>0</v>
      </c>
      <c r="F41" s="2" t="str">
        <f t="shared" si="2"/>
        <v>0</v>
      </c>
      <c r="G41" s="2">
        <f t="shared" si="3"/>
        <v>1.5999999999999996</v>
      </c>
      <c r="H41" s="2" t="str">
        <f t="shared" si="4"/>
        <v>0</v>
      </c>
      <c r="I41" s="2">
        <f t="shared" si="5"/>
        <v>1.5999999999999996</v>
      </c>
      <c r="J41" s="2" t="str">
        <f t="shared" si="6"/>
        <v>0</v>
      </c>
      <c r="K41" s="2">
        <f t="shared" si="7"/>
        <v>1.5999999999999996</v>
      </c>
      <c r="L41" s="2" t="str">
        <f t="shared" si="8"/>
        <v>0</v>
      </c>
      <c r="M41" s="2">
        <f t="shared" si="9"/>
        <v>1.5999999999999996</v>
      </c>
      <c r="N41" s="2">
        <f t="shared" si="10"/>
        <v>1.5999999999999996</v>
      </c>
      <c r="O41" s="2" t="str">
        <f t="shared" si="11"/>
        <v>0</v>
      </c>
      <c r="P41" s="2">
        <f t="shared" si="12"/>
        <v>1.5999999999999996</v>
      </c>
      <c r="Q41" s="2" t="str">
        <f t="shared" si="13"/>
        <v>0</v>
      </c>
      <c r="R41" s="2" t="str">
        <f t="shared" si="14"/>
        <v>0</v>
      </c>
      <c r="S41" s="2">
        <f t="shared" si="15"/>
        <v>1.5999999999999996</v>
      </c>
      <c r="T41" s="2" t="str">
        <f t="shared" si="16"/>
        <v>0</v>
      </c>
    </row>
    <row r="42" spans="1:20" x14ac:dyDescent="0.25">
      <c r="E42" s="2" t="str">
        <f t="shared" si="1"/>
        <v>0</v>
      </c>
      <c r="F42" s="2">
        <f t="shared" si="2"/>
        <v>1.7999999999999998</v>
      </c>
      <c r="G42" s="2" t="str">
        <f t="shared" si="3"/>
        <v>0</v>
      </c>
      <c r="H42" s="2">
        <f t="shared" si="4"/>
        <v>1.7999999999999998</v>
      </c>
      <c r="I42" s="2" t="str">
        <f t="shared" si="5"/>
        <v>0</v>
      </c>
      <c r="J42" s="2" t="str">
        <f t="shared" si="6"/>
        <v>0</v>
      </c>
      <c r="K42" s="2">
        <f t="shared" si="7"/>
        <v>1.7999999999999998</v>
      </c>
      <c r="L42" s="2" t="str">
        <f t="shared" si="8"/>
        <v>0</v>
      </c>
      <c r="M42" s="2">
        <f t="shared" si="9"/>
        <v>1.7999999999999998</v>
      </c>
      <c r="N42" s="2">
        <f t="shared" si="10"/>
        <v>1.7999999999999998</v>
      </c>
      <c r="O42" s="2" t="str">
        <f t="shared" si="11"/>
        <v>0</v>
      </c>
      <c r="P42" s="2">
        <f t="shared" si="12"/>
        <v>1.7999999999999998</v>
      </c>
      <c r="Q42" s="2" t="str">
        <f t="shared" si="13"/>
        <v>0</v>
      </c>
      <c r="R42" s="2" t="str">
        <f t="shared" si="14"/>
        <v>0</v>
      </c>
      <c r="S42" s="2">
        <f t="shared" si="15"/>
        <v>1.7999999999999998</v>
      </c>
      <c r="T42" s="2" t="str">
        <f t="shared" si="16"/>
        <v>0</v>
      </c>
    </row>
    <row r="43" spans="1:20" x14ac:dyDescent="0.25">
      <c r="E43" s="2" t="str">
        <f t="shared" si="1"/>
        <v>0</v>
      </c>
      <c r="F43" s="2">
        <f t="shared" si="2"/>
        <v>1.2000000000000011</v>
      </c>
      <c r="G43" s="2" t="str">
        <f t="shared" si="3"/>
        <v>0</v>
      </c>
      <c r="H43" s="2" t="str">
        <f t="shared" si="4"/>
        <v>0</v>
      </c>
      <c r="I43" s="2">
        <f t="shared" si="5"/>
        <v>1.2000000000000011</v>
      </c>
      <c r="J43" s="2" t="str">
        <f t="shared" si="6"/>
        <v>0</v>
      </c>
      <c r="K43" s="2">
        <f t="shared" si="7"/>
        <v>1.2000000000000011</v>
      </c>
      <c r="L43" s="2" t="str">
        <f t="shared" si="8"/>
        <v>0</v>
      </c>
      <c r="M43" s="2">
        <f t="shared" si="9"/>
        <v>1.2000000000000011</v>
      </c>
      <c r="N43" s="2">
        <f t="shared" si="10"/>
        <v>1.2000000000000011</v>
      </c>
      <c r="O43" s="2" t="str">
        <f t="shared" si="11"/>
        <v>0</v>
      </c>
      <c r="P43" s="2">
        <f t="shared" si="12"/>
        <v>1.2000000000000011</v>
      </c>
      <c r="Q43" s="2" t="str">
        <f t="shared" si="13"/>
        <v>0</v>
      </c>
      <c r="R43" s="2" t="str">
        <f t="shared" si="14"/>
        <v>0</v>
      </c>
      <c r="S43" s="2">
        <f t="shared" si="15"/>
        <v>1.2000000000000011</v>
      </c>
      <c r="T43" s="2" t="str">
        <f t="shared" si="16"/>
        <v>0</v>
      </c>
    </row>
    <row r="44" spans="1:20" x14ac:dyDescent="0.25">
      <c r="E44" s="2">
        <f t="shared" si="1"/>
        <v>1.5</v>
      </c>
      <c r="F44" s="2" t="str">
        <f t="shared" si="2"/>
        <v>0</v>
      </c>
      <c r="G44" s="2" t="str">
        <f t="shared" si="3"/>
        <v>0</v>
      </c>
      <c r="H44" s="2" t="str">
        <f t="shared" si="4"/>
        <v>0</v>
      </c>
      <c r="I44" s="2" t="str">
        <f t="shared" si="5"/>
        <v>0</v>
      </c>
      <c r="J44" s="2" t="str">
        <f t="shared" si="6"/>
        <v>0</v>
      </c>
      <c r="K44" s="2">
        <f t="shared" si="7"/>
        <v>1.5</v>
      </c>
      <c r="L44" s="2" t="str">
        <f t="shared" si="8"/>
        <v>0</v>
      </c>
      <c r="M44" s="2">
        <f t="shared" si="9"/>
        <v>1.5</v>
      </c>
      <c r="N44" s="2" t="str">
        <f t="shared" si="10"/>
        <v>0</v>
      </c>
      <c r="O44" s="2" t="str">
        <f t="shared" si="11"/>
        <v>0</v>
      </c>
      <c r="P44" s="2">
        <f t="shared" si="12"/>
        <v>1.5</v>
      </c>
      <c r="Q44" s="2" t="str">
        <f t="shared" si="13"/>
        <v>0</v>
      </c>
      <c r="R44" s="2" t="str">
        <f t="shared" si="14"/>
        <v>0</v>
      </c>
      <c r="S44" s="2">
        <f t="shared" si="15"/>
        <v>1.5</v>
      </c>
      <c r="T44" s="2" t="str">
        <f t="shared" si="16"/>
        <v>0</v>
      </c>
    </row>
    <row r="45" spans="1:20" x14ac:dyDescent="0.25">
      <c r="E45" s="2" t="str">
        <f t="shared" si="1"/>
        <v>0</v>
      </c>
      <c r="F45" s="2" t="str">
        <f t="shared" si="2"/>
        <v>0</v>
      </c>
      <c r="G45" s="2">
        <f t="shared" si="3"/>
        <v>9.9999999999999645E-2</v>
      </c>
      <c r="H45" s="2" t="str">
        <f t="shared" si="4"/>
        <v>0</v>
      </c>
      <c r="I45" s="2">
        <f t="shared" si="5"/>
        <v>9.9999999999999645E-2</v>
      </c>
      <c r="J45" s="2" t="str">
        <f t="shared" si="6"/>
        <v>0</v>
      </c>
      <c r="K45" s="2">
        <f t="shared" si="7"/>
        <v>9.9999999999999645E-2</v>
      </c>
      <c r="L45" s="2" t="str">
        <f t="shared" si="8"/>
        <v>0</v>
      </c>
      <c r="M45" s="2">
        <f t="shared" si="9"/>
        <v>9.9999999999999645E-2</v>
      </c>
      <c r="N45" s="2">
        <f t="shared" si="10"/>
        <v>9.9999999999999645E-2</v>
      </c>
      <c r="O45" s="2" t="str">
        <f t="shared" si="11"/>
        <v>0</v>
      </c>
      <c r="P45" s="2">
        <f t="shared" si="12"/>
        <v>9.9999999999999645E-2</v>
      </c>
      <c r="Q45" s="2" t="str">
        <f t="shared" si="13"/>
        <v>0</v>
      </c>
      <c r="R45" s="2" t="str">
        <f t="shared" si="14"/>
        <v>0</v>
      </c>
      <c r="S45" s="2">
        <f t="shared" si="15"/>
        <v>9.9999999999999645E-2</v>
      </c>
      <c r="T45" s="2" t="str">
        <f t="shared" si="16"/>
        <v>0</v>
      </c>
    </row>
    <row r="46" spans="1:20" x14ac:dyDescent="0.25">
      <c r="E46" s="2" t="str">
        <f t="shared" si="1"/>
        <v>0</v>
      </c>
      <c r="F46" s="2">
        <f t="shared" si="2"/>
        <v>0.90000000000000036</v>
      </c>
      <c r="G46" s="2" t="str">
        <f t="shared" si="3"/>
        <v>0</v>
      </c>
      <c r="H46" s="2" t="str">
        <f t="shared" si="4"/>
        <v>0</v>
      </c>
      <c r="I46" s="2">
        <f t="shared" si="5"/>
        <v>0.90000000000000036</v>
      </c>
      <c r="J46" s="2" t="str">
        <f t="shared" si="6"/>
        <v>0</v>
      </c>
      <c r="K46" s="2">
        <f t="shared" si="7"/>
        <v>0.90000000000000036</v>
      </c>
      <c r="L46" s="2" t="str">
        <f t="shared" si="8"/>
        <v>0</v>
      </c>
      <c r="M46" s="2">
        <f t="shared" si="9"/>
        <v>0.90000000000000036</v>
      </c>
      <c r="N46" s="2" t="str">
        <f t="shared" si="10"/>
        <v>0</v>
      </c>
      <c r="O46" s="2" t="str">
        <f t="shared" si="11"/>
        <v>0</v>
      </c>
      <c r="P46" s="2">
        <f t="shared" si="12"/>
        <v>0.90000000000000036</v>
      </c>
      <c r="Q46" s="2" t="str">
        <f t="shared" si="13"/>
        <v>0</v>
      </c>
      <c r="R46" s="2" t="str">
        <f t="shared" si="14"/>
        <v>0</v>
      </c>
      <c r="S46" s="2">
        <f t="shared" si="15"/>
        <v>0.90000000000000036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>
        <f t="shared" si="2"/>
        <v>1.6999999999999993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 t="str">
        <f t="shared" si="6"/>
        <v>0</v>
      </c>
      <c r="K47" s="2">
        <f t="shared" si="7"/>
        <v>1.6999999999999993</v>
      </c>
      <c r="L47" s="2" t="str">
        <f t="shared" si="8"/>
        <v>0</v>
      </c>
      <c r="M47" s="2">
        <f t="shared" si="9"/>
        <v>1.6999999999999993</v>
      </c>
      <c r="N47" s="2" t="str">
        <f t="shared" si="10"/>
        <v>0</v>
      </c>
      <c r="O47" s="2" t="str">
        <f t="shared" si="11"/>
        <v>0</v>
      </c>
      <c r="P47" s="2">
        <f t="shared" si="12"/>
        <v>1.6999999999999993</v>
      </c>
      <c r="Q47" s="2" t="str">
        <f t="shared" si="13"/>
        <v>0</v>
      </c>
      <c r="R47" s="2" t="str">
        <f t="shared" si="14"/>
        <v>0</v>
      </c>
      <c r="S47" s="2">
        <f t="shared" si="15"/>
        <v>1.6999999999999993</v>
      </c>
      <c r="T47" s="2" t="str">
        <f t="shared" si="16"/>
        <v>0</v>
      </c>
    </row>
    <row r="48" spans="1:20" x14ac:dyDescent="0.25">
      <c r="E48" s="2" t="str">
        <f t="shared" si="1"/>
        <v>0</v>
      </c>
      <c r="F48" s="2" t="str">
        <f t="shared" si="2"/>
        <v>0</v>
      </c>
      <c r="G48" s="2">
        <f t="shared" si="3"/>
        <v>0.59999999999999964</v>
      </c>
      <c r="H48" s="2" t="str">
        <f t="shared" si="4"/>
        <v>0</v>
      </c>
      <c r="I48" s="2">
        <f t="shared" si="5"/>
        <v>0.59999999999999964</v>
      </c>
      <c r="J48" s="2" t="str">
        <f t="shared" si="6"/>
        <v>0</v>
      </c>
      <c r="K48" s="2">
        <f t="shared" si="7"/>
        <v>0.59999999999999964</v>
      </c>
      <c r="L48" s="2" t="str">
        <f t="shared" si="8"/>
        <v>0</v>
      </c>
      <c r="M48" s="2">
        <f t="shared" si="9"/>
        <v>0.59999999999999964</v>
      </c>
      <c r="N48" s="2">
        <f t="shared" si="10"/>
        <v>0.59999999999999964</v>
      </c>
      <c r="O48" s="2" t="str">
        <f t="shared" si="11"/>
        <v>0</v>
      </c>
      <c r="P48" s="2">
        <f t="shared" si="12"/>
        <v>0.59999999999999964</v>
      </c>
      <c r="Q48" s="2" t="str">
        <f t="shared" si="13"/>
        <v>0</v>
      </c>
      <c r="R48" s="2" t="str">
        <f t="shared" si="14"/>
        <v>0</v>
      </c>
      <c r="S48" s="2">
        <f t="shared" si="15"/>
        <v>0.59999999999999964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>
        <f t="shared" si="2"/>
        <v>2.4000000000000004</v>
      </c>
      <c r="G49" s="2" t="str">
        <f t="shared" si="3"/>
        <v>0</v>
      </c>
      <c r="H49" s="2" t="str">
        <f t="shared" si="4"/>
        <v>0</v>
      </c>
      <c r="I49" s="2">
        <f t="shared" si="5"/>
        <v>2.4000000000000004</v>
      </c>
      <c r="J49" s="2" t="str">
        <f t="shared" si="6"/>
        <v>0</v>
      </c>
      <c r="K49" s="2">
        <f t="shared" si="7"/>
        <v>2.4000000000000004</v>
      </c>
      <c r="L49" s="2" t="str">
        <f t="shared" si="8"/>
        <v>0</v>
      </c>
      <c r="M49" s="2">
        <f t="shared" si="9"/>
        <v>2.4000000000000004</v>
      </c>
      <c r="N49" s="2" t="str">
        <f t="shared" si="10"/>
        <v>0</v>
      </c>
      <c r="O49" s="2" t="str">
        <f t="shared" si="11"/>
        <v>0</v>
      </c>
      <c r="P49" s="2">
        <f t="shared" si="12"/>
        <v>2.4000000000000004</v>
      </c>
      <c r="Q49" s="2" t="str">
        <f t="shared" si="13"/>
        <v>0</v>
      </c>
      <c r="R49" s="2" t="str">
        <f t="shared" si="14"/>
        <v>0</v>
      </c>
      <c r="S49" s="2">
        <f t="shared" si="15"/>
        <v>2.4000000000000004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>
        <f t="shared" si="2"/>
        <v>2.8999999999999986</v>
      </c>
      <c r="G50" s="2" t="str">
        <f t="shared" si="3"/>
        <v>0</v>
      </c>
      <c r="H50" s="2" t="str">
        <f t="shared" si="4"/>
        <v>0</v>
      </c>
      <c r="I50" s="2">
        <f t="shared" si="5"/>
        <v>2.8999999999999986</v>
      </c>
      <c r="J50" s="2" t="str">
        <f t="shared" si="6"/>
        <v>0</v>
      </c>
      <c r="K50" s="2">
        <f t="shared" si="7"/>
        <v>2.8999999999999986</v>
      </c>
      <c r="L50" s="2" t="str">
        <f t="shared" si="8"/>
        <v>0</v>
      </c>
      <c r="M50" s="2">
        <f t="shared" si="9"/>
        <v>2.8999999999999986</v>
      </c>
      <c r="N50" s="2" t="str">
        <f t="shared" si="10"/>
        <v>0</v>
      </c>
      <c r="O50" s="2" t="str">
        <f t="shared" si="11"/>
        <v>0</v>
      </c>
      <c r="P50" s="2">
        <f t="shared" si="12"/>
        <v>2.8999999999999986</v>
      </c>
      <c r="Q50" s="2" t="str">
        <f t="shared" si="13"/>
        <v>0</v>
      </c>
      <c r="R50" s="2" t="str">
        <f t="shared" si="14"/>
        <v>0</v>
      </c>
      <c r="S50" s="2">
        <f t="shared" si="15"/>
        <v>2.8999999999999986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>
        <f t="shared" si="2"/>
        <v>6</v>
      </c>
      <c r="G51" s="2" t="str">
        <f t="shared" si="3"/>
        <v>0</v>
      </c>
      <c r="H51" s="2" t="str">
        <f t="shared" si="4"/>
        <v>0</v>
      </c>
      <c r="I51" s="2">
        <f t="shared" si="5"/>
        <v>6</v>
      </c>
      <c r="J51" s="2" t="str">
        <f t="shared" si="6"/>
        <v>0</v>
      </c>
      <c r="K51" s="2">
        <f t="shared" si="7"/>
        <v>6</v>
      </c>
      <c r="L51" s="2" t="str">
        <f t="shared" si="8"/>
        <v>0</v>
      </c>
      <c r="M51" s="2">
        <f t="shared" si="9"/>
        <v>6</v>
      </c>
      <c r="N51" s="2" t="str">
        <f t="shared" si="10"/>
        <v>0</v>
      </c>
      <c r="O51" s="2" t="str">
        <f t="shared" si="11"/>
        <v>0</v>
      </c>
      <c r="P51" s="2">
        <f t="shared" si="12"/>
        <v>6</v>
      </c>
      <c r="Q51" s="2" t="str">
        <f t="shared" si="13"/>
        <v>0</v>
      </c>
      <c r="R51" s="2" t="str">
        <f t="shared" si="14"/>
        <v>0</v>
      </c>
      <c r="S51" s="2">
        <f t="shared" si="15"/>
        <v>6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>
        <f t="shared" si="2"/>
        <v>1.1000000000000014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>
        <f t="shared" si="7"/>
        <v>1.1000000000000014</v>
      </c>
      <c r="L52" s="2" t="str">
        <f t="shared" si="8"/>
        <v>0</v>
      </c>
      <c r="M52" s="2">
        <f t="shared" si="9"/>
        <v>1.1000000000000014</v>
      </c>
      <c r="N52" s="2" t="str">
        <f t="shared" si="10"/>
        <v>0</v>
      </c>
      <c r="O52" s="2" t="str">
        <f t="shared" si="11"/>
        <v>0</v>
      </c>
      <c r="P52" s="2">
        <f t="shared" si="12"/>
        <v>1.1000000000000014</v>
      </c>
      <c r="Q52" s="2" t="str">
        <f t="shared" si="13"/>
        <v>0</v>
      </c>
      <c r="R52" s="2" t="str">
        <f t="shared" si="14"/>
        <v>0</v>
      </c>
      <c r="S52" s="2">
        <f t="shared" si="15"/>
        <v>1.1000000000000014</v>
      </c>
      <c r="T52" s="2" t="str">
        <f t="shared" si="16"/>
        <v>0</v>
      </c>
    </row>
    <row r="53" spans="5:20" x14ac:dyDescent="0.25">
      <c r="E53" s="2">
        <f t="shared" si="1"/>
        <v>1.5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>
        <f t="shared" si="7"/>
        <v>1.5</v>
      </c>
      <c r="L53" s="2" t="str">
        <f t="shared" si="8"/>
        <v>0</v>
      </c>
      <c r="M53" s="2">
        <f t="shared" si="9"/>
        <v>1.5</v>
      </c>
      <c r="N53" s="2" t="str">
        <f t="shared" si="10"/>
        <v>0</v>
      </c>
      <c r="O53" s="2" t="str">
        <f t="shared" si="11"/>
        <v>0</v>
      </c>
      <c r="P53" s="2">
        <f t="shared" si="12"/>
        <v>1.5</v>
      </c>
      <c r="Q53" s="2" t="str">
        <f t="shared" si="13"/>
        <v>0</v>
      </c>
      <c r="R53" s="2" t="str">
        <f t="shared" si="14"/>
        <v>0</v>
      </c>
      <c r="S53" s="2">
        <f t="shared" si="15"/>
        <v>1.5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>
        <f t="shared" si="2"/>
        <v>2.6999999999999993</v>
      </c>
      <c r="G54" s="2" t="str">
        <f t="shared" si="3"/>
        <v>0</v>
      </c>
      <c r="H54" s="2" t="str">
        <f t="shared" si="4"/>
        <v>0</v>
      </c>
      <c r="I54" s="2">
        <f t="shared" si="5"/>
        <v>2.6999999999999993</v>
      </c>
      <c r="J54" s="2" t="str">
        <f t="shared" si="6"/>
        <v>0</v>
      </c>
      <c r="K54" s="2">
        <f t="shared" si="7"/>
        <v>2.6999999999999993</v>
      </c>
      <c r="L54" s="2" t="str">
        <f t="shared" si="8"/>
        <v>0</v>
      </c>
      <c r="M54" s="2">
        <f t="shared" si="9"/>
        <v>2.6999999999999993</v>
      </c>
      <c r="N54" s="2" t="str">
        <f t="shared" si="10"/>
        <v>0</v>
      </c>
      <c r="O54" s="2" t="str">
        <f t="shared" si="11"/>
        <v>0</v>
      </c>
      <c r="P54" s="2">
        <f t="shared" si="12"/>
        <v>2.6999999999999993</v>
      </c>
      <c r="Q54" s="2" t="str">
        <f t="shared" si="13"/>
        <v>0</v>
      </c>
      <c r="R54" s="2" t="str">
        <f t="shared" si="14"/>
        <v>0</v>
      </c>
      <c r="S54" s="2">
        <f t="shared" si="15"/>
        <v>2.6999999999999993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>
        <f t="shared" si="2"/>
        <v>1.8000000000000007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>
        <f t="shared" si="7"/>
        <v>1.8000000000000007</v>
      </c>
      <c r="L55" s="2" t="str">
        <f t="shared" si="8"/>
        <v>0</v>
      </c>
      <c r="M55" s="2">
        <f t="shared" si="9"/>
        <v>1.8000000000000007</v>
      </c>
      <c r="N55" s="2" t="str">
        <f t="shared" si="10"/>
        <v>0</v>
      </c>
      <c r="O55" s="2" t="str">
        <f t="shared" si="11"/>
        <v>0</v>
      </c>
      <c r="P55" s="2">
        <f t="shared" si="12"/>
        <v>1.8000000000000007</v>
      </c>
      <c r="Q55" s="2" t="str">
        <f t="shared" si="13"/>
        <v>0</v>
      </c>
      <c r="R55" s="2" t="str">
        <f t="shared" si="14"/>
        <v>0</v>
      </c>
      <c r="S55" s="2">
        <f t="shared" si="15"/>
        <v>1.8000000000000007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>
        <f t="shared" si="2"/>
        <v>4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>
        <f t="shared" si="7"/>
        <v>4</v>
      </c>
      <c r="L56" s="2" t="str">
        <f t="shared" si="8"/>
        <v>0</v>
      </c>
      <c r="M56" s="2">
        <f t="shared" si="9"/>
        <v>4</v>
      </c>
      <c r="N56" s="2" t="str">
        <f t="shared" si="10"/>
        <v>0</v>
      </c>
      <c r="O56" s="2" t="str">
        <f t="shared" si="11"/>
        <v>0</v>
      </c>
      <c r="P56" s="2">
        <f t="shared" si="12"/>
        <v>4</v>
      </c>
      <c r="Q56" s="2" t="str">
        <f t="shared" si="13"/>
        <v>0</v>
      </c>
      <c r="R56" s="2" t="str">
        <f t="shared" si="14"/>
        <v>0</v>
      </c>
      <c r="S56" s="2">
        <f t="shared" si="15"/>
        <v>4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>
        <f t="shared" si="2"/>
        <v>0.92000000000000171</v>
      </c>
      <c r="G57" s="2" t="str">
        <f t="shared" si="3"/>
        <v>0</v>
      </c>
      <c r="H57" s="2" t="str">
        <f t="shared" si="4"/>
        <v>0</v>
      </c>
      <c r="I57" s="2">
        <f t="shared" si="5"/>
        <v>0.92000000000000171</v>
      </c>
      <c r="J57" s="2" t="str">
        <f t="shared" si="6"/>
        <v>0</v>
      </c>
      <c r="K57" s="2">
        <f t="shared" si="7"/>
        <v>0.92000000000000171</v>
      </c>
      <c r="L57" s="2" t="str">
        <f t="shared" si="8"/>
        <v>0</v>
      </c>
      <c r="M57" s="2">
        <f t="shared" si="9"/>
        <v>0.92000000000000171</v>
      </c>
      <c r="N57" s="2" t="str">
        <f t="shared" si="10"/>
        <v>0</v>
      </c>
      <c r="O57" s="2" t="str">
        <f t="shared" si="11"/>
        <v>0</v>
      </c>
      <c r="P57" s="2">
        <f t="shared" si="12"/>
        <v>0.92000000000000171</v>
      </c>
      <c r="Q57" s="2" t="str">
        <f t="shared" si="13"/>
        <v>0</v>
      </c>
      <c r="R57" s="2" t="str">
        <f t="shared" si="14"/>
        <v>0</v>
      </c>
      <c r="S57" s="2">
        <f t="shared" si="15"/>
        <v>0.92000000000000171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6" spans="5:20" x14ac:dyDescent="0.25">
      <c r="E96" s="2" t="str">
        <f t="shared" si="1"/>
        <v>0</v>
      </c>
      <c r="F96" s="2" t="str">
        <f t="shared" si="2"/>
        <v>0</v>
      </c>
      <c r="G96" s="2" t="str">
        <f t="shared" si="3"/>
        <v>0</v>
      </c>
      <c r="H96" s="2" t="str">
        <f t="shared" si="4"/>
        <v>0</v>
      </c>
      <c r="I96" s="2" t="str">
        <f t="shared" si="5"/>
        <v>0</v>
      </c>
      <c r="J96" s="2" t="str">
        <f t="shared" si="6"/>
        <v>0</v>
      </c>
      <c r="K96" s="2" t="str">
        <f t="shared" si="7"/>
        <v>0</v>
      </c>
      <c r="L96" s="2" t="str">
        <f t="shared" si="8"/>
        <v>0</v>
      </c>
      <c r="M96" s="2" t="str">
        <f t="shared" si="9"/>
        <v>0</v>
      </c>
      <c r="N96" s="2" t="str">
        <f t="shared" si="10"/>
        <v>0</v>
      </c>
      <c r="O96" s="2" t="str">
        <f t="shared" si="11"/>
        <v>0</v>
      </c>
      <c r="P96" s="2" t="str">
        <f t="shared" si="12"/>
        <v>0</v>
      </c>
      <c r="Q96" s="2" t="str">
        <f t="shared" si="13"/>
        <v>0</v>
      </c>
      <c r="R96" s="2" t="str">
        <f t="shared" si="14"/>
        <v>0</v>
      </c>
      <c r="S96" s="2" t="str">
        <f t="shared" si="15"/>
        <v>0</v>
      </c>
      <c r="T96" s="2" t="str">
        <f t="shared" si="16"/>
        <v>0</v>
      </c>
    </row>
    <row r="97" spans="5:20" x14ac:dyDescent="0.25">
      <c r="E97" s="2" t="str">
        <f t="shared" si="1"/>
        <v>0</v>
      </c>
      <c r="F97" s="2" t="str">
        <f t="shared" si="2"/>
        <v>0</v>
      </c>
      <c r="G97" s="2" t="str">
        <f t="shared" si="3"/>
        <v>0</v>
      </c>
      <c r="H97" s="2" t="str">
        <f t="shared" si="4"/>
        <v>0</v>
      </c>
      <c r="I97" s="2" t="str">
        <f t="shared" si="5"/>
        <v>0</v>
      </c>
      <c r="J97" s="2" t="str">
        <f t="shared" si="6"/>
        <v>0</v>
      </c>
      <c r="K97" s="2" t="str">
        <f t="shared" si="7"/>
        <v>0</v>
      </c>
      <c r="L97" s="2" t="str">
        <f t="shared" si="8"/>
        <v>0</v>
      </c>
      <c r="M97" s="2" t="str">
        <f t="shared" si="9"/>
        <v>0</v>
      </c>
      <c r="N97" s="2" t="str">
        <f t="shared" si="10"/>
        <v>0</v>
      </c>
      <c r="O97" s="2" t="str">
        <f t="shared" si="11"/>
        <v>0</v>
      </c>
      <c r="P97" s="2" t="str">
        <f t="shared" si="12"/>
        <v>0</v>
      </c>
      <c r="Q97" s="2" t="str">
        <f t="shared" si="13"/>
        <v>0</v>
      </c>
      <c r="R97" s="2" t="str">
        <f t="shared" si="14"/>
        <v>0</v>
      </c>
      <c r="S97" s="2" t="str">
        <f t="shared" si="15"/>
        <v>0</v>
      </c>
      <c r="T97" s="2" t="str">
        <f t="shared" si="16"/>
        <v>0</v>
      </c>
    </row>
    <row r="98" spans="5:20" x14ac:dyDescent="0.25">
      <c r="E98" s="2" t="str">
        <f t="shared" si="1"/>
        <v>0</v>
      </c>
      <c r="F98" s="2" t="str">
        <f t="shared" si="2"/>
        <v>0</v>
      </c>
      <c r="G98" s="2" t="str">
        <f t="shared" si="3"/>
        <v>0</v>
      </c>
      <c r="H98" s="2" t="str">
        <f t="shared" si="4"/>
        <v>0</v>
      </c>
      <c r="I98" s="2" t="str">
        <f t="shared" si="5"/>
        <v>0</v>
      </c>
      <c r="J98" s="2" t="str">
        <f t="shared" si="6"/>
        <v>0</v>
      </c>
      <c r="K98" s="2" t="str">
        <f t="shared" si="7"/>
        <v>0</v>
      </c>
      <c r="L98" s="2" t="str">
        <f t="shared" si="8"/>
        <v>0</v>
      </c>
      <c r="M98" s="2" t="str">
        <f t="shared" si="9"/>
        <v>0</v>
      </c>
      <c r="N98" s="2" t="str">
        <f t="shared" si="10"/>
        <v>0</v>
      </c>
      <c r="O98" s="2" t="str">
        <f t="shared" si="11"/>
        <v>0</v>
      </c>
      <c r="P98" s="2" t="str">
        <f t="shared" si="12"/>
        <v>0</v>
      </c>
      <c r="Q98" s="2" t="str">
        <f t="shared" si="13"/>
        <v>0</v>
      </c>
      <c r="R98" s="2" t="str">
        <f t="shared" si="14"/>
        <v>0</v>
      </c>
      <c r="S98" s="2" t="str">
        <f t="shared" si="15"/>
        <v>0</v>
      </c>
      <c r="T98" s="2" t="str">
        <f t="shared" si="16"/>
        <v>0</v>
      </c>
    </row>
    <row r="99" spans="5:20" x14ac:dyDescent="0.25">
      <c r="E99" s="2" t="str">
        <f t="shared" si="1"/>
        <v>0</v>
      </c>
      <c r="F99" s="2" t="str">
        <f t="shared" si="2"/>
        <v>0</v>
      </c>
      <c r="G99" s="2" t="str">
        <f t="shared" si="3"/>
        <v>0</v>
      </c>
      <c r="H99" s="2" t="str">
        <f t="shared" si="4"/>
        <v>0</v>
      </c>
      <c r="I99" s="2" t="str">
        <f t="shared" si="5"/>
        <v>0</v>
      </c>
      <c r="J99" s="2" t="str">
        <f t="shared" si="6"/>
        <v>0</v>
      </c>
      <c r="K99" s="2" t="str">
        <f t="shared" si="7"/>
        <v>0</v>
      </c>
      <c r="L99" s="2" t="str">
        <f t="shared" si="8"/>
        <v>0</v>
      </c>
      <c r="M99" s="2" t="str">
        <f t="shared" si="9"/>
        <v>0</v>
      </c>
      <c r="N99" s="2" t="str">
        <f t="shared" si="10"/>
        <v>0</v>
      </c>
      <c r="O99" s="2" t="str">
        <f t="shared" si="11"/>
        <v>0</v>
      </c>
      <c r="P99" s="2" t="str">
        <f t="shared" si="12"/>
        <v>0</v>
      </c>
      <c r="Q99" s="2" t="str">
        <f t="shared" si="13"/>
        <v>0</v>
      </c>
      <c r="R99" s="2" t="str">
        <f t="shared" si="14"/>
        <v>0</v>
      </c>
      <c r="S99" s="2" t="str">
        <f t="shared" si="15"/>
        <v>0</v>
      </c>
      <c r="T99" s="2" t="str">
        <f t="shared" si="16"/>
        <v>0</v>
      </c>
    </row>
    <row r="100" spans="5:20" x14ac:dyDescent="0.25">
      <c r="E100" s="2" t="str">
        <f t="shared" si="1"/>
        <v>0</v>
      </c>
      <c r="F100" s="2" t="str">
        <f t="shared" si="2"/>
        <v>0</v>
      </c>
      <c r="G100" s="2" t="str">
        <f t="shared" si="3"/>
        <v>0</v>
      </c>
      <c r="H100" s="2" t="str">
        <f t="shared" si="4"/>
        <v>0</v>
      </c>
      <c r="I100" s="2" t="str">
        <f t="shared" si="5"/>
        <v>0</v>
      </c>
      <c r="J100" s="2" t="str">
        <f t="shared" si="6"/>
        <v>0</v>
      </c>
      <c r="K100" s="2" t="str">
        <f t="shared" si="7"/>
        <v>0</v>
      </c>
      <c r="L100" s="2" t="str">
        <f t="shared" si="8"/>
        <v>0</v>
      </c>
      <c r="M100" s="2" t="str">
        <f t="shared" si="9"/>
        <v>0</v>
      </c>
      <c r="N100" s="2" t="str">
        <f t="shared" si="10"/>
        <v>0</v>
      </c>
      <c r="O100" s="2" t="str">
        <f t="shared" si="11"/>
        <v>0</v>
      </c>
      <c r="P100" s="2" t="str">
        <f t="shared" si="12"/>
        <v>0</v>
      </c>
      <c r="Q100" s="2" t="str">
        <f t="shared" si="13"/>
        <v>0</v>
      </c>
      <c r="R100" s="2" t="str">
        <f t="shared" si="14"/>
        <v>0</v>
      </c>
      <c r="S100" s="2" t="str">
        <f t="shared" si="15"/>
        <v>0</v>
      </c>
      <c r="T100" s="2" t="str">
        <f t="shared" si="16"/>
        <v>0</v>
      </c>
    </row>
    <row r="101" spans="5:20" x14ac:dyDescent="0.25">
      <c r="E101" s="2" t="str">
        <f t="shared" si="1"/>
        <v>0</v>
      </c>
      <c r="F101" s="2" t="str">
        <f t="shared" si="2"/>
        <v>0</v>
      </c>
      <c r="G101" s="2" t="str">
        <f t="shared" si="3"/>
        <v>0</v>
      </c>
      <c r="H101" s="2" t="str">
        <f t="shared" si="4"/>
        <v>0</v>
      </c>
      <c r="I101" s="2" t="str">
        <f t="shared" si="5"/>
        <v>0</v>
      </c>
      <c r="J101" s="2" t="str">
        <f t="shared" si="6"/>
        <v>0</v>
      </c>
      <c r="K101" s="2" t="str">
        <f t="shared" si="7"/>
        <v>0</v>
      </c>
      <c r="L101" s="2" t="str">
        <f t="shared" si="8"/>
        <v>0</v>
      </c>
      <c r="M101" s="2" t="str">
        <f t="shared" si="9"/>
        <v>0</v>
      </c>
      <c r="N101" s="2" t="str">
        <f t="shared" si="10"/>
        <v>0</v>
      </c>
      <c r="O101" s="2" t="str">
        <f t="shared" si="11"/>
        <v>0</v>
      </c>
      <c r="P101" s="2" t="str">
        <f t="shared" si="12"/>
        <v>0</v>
      </c>
      <c r="Q101" s="2" t="str">
        <f t="shared" si="13"/>
        <v>0</v>
      </c>
      <c r="R101" s="2" t="str">
        <f t="shared" si="14"/>
        <v>0</v>
      </c>
      <c r="S101" s="2" t="str">
        <f t="shared" si="15"/>
        <v>0</v>
      </c>
      <c r="T101" s="2" t="str">
        <f t="shared" si="16"/>
        <v>0</v>
      </c>
    </row>
    <row r="102" spans="5:20" x14ac:dyDescent="0.25">
      <c r="E102" s="2" t="str">
        <f t="shared" si="1"/>
        <v>0</v>
      </c>
      <c r="F102" s="2" t="str">
        <f t="shared" si="2"/>
        <v>0</v>
      </c>
      <c r="G102" s="2" t="str">
        <f t="shared" si="3"/>
        <v>0</v>
      </c>
      <c r="H102" s="2" t="str">
        <f t="shared" si="4"/>
        <v>0</v>
      </c>
      <c r="I102" s="2" t="str">
        <f t="shared" si="5"/>
        <v>0</v>
      </c>
      <c r="J102" s="2" t="str">
        <f t="shared" si="6"/>
        <v>0</v>
      </c>
      <c r="K102" s="2" t="str">
        <f t="shared" si="7"/>
        <v>0</v>
      </c>
      <c r="L102" s="2" t="str">
        <f t="shared" si="8"/>
        <v>0</v>
      </c>
      <c r="M102" s="2" t="str">
        <f t="shared" si="9"/>
        <v>0</v>
      </c>
      <c r="N102" s="2" t="str">
        <f t="shared" si="10"/>
        <v>0</v>
      </c>
      <c r="O102" s="2" t="str">
        <f t="shared" si="11"/>
        <v>0</v>
      </c>
      <c r="P102" s="2" t="str">
        <f t="shared" si="12"/>
        <v>0</v>
      </c>
      <c r="Q102" s="2" t="str">
        <f t="shared" si="13"/>
        <v>0</v>
      </c>
      <c r="R102" s="2" t="str">
        <f t="shared" si="14"/>
        <v>0</v>
      </c>
      <c r="S102" s="2" t="str">
        <f t="shared" si="15"/>
        <v>0</v>
      </c>
      <c r="T102" s="2" t="str">
        <f t="shared" si="16"/>
        <v>0</v>
      </c>
    </row>
    <row r="103" spans="5:20" x14ac:dyDescent="0.25">
      <c r="E103" s="2" t="str">
        <f t="shared" si="1"/>
        <v>0</v>
      </c>
      <c r="F103" s="2" t="str">
        <f t="shared" si="2"/>
        <v>0</v>
      </c>
      <c r="G103" s="2" t="str">
        <f t="shared" si="3"/>
        <v>0</v>
      </c>
      <c r="H103" s="2" t="str">
        <f t="shared" si="4"/>
        <v>0</v>
      </c>
      <c r="I103" s="2" t="str">
        <f t="shared" si="5"/>
        <v>0</v>
      </c>
      <c r="J103" s="2" t="str">
        <f t="shared" si="6"/>
        <v>0</v>
      </c>
      <c r="K103" s="2" t="str">
        <f t="shared" si="7"/>
        <v>0</v>
      </c>
      <c r="L103" s="2" t="str">
        <f t="shared" si="8"/>
        <v>0</v>
      </c>
      <c r="M103" s="2" t="str">
        <f t="shared" si="9"/>
        <v>0</v>
      </c>
      <c r="N103" s="2" t="str">
        <f t="shared" si="10"/>
        <v>0</v>
      </c>
      <c r="O103" s="2" t="str">
        <f t="shared" si="11"/>
        <v>0</v>
      </c>
      <c r="P103" s="2" t="str">
        <f t="shared" si="12"/>
        <v>0</v>
      </c>
      <c r="Q103" s="2" t="str">
        <f t="shared" si="13"/>
        <v>0</v>
      </c>
      <c r="R103" s="2" t="str">
        <f t="shared" si="14"/>
        <v>0</v>
      </c>
      <c r="S103" s="2" t="str">
        <f t="shared" si="15"/>
        <v>0</v>
      </c>
      <c r="T103" s="2" t="str">
        <f t="shared" si="16"/>
        <v>0</v>
      </c>
    </row>
    <row r="104" spans="5:20" x14ac:dyDescent="0.25">
      <c r="E104" s="2" t="str">
        <f t="shared" ref="E104:E126" si="17">IF(E72="X",(D72-C72),"0")</f>
        <v>0</v>
      </c>
      <c r="F104" s="2" t="str">
        <f t="shared" ref="F104:F126" si="18">IF(F72="X",(D72-C72),"0")</f>
        <v>0</v>
      </c>
      <c r="G104" s="2" t="str">
        <f t="shared" ref="G104:G126" si="19">IF(G72="X",(D72-C72),"0")</f>
        <v>0</v>
      </c>
      <c r="H104" s="2" t="str">
        <f t="shared" ref="H104:H126" si="20">IF(H72="X",(D72-C72),"0")</f>
        <v>0</v>
      </c>
      <c r="I104" s="2" t="str">
        <f t="shared" ref="I104:I126" si="21">IF(I72="X",(D72-C72),"0")</f>
        <v>0</v>
      </c>
      <c r="J104" s="2" t="str">
        <f t="shared" ref="J104:J126" si="22">IF(J72="X",(D72-C72),"0")</f>
        <v>0</v>
      </c>
      <c r="K104" s="2" t="str">
        <f t="shared" ref="K104:K126" si="23">IF(K72="X",(D72-C72),"0")</f>
        <v>0</v>
      </c>
      <c r="L104" s="2" t="str">
        <f t="shared" ref="L104:L126" si="24">IF(L72="X",(D72-C72),"0")</f>
        <v>0</v>
      </c>
      <c r="M104" s="2" t="str">
        <f t="shared" ref="M104:M126" si="25">IF(M72="X",(D72-C72),"0")</f>
        <v>0</v>
      </c>
      <c r="N104" s="2" t="str">
        <f t="shared" ref="N104:N126" si="26">IF(N72="X",(D72-C72),"0")</f>
        <v>0</v>
      </c>
      <c r="O104" s="2" t="str">
        <f t="shared" ref="O104:O126" si="27">IF(O72="X",(D72-C72),"0")</f>
        <v>0</v>
      </c>
      <c r="P104" s="2" t="str">
        <f t="shared" ref="P104:P126" si="28">IF(P72="X",(D72-C72),"0")</f>
        <v>0</v>
      </c>
      <c r="Q104" s="2" t="str">
        <f t="shared" ref="Q104:Q126" si="29">IF(Q72="X",(D72-C72),"0")</f>
        <v>0</v>
      </c>
      <c r="R104" s="2" t="str">
        <f t="shared" ref="R104:R126" si="30">IF(R72="X",(D72-C72),"0")</f>
        <v>0</v>
      </c>
      <c r="S104" s="2" t="str">
        <f t="shared" ref="S104:S126" si="31">IF(S72="X",(D72-C72),"0")</f>
        <v>0</v>
      </c>
      <c r="T104" s="2" t="str">
        <f t="shared" ref="T104:T126" si="32">IF(T72="X",(D72-C72),"0")</f>
        <v>0</v>
      </c>
    </row>
    <row r="105" spans="5:20" x14ac:dyDescent="0.25">
      <c r="E105" s="2" t="str">
        <f t="shared" si="17"/>
        <v>0</v>
      </c>
      <c r="F105" s="2" t="str">
        <f t="shared" si="18"/>
        <v>0</v>
      </c>
      <c r="G105" s="2" t="str">
        <f t="shared" si="19"/>
        <v>0</v>
      </c>
      <c r="H105" s="2" t="str">
        <f t="shared" si="20"/>
        <v>0</v>
      </c>
      <c r="I105" s="2" t="str">
        <f t="shared" si="21"/>
        <v>0</v>
      </c>
      <c r="J105" s="2" t="str">
        <f t="shared" si="22"/>
        <v>0</v>
      </c>
      <c r="K105" s="2" t="str">
        <f t="shared" si="23"/>
        <v>0</v>
      </c>
      <c r="L105" s="2" t="str">
        <f t="shared" si="24"/>
        <v>0</v>
      </c>
      <c r="M105" s="2" t="str">
        <f t="shared" si="25"/>
        <v>0</v>
      </c>
      <c r="N105" s="2" t="str">
        <f t="shared" si="26"/>
        <v>0</v>
      </c>
      <c r="O105" s="2" t="str">
        <f t="shared" si="27"/>
        <v>0</v>
      </c>
      <c r="P105" s="2" t="str">
        <f t="shared" si="28"/>
        <v>0</v>
      </c>
      <c r="Q105" s="2" t="str">
        <f t="shared" si="29"/>
        <v>0</v>
      </c>
      <c r="R105" s="2" t="str">
        <f t="shared" si="30"/>
        <v>0</v>
      </c>
      <c r="S105" s="2" t="str">
        <f t="shared" si="31"/>
        <v>0</v>
      </c>
      <c r="T105" s="2" t="str">
        <f t="shared" si="32"/>
        <v>0</v>
      </c>
    </row>
    <row r="106" spans="5:20" x14ac:dyDescent="0.25">
      <c r="E106" s="2" t="str">
        <f t="shared" si="17"/>
        <v>0</v>
      </c>
      <c r="F106" s="2" t="str">
        <f t="shared" si="18"/>
        <v>0</v>
      </c>
      <c r="G106" s="2" t="str">
        <f t="shared" si="19"/>
        <v>0</v>
      </c>
      <c r="H106" s="2" t="str">
        <f t="shared" si="20"/>
        <v>0</v>
      </c>
      <c r="I106" s="2" t="str">
        <f t="shared" si="21"/>
        <v>0</v>
      </c>
      <c r="J106" s="2" t="str">
        <f t="shared" si="22"/>
        <v>0</v>
      </c>
      <c r="K106" s="2" t="str">
        <f t="shared" si="23"/>
        <v>0</v>
      </c>
      <c r="L106" s="2" t="str">
        <f t="shared" si="24"/>
        <v>0</v>
      </c>
      <c r="M106" s="2" t="str">
        <f t="shared" si="25"/>
        <v>0</v>
      </c>
      <c r="N106" s="2" t="str">
        <f t="shared" si="26"/>
        <v>0</v>
      </c>
      <c r="O106" s="2" t="str">
        <f t="shared" si="27"/>
        <v>0</v>
      </c>
      <c r="P106" s="2" t="str">
        <f t="shared" si="28"/>
        <v>0</v>
      </c>
      <c r="Q106" s="2" t="str">
        <f t="shared" si="29"/>
        <v>0</v>
      </c>
      <c r="R106" s="2" t="str">
        <f t="shared" si="30"/>
        <v>0</v>
      </c>
      <c r="S106" s="2" t="str">
        <f t="shared" si="31"/>
        <v>0</v>
      </c>
      <c r="T106" s="2" t="str">
        <f t="shared" si="32"/>
        <v>0</v>
      </c>
    </row>
    <row r="107" spans="5:20" x14ac:dyDescent="0.25">
      <c r="E107" s="2" t="str">
        <f t="shared" si="17"/>
        <v>0</v>
      </c>
      <c r="F107" s="2" t="str">
        <f t="shared" si="18"/>
        <v>0</v>
      </c>
      <c r="G107" s="2" t="str">
        <f t="shared" si="19"/>
        <v>0</v>
      </c>
      <c r="H107" s="2" t="str">
        <f t="shared" si="20"/>
        <v>0</v>
      </c>
      <c r="I107" s="2" t="str">
        <f t="shared" si="21"/>
        <v>0</v>
      </c>
      <c r="J107" s="2" t="str">
        <f t="shared" si="22"/>
        <v>0</v>
      </c>
      <c r="K107" s="2" t="str">
        <f t="shared" si="23"/>
        <v>0</v>
      </c>
      <c r="L107" s="2" t="str">
        <f t="shared" si="24"/>
        <v>0</v>
      </c>
      <c r="M107" s="2" t="str">
        <f t="shared" si="25"/>
        <v>0</v>
      </c>
      <c r="N107" s="2" t="str">
        <f t="shared" si="26"/>
        <v>0</v>
      </c>
      <c r="O107" s="2" t="str">
        <f t="shared" si="27"/>
        <v>0</v>
      </c>
      <c r="P107" s="2" t="str">
        <f t="shared" si="28"/>
        <v>0</v>
      </c>
      <c r="Q107" s="2" t="str">
        <f t="shared" si="29"/>
        <v>0</v>
      </c>
      <c r="R107" s="2" t="str">
        <f t="shared" si="30"/>
        <v>0</v>
      </c>
      <c r="S107" s="2" t="str">
        <f t="shared" si="31"/>
        <v>0</v>
      </c>
      <c r="T107" s="2" t="str">
        <f t="shared" si="32"/>
        <v>0</v>
      </c>
    </row>
    <row r="108" spans="5:20" x14ac:dyDescent="0.25">
      <c r="E108" s="2" t="str">
        <f t="shared" si="17"/>
        <v>0</v>
      </c>
      <c r="F108" s="2" t="str">
        <f t="shared" si="18"/>
        <v>0</v>
      </c>
      <c r="G108" s="2" t="str">
        <f t="shared" si="19"/>
        <v>0</v>
      </c>
      <c r="H108" s="2" t="str">
        <f t="shared" si="20"/>
        <v>0</v>
      </c>
      <c r="I108" s="2" t="str">
        <f t="shared" si="21"/>
        <v>0</v>
      </c>
      <c r="J108" s="2" t="str">
        <f t="shared" si="22"/>
        <v>0</v>
      </c>
      <c r="K108" s="2" t="str">
        <f t="shared" si="23"/>
        <v>0</v>
      </c>
      <c r="L108" s="2" t="str">
        <f t="shared" si="24"/>
        <v>0</v>
      </c>
      <c r="M108" s="2" t="str">
        <f t="shared" si="25"/>
        <v>0</v>
      </c>
      <c r="N108" s="2" t="str">
        <f t="shared" si="26"/>
        <v>0</v>
      </c>
      <c r="O108" s="2" t="str">
        <f t="shared" si="27"/>
        <v>0</v>
      </c>
      <c r="P108" s="2" t="str">
        <f t="shared" si="28"/>
        <v>0</v>
      </c>
      <c r="Q108" s="2" t="str">
        <f t="shared" si="29"/>
        <v>0</v>
      </c>
      <c r="R108" s="2" t="str">
        <f t="shared" si="30"/>
        <v>0</v>
      </c>
      <c r="S108" s="2" t="str">
        <f t="shared" si="31"/>
        <v>0</v>
      </c>
      <c r="T108" s="2" t="str">
        <f t="shared" si="32"/>
        <v>0</v>
      </c>
    </row>
    <row r="109" spans="5:20" x14ac:dyDescent="0.25">
      <c r="E109" s="2" t="str">
        <f t="shared" si="17"/>
        <v>0</v>
      </c>
      <c r="F109" s="2" t="str">
        <f t="shared" si="18"/>
        <v>0</v>
      </c>
      <c r="G109" s="2" t="str">
        <f t="shared" si="19"/>
        <v>0</v>
      </c>
      <c r="H109" s="2" t="str">
        <f t="shared" si="20"/>
        <v>0</v>
      </c>
      <c r="I109" s="2" t="str">
        <f t="shared" si="21"/>
        <v>0</v>
      </c>
      <c r="J109" s="2" t="str">
        <f t="shared" si="22"/>
        <v>0</v>
      </c>
      <c r="K109" s="2" t="str">
        <f t="shared" si="23"/>
        <v>0</v>
      </c>
      <c r="L109" s="2" t="str">
        <f t="shared" si="24"/>
        <v>0</v>
      </c>
      <c r="M109" s="2" t="str">
        <f t="shared" si="25"/>
        <v>0</v>
      </c>
      <c r="N109" s="2" t="str">
        <f t="shared" si="26"/>
        <v>0</v>
      </c>
      <c r="O109" s="2" t="str">
        <f t="shared" si="27"/>
        <v>0</v>
      </c>
      <c r="P109" s="2" t="str">
        <f t="shared" si="28"/>
        <v>0</v>
      </c>
      <c r="Q109" s="2" t="str">
        <f t="shared" si="29"/>
        <v>0</v>
      </c>
      <c r="R109" s="2" t="str">
        <f t="shared" si="30"/>
        <v>0</v>
      </c>
      <c r="S109" s="2" t="str">
        <f t="shared" si="31"/>
        <v>0</v>
      </c>
      <c r="T109" s="2" t="str">
        <f t="shared" si="32"/>
        <v>0</v>
      </c>
    </row>
    <row r="110" spans="5:20" x14ac:dyDescent="0.25">
      <c r="E110" s="2" t="str">
        <f t="shared" si="17"/>
        <v>0</v>
      </c>
      <c r="F110" s="2" t="str">
        <f t="shared" si="18"/>
        <v>0</v>
      </c>
      <c r="G110" s="2" t="str">
        <f t="shared" si="19"/>
        <v>0</v>
      </c>
      <c r="H110" s="2" t="str">
        <f t="shared" si="20"/>
        <v>0</v>
      </c>
      <c r="I110" s="2" t="str">
        <f t="shared" si="21"/>
        <v>0</v>
      </c>
      <c r="J110" s="2" t="str">
        <f t="shared" si="22"/>
        <v>0</v>
      </c>
      <c r="K110" s="2" t="str">
        <f t="shared" si="23"/>
        <v>0</v>
      </c>
      <c r="L110" s="2" t="str">
        <f t="shared" si="24"/>
        <v>0</v>
      </c>
      <c r="M110" s="2" t="str">
        <f t="shared" si="25"/>
        <v>0</v>
      </c>
      <c r="N110" s="2" t="str">
        <f t="shared" si="26"/>
        <v>0</v>
      </c>
      <c r="O110" s="2" t="str">
        <f t="shared" si="27"/>
        <v>0</v>
      </c>
      <c r="P110" s="2" t="str">
        <f t="shared" si="28"/>
        <v>0</v>
      </c>
      <c r="Q110" s="2" t="str">
        <f t="shared" si="29"/>
        <v>0</v>
      </c>
      <c r="R110" s="2" t="str">
        <f t="shared" si="30"/>
        <v>0</v>
      </c>
      <c r="S110" s="2" t="str">
        <f t="shared" si="31"/>
        <v>0</v>
      </c>
      <c r="T110" s="2" t="str">
        <f t="shared" si="32"/>
        <v>0</v>
      </c>
    </row>
    <row r="111" spans="5:20" x14ac:dyDescent="0.25">
      <c r="E111" s="2" t="str">
        <f t="shared" si="17"/>
        <v>0</v>
      </c>
      <c r="F111" s="2" t="str">
        <f t="shared" si="18"/>
        <v>0</v>
      </c>
      <c r="G111" s="2" t="str">
        <f t="shared" si="19"/>
        <v>0</v>
      </c>
      <c r="H111" s="2" t="str">
        <f t="shared" si="20"/>
        <v>0</v>
      </c>
      <c r="I111" s="2" t="str">
        <f t="shared" si="21"/>
        <v>0</v>
      </c>
      <c r="J111" s="2" t="str">
        <f t="shared" si="22"/>
        <v>0</v>
      </c>
      <c r="K111" s="2" t="str">
        <f t="shared" si="23"/>
        <v>0</v>
      </c>
      <c r="L111" s="2" t="str">
        <f t="shared" si="24"/>
        <v>0</v>
      </c>
      <c r="M111" s="2" t="str">
        <f t="shared" si="25"/>
        <v>0</v>
      </c>
      <c r="N111" s="2" t="str">
        <f t="shared" si="26"/>
        <v>0</v>
      </c>
      <c r="O111" s="2" t="str">
        <f t="shared" si="27"/>
        <v>0</v>
      </c>
      <c r="P111" s="2" t="str">
        <f t="shared" si="28"/>
        <v>0</v>
      </c>
      <c r="Q111" s="2" t="str">
        <f t="shared" si="29"/>
        <v>0</v>
      </c>
      <c r="R111" s="2" t="str">
        <f t="shared" si="30"/>
        <v>0</v>
      </c>
      <c r="S111" s="2" t="str">
        <f t="shared" si="31"/>
        <v>0</v>
      </c>
      <c r="T111" s="2" t="str">
        <f t="shared" si="32"/>
        <v>0</v>
      </c>
    </row>
    <row r="112" spans="5:20" x14ac:dyDescent="0.25">
      <c r="E112" s="2" t="str">
        <f t="shared" si="17"/>
        <v>0</v>
      </c>
      <c r="F112" s="2" t="str">
        <f t="shared" si="18"/>
        <v>0</v>
      </c>
      <c r="G112" s="2" t="str">
        <f t="shared" si="19"/>
        <v>0</v>
      </c>
      <c r="H112" s="2" t="str">
        <f t="shared" si="20"/>
        <v>0</v>
      </c>
      <c r="I112" s="2" t="str">
        <f t="shared" si="21"/>
        <v>0</v>
      </c>
      <c r="J112" s="2" t="str">
        <f t="shared" si="22"/>
        <v>0</v>
      </c>
      <c r="K112" s="2" t="str">
        <f t="shared" si="23"/>
        <v>0</v>
      </c>
      <c r="L112" s="2" t="str">
        <f t="shared" si="24"/>
        <v>0</v>
      </c>
      <c r="M112" s="2" t="str">
        <f t="shared" si="25"/>
        <v>0</v>
      </c>
      <c r="N112" s="2" t="str">
        <f t="shared" si="26"/>
        <v>0</v>
      </c>
      <c r="O112" s="2" t="str">
        <f t="shared" si="27"/>
        <v>0</v>
      </c>
      <c r="P112" s="2" t="str">
        <f t="shared" si="28"/>
        <v>0</v>
      </c>
      <c r="Q112" s="2" t="str">
        <f t="shared" si="29"/>
        <v>0</v>
      </c>
      <c r="R112" s="2" t="str">
        <f t="shared" si="30"/>
        <v>0</v>
      </c>
      <c r="S112" s="2" t="str">
        <f t="shared" si="31"/>
        <v>0</v>
      </c>
      <c r="T112" s="2" t="str">
        <f t="shared" si="32"/>
        <v>0</v>
      </c>
    </row>
    <row r="113" spans="5:20" x14ac:dyDescent="0.25">
      <c r="E113" s="2" t="str">
        <f t="shared" si="17"/>
        <v>0</v>
      </c>
      <c r="F113" s="2" t="str">
        <f t="shared" si="18"/>
        <v>0</v>
      </c>
      <c r="G113" s="2" t="str">
        <f t="shared" si="19"/>
        <v>0</v>
      </c>
      <c r="H113" s="2" t="str">
        <f t="shared" si="20"/>
        <v>0</v>
      </c>
      <c r="I113" s="2" t="str">
        <f t="shared" si="21"/>
        <v>0</v>
      </c>
      <c r="J113" s="2" t="str">
        <f t="shared" si="22"/>
        <v>0</v>
      </c>
      <c r="K113" s="2" t="str">
        <f t="shared" si="23"/>
        <v>0</v>
      </c>
      <c r="L113" s="2" t="str">
        <f t="shared" si="24"/>
        <v>0</v>
      </c>
      <c r="M113" s="2" t="str">
        <f t="shared" si="25"/>
        <v>0</v>
      </c>
      <c r="N113" s="2" t="str">
        <f t="shared" si="26"/>
        <v>0</v>
      </c>
      <c r="O113" s="2" t="str">
        <f t="shared" si="27"/>
        <v>0</v>
      </c>
      <c r="P113" s="2" t="str">
        <f t="shared" si="28"/>
        <v>0</v>
      </c>
      <c r="Q113" s="2" t="str">
        <f t="shared" si="29"/>
        <v>0</v>
      </c>
      <c r="R113" s="2" t="str">
        <f t="shared" si="30"/>
        <v>0</v>
      </c>
      <c r="S113" s="2" t="str">
        <f t="shared" si="31"/>
        <v>0</v>
      </c>
      <c r="T113" s="2" t="str">
        <f t="shared" si="32"/>
        <v>0</v>
      </c>
    </row>
    <row r="114" spans="5:20" x14ac:dyDescent="0.25">
      <c r="E114" s="2" t="str">
        <f t="shared" si="17"/>
        <v>0</v>
      </c>
      <c r="F114" s="2" t="str">
        <f t="shared" si="18"/>
        <v>0</v>
      </c>
      <c r="G114" s="2" t="str">
        <f t="shared" si="19"/>
        <v>0</v>
      </c>
      <c r="H114" s="2" t="str">
        <f t="shared" si="20"/>
        <v>0</v>
      </c>
      <c r="I114" s="2" t="str">
        <f t="shared" si="21"/>
        <v>0</v>
      </c>
      <c r="J114" s="2" t="str">
        <f t="shared" si="22"/>
        <v>0</v>
      </c>
      <c r="K114" s="2" t="str">
        <f t="shared" si="23"/>
        <v>0</v>
      </c>
      <c r="L114" s="2" t="str">
        <f t="shared" si="24"/>
        <v>0</v>
      </c>
      <c r="M114" s="2" t="str">
        <f t="shared" si="25"/>
        <v>0</v>
      </c>
      <c r="N114" s="2" t="str">
        <f t="shared" si="26"/>
        <v>0</v>
      </c>
      <c r="O114" s="2" t="str">
        <f t="shared" si="27"/>
        <v>0</v>
      </c>
      <c r="P114" s="2" t="str">
        <f t="shared" si="28"/>
        <v>0</v>
      </c>
      <c r="Q114" s="2" t="str">
        <f t="shared" si="29"/>
        <v>0</v>
      </c>
      <c r="R114" s="2" t="str">
        <f t="shared" si="30"/>
        <v>0</v>
      </c>
      <c r="S114" s="2" t="str">
        <f t="shared" si="31"/>
        <v>0</v>
      </c>
      <c r="T114" s="2" t="str">
        <f t="shared" si="32"/>
        <v>0</v>
      </c>
    </row>
    <row r="115" spans="5:20" x14ac:dyDescent="0.25">
      <c r="E115" s="2" t="str">
        <f t="shared" si="17"/>
        <v>0</v>
      </c>
      <c r="F115" s="2" t="str">
        <f t="shared" si="18"/>
        <v>0</v>
      </c>
      <c r="G115" s="2" t="str">
        <f t="shared" si="19"/>
        <v>0</v>
      </c>
      <c r="H115" s="2" t="str">
        <f t="shared" si="20"/>
        <v>0</v>
      </c>
      <c r="I115" s="2" t="str">
        <f t="shared" si="21"/>
        <v>0</v>
      </c>
      <c r="J115" s="2" t="str">
        <f t="shared" si="22"/>
        <v>0</v>
      </c>
      <c r="K115" s="2" t="str">
        <f t="shared" si="23"/>
        <v>0</v>
      </c>
      <c r="L115" s="2" t="str">
        <f t="shared" si="24"/>
        <v>0</v>
      </c>
      <c r="M115" s="2" t="str">
        <f t="shared" si="25"/>
        <v>0</v>
      </c>
      <c r="N115" s="2" t="str">
        <f t="shared" si="26"/>
        <v>0</v>
      </c>
      <c r="O115" s="2" t="str">
        <f t="shared" si="27"/>
        <v>0</v>
      </c>
      <c r="P115" s="2" t="str">
        <f t="shared" si="28"/>
        <v>0</v>
      </c>
      <c r="Q115" s="2" t="str">
        <f t="shared" si="29"/>
        <v>0</v>
      </c>
      <c r="R115" s="2" t="str">
        <f t="shared" si="30"/>
        <v>0</v>
      </c>
      <c r="S115" s="2" t="str">
        <f t="shared" si="31"/>
        <v>0</v>
      </c>
      <c r="T115" s="2" t="str">
        <f t="shared" si="32"/>
        <v>0</v>
      </c>
    </row>
    <row r="116" spans="5:20" x14ac:dyDescent="0.25">
      <c r="E116" s="2" t="str">
        <f t="shared" si="17"/>
        <v>0</v>
      </c>
      <c r="F116" s="2" t="str">
        <f t="shared" si="18"/>
        <v>0</v>
      </c>
      <c r="G116" s="2" t="str">
        <f t="shared" si="19"/>
        <v>0</v>
      </c>
      <c r="H116" s="2" t="str">
        <f t="shared" si="20"/>
        <v>0</v>
      </c>
      <c r="I116" s="2" t="str">
        <f t="shared" si="21"/>
        <v>0</v>
      </c>
      <c r="J116" s="2" t="str">
        <f t="shared" si="22"/>
        <v>0</v>
      </c>
      <c r="K116" s="2" t="str">
        <f t="shared" si="23"/>
        <v>0</v>
      </c>
      <c r="L116" s="2" t="str">
        <f t="shared" si="24"/>
        <v>0</v>
      </c>
      <c r="M116" s="2" t="str">
        <f t="shared" si="25"/>
        <v>0</v>
      </c>
      <c r="N116" s="2" t="str">
        <f t="shared" si="26"/>
        <v>0</v>
      </c>
      <c r="O116" s="2" t="str">
        <f t="shared" si="27"/>
        <v>0</v>
      </c>
      <c r="P116" s="2" t="str">
        <f t="shared" si="28"/>
        <v>0</v>
      </c>
      <c r="Q116" s="2" t="str">
        <f t="shared" si="29"/>
        <v>0</v>
      </c>
      <c r="R116" s="2" t="str">
        <f t="shared" si="30"/>
        <v>0</v>
      </c>
      <c r="S116" s="2" t="str">
        <f t="shared" si="31"/>
        <v>0</v>
      </c>
      <c r="T116" s="2" t="str">
        <f t="shared" si="32"/>
        <v>0</v>
      </c>
    </row>
    <row r="117" spans="5:20" x14ac:dyDescent="0.25">
      <c r="E117" s="2" t="str">
        <f t="shared" si="17"/>
        <v>0</v>
      </c>
      <c r="F117" s="2" t="str">
        <f t="shared" si="18"/>
        <v>0</v>
      </c>
      <c r="G117" s="2" t="str">
        <f t="shared" si="19"/>
        <v>0</v>
      </c>
      <c r="H117" s="2" t="str">
        <f t="shared" si="20"/>
        <v>0</v>
      </c>
      <c r="I117" s="2" t="str">
        <f t="shared" si="21"/>
        <v>0</v>
      </c>
      <c r="J117" s="2" t="str">
        <f t="shared" si="22"/>
        <v>0</v>
      </c>
      <c r="K117" s="2" t="str">
        <f t="shared" si="23"/>
        <v>0</v>
      </c>
      <c r="L117" s="2" t="str">
        <f t="shared" si="24"/>
        <v>0</v>
      </c>
      <c r="M117" s="2" t="str">
        <f t="shared" si="25"/>
        <v>0</v>
      </c>
      <c r="N117" s="2" t="str">
        <f t="shared" si="26"/>
        <v>0</v>
      </c>
      <c r="O117" s="2" t="str">
        <f t="shared" si="27"/>
        <v>0</v>
      </c>
      <c r="P117" s="2" t="str">
        <f t="shared" si="28"/>
        <v>0</v>
      </c>
      <c r="Q117" s="2" t="str">
        <f t="shared" si="29"/>
        <v>0</v>
      </c>
      <c r="R117" s="2" t="str">
        <f t="shared" si="30"/>
        <v>0</v>
      </c>
      <c r="S117" s="2" t="str">
        <f t="shared" si="31"/>
        <v>0</v>
      </c>
      <c r="T117" s="2" t="str">
        <f t="shared" si="32"/>
        <v>0</v>
      </c>
    </row>
    <row r="118" spans="5:20" x14ac:dyDescent="0.25">
      <c r="E118" s="2" t="str">
        <f t="shared" si="17"/>
        <v>0</v>
      </c>
      <c r="F118" s="2" t="str">
        <f t="shared" si="18"/>
        <v>0</v>
      </c>
      <c r="G118" s="2" t="str">
        <f t="shared" si="19"/>
        <v>0</v>
      </c>
      <c r="H118" s="2" t="str">
        <f t="shared" si="20"/>
        <v>0</v>
      </c>
      <c r="I118" s="2" t="str">
        <f t="shared" si="21"/>
        <v>0</v>
      </c>
      <c r="J118" s="2" t="str">
        <f t="shared" si="22"/>
        <v>0</v>
      </c>
      <c r="K118" s="2" t="str">
        <f t="shared" si="23"/>
        <v>0</v>
      </c>
      <c r="L118" s="2" t="str">
        <f t="shared" si="24"/>
        <v>0</v>
      </c>
      <c r="M118" s="2" t="str">
        <f t="shared" si="25"/>
        <v>0</v>
      </c>
      <c r="N118" s="2" t="str">
        <f t="shared" si="26"/>
        <v>0</v>
      </c>
      <c r="O118" s="2" t="str">
        <f t="shared" si="27"/>
        <v>0</v>
      </c>
      <c r="P118" s="2" t="str">
        <f t="shared" si="28"/>
        <v>0</v>
      </c>
      <c r="Q118" s="2" t="str">
        <f t="shared" si="29"/>
        <v>0</v>
      </c>
      <c r="R118" s="2" t="str">
        <f t="shared" si="30"/>
        <v>0</v>
      </c>
      <c r="S118" s="2" t="str">
        <f t="shared" si="31"/>
        <v>0</v>
      </c>
      <c r="T118" s="2" t="str">
        <f t="shared" si="32"/>
        <v>0</v>
      </c>
    </row>
    <row r="119" spans="5:20" x14ac:dyDescent="0.25">
      <c r="E119" s="2" t="str">
        <f t="shared" si="17"/>
        <v>0</v>
      </c>
      <c r="F119" s="2" t="str">
        <f t="shared" si="18"/>
        <v>0</v>
      </c>
      <c r="G119" s="2" t="str">
        <f t="shared" si="19"/>
        <v>0</v>
      </c>
      <c r="H119" s="2" t="str">
        <f t="shared" si="20"/>
        <v>0</v>
      </c>
      <c r="I119" s="2" t="str">
        <f t="shared" si="21"/>
        <v>0</v>
      </c>
      <c r="J119" s="2" t="str">
        <f t="shared" si="22"/>
        <v>0</v>
      </c>
      <c r="K119" s="2" t="str">
        <f t="shared" si="23"/>
        <v>0</v>
      </c>
      <c r="L119" s="2" t="str">
        <f t="shared" si="24"/>
        <v>0</v>
      </c>
      <c r="M119" s="2" t="str">
        <f t="shared" si="25"/>
        <v>0</v>
      </c>
      <c r="N119" s="2" t="str">
        <f t="shared" si="26"/>
        <v>0</v>
      </c>
      <c r="O119" s="2" t="str">
        <f t="shared" si="27"/>
        <v>0</v>
      </c>
      <c r="P119" s="2" t="str">
        <f t="shared" si="28"/>
        <v>0</v>
      </c>
      <c r="Q119" s="2" t="str">
        <f t="shared" si="29"/>
        <v>0</v>
      </c>
      <c r="R119" s="2" t="str">
        <f t="shared" si="30"/>
        <v>0</v>
      </c>
      <c r="S119" s="2" t="str">
        <f t="shared" si="31"/>
        <v>0</v>
      </c>
      <c r="T119" s="2" t="str">
        <f t="shared" si="32"/>
        <v>0</v>
      </c>
    </row>
    <row r="120" spans="5:20" x14ac:dyDescent="0.25">
      <c r="E120" s="2" t="str">
        <f t="shared" si="17"/>
        <v>0</v>
      </c>
      <c r="F120" s="2" t="str">
        <f t="shared" si="18"/>
        <v>0</v>
      </c>
      <c r="G120" s="2" t="str">
        <f t="shared" si="19"/>
        <v>0</v>
      </c>
      <c r="H120" s="2" t="str">
        <f t="shared" si="20"/>
        <v>0</v>
      </c>
      <c r="I120" s="2" t="str">
        <f t="shared" si="21"/>
        <v>0</v>
      </c>
      <c r="J120" s="2" t="str">
        <f t="shared" si="22"/>
        <v>0</v>
      </c>
      <c r="K120" s="2" t="str">
        <f t="shared" si="23"/>
        <v>0</v>
      </c>
      <c r="L120" s="2" t="str">
        <f t="shared" si="24"/>
        <v>0</v>
      </c>
      <c r="M120" s="2" t="str">
        <f t="shared" si="25"/>
        <v>0</v>
      </c>
      <c r="N120" s="2" t="str">
        <f t="shared" si="26"/>
        <v>0</v>
      </c>
      <c r="O120" s="2" t="str">
        <f t="shared" si="27"/>
        <v>0</v>
      </c>
      <c r="P120" s="2" t="str">
        <f t="shared" si="28"/>
        <v>0</v>
      </c>
      <c r="Q120" s="2" t="str">
        <f t="shared" si="29"/>
        <v>0</v>
      </c>
      <c r="R120" s="2" t="str">
        <f t="shared" si="30"/>
        <v>0</v>
      </c>
      <c r="S120" s="2" t="str">
        <f t="shared" si="31"/>
        <v>0</v>
      </c>
      <c r="T120" s="2" t="str">
        <f t="shared" si="32"/>
        <v>0</v>
      </c>
    </row>
    <row r="121" spans="5:20" x14ac:dyDescent="0.25">
      <c r="E121" s="2" t="str">
        <f t="shared" si="17"/>
        <v>0</v>
      </c>
      <c r="F121" s="2" t="str">
        <f t="shared" si="18"/>
        <v>0</v>
      </c>
      <c r="G121" s="2" t="str">
        <f t="shared" si="19"/>
        <v>0</v>
      </c>
      <c r="H121" s="2" t="str">
        <f t="shared" si="20"/>
        <v>0</v>
      </c>
      <c r="I121" s="2" t="str">
        <f t="shared" si="21"/>
        <v>0</v>
      </c>
      <c r="J121" s="2" t="str">
        <f t="shared" si="22"/>
        <v>0</v>
      </c>
      <c r="K121" s="2" t="str">
        <f t="shared" si="23"/>
        <v>0</v>
      </c>
      <c r="L121" s="2" t="str">
        <f t="shared" si="24"/>
        <v>0</v>
      </c>
      <c r="M121" s="2" t="str">
        <f t="shared" si="25"/>
        <v>0</v>
      </c>
      <c r="N121" s="2" t="str">
        <f t="shared" si="26"/>
        <v>0</v>
      </c>
      <c r="O121" s="2" t="str">
        <f t="shared" si="27"/>
        <v>0</v>
      </c>
      <c r="P121" s="2" t="str">
        <f t="shared" si="28"/>
        <v>0</v>
      </c>
      <c r="Q121" s="2" t="str">
        <f t="shared" si="29"/>
        <v>0</v>
      </c>
      <c r="R121" s="2" t="str">
        <f t="shared" si="30"/>
        <v>0</v>
      </c>
      <c r="S121" s="2" t="str">
        <f t="shared" si="31"/>
        <v>0</v>
      </c>
      <c r="T121" s="2" t="str">
        <f t="shared" si="32"/>
        <v>0</v>
      </c>
    </row>
    <row r="122" spans="5:20" x14ac:dyDescent="0.25">
      <c r="E122" s="2" t="str">
        <f t="shared" si="17"/>
        <v>0</v>
      </c>
      <c r="F122" s="2" t="str">
        <f t="shared" si="18"/>
        <v>0</v>
      </c>
      <c r="G122" s="2" t="str">
        <f t="shared" si="19"/>
        <v>0</v>
      </c>
      <c r="H122" s="2" t="str">
        <f t="shared" si="20"/>
        <v>0</v>
      </c>
      <c r="I122" s="2" t="str">
        <f t="shared" si="21"/>
        <v>0</v>
      </c>
      <c r="J122" s="2" t="str">
        <f t="shared" si="22"/>
        <v>0</v>
      </c>
      <c r="K122" s="2" t="str">
        <f t="shared" si="23"/>
        <v>0</v>
      </c>
      <c r="L122" s="2" t="str">
        <f t="shared" si="24"/>
        <v>0</v>
      </c>
      <c r="M122" s="2" t="str">
        <f t="shared" si="25"/>
        <v>0</v>
      </c>
      <c r="N122" s="2" t="str">
        <f t="shared" si="26"/>
        <v>0</v>
      </c>
      <c r="O122" s="2" t="str">
        <f t="shared" si="27"/>
        <v>0</v>
      </c>
      <c r="P122" s="2" t="str">
        <f t="shared" si="28"/>
        <v>0</v>
      </c>
      <c r="Q122" s="2" t="str">
        <f t="shared" si="29"/>
        <v>0</v>
      </c>
      <c r="R122" s="2" t="str">
        <f t="shared" si="30"/>
        <v>0</v>
      </c>
      <c r="S122" s="2" t="str">
        <f t="shared" si="31"/>
        <v>0</v>
      </c>
      <c r="T122" s="2" t="str">
        <f t="shared" si="32"/>
        <v>0</v>
      </c>
    </row>
    <row r="123" spans="5:20" x14ac:dyDescent="0.25">
      <c r="E123" s="2" t="str">
        <f t="shared" si="17"/>
        <v>0</v>
      </c>
      <c r="F123" s="2" t="str">
        <f t="shared" si="18"/>
        <v>0</v>
      </c>
      <c r="G123" s="2" t="str">
        <f t="shared" si="19"/>
        <v>0</v>
      </c>
      <c r="H123" s="2" t="str">
        <f t="shared" si="20"/>
        <v>0</v>
      </c>
      <c r="I123" s="2" t="str">
        <f t="shared" si="21"/>
        <v>0</v>
      </c>
      <c r="J123" s="2" t="str">
        <f t="shared" si="22"/>
        <v>0</v>
      </c>
      <c r="K123" s="2" t="str">
        <f t="shared" si="23"/>
        <v>0</v>
      </c>
      <c r="L123" s="2" t="str">
        <f t="shared" si="24"/>
        <v>0</v>
      </c>
      <c r="M123" s="2" t="str">
        <f t="shared" si="25"/>
        <v>0</v>
      </c>
      <c r="N123" s="2" t="str">
        <f t="shared" si="26"/>
        <v>0</v>
      </c>
      <c r="O123" s="2" t="str">
        <f t="shared" si="27"/>
        <v>0</v>
      </c>
      <c r="P123" s="2" t="str">
        <f t="shared" si="28"/>
        <v>0</v>
      </c>
      <c r="Q123" s="2" t="str">
        <f t="shared" si="29"/>
        <v>0</v>
      </c>
      <c r="R123" s="2" t="str">
        <f t="shared" si="30"/>
        <v>0</v>
      </c>
      <c r="S123" s="2" t="str">
        <f t="shared" si="31"/>
        <v>0</v>
      </c>
      <c r="T123" s="2" t="str">
        <f t="shared" si="32"/>
        <v>0</v>
      </c>
    </row>
    <row r="124" spans="5:20" x14ac:dyDescent="0.25">
      <c r="E124" s="2" t="str">
        <f t="shared" si="17"/>
        <v>0</v>
      </c>
      <c r="F124" s="2" t="str">
        <f t="shared" si="18"/>
        <v>0</v>
      </c>
      <c r="G124" s="2" t="str">
        <f t="shared" si="19"/>
        <v>0</v>
      </c>
      <c r="H124" s="2" t="str">
        <f t="shared" si="20"/>
        <v>0</v>
      </c>
      <c r="I124" s="2" t="str">
        <f t="shared" si="21"/>
        <v>0</v>
      </c>
      <c r="J124" s="2" t="str">
        <f t="shared" si="22"/>
        <v>0</v>
      </c>
      <c r="K124" s="2" t="str">
        <f t="shared" si="23"/>
        <v>0</v>
      </c>
      <c r="L124" s="2" t="str">
        <f t="shared" si="24"/>
        <v>0</v>
      </c>
      <c r="M124" s="2" t="str">
        <f t="shared" si="25"/>
        <v>0</v>
      </c>
      <c r="N124" s="2" t="str">
        <f t="shared" si="26"/>
        <v>0</v>
      </c>
      <c r="O124" s="2" t="str">
        <f t="shared" si="27"/>
        <v>0</v>
      </c>
      <c r="P124" s="2" t="str">
        <f t="shared" si="28"/>
        <v>0</v>
      </c>
      <c r="Q124" s="2" t="str">
        <f t="shared" si="29"/>
        <v>0</v>
      </c>
      <c r="R124" s="2" t="str">
        <f t="shared" si="30"/>
        <v>0</v>
      </c>
      <c r="S124" s="2" t="str">
        <f t="shared" si="31"/>
        <v>0</v>
      </c>
      <c r="T124" s="2" t="str">
        <f t="shared" si="32"/>
        <v>0</v>
      </c>
    </row>
    <row r="125" spans="5:20" x14ac:dyDescent="0.25">
      <c r="E125" s="2" t="str">
        <f t="shared" si="17"/>
        <v>0</v>
      </c>
      <c r="F125" s="2" t="str">
        <f t="shared" si="18"/>
        <v>0</v>
      </c>
      <c r="G125" s="2" t="str">
        <f t="shared" si="19"/>
        <v>0</v>
      </c>
      <c r="H125" s="2" t="str">
        <f t="shared" si="20"/>
        <v>0</v>
      </c>
      <c r="I125" s="2" t="str">
        <f t="shared" si="21"/>
        <v>0</v>
      </c>
      <c r="J125" s="2" t="str">
        <f t="shared" si="22"/>
        <v>0</v>
      </c>
      <c r="K125" s="2" t="str">
        <f t="shared" si="23"/>
        <v>0</v>
      </c>
      <c r="L125" s="2" t="str">
        <f t="shared" si="24"/>
        <v>0</v>
      </c>
      <c r="M125" s="2" t="str">
        <f t="shared" si="25"/>
        <v>0</v>
      </c>
      <c r="N125" s="2" t="str">
        <f t="shared" si="26"/>
        <v>0</v>
      </c>
      <c r="O125" s="2" t="str">
        <f t="shared" si="27"/>
        <v>0</v>
      </c>
      <c r="P125" s="2" t="str">
        <f t="shared" si="28"/>
        <v>0</v>
      </c>
      <c r="Q125" s="2" t="str">
        <f t="shared" si="29"/>
        <v>0</v>
      </c>
      <c r="R125" s="2" t="str">
        <f t="shared" si="30"/>
        <v>0</v>
      </c>
      <c r="S125" s="2" t="str">
        <f t="shared" si="31"/>
        <v>0</v>
      </c>
      <c r="T125" s="2" t="str">
        <f t="shared" si="32"/>
        <v>0</v>
      </c>
    </row>
    <row r="126" spans="5:20" x14ac:dyDescent="0.25">
      <c r="E126" s="2" t="str">
        <f t="shared" si="17"/>
        <v>0</v>
      </c>
      <c r="F126" s="2" t="str">
        <f t="shared" si="18"/>
        <v>0</v>
      </c>
      <c r="G126" s="2" t="str">
        <f t="shared" si="19"/>
        <v>0</v>
      </c>
      <c r="H126" s="2" t="str">
        <f t="shared" si="20"/>
        <v>0</v>
      </c>
      <c r="I126" s="2" t="str">
        <f t="shared" si="21"/>
        <v>0</v>
      </c>
      <c r="J126" s="2" t="str">
        <f t="shared" si="22"/>
        <v>0</v>
      </c>
      <c r="K126" s="2" t="str">
        <f t="shared" si="23"/>
        <v>0</v>
      </c>
      <c r="L126" s="2" t="str">
        <f t="shared" si="24"/>
        <v>0</v>
      </c>
      <c r="M126" s="2" t="str">
        <f t="shared" si="25"/>
        <v>0</v>
      </c>
      <c r="N126" s="2" t="str">
        <f t="shared" si="26"/>
        <v>0</v>
      </c>
      <c r="O126" s="2" t="str">
        <f t="shared" si="27"/>
        <v>0</v>
      </c>
      <c r="P126" s="2" t="str">
        <f t="shared" si="28"/>
        <v>0</v>
      </c>
      <c r="Q126" s="2" t="str">
        <f t="shared" si="29"/>
        <v>0</v>
      </c>
      <c r="R126" s="2" t="str">
        <f t="shared" si="30"/>
        <v>0</v>
      </c>
      <c r="S126" s="2" t="str">
        <f t="shared" si="31"/>
        <v>0</v>
      </c>
      <c r="T126" s="2" t="str">
        <f t="shared" si="32"/>
        <v>0</v>
      </c>
    </row>
    <row r="127" spans="5:20" x14ac:dyDescent="0.25">
      <c r="E127" s="2">
        <f>SUM(E39:E126)</f>
        <v>3</v>
      </c>
      <c r="F127" s="2">
        <f t="shared" ref="F127:T127" si="33">SUM(F39:F126)</f>
        <v>32.120000000000005</v>
      </c>
      <c r="G127" s="2">
        <f t="shared" si="33"/>
        <v>2.2999999999999989</v>
      </c>
      <c r="H127" s="2">
        <f t="shared" si="33"/>
        <v>1.7999999999999998</v>
      </c>
      <c r="I127" s="2">
        <f t="shared" si="33"/>
        <v>24.02</v>
      </c>
      <c r="J127" s="2">
        <f t="shared" si="33"/>
        <v>0</v>
      </c>
      <c r="K127" s="2">
        <f t="shared" si="33"/>
        <v>37.42</v>
      </c>
      <c r="L127" s="2">
        <f t="shared" si="33"/>
        <v>0</v>
      </c>
      <c r="M127" s="2">
        <f t="shared" si="33"/>
        <v>37.42</v>
      </c>
      <c r="N127" s="2">
        <f t="shared" si="33"/>
        <v>10</v>
      </c>
      <c r="O127" s="2">
        <f t="shared" si="33"/>
        <v>0</v>
      </c>
      <c r="P127" s="2">
        <f t="shared" si="33"/>
        <v>37.42</v>
      </c>
      <c r="Q127" s="2">
        <f t="shared" si="33"/>
        <v>0</v>
      </c>
      <c r="R127" s="2">
        <f t="shared" si="33"/>
        <v>0</v>
      </c>
      <c r="S127" s="2">
        <f t="shared" si="33"/>
        <v>37.42</v>
      </c>
      <c r="T127" s="2">
        <f t="shared" si="33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D7D3-FAEB-4560-BB41-AE046EA89295}">
  <dimension ref="A1:AN127"/>
  <sheetViews>
    <sheetView view="pageBreakPreview" zoomScale="70" zoomScaleNormal="70" zoomScaleSheetLayoutView="70" workbookViewId="0">
      <selection activeCell="K12" sqref="K12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TT!C14</f>
        <v>RODOVIA TO-387 - TRECHO PALMEIRÓPOLIS - DIVISA TO-GO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25">
      <c r="A7" s="75" t="s">
        <v>109</v>
      </c>
      <c r="B7" s="75" t="s">
        <v>128</v>
      </c>
      <c r="C7" s="75">
        <v>0</v>
      </c>
      <c r="D7" s="75">
        <v>1</v>
      </c>
      <c r="E7" s="75"/>
      <c r="F7" s="75"/>
      <c r="G7" s="75" t="s">
        <v>129</v>
      </c>
      <c r="H7" s="75"/>
      <c r="I7" s="75"/>
      <c r="J7" s="75" t="s">
        <v>129</v>
      </c>
      <c r="K7" s="75"/>
      <c r="L7" s="75"/>
      <c r="M7" s="75" t="s">
        <v>129</v>
      </c>
      <c r="N7" s="75"/>
      <c r="O7" s="75" t="s">
        <v>129</v>
      </c>
      <c r="P7" s="75"/>
      <c r="Q7" s="75"/>
      <c r="R7" s="75" t="s">
        <v>129</v>
      </c>
      <c r="S7" s="75"/>
      <c r="T7" s="75"/>
      <c r="U7" s="77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25">
      <c r="A8" s="75"/>
      <c r="B8" s="75"/>
      <c r="C8" s="75">
        <f>D7</f>
        <v>1</v>
      </c>
      <c r="D8" s="75">
        <v>3</v>
      </c>
      <c r="E8" s="75"/>
      <c r="F8" s="75" t="s">
        <v>129</v>
      </c>
      <c r="G8" s="75"/>
      <c r="H8" s="75" t="s">
        <v>129</v>
      </c>
      <c r="I8" s="75"/>
      <c r="J8" s="75" t="s">
        <v>129</v>
      </c>
      <c r="K8" s="75"/>
      <c r="L8" s="75"/>
      <c r="M8" s="75" t="s">
        <v>129</v>
      </c>
      <c r="N8" s="75"/>
      <c r="O8" s="75" t="s">
        <v>129</v>
      </c>
      <c r="P8" s="75"/>
      <c r="Q8" s="75"/>
      <c r="R8" s="75" t="s">
        <v>129</v>
      </c>
      <c r="S8" s="75"/>
      <c r="T8" s="75"/>
      <c r="U8" s="77"/>
    </row>
    <row r="9" spans="1:40" ht="36" customHeight="1" x14ac:dyDescent="0.25">
      <c r="A9" s="75"/>
      <c r="B9" s="75"/>
      <c r="C9" s="75">
        <f>D8</f>
        <v>3</v>
      </c>
      <c r="D9" s="75">
        <v>5.2</v>
      </c>
      <c r="E9" s="75"/>
      <c r="F9" s="75"/>
      <c r="G9" s="75"/>
      <c r="H9" s="75" t="s">
        <v>129</v>
      </c>
      <c r="I9" s="75"/>
      <c r="J9" s="75" t="s">
        <v>129</v>
      </c>
      <c r="K9" s="75"/>
      <c r="L9" s="75"/>
      <c r="M9" s="75" t="s">
        <v>129</v>
      </c>
      <c r="N9" s="75"/>
      <c r="O9" s="75" t="s">
        <v>129</v>
      </c>
      <c r="P9" s="75"/>
      <c r="Q9" s="75"/>
      <c r="R9" s="75" t="s">
        <v>129</v>
      </c>
      <c r="S9" s="75"/>
      <c r="T9" s="75"/>
      <c r="U9" s="77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25">
      <c r="A10" s="75" t="s">
        <v>111</v>
      </c>
      <c r="B10" s="75" t="s">
        <v>128</v>
      </c>
      <c r="C10" s="75">
        <v>0</v>
      </c>
      <c r="D10" s="75">
        <v>1</v>
      </c>
      <c r="E10" s="75" t="s">
        <v>129</v>
      </c>
      <c r="F10" s="75"/>
      <c r="G10" s="75"/>
      <c r="H10" s="75"/>
      <c r="I10" s="75"/>
      <c r="J10" s="75" t="s">
        <v>129</v>
      </c>
      <c r="K10" s="75"/>
      <c r="L10" s="75"/>
      <c r="M10" s="75" t="s">
        <v>129</v>
      </c>
      <c r="N10" s="75"/>
      <c r="O10" s="75" t="s">
        <v>129</v>
      </c>
      <c r="P10" s="75"/>
      <c r="Q10" s="75"/>
      <c r="R10" s="75" t="s">
        <v>129</v>
      </c>
      <c r="S10" s="75"/>
      <c r="T10" s="75"/>
      <c r="U10" s="77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25">
      <c r="A11" s="75"/>
      <c r="B11" s="75"/>
      <c r="C11" s="75">
        <f>D10</f>
        <v>1</v>
      </c>
      <c r="D11" s="75">
        <v>4</v>
      </c>
      <c r="E11" s="75"/>
      <c r="F11" s="75" t="s">
        <v>129</v>
      </c>
      <c r="G11" s="75"/>
      <c r="H11" s="75"/>
      <c r="I11" s="75"/>
      <c r="J11" s="75" t="s">
        <v>129</v>
      </c>
      <c r="K11" s="75"/>
      <c r="L11" s="75"/>
      <c r="M11" s="75" t="s">
        <v>129</v>
      </c>
      <c r="N11" s="75"/>
      <c r="O11" s="75" t="s">
        <v>129</v>
      </c>
      <c r="P11" s="75"/>
      <c r="Q11" s="75"/>
      <c r="R11" s="75" t="s">
        <v>129</v>
      </c>
      <c r="S11" s="75"/>
      <c r="T11" s="75"/>
      <c r="U11" s="77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25">
      <c r="A12" s="75"/>
      <c r="B12" s="75"/>
      <c r="C12" s="75">
        <f>D11</f>
        <v>4</v>
      </c>
      <c r="D12" s="75">
        <v>6.24</v>
      </c>
      <c r="E12" s="75" t="s">
        <v>129</v>
      </c>
      <c r="F12" s="75"/>
      <c r="G12" s="75"/>
      <c r="H12" s="75" t="s">
        <v>129</v>
      </c>
      <c r="I12" s="75"/>
      <c r="J12" s="75" t="s">
        <v>129</v>
      </c>
      <c r="K12" s="75"/>
      <c r="L12" s="75"/>
      <c r="M12" s="75" t="s">
        <v>129</v>
      </c>
      <c r="N12" s="75"/>
      <c r="O12" s="75" t="s">
        <v>129</v>
      </c>
      <c r="P12" s="75"/>
      <c r="Q12" s="75"/>
      <c r="R12" s="75" t="s">
        <v>129</v>
      </c>
      <c r="S12" s="75"/>
      <c r="T12" s="75"/>
      <c r="U12" s="77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25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7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25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7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7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7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25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7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25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7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2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7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25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7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7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7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7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7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7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7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7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7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>
        <f>IF(G7="X",(D7-C7),"0")</f>
        <v>1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1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1</v>
      </c>
      <c r="N39" s="2" t="str">
        <f>IF(N7="X",(D7-C7),"0")</f>
        <v>0</v>
      </c>
      <c r="O39" s="2">
        <f>IF(O7="X",(D7-C7),"0")</f>
        <v>1</v>
      </c>
      <c r="P39" s="2" t="str">
        <f>IF(P7="X",(D7-C7),"0")</f>
        <v>0</v>
      </c>
      <c r="Q39" s="2" t="str">
        <f>IF(Q7="X",(D7-C7),"0")</f>
        <v>0</v>
      </c>
      <c r="R39" s="2">
        <f>IF(R7="X",(D7-C7),"0")</f>
        <v>1</v>
      </c>
      <c r="S39" s="2" t="str">
        <f>IF(S7="X",(D7-C7),"0")</f>
        <v>0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>
        <f t="shared" ref="F40:F103" si="1">IF(F8="X",(D8-C8),"0")</f>
        <v>2</v>
      </c>
      <c r="G40" s="2" t="str">
        <f t="shared" ref="G40:G103" si="2">IF(G8="X",(D8-C8),"0")</f>
        <v>0</v>
      </c>
      <c r="H40" s="2">
        <f t="shared" ref="H40:H103" si="3">IF(H8="X",(D8-C8),"0")</f>
        <v>2</v>
      </c>
      <c r="I40" s="2" t="str">
        <f t="shared" ref="I40:I103" si="4">IF(I8="X",(D8-C8),"0")</f>
        <v>0</v>
      </c>
      <c r="J40" s="2">
        <f t="shared" ref="J40:J103" si="5">IF(J8="X",(D8-C8),"0")</f>
        <v>2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2</v>
      </c>
      <c r="N40" s="2" t="str">
        <f t="shared" ref="N40:N103" si="9">IF(N8="X",(D8-C8),"0")</f>
        <v>0</v>
      </c>
      <c r="O40" s="2">
        <f t="shared" ref="O40:O103" si="10">IF(O8="X",(D8-C8),"0")</f>
        <v>2</v>
      </c>
      <c r="P40" s="2" t="str">
        <f t="shared" ref="P40:P103" si="11">IF(P8="X",(D8-C8),"0")</f>
        <v>0</v>
      </c>
      <c r="Q40" s="2" t="str">
        <f t="shared" ref="Q40:Q103" si="12">IF(Q8="X",(D8-C8),"0")</f>
        <v>0</v>
      </c>
      <c r="R40" s="2">
        <f t="shared" ref="R40:R103" si="13">IF(R8="X",(D8-C8),"0")</f>
        <v>2</v>
      </c>
      <c r="S40" s="2" t="str">
        <f t="shared" ref="S40:S103" si="14">IF(S8="X",(D8-C8),"0")</f>
        <v>0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 t="str">
        <f t="shared" si="1"/>
        <v>0</v>
      </c>
      <c r="G41" s="2" t="str">
        <f t="shared" si="2"/>
        <v>0</v>
      </c>
      <c r="H41" s="2">
        <f t="shared" si="3"/>
        <v>2.2000000000000002</v>
      </c>
      <c r="I41" s="2" t="str">
        <f t="shared" si="4"/>
        <v>0</v>
      </c>
      <c r="J41" s="2">
        <f t="shared" si="5"/>
        <v>2.2000000000000002</v>
      </c>
      <c r="K41" s="2" t="str">
        <f t="shared" si="6"/>
        <v>0</v>
      </c>
      <c r="L41" s="2" t="str">
        <f t="shared" si="7"/>
        <v>0</v>
      </c>
      <c r="M41" s="2">
        <f t="shared" si="8"/>
        <v>2.2000000000000002</v>
      </c>
      <c r="N41" s="2" t="str">
        <f t="shared" si="9"/>
        <v>0</v>
      </c>
      <c r="O41" s="2">
        <f t="shared" si="10"/>
        <v>2.2000000000000002</v>
      </c>
      <c r="P41" s="2" t="str">
        <f t="shared" si="11"/>
        <v>0</v>
      </c>
      <c r="Q41" s="2" t="str">
        <f t="shared" si="12"/>
        <v>0</v>
      </c>
      <c r="R41" s="2">
        <f t="shared" si="13"/>
        <v>2.2000000000000002</v>
      </c>
      <c r="S41" s="2" t="str">
        <f t="shared" si="14"/>
        <v>0</v>
      </c>
      <c r="T41" s="2" t="str">
        <f t="shared" si="15"/>
        <v>0</v>
      </c>
    </row>
    <row r="42" spans="1:20" x14ac:dyDescent="0.25">
      <c r="E42" s="2">
        <f t="shared" si="0"/>
        <v>1</v>
      </c>
      <c r="F42" s="2" t="str">
        <f t="shared" si="1"/>
        <v>0</v>
      </c>
      <c r="G42" s="2" t="str">
        <f t="shared" si="2"/>
        <v>0</v>
      </c>
      <c r="H42" s="2" t="str">
        <f t="shared" si="3"/>
        <v>0</v>
      </c>
      <c r="I42" s="2" t="str">
        <f t="shared" si="4"/>
        <v>0</v>
      </c>
      <c r="J42" s="2">
        <f t="shared" si="5"/>
        <v>1</v>
      </c>
      <c r="K42" s="2" t="str">
        <f t="shared" si="6"/>
        <v>0</v>
      </c>
      <c r="L42" s="2" t="str">
        <f t="shared" si="7"/>
        <v>0</v>
      </c>
      <c r="M42" s="2">
        <f t="shared" si="8"/>
        <v>1</v>
      </c>
      <c r="N42" s="2" t="str">
        <f t="shared" si="9"/>
        <v>0</v>
      </c>
      <c r="O42" s="2">
        <f t="shared" si="10"/>
        <v>1</v>
      </c>
      <c r="P42" s="2" t="str">
        <f t="shared" si="11"/>
        <v>0</v>
      </c>
      <c r="Q42" s="2" t="str">
        <f t="shared" si="12"/>
        <v>0</v>
      </c>
      <c r="R42" s="2">
        <f t="shared" si="13"/>
        <v>1</v>
      </c>
      <c r="S42" s="2" t="str">
        <f t="shared" si="14"/>
        <v>0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>
        <f t="shared" si="1"/>
        <v>3</v>
      </c>
      <c r="G43" s="2" t="str">
        <f t="shared" si="2"/>
        <v>0</v>
      </c>
      <c r="H43" s="2" t="str">
        <f t="shared" si="3"/>
        <v>0</v>
      </c>
      <c r="I43" s="2" t="str">
        <f t="shared" si="4"/>
        <v>0</v>
      </c>
      <c r="J43" s="2">
        <f t="shared" si="5"/>
        <v>3</v>
      </c>
      <c r="K43" s="2" t="str">
        <f t="shared" si="6"/>
        <v>0</v>
      </c>
      <c r="L43" s="2" t="str">
        <f t="shared" si="7"/>
        <v>0</v>
      </c>
      <c r="M43" s="2">
        <f t="shared" si="8"/>
        <v>3</v>
      </c>
      <c r="N43" s="2" t="str">
        <f t="shared" si="9"/>
        <v>0</v>
      </c>
      <c r="O43" s="2">
        <f t="shared" si="10"/>
        <v>3</v>
      </c>
      <c r="P43" s="2" t="str">
        <f t="shared" si="11"/>
        <v>0</v>
      </c>
      <c r="Q43" s="2" t="str">
        <f t="shared" si="12"/>
        <v>0</v>
      </c>
      <c r="R43" s="2">
        <f t="shared" si="13"/>
        <v>3</v>
      </c>
      <c r="S43" s="2" t="str">
        <f t="shared" si="14"/>
        <v>0</v>
      </c>
      <c r="T43" s="2" t="str">
        <f t="shared" si="15"/>
        <v>0</v>
      </c>
    </row>
    <row r="44" spans="1:20" x14ac:dyDescent="0.25">
      <c r="E44" s="2">
        <f>IF(E12="X",(D12-C12),"0")</f>
        <v>2.2400000000000002</v>
      </c>
      <c r="F44" s="2" t="str">
        <f t="shared" si="1"/>
        <v>0</v>
      </c>
      <c r="G44" s="2" t="str">
        <f t="shared" si="2"/>
        <v>0</v>
      </c>
      <c r="H44" s="2">
        <f t="shared" si="3"/>
        <v>2.2400000000000002</v>
      </c>
      <c r="I44" s="2" t="str">
        <f t="shared" si="4"/>
        <v>0</v>
      </c>
      <c r="J44" s="2">
        <f t="shared" si="5"/>
        <v>2.2400000000000002</v>
      </c>
      <c r="K44" s="2" t="str">
        <f t="shared" si="6"/>
        <v>0</v>
      </c>
      <c r="L44" s="2" t="str">
        <f t="shared" si="7"/>
        <v>0</v>
      </c>
      <c r="M44" s="2">
        <f t="shared" si="8"/>
        <v>2.2400000000000002</v>
      </c>
      <c r="N44" s="2" t="str">
        <f t="shared" si="9"/>
        <v>0</v>
      </c>
      <c r="O44" s="2">
        <f t="shared" si="10"/>
        <v>2.2400000000000002</v>
      </c>
      <c r="P44" s="2" t="str">
        <f t="shared" si="11"/>
        <v>0</v>
      </c>
      <c r="Q44" s="2" t="str">
        <f t="shared" si="12"/>
        <v>0</v>
      </c>
      <c r="R44" s="2">
        <f t="shared" si="13"/>
        <v>2.2400000000000002</v>
      </c>
      <c r="S44" s="2" t="str">
        <f t="shared" si="14"/>
        <v>0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 t="str">
        <f t="shared" si="5"/>
        <v>0</v>
      </c>
      <c r="K46" s="2" t="str">
        <f t="shared" si="6"/>
        <v>0</v>
      </c>
      <c r="L46" s="2" t="str">
        <f t="shared" si="7"/>
        <v>0</v>
      </c>
      <c r="M46" s="2" t="str">
        <f t="shared" si="8"/>
        <v>0</v>
      </c>
      <c r="N46" s="2" t="str">
        <f t="shared" si="9"/>
        <v>0</v>
      </c>
      <c r="O46" s="2" t="str">
        <f t="shared" si="10"/>
        <v>0</v>
      </c>
      <c r="P46" s="2" t="str">
        <f t="shared" si="11"/>
        <v>0</v>
      </c>
      <c r="Q46" s="2" t="str">
        <f t="shared" si="12"/>
        <v>0</v>
      </c>
      <c r="R46" s="2" t="str">
        <f t="shared" si="13"/>
        <v>0</v>
      </c>
      <c r="S46" s="2" t="str">
        <f t="shared" si="14"/>
        <v>0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>IF(K22="X",(D22-C22),"0")</f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>
        <f>SUM(E39:E126)</f>
        <v>3.24</v>
      </c>
      <c r="F127" s="2">
        <f t="shared" ref="F127:T127" si="32">SUM(F39:F126)</f>
        <v>5</v>
      </c>
      <c r="G127" s="2">
        <f t="shared" si="32"/>
        <v>1</v>
      </c>
      <c r="H127" s="2">
        <f t="shared" si="32"/>
        <v>6.44</v>
      </c>
      <c r="I127" s="2">
        <f t="shared" si="32"/>
        <v>0</v>
      </c>
      <c r="J127" s="2">
        <f t="shared" si="32"/>
        <v>11.44</v>
      </c>
      <c r="K127" s="2">
        <f t="shared" si="32"/>
        <v>0</v>
      </c>
      <c r="L127" s="2">
        <f t="shared" si="32"/>
        <v>0</v>
      </c>
      <c r="M127" s="2">
        <f t="shared" si="32"/>
        <v>11.44</v>
      </c>
      <c r="N127" s="2">
        <f t="shared" si="32"/>
        <v>0</v>
      </c>
      <c r="O127" s="2">
        <f t="shared" si="32"/>
        <v>11.44</v>
      </c>
      <c r="P127" s="2">
        <f t="shared" si="32"/>
        <v>0</v>
      </c>
      <c r="Q127" s="2">
        <f t="shared" si="32"/>
        <v>0</v>
      </c>
      <c r="R127" s="2">
        <f t="shared" si="32"/>
        <v>11.44</v>
      </c>
      <c r="S127" s="2">
        <f t="shared" si="32"/>
        <v>0</v>
      </c>
      <c r="T127" s="2">
        <f t="shared" si="32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598F-F37F-4212-89A6-029303F0F1FF}">
  <dimension ref="A1:AN127"/>
  <sheetViews>
    <sheetView view="pageBreakPreview" zoomScale="70" zoomScaleNormal="70" zoomScaleSheetLayoutView="70" workbookViewId="0">
      <selection activeCell="K11" sqref="K11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40" t="s">
        <v>125</v>
      </c>
      <c r="U2" s="42">
        <v>12</v>
      </c>
    </row>
    <row r="3" spans="1:40" ht="24.6" x14ac:dyDescent="0.4">
      <c r="A3" s="9" t="s">
        <v>39</v>
      </c>
      <c r="B3" s="40" t="str">
        <f>TT!C15</f>
        <v>RODOVIA TO-498 - TRECHO JAÚ DO TOCANTINS - ENTR. TO-373 (SANTA CRUZ)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25">
      <c r="A7" s="63" t="s">
        <v>113</v>
      </c>
      <c r="B7" s="63" t="s">
        <v>128</v>
      </c>
      <c r="C7" s="75">
        <v>0</v>
      </c>
      <c r="D7" s="75">
        <v>9</v>
      </c>
      <c r="E7" s="63" t="s">
        <v>129</v>
      </c>
      <c r="F7" s="63"/>
      <c r="G7" s="63"/>
      <c r="H7" s="63"/>
      <c r="I7" s="63"/>
      <c r="J7" s="63" t="s">
        <v>129</v>
      </c>
      <c r="K7" s="63"/>
      <c r="L7" s="63"/>
      <c r="M7" s="63" t="s">
        <v>129</v>
      </c>
      <c r="N7" s="63" t="s">
        <v>129</v>
      </c>
      <c r="O7" s="63"/>
      <c r="P7" s="63" t="s">
        <v>129</v>
      </c>
      <c r="Q7" s="63"/>
      <c r="R7" s="63"/>
      <c r="S7" s="63" t="s">
        <v>129</v>
      </c>
      <c r="T7" s="47"/>
      <c r="U7" s="80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25">
      <c r="A8" s="63"/>
      <c r="B8" s="63"/>
      <c r="C8" s="75">
        <f>D7</f>
        <v>9</v>
      </c>
      <c r="D8" s="75">
        <v>15</v>
      </c>
      <c r="E8" s="63"/>
      <c r="F8" s="63" t="s">
        <v>129</v>
      </c>
      <c r="G8" s="63"/>
      <c r="H8" s="63" t="s">
        <v>129</v>
      </c>
      <c r="I8" s="63"/>
      <c r="J8" s="63" t="s">
        <v>129</v>
      </c>
      <c r="K8" s="63"/>
      <c r="L8" s="63"/>
      <c r="M8" s="63" t="s">
        <v>129</v>
      </c>
      <c r="N8" s="63"/>
      <c r="O8" s="63"/>
      <c r="P8" s="63" t="s">
        <v>129</v>
      </c>
      <c r="Q8" s="63"/>
      <c r="R8" s="63"/>
      <c r="S8" s="63" t="s">
        <v>129</v>
      </c>
      <c r="T8" s="47"/>
      <c r="U8" s="80"/>
    </row>
    <row r="9" spans="1:40" ht="36" customHeight="1" x14ac:dyDescent="0.25">
      <c r="A9" s="63"/>
      <c r="B9" s="63"/>
      <c r="C9" s="75">
        <f>D8</f>
        <v>15</v>
      </c>
      <c r="D9" s="75">
        <v>28</v>
      </c>
      <c r="E9" s="63" t="s">
        <v>129</v>
      </c>
      <c r="F9" s="63"/>
      <c r="G9" s="63"/>
      <c r="H9" s="63" t="s">
        <v>129</v>
      </c>
      <c r="I9" s="63"/>
      <c r="J9" s="63" t="s">
        <v>129</v>
      </c>
      <c r="K9" s="63"/>
      <c r="L9" s="63" t="s">
        <v>129</v>
      </c>
      <c r="M9" s="63"/>
      <c r="N9" s="63"/>
      <c r="O9" s="63"/>
      <c r="P9" s="63" t="s">
        <v>129</v>
      </c>
      <c r="Q9" s="63"/>
      <c r="R9" s="63"/>
      <c r="S9" s="63" t="s">
        <v>129</v>
      </c>
      <c r="T9" s="47"/>
      <c r="U9" s="80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25">
      <c r="A10" s="63"/>
      <c r="B10" s="63"/>
      <c r="C10" s="75">
        <f>D9</f>
        <v>28</v>
      </c>
      <c r="D10" s="75">
        <v>30</v>
      </c>
      <c r="E10" s="63"/>
      <c r="F10" s="63" t="s">
        <v>129</v>
      </c>
      <c r="G10" s="63"/>
      <c r="H10" s="63" t="s">
        <v>129</v>
      </c>
      <c r="I10" s="63"/>
      <c r="J10" s="63" t="s">
        <v>129</v>
      </c>
      <c r="K10" s="63"/>
      <c r="L10" s="63"/>
      <c r="M10" s="63" t="s">
        <v>129</v>
      </c>
      <c r="N10" s="63"/>
      <c r="O10" s="63"/>
      <c r="P10" s="63" t="s">
        <v>129</v>
      </c>
      <c r="Q10" s="63"/>
      <c r="R10" s="63"/>
      <c r="S10" s="63" t="s">
        <v>129</v>
      </c>
      <c r="T10" s="47"/>
      <c r="U10" s="80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25">
      <c r="A11" s="63"/>
      <c r="B11" s="63"/>
      <c r="C11" s="75">
        <f>D10</f>
        <v>30</v>
      </c>
      <c r="D11" s="75">
        <v>31</v>
      </c>
      <c r="E11" s="63"/>
      <c r="F11" s="63"/>
      <c r="G11" s="63"/>
      <c r="H11" s="63" t="s">
        <v>129</v>
      </c>
      <c r="I11" s="63"/>
      <c r="J11" s="63" t="s">
        <v>129</v>
      </c>
      <c r="K11" s="63"/>
      <c r="L11" s="63"/>
      <c r="M11" s="63" t="s">
        <v>129</v>
      </c>
      <c r="N11" s="63"/>
      <c r="O11" s="63"/>
      <c r="P11" s="63" t="s">
        <v>129</v>
      </c>
      <c r="Q11" s="63"/>
      <c r="R11" s="63"/>
      <c r="S11" s="63" t="s">
        <v>129</v>
      </c>
      <c r="T11" s="47"/>
      <c r="U11" s="80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25">
      <c r="A12" s="63"/>
      <c r="B12" s="63"/>
      <c r="C12" s="75">
        <f>D11</f>
        <v>31</v>
      </c>
      <c r="D12" s="75">
        <v>32.03</v>
      </c>
      <c r="E12" s="63"/>
      <c r="F12" s="63" t="s">
        <v>129</v>
      </c>
      <c r="G12" s="63"/>
      <c r="H12" s="63" t="s">
        <v>129</v>
      </c>
      <c r="I12" s="63"/>
      <c r="J12" s="63" t="s">
        <v>129</v>
      </c>
      <c r="K12" s="63"/>
      <c r="L12" s="63"/>
      <c r="M12" s="63" t="s">
        <v>129</v>
      </c>
      <c r="N12" s="63"/>
      <c r="O12" s="63"/>
      <c r="P12" s="63" t="s">
        <v>129</v>
      </c>
      <c r="Q12" s="63"/>
      <c r="R12" s="63"/>
      <c r="S12" s="63" t="s">
        <v>129</v>
      </c>
      <c r="T12" s="47"/>
      <c r="U12" s="80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25">
      <c r="A13" s="63" t="s">
        <v>115</v>
      </c>
      <c r="B13" s="63" t="s">
        <v>128</v>
      </c>
      <c r="C13" s="75">
        <v>0</v>
      </c>
      <c r="D13" s="75">
        <v>0.5</v>
      </c>
      <c r="E13" s="63"/>
      <c r="F13" s="63" t="s">
        <v>129</v>
      </c>
      <c r="G13" s="63"/>
      <c r="H13" s="63"/>
      <c r="I13" s="63"/>
      <c r="J13" s="63" t="s">
        <v>129</v>
      </c>
      <c r="K13" s="63"/>
      <c r="L13" s="63"/>
      <c r="M13" s="63" t="s">
        <v>129</v>
      </c>
      <c r="N13" s="63" t="s">
        <v>129</v>
      </c>
      <c r="O13" s="63"/>
      <c r="P13" s="63" t="s">
        <v>129</v>
      </c>
      <c r="Q13" s="63"/>
      <c r="R13" s="63" t="s">
        <v>129</v>
      </c>
      <c r="S13" s="63"/>
      <c r="T13" s="47"/>
      <c r="U13" s="80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25">
      <c r="A14" s="63"/>
      <c r="B14" s="63"/>
      <c r="C14" s="75">
        <v>0.5</v>
      </c>
      <c r="D14" s="75">
        <v>4.03</v>
      </c>
      <c r="E14" s="63" t="s">
        <v>129</v>
      </c>
      <c r="F14" s="63"/>
      <c r="G14" s="63"/>
      <c r="H14" s="63"/>
      <c r="I14" s="63"/>
      <c r="J14" s="63" t="s">
        <v>129</v>
      </c>
      <c r="K14" s="63"/>
      <c r="L14" s="63"/>
      <c r="M14" s="63" t="s">
        <v>129</v>
      </c>
      <c r="N14" s="63" t="s">
        <v>129</v>
      </c>
      <c r="O14" s="63"/>
      <c r="P14" s="63" t="s">
        <v>129</v>
      </c>
      <c r="Q14" s="63"/>
      <c r="R14" s="63"/>
      <c r="S14" s="63" t="s">
        <v>129</v>
      </c>
      <c r="T14" s="47"/>
      <c r="U14" s="80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25">
      <c r="A15" s="63"/>
      <c r="B15" s="63"/>
      <c r="C15" s="75"/>
      <c r="D15" s="75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47"/>
      <c r="U15" s="80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77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77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2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77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77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2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77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2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77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2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77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77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77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77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77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77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77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77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9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9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9</v>
      </c>
      <c r="N39" s="2">
        <f>IF(N7="X",(D7-C7),"0")</f>
        <v>9</v>
      </c>
      <c r="O39" s="2" t="str">
        <f>IF(O7="X",(D7-C7),"0")</f>
        <v>0</v>
      </c>
      <c r="P39" s="2">
        <f>IF(P7="X",(D7-C7),"0")</f>
        <v>9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9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>
        <f t="shared" ref="F40:F103" si="1">IF(F8="X",(D8-C8),"0")</f>
        <v>6</v>
      </c>
      <c r="G40" s="2" t="str">
        <f t="shared" ref="G40:G103" si="2">IF(G8="X",(D8-C8),"0")</f>
        <v>0</v>
      </c>
      <c r="H40" s="2">
        <f t="shared" ref="H40:H103" si="3">IF(H8="X",(D8-C8),"0")</f>
        <v>6</v>
      </c>
      <c r="I40" s="2" t="str">
        <f t="shared" ref="I40:I103" si="4">IF(I8="X",(D8-C8),"0")</f>
        <v>0</v>
      </c>
      <c r="J40" s="2">
        <f t="shared" ref="J40:J103" si="5">IF(J8="X",(D8-C8),"0")</f>
        <v>6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6</v>
      </c>
      <c r="N40" s="2" t="str">
        <f t="shared" ref="N40:N103" si="9">IF(N8="X",(D8-C8),"0")</f>
        <v>0</v>
      </c>
      <c r="O40" s="2" t="str">
        <f t="shared" ref="O40:O103" si="10">IF(O8="X",(D8-C8),"0")</f>
        <v>0</v>
      </c>
      <c r="P40" s="2">
        <f t="shared" ref="P40:P103" si="11">IF(P8="X",(D8-C8),"0")</f>
        <v>6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6</v>
      </c>
      <c r="T40" s="2" t="str">
        <f t="shared" ref="T40:T103" si="15">IF(T8="X",(D8-C8),"0")</f>
        <v>0</v>
      </c>
    </row>
    <row r="41" spans="1:20" x14ac:dyDescent="0.25">
      <c r="E41" s="2">
        <f t="shared" si="0"/>
        <v>13</v>
      </c>
      <c r="F41" s="2" t="str">
        <f t="shared" si="1"/>
        <v>0</v>
      </c>
      <c r="G41" s="2" t="str">
        <f t="shared" si="2"/>
        <v>0</v>
      </c>
      <c r="H41" s="2">
        <f t="shared" si="3"/>
        <v>13</v>
      </c>
      <c r="I41" s="2" t="str">
        <f t="shared" si="4"/>
        <v>0</v>
      </c>
      <c r="J41" s="2">
        <f t="shared" si="5"/>
        <v>13</v>
      </c>
      <c r="K41" s="2" t="str">
        <f t="shared" si="6"/>
        <v>0</v>
      </c>
      <c r="L41" s="2">
        <f t="shared" si="7"/>
        <v>13</v>
      </c>
      <c r="M41" s="2" t="str">
        <f t="shared" si="8"/>
        <v>0</v>
      </c>
      <c r="N41" s="2" t="str">
        <f t="shared" si="9"/>
        <v>0</v>
      </c>
      <c r="O41" s="2" t="str">
        <f t="shared" si="10"/>
        <v>0</v>
      </c>
      <c r="P41" s="2">
        <f t="shared" si="11"/>
        <v>13</v>
      </c>
      <c r="Q41" s="2" t="str">
        <f t="shared" si="12"/>
        <v>0</v>
      </c>
      <c r="R41" s="2" t="str">
        <f t="shared" si="13"/>
        <v>0</v>
      </c>
      <c r="S41" s="2">
        <f t="shared" si="14"/>
        <v>13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>
        <f t="shared" si="1"/>
        <v>2</v>
      </c>
      <c r="G42" s="2" t="str">
        <f t="shared" si="2"/>
        <v>0</v>
      </c>
      <c r="H42" s="2">
        <f t="shared" si="3"/>
        <v>2</v>
      </c>
      <c r="I42" s="2" t="str">
        <f t="shared" si="4"/>
        <v>0</v>
      </c>
      <c r="J42" s="2">
        <f t="shared" si="5"/>
        <v>2</v>
      </c>
      <c r="K42" s="2" t="str">
        <f t="shared" si="6"/>
        <v>0</v>
      </c>
      <c r="L42" s="2" t="str">
        <f t="shared" si="7"/>
        <v>0</v>
      </c>
      <c r="M42" s="2">
        <f t="shared" si="8"/>
        <v>2</v>
      </c>
      <c r="N42" s="2" t="str">
        <f t="shared" si="9"/>
        <v>0</v>
      </c>
      <c r="O42" s="2" t="str">
        <f t="shared" si="10"/>
        <v>0</v>
      </c>
      <c r="P42" s="2">
        <f t="shared" si="11"/>
        <v>2</v>
      </c>
      <c r="Q42" s="2" t="str">
        <f t="shared" si="12"/>
        <v>0</v>
      </c>
      <c r="R42" s="2" t="str">
        <f t="shared" si="13"/>
        <v>0</v>
      </c>
      <c r="S42" s="2">
        <f t="shared" si="14"/>
        <v>2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 t="str">
        <f t="shared" si="2"/>
        <v>0</v>
      </c>
      <c r="H43" s="2">
        <f t="shared" si="3"/>
        <v>1</v>
      </c>
      <c r="I43" s="2" t="str">
        <f t="shared" si="4"/>
        <v>0</v>
      </c>
      <c r="J43" s="2">
        <f t="shared" si="5"/>
        <v>1</v>
      </c>
      <c r="K43" s="2" t="str">
        <f t="shared" si="6"/>
        <v>0</v>
      </c>
      <c r="L43" s="2" t="str">
        <f t="shared" si="7"/>
        <v>0</v>
      </c>
      <c r="M43" s="2">
        <f t="shared" si="8"/>
        <v>1</v>
      </c>
      <c r="N43" s="2" t="str">
        <f t="shared" si="9"/>
        <v>0</v>
      </c>
      <c r="O43" s="2" t="str">
        <f t="shared" si="10"/>
        <v>0</v>
      </c>
      <c r="P43" s="2">
        <f t="shared" si="11"/>
        <v>1</v>
      </c>
      <c r="Q43" s="2" t="str">
        <f t="shared" si="12"/>
        <v>0</v>
      </c>
      <c r="R43" s="2" t="str">
        <f t="shared" si="13"/>
        <v>0</v>
      </c>
      <c r="S43" s="2">
        <f t="shared" si="14"/>
        <v>1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>
        <f t="shared" si="1"/>
        <v>1.0300000000000011</v>
      </c>
      <c r="G44" s="2" t="str">
        <f t="shared" si="2"/>
        <v>0</v>
      </c>
      <c r="H44" s="2">
        <f t="shared" si="3"/>
        <v>1.0300000000000011</v>
      </c>
      <c r="I44" s="2" t="str">
        <f t="shared" si="4"/>
        <v>0</v>
      </c>
      <c r="J44" s="2">
        <f t="shared" si="5"/>
        <v>1.0300000000000011</v>
      </c>
      <c r="K44" s="2" t="str">
        <f t="shared" si="6"/>
        <v>0</v>
      </c>
      <c r="L44" s="2" t="str">
        <f t="shared" si="7"/>
        <v>0</v>
      </c>
      <c r="M44" s="2">
        <f t="shared" si="8"/>
        <v>1.0300000000000011</v>
      </c>
      <c r="N44" s="2" t="str">
        <f t="shared" si="9"/>
        <v>0</v>
      </c>
      <c r="O44" s="2" t="str">
        <f t="shared" si="10"/>
        <v>0</v>
      </c>
      <c r="P44" s="2">
        <f t="shared" si="11"/>
        <v>1.0300000000000011</v>
      </c>
      <c r="Q44" s="2" t="str">
        <f t="shared" si="12"/>
        <v>0</v>
      </c>
      <c r="R44" s="2" t="str">
        <f t="shared" si="13"/>
        <v>0</v>
      </c>
      <c r="S44" s="2">
        <f t="shared" si="14"/>
        <v>1.0300000000000011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>
        <f t="shared" si="1"/>
        <v>0.5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>
        <f t="shared" si="5"/>
        <v>0.5</v>
      </c>
      <c r="K45" s="2" t="str">
        <f t="shared" si="6"/>
        <v>0</v>
      </c>
      <c r="L45" s="2" t="str">
        <f t="shared" si="7"/>
        <v>0</v>
      </c>
      <c r="M45" s="2">
        <f t="shared" si="8"/>
        <v>0.5</v>
      </c>
      <c r="N45" s="2">
        <f t="shared" si="9"/>
        <v>0.5</v>
      </c>
      <c r="O45" s="2" t="str">
        <f t="shared" si="10"/>
        <v>0</v>
      </c>
      <c r="P45" s="2">
        <f t="shared" si="11"/>
        <v>0.5</v>
      </c>
      <c r="Q45" s="2" t="str">
        <f t="shared" si="12"/>
        <v>0</v>
      </c>
      <c r="R45" s="2">
        <f t="shared" si="13"/>
        <v>0.5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>
        <f t="shared" si="0"/>
        <v>3.5300000000000002</v>
      </c>
      <c r="F46" s="2" t="str">
        <f t="shared" si="1"/>
        <v>0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>
        <f t="shared" si="5"/>
        <v>3.5300000000000002</v>
      </c>
      <c r="K46" s="2" t="str">
        <f t="shared" si="6"/>
        <v>0</v>
      </c>
      <c r="L46" s="2" t="str">
        <f t="shared" si="7"/>
        <v>0</v>
      </c>
      <c r="M46" s="2">
        <f t="shared" si="8"/>
        <v>3.5300000000000002</v>
      </c>
      <c r="N46" s="2">
        <f t="shared" si="9"/>
        <v>3.5300000000000002</v>
      </c>
      <c r="O46" s="2" t="str">
        <f t="shared" si="10"/>
        <v>0</v>
      </c>
      <c r="P46" s="2">
        <f t="shared" si="11"/>
        <v>3.5300000000000002</v>
      </c>
      <c r="Q46" s="2" t="str">
        <f t="shared" si="12"/>
        <v>0</v>
      </c>
      <c r="R46" s="2" t="str">
        <f t="shared" si="13"/>
        <v>0</v>
      </c>
      <c r="S46" s="2">
        <f t="shared" si="14"/>
        <v>3.5300000000000002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 t="str">
        <f t="shared" si="2"/>
        <v>0</v>
      </c>
      <c r="H47" s="2" t="str">
        <f t="shared" si="3"/>
        <v>0</v>
      </c>
      <c r="I47" s="2" t="str">
        <f t="shared" si="4"/>
        <v>0</v>
      </c>
      <c r="J47" s="2" t="str">
        <f t="shared" si="5"/>
        <v>0</v>
      </c>
      <c r="K47" s="2" t="str">
        <f t="shared" si="6"/>
        <v>0</v>
      </c>
      <c r="L47" s="2" t="str">
        <f t="shared" si="7"/>
        <v>0</v>
      </c>
      <c r="M47" s="2" t="str">
        <f t="shared" si="8"/>
        <v>0</v>
      </c>
      <c r="N47" s="2" t="str">
        <f t="shared" si="9"/>
        <v>0</v>
      </c>
      <c r="O47" s="2" t="str">
        <f t="shared" si="10"/>
        <v>0</v>
      </c>
      <c r="P47" s="2" t="str">
        <f t="shared" si="11"/>
        <v>0</v>
      </c>
      <c r="Q47" s="2" t="str">
        <f t="shared" si="12"/>
        <v>0</v>
      </c>
      <c r="R47" s="2" t="str">
        <f t="shared" si="13"/>
        <v>0</v>
      </c>
      <c r="S47" s="2" t="str">
        <f t="shared" si="14"/>
        <v>0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 t="str">
        <f t="shared" si="1"/>
        <v>0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 t="str">
        <f t="shared" si="5"/>
        <v>0</v>
      </c>
      <c r="K48" s="2" t="str">
        <f t="shared" si="6"/>
        <v>0</v>
      </c>
      <c r="L48" s="2" t="str">
        <f t="shared" si="7"/>
        <v>0</v>
      </c>
      <c r="M48" s="2" t="str">
        <f t="shared" si="8"/>
        <v>0</v>
      </c>
      <c r="N48" s="2" t="str">
        <f t="shared" si="9"/>
        <v>0</v>
      </c>
      <c r="O48" s="2" t="str">
        <f t="shared" si="10"/>
        <v>0</v>
      </c>
      <c r="P48" s="2" t="str">
        <f t="shared" si="11"/>
        <v>0</v>
      </c>
      <c r="Q48" s="2" t="str">
        <f t="shared" si="12"/>
        <v>0</v>
      </c>
      <c r="R48" s="2" t="str">
        <f t="shared" si="13"/>
        <v>0</v>
      </c>
      <c r="S48" s="2" t="str">
        <f t="shared" si="14"/>
        <v>0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 t="str">
        <f t="shared" si="2"/>
        <v>0</v>
      </c>
      <c r="H49" s="2" t="str">
        <f t="shared" si="3"/>
        <v>0</v>
      </c>
      <c r="I49" s="2" t="str">
        <f t="shared" si="4"/>
        <v>0</v>
      </c>
      <c r="J49" s="2" t="str">
        <f t="shared" si="5"/>
        <v>0</v>
      </c>
      <c r="K49" s="2" t="str">
        <f t="shared" si="6"/>
        <v>0</v>
      </c>
      <c r="L49" s="2" t="str">
        <f t="shared" si="7"/>
        <v>0</v>
      </c>
      <c r="M49" s="2" t="str">
        <f t="shared" si="8"/>
        <v>0</v>
      </c>
      <c r="N49" s="2" t="str">
        <f t="shared" si="9"/>
        <v>0</v>
      </c>
      <c r="O49" s="2" t="str">
        <f t="shared" si="10"/>
        <v>0</v>
      </c>
      <c r="P49" s="2" t="str">
        <f t="shared" si="11"/>
        <v>0</v>
      </c>
      <c r="Q49" s="2" t="str">
        <f t="shared" si="12"/>
        <v>0</v>
      </c>
      <c r="R49" s="2" t="str">
        <f t="shared" si="13"/>
        <v>0</v>
      </c>
      <c r="S49" s="2" t="str">
        <f t="shared" si="14"/>
        <v>0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 t="str">
        <f t="shared" si="2"/>
        <v>0</v>
      </c>
      <c r="H51" s="2" t="str">
        <f t="shared" si="3"/>
        <v>0</v>
      </c>
      <c r="I51" s="2" t="str">
        <f t="shared" si="4"/>
        <v>0</v>
      </c>
      <c r="J51" s="2" t="str">
        <f t="shared" si="5"/>
        <v>0</v>
      </c>
      <c r="K51" s="2" t="str">
        <f t="shared" si="6"/>
        <v>0</v>
      </c>
      <c r="L51" s="2" t="str">
        <f t="shared" si="7"/>
        <v>0</v>
      </c>
      <c r="M51" s="2" t="str">
        <f t="shared" si="8"/>
        <v>0</v>
      </c>
      <c r="N51" s="2" t="str">
        <f t="shared" si="9"/>
        <v>0</v>
      </c>
      <c r="O51" s="2" t="str">
        <f t="shared" si="10"/>
        <v>0</v>
      </c>
      <c r="P51" s="2" t="str">
        <f t="shared" si="11"/>
        <v>0</v>
      </c>
      <c r="Q51" s="2" t="str">
        <f t="shared" si="12"/>
        <v>0</v>
      </c>
      <c r="R51" s="2" t="str">
        <f t="shared" si="13"/>
        <v>0</v>
      </c>
      <c r="S51" s="2" t="str">
        <f t="shared" si="14"/>
        <v>0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 t="str">
        <f t="shared" si="2"/>
        <v>0</v>
      </c>
      <c r="H52" s="2" t="str">
        <f t="shared" si="3"/>
        <v>0</v>
      </c>
      <c r="I52" s="2" t="str">
        <f t="shared" si="4"/>
        <v>0</v>
      </c>
      <c r="J52" s="2" t="str">
        <f t="shared" si="5"/>
        <v>0</v>
      </c>
      <c r="K52" s="2" t="str">
        <f t="shared" si="6"/>
        <v>0</v>
      </c>
      <c r="L52" s="2" t="str">
        <f t="shared" si="7"/>
        <v>0</v>
      </c>
      <c r="M52" s="2" t="str">
        <f t="shared" si="8"/>
        <v>0</v>
      </c>
      <c r="N52" s="2" t="str">
        <f t="shared" si="9"/>
        <v>0</v>
      </c>
      <c r="O52" s="2" t="str">
        <f t="shared" si="10"/>
        <v>0</v>
      </c>
      <c r="P52" s="2" t="str">
        <f t="shared" si="11"/>
        <v>0</v>
      </c>
      <c r="Q52" s="2" t="str">
        <f t="shared" si="12"/>
        <v>0</v>
      </c>
      <c r="R52" s="2" t="str">
        <f t="shared" si="13"/>
        <v>0</v>
      </c>
      <c r="S52" s="2" t="str">
        <f t="shared" si="14"/>
        <v>0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 t="str">
        <f t="shared" si="1"/>
        <v>0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 t="str">
        <f t="shared" si="5"/>
        <v>0</v>
      </c>
      <c r="K53" s="2" t="str">
        <f t="shared" si="6"/>
        <v>0</v>
      </c>
      <c r="L53" s="2" t="str">
        <f t="shared" si="7"/>
        <v>0</v>
      </c>
      <c r="M53" s="2" t="str">
        <f t="shared" si="8"/>
        <v>0</v>
      </c>
      <c r="N53" s="2" t="str">
        <f t="shared" si="9"/>
        <v>0</v>
      </c>
      <c r="O53" s="2" t="str">
        <f t="shared" si="10"/>
        <v>0</v>
      </c>
      <c r="P53" s="2" t="str">
        <f t="shared" si="11"/>
        <v>0</v>
      </c>
      <c r="Q53" s="2" t="str">
        <f t="shared" si="12"/>
        <v>0</v>
      </c>
      <c r="R53" s="2" t="str">
        <f t="shared" si="13"/>
        <v>0</v>
      </c>
      <c r="S53" s="2" t="str">
        <f t="shared" si="14"/>
        <v>0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>
        <f>SUM(E39:E126)</f>
        <v>25.53</v>
      </c>
      <c r="F127" s="2">
        <f t="shared" ref="F127:T127" si="32">SUM(F39:F126)</f>
        <v>9.5300000000000011</v>
      </c>
      <c r="G127" s="2">
        <f t="shared" si="32"/>
        <v>0</v>
      </c>
      <c r="H127" s="2">
        <f t="shared" si="32"/>
        <v>23.03</v>
      </c>
      <c r="I127" s="2">
        <f t="shared" si="32"/>
        <v>0</v>
      </c>
      <c r="J127" s="2">
        <f t="shared" si="32"/>
        <v>36.06</v>
      </c>
      <c r="K127" s="2">
        <f t="shared" si="32"/>
        <v>0</v>
      </c>
      <c r="L127" s="2">
        <f t="shared" si="32"/>
        <v>13</v>
      </c>
      <c r="M127" s="2">
        <f t="shared" si="32"/>
        <v>23.060000000000002</v>
      </c>
      <c r="N127" s="2">
        <f t="shared" si="32"/>
        <v>13.030000000000001</v>
      </c>
      <c r="O127" s="2">
        <f t="shared" si="32"/>
        <v>0</v>
      </c>
      <c r="P127" s="2">
        <f t="shared" si="32"/>
        <v>36.06</v>
      </c>
      <c r="Q127" s="2">
        <f t="shared" si="32"/>
        <v>0</v>
      </c>
      <c r="R127" s="2">
        <f t="shared" si="32"/>
        <v>0.5</v>
      </c>
      <c r="S127" s="2">
        <f t="shared" si="32"/>
        <v>35.56</v>
      </c>
      <c r="T127" s="2">
        <f t="shared" si="32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FC91-C00F-4587-B721-1BA08B9DD35A}">
  <dimension ref="A1:AN127"/>
  <sheetViews>
    <sheetView tabSelected="1" view="pageBreakPreview" zoomScale="70" zoomScaleNormal="70" zoomScaleSheetLayoutView="70" workbookViewId="0">
      <pane ySplit="6" topLeftCell="A7" activePane="bottomLeft" state="frozen"/>
      <selection activeCell="E14" sqref="E14"/>
      <selection pane="bottomLeft" activeCell="L14" sqref="L14"/>
    </sheetView>
  </sheetViews>
  <sheetFormatPr defaultColWidth="8.88671875" defaultRowHeight="13.8" x14ac:dyDescent="0.25"/>
  <cols>
    <col min="1" max="1" width="32.44140625" style="1" customWidth="1"/>
    <col min="2" max="2" width="14.5546875" style="1" customWidth="1"/>
    <col min="3" max="4" width="12" style="1" customWidth="1"/>
    <col min="5" max="9" width="11.5546875" style="2" customWidth="1"/>
    <col min="10" max="10" width="10.6640625" style="2" bestFit="1" customWidth="1"/>
    <col min="11" max="11" width="14" style="2" bestFit="1" customWidth="1"/>
    <col min="12" max="13" width="12.5546875" style="2" customWidth="1"/>
    <col min="14" max="14" width="10.33203125" style="2" customWidth="1"/>
    <col min="15" max="17" width="13.6640625" style="1" customWidth="1"/>
    <col min="18" max="19" width="14.5546875" style="1" customWidth="1"/>
    <col min="20" max="20" width="17.88671875" style="1" customWidth="1"/>
    <col min="21" max="21" width="42.5546875" style="1" customWidth="1"/>
    <col min="22" max="16384" width="8.88671875" style="1"/>
  </cols>
  <sheetData>
    <row r="1" spans="1:40" ht="19.2" x14ac:dyDescent="0.35">
      <c r="A1" s="9" t="s">
        <v>0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0"/>
      <c r="P1" s="10"/>
      <c r="Q1" s="10"/>
      <c r="R1" s="10"/>
      <c r="S1" s="10"/>
      <c r="T1" s="10"/>
      <c r="U1" s="10"/>
    </row>
    <row r="2" spans="1:40" ht="25.2" thickBot="1" x14ac:dyDescent="0.45">
      <c r="A2" s="88" t="s">
        <v>36</v>
      </c>
      <c r="B2" s="88"/>
      <c r="C2" s="88"/>
      <c r="D2" s="88"/>
      <c r="E2" s="88"/>
      <c r="F2" s="88"/>
      <c r="G2" s="88"/>
      <c r="H2" s="11"/>
      <c r="I2" s="12" t="s">
        <v>27</v>
      </c>
      <c r="J2" s="82">
        <f>'224'!J2</f>
        <v>46204</v>
      </c>
      <c r="K2" s="83"/>
      <c r="L2" s="13"/>
      <c r="M2" s="12"/>
      <c r="N2" s="18" t="s">
        <v>28</v>
      </c>
      <c r="O2" s="84" t="str">
        <f>'224'!O2</f>
        <v>ENG. THIAGO TORQUATO</v>
      </c>
      <c r="P2" s="84"/>
      <c r="Q2" s="84"/>
      <c r="R2" s="84"/>
      <c r="S2" s="84"/>
      <c r="T2" s="39" t="s">
        <v>125</v>
      </c>
      <c r="U2" s="41">
        <v>12</v>
      </c>
    </row>
    <row r="3" spans="1:40" ht="24.6" x14ac:dyDescent="0.4">
      <c r="A3" s="9" t="s">
        <v>39</v>
      </c>
      <c r="B3" s="40" t="str">
        <f>TT!C16</f>
        <v>RODOVIA TO-498 - TRECHO JAÚ DO TOCANTINS - ENTR. TO-387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0"/>
      <c r="P3" s="10"/>
      <c r="Q3" s="10"/>
      <c r="R3" s="10"/>
      <c r="S3" s="10"/>
      <c r="T3" s="10"/>
      <c r="U3" s="10"/>
    </row>
    <row r="4" spans="1:40" ht="19.8" thickBot="1" x14ac:dyDescent="0.4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  <c r="U4" s="10"/>
    </row>
    <row r="5" spans="1:40" s="14" customFormat="1" ht="39" customHeight="1" x14ac:dyDescent="0.3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9" t="s">
        <v>34</v>
      </c>
    </row>
    <row r="6" spans="1:40" s="16" customFormat="1" ht="39" customHeight="1" x14ac:dyDescent="0.3">
      <c r="A6" s="86"/>
      <c r="B6" s="86"/>
      <c r="C6" s="86"/>
      <c r="D6" s="86"/>
      <c r="E6" s="15" t="s">
        <v>3</v>
      </c>
      <c r="F6" s="15" t="s">
        <v>8</v>
      </c>
      <c r="G6" s="15" t="s">
        <v>4</v>
      </c>
      <c r="H6" s="15" t="s">
        <v>5</v>
      </c>
      <c r="I6" s="15" t="s">
        <v>6</v>
      </c>
      <c r="J6" s="15" t="s">
        <v>19</v>
      </c>
      <c r="K6" s="15" t="s">
        <v>35</v>
      </c>
      <c r="L6" s="15" t="s">
        <v>20</v>
      </c>
      <c r="M6" s="15" t="s">
        <v>21</v>
      </c>
      <c r="N6" s="15" t="s">
        <v>31</v>
      </c>
      <c r="O6" s="15" t="s">
        <v>3</v>
      </c>
      <c r="P6" s="15" t="s">
        <v>23</v>
      </c>
      <c r="Q6" s="15" t="s">
        <v>24</v>
      </c>
      <c r="R6" s="15" t="s">
        <v>3</v>
      </c>
      <c r="S6" s="15" t="s">
        <v>26</v>
      </c>
      <c r="T6" s="15" t="s">
        <v>24</v>
      </c>
      <c r="U6" s="90"/>
    </row>
    <row r="7" spans="1:40" ht="36" customHeight="1" x14ac:dyDescent="0.4">
      <c r="A7" s="56" t="s">
        <v>117</v>
      </c>
      <c r="B7" s="56" t="s">
        <v>128</v>
      </c>
      <c r="C7" s="49">
        <v>0</v>
      </c>
      <c r="D7" s="49">
        <v>2.2000000000000002</v>
      </c>
      <c r="E7" s="57" t="s">
        <v>129</v>
      </c>
      <c r="F7" s="57"/>
      <c r="G7" s="57"/>
      <c r="H7" s="57"/>
      <c r="I7" s="57"/>
      <c r="J7" s="57" t="s">
        <v>129</v>
      </c>
      <c r="K7" s="57"/>
      <c r="L7" s="57"/>
      <c r="M7" s="57" t="s">
        <v>129</v>
      </c>
      <c r="N7" s="57" t="s">
        <v>129</v>
      </c>
      <c r="O7" s="56"/>
      <c r="P7" s="56" t="s">
        <v>129</v>
      </c>
      <c r="Q7" s="56"/>
      <c r="R7" s="56"/>
      <c r="S7" s="56" t="s">
        <v>129</v>
      </c>
      <c r="T7" s="56"/>
      <c r="U7" s="61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 spans="1:40" ht="36" customHeight="1" x14ac:dyDescent="0.4">
      <c r="A8" s="56"/>
      <c r="B8" s="56"/>
      <c r="C8" s="49">
        <f>D7</f>
        <v>2.2000000000000002</v>
      </c>
      <c r="D8" s="49">
        <v>4.5999999999999996</v>
      </c>
      <c r="E8" s="57"/>
      <c r="F8" s="57" t="s">
        <v>129</v>
      </c>
      <c r="G8" s="57"/>
      <c r="H8" s="57" t="s">
        <v>129</v>
      </c>
      <c r="I8" s="57"/>
      <c r="J8" s="57" t="s">
        <v>129</v>
      </c>
      <c r="K8" s="57"/>
      <c r="L8" s="57"/>
      <c r="M8" s="57" t="s">
        <v>129</v>
      </c>
      <c r="N8" s="57" t="s">
        <v>129</v>
      </c>
      <c r="O8" s="56"/>
      <c r="P8" s="56" t="s">
        <v>129</v>
      </c>
      <c r="Q8" s="56"/>
      <c r="R8" s="56"/>
      <c r="S8" s="56" t="s">
        <v>129</v>
      </c>
      <c r="T8" s="56"/>
      <c r="U8" s="61"/>
    </row>
    <row r="9" spans="1:40" ht="36" customHeight="1" x14ac:dyDescent="0.4">
      <c r="A9" s="56"/>
      <c r="B9" s="56"/>
      <c r="C9" s="49">
        <f>D8</f>
        <v>4.5999999999999996</v>
      </c>
      <c r="D9" s="49">
        <v>8.9</v>
      </c>
      <c r="E9" s="57"/>
      <c r="F9" s="57" t="s">
        <v>129</v>
      </c>
      <c r="G9" s="57"/>
      <c r="H9" s="57" t="s">
        <v>129</v>
      </c>
      <c r="I9" s="57"/>
      <c r="J9" s="57" t="s">
        <v>129</v>
      </c>
      <c r="K9" s="57"/>
      <c r="L9" s="57"/>
      <c r="M9" s="57" t="s">
        <v>129</v>
      </c>
      <c r="N9" s="57" t="s">
        <v>129</v>
      </c>
      <c r="O9" s="56"/>
      <c r="P9" s="56" t="s">
        <v>129</v>
      </c>
      <c r="Q9" s="56"/>
      <c r="R9" s="56"/>
      <c r="S9" s="56" t="s">
        <v>129</v>
      </c>
      <c r="T9" s="56"/>
      <c r="U9" s="61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ht="36" customHeight="1" x14ac:dyDescent="0.4">
      <c r="A10" s="56"/>
      <c r="B10" s="56"/>
      <c r="C10" s="49">
        <f>D9</f>
        <v>8.9</v>
      </c>
      <c r="D10" s="49">
        <v>14</v>
      </c>
      <c r="E10" s="57"/>
      <c r="F10" s="57" t="s">
        <v>129</v>
      </c>
      <c r="G10" s="57"/>
      <c r="H10" s="57" t="s">
        <v>129</v>
      </c>
      <c r="I10" s="57"/>
      <c r="J10" s="57" t="s">
        <v>129</v>
      </c>
      <c r="K10" s="57"/>
      <c r="L10" s="57"/>
      <c r="M10" s="57" t="s">
        <v>129</v>
      </c>
      <c r="N10" s="57" t="s">
        <v>129</v>
      </c>
      <c r="O10" s="56"/>
      <c r="P10" s="56" t="s">
        <v>129</v>
      </c>
      <c r="Q10" s="56"/>
      <c r="R10" s="56"/>
      <c r="S10" s="56" t="s">
        <v>129</v>
      </c>
      <c r="T10" s="56"/>
      <c r="U10" s="61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 spans="1:40" ht="36" customHeight="1" x14ac:dyDescent="0.4">
      <c r="A11" s="56"/>
      <c r="B11" s="56"/>
      <c r="C11" s="49">
        <f>D10</f>
        <v>14</v>
      </c>
      <c r="D11" s="49">
        <v>17</v>
      </c>
      <c r="E11" s="57"/>
      <c r="F11" s="57"/>
      <c r="G11" s="57" t="s">
        <v>129</v>
      </c>
      <c r="H11" s="57" t="s">
        <v>129</v>
      </c>
      <c r="I11" s="57"/>
      <c r="J11" s="57" t="s">
        <v>129</v>
      </c>
      <c r="K11" s="57"/>
      <c r="L11" s="57"/>
      <c r="M11" s="57" t="s">
        <v>129</v>
      </c>
      <c r="N11" s="57" t="s">
        <v>129</v>
      </c>
      <c r="O11" s="56"/>
      <c r="P11" s="56" t="s">
        <v>129</v>
      </c>
      <c r="Q11" s="56"/>
      <c r="R11" s="56"/>
      <c r="S11" s="56" t="s">
        <v>129</v>
      </c>
      <c r="T11" s="56"/>
      <c r="U11" s="61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</row>
    <row r="12" spans="1:40" ht="36" customHeight="1" x14ac:dyDescent="0.4">
      <c r="A12" s="56"/>
      <c r="B12" s="56"/>
      <c r="C12" s="49">
        <f>D11</f>
        <v>17</v>
      </c>
      <c r="D12" s="49">
        <v>20.9</v>
      </c>
      <c r="E12" s="57"/>
      <c r="F12" s="57"/>
      <c r="G12" s="57" t="s">
        <v>129</v>
      </c>
      <c r="H12" s="57" t="s">
        <v>129</v>
      </c>
      <c r="I12" s="57"/>
      <c r="J12" s="57" t="s">
        <v>129</v>
      </c>
      <c r="K12" s="57"/>
      <c r="L12" s="57"/>
      <c r="M12" s="57" t="s">
        <v>129</v>
      </c>
      <c r="N12" s="57" t="s">
        <v>129</v>
      </c>
      <c r="O12" s="56"/>
      <c r="P12" s="56" t="s">
        <v>129</v>
      </c>
      <c r="Q12" s="56"/>
      <c r="R12" s="56"/>
      <c r="S12" s="56" t="s">
        <v>129</v>
      </c>
      <c r="T12" s="56"/>
      <c r="U12" s="61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</row>
    <row r="13" spans="1:40" ht="36" customHeight="1" x14ac:dyDescent="0.4">
      <c r="A13" s="56"/>
      <c r="B13" s="56"/>
      <c r="C13" s="49"/>
      <c r="D13" s="49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6"/>
      <c r="P13" s="56"/>
      <c r="Q13" s="56"/>
      <c r="R13" s="56"/>
      <c r="S13" s="56"/>
      <c r="T13" s="56"/>
      <c r="U13" s="61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</row>
    <row r="14" spans="1:40" ht="36" customHeight="1" x14ac:dyDescent="0.4">
      <c r="A14" s="56" t="s">
        <v>119</v>
      </c>
      <c r="B14" s="56" t="s">
        <v>128</v>
      </c>
      <c r="C14" s="49">
        <v>0</v>
      </c>
      <c r="D14" s="49">
        <v>2.7</v>
      </c>
      <c r="E14" s="57"/>
      <c r="F14" s="57" t="s">
        <v>129</v>
      </c>
      <c r="G14" s="57"/>
      <c r="H14" s="57"/>
      <c r="I14" s="57"/>
      <c r="J14" s="57" t="s">
        <v>129</v>
      </c>
      <c r="K14" s="57"/>
      <c r="L14" s="57"/>
      <c r="M14" s="57" t="s">
        <v>129</v>
      </c>
      <c r="N14" s="57" t="s">
        <v>129</v>
      </c>
      <c r="O14" s="56"/>
      <c r="P14" s="56" t="s">
        <v>129</v>
      </c>
      <c r="Q14" s="56"/>
      <c r="R14" s="56"/>
      <c r="S14" s="56" t="s">
        <v>129</v>
      </c>
      <c r="T14" s="56"/>
      <c r="U14" s="61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</row>
    <row r="15" spans="1:40" ht="36" customHeight="1" x14ac:dyDescent="0.4">
      <c r="A15" s="56"/>
      <c r="B15" s="56"/>
      <c r="C15" s="49">
        <f>D14</f>
        <v>2.7</v>
      </c>
      <c r="D15" s="49">
        <v>7.4</v>
      </c>
      <c r="E15" s="57"/>
      <c r="F15" s="57"/>
      <c r="G15" s="57" t="s">
        <v>129</v>
      </c>
      <c r="H15" s="57" t="s">
        <v>129</v>
      </c>
      <c r="I15" s="57"/>
      <c r="J15" s="57" t="s">
        <v>129</v>
      </c>
      <c r="K15" s="57"/>
      <c r="L15" s="57"/>
      <c r="M15" s="57" t="s">
        <v>129</v>
      </c>
      <c r="N15" s="57" t="s">
        <v>129</v>
      </c>
      <c r="O15" s="56"/>
      <c r="P15" s="56" t="s">
        <v>129</v>
      </c>
      <c r="Q15" s="56"/>
      <c r="R15" s="56"/>
      <c r="S15" s="56" t="s">
        <v>129</v>
      </c>
      <c r="T15" s="56"/>
      <c r="U15" s="61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</row>
    <row r="16" spans="1:40" ht="36" customHeight="1" x14ac:dyDescent="0.4">
      <c r="A16" s="56"/>
      <c r="B16" s="56"/>
      <c r="C16" s="49">
        <f>D15</f>
        <v>7.4</v>
      </c>
      <c r="D16" s="49">
        <v>9.1999999999999993</v>
      </c>
      <c r="E16" s="57"/>
      <c r="F16" s="57" t="s">
        <v>129</v>
      </c>
      <c r="G16" s="57"/>
      <c r="H16" s="57"/>
      <c r="I16" s="57"/>
      <c r="J16" s="57" t="s">
        <v>129</v>
      </c>
      <c r="K16" s="57"/>
      <c r="L16" s="57"/>
      <c r="M16" s="57" t="s">
        <v>129</v>
      </c>
      <c r="N16" s="57" t="s">
        <v>129</v>
      </c>
      <c r="O16" s="56"/>
      <c r="P16" s="56" t="s">
        <v>129</v>
      </c>
      <c r="Q16" s="56"/>
      <c r="R16" s="56"/>
      <c r="S16" s="56" t="s">
        <v>129</v>
      </c>
      <c r="T16" s="56"/>
      <c r="U16" s="61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</row>
    <row r="17" spans="1:40" ht="36" customHeight="1" x14ac:dyDescent="0.4">
      <c r="A17" s="56"/>
      <c r="B17" s="56"/>
      <c r="C17" s="49">
        <f>D16</f>
        <v>9.1999999999999993</v>
      </c>
      <c r="D17" s="49">
        <v>12.1</v>
      </c>
      <c r="E17" s="57"/>
      <c r="F17" s="57"/>
      <c r="G17" s="57" t="s">
        <v>129</v>
      </c>
      <c r="H17" s="57" t="s">
        <v>129</v>
      </c>
      <c r="I17" s="57"/>
      <c r="J17" s="57" t="s">
        <v>129</v>
      </c>
      <c r="K17" s="57"/>
      <c r="L17" s="57"/>
      <c r="M17" s="57" t="s">
        <v>129</v>
      </c>
      <c r="N17" s="57" t="s">
        <v>129</v>
      </c>
      <c r="O17" s="56"/>
      <c r="P17" s="56" t="s">
        <v>129</v>
      </c>
      <c r="Q17" s="56"/>
      <c r="R17" s="56"/>
      <c r="S17" s="56" t="s">
        <v>129</v>
      </c>
      <c r="T17" s="56"/>
      <c r="U17" s="61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</row>
    <row r="18" spans="1:40" ht="36" customHeight="1" x14ac:dyDescent="0.4">
      <c r="A18" s="56"/>
      <c r="B18" s="56"/>
      <c r="C18" s="49"/>
      <c r="D18" s="49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6"/>
      <c r="P18" s="56"/>
      <c r="Q18" s="56"/>
      <c r="R18" s="56"/>
      <c r="S18" s="56"/>
      <c r="T18" s="56"/>
      <c r="U18" s="61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</row>
    <row r="19" spans="1:40" ht="36" customHeight="1" x14ac:dyDescent="0.4">
      <c r="A19" s="56" t="s">
        <v>121</v>
      </c>
      <c r="B19" s="56" t="s">
        <v>128</v>
      </c>
      <c r="C19" s="49">
        <v>0</v>
      </c>
      <c r="D19" s="49">
        <v>3</v>
      </c>
      <c r="E19" s="57"/>
      <c r="F19" s="57"/>
      <c r="G19" s="57" t="s">
        <v>129</v>
      </c>
      <c r="H19" s="57" t="s">
        <v>129</v>
      </c>
      <c r="I19" s="57"/>
      <c r="J19" s="57" t="s">
        <v>129</v>
      </c>
      <c r="K19" s="57"/>
      <c r="L19" s="57"/>
      <c r="M19" s="57" t="s">
        <v>129</v>
      </c>
      <c r="N19" s="57" t="s">
        <v>129</v>
      </c>
      <c r="O19" s="56"/>
      <c r="P19" s="56" t="s">
        <v>129</v>
      </c>
      <c r="Q19" s="56"/>
      <c r="R19" s="56"/>
      <c r="S19" s="56" t="s">
        <v>129</v>
      </c>
      <c r="T19" s="56"/>
      <c r="U19" s="61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36" customHeight="1" x14ac:dyDescent="0.4">
      <c r="A20" s="56"/>
      <c r="B20" s="56"/>
      <c r="C20" s="49">
        <f>D19</f>
        <v>3</v>
      </c>
      <c r="D20" s="49">
        <v>6.3</v>
      </c>
      <c r="E20" s="57"/>
      <c r="F20" s="57"/>
      <c r="G20" s="57" t="s">
        <v>129</v>
      </c>
      <c r="H20" s="57" t="s">
        <v>129</v>
      </c>
      <c r="I20" s="57"/>
      <c r="J20" s="57" t="s">
        <v>129</v>
      </c>
      <c r="K20" s="57"/>
      <c r="L20" s="57"/>
      <c r="M20" s="57" t="s">
        <v>129</v>
      </c>
      <c r="N20" s="57" t="s">
        <v>129</v>
      </c>
      <c r="O20" s="56"/>
      <c r="P20" s="56" t="s">
        <v>129</v>
      </c>
      <c r="Q20" s="56"/>
      <c r="R20" s="56"/>
      <c r="S20" s="56" t="s">
        <v>129</v>
      </c>
      <c r="T20" s="56"/>
      <c r="U20" s="61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36" customHeight="1" x14ac:dyDescent="0.4">
      <c r="A21" s="56"/>
      <c r="B21" s="56"/>
      <c r="C21" s="49">
        <f>D20</f>
        <v>6.3</v>
      </c>
      <c r="D21" s="49">
        <v>9</v>
      </c>
      <c r="E21" s="57"/>
      <c r="F21" s="57" t="s">
        <v>129</v>
      </c>
      <c r="G21" s="57"/>
      <c r="H21" s="57"/>
      <c r="I21" s="57"/>
      <c r="J21" s="57" t="s">
        <v>129</v>
      </c>
      <c r="K21" s="57"/>
      <c r="L21" s="57"/>
      <c r="M21" s="57" t="s">
        <v>129</v>
      </c>
      <c r="N21" s="57" t="s">
        <v>129</v>
      </c>
      <c r="O21" s="56"/>
      <c r="P21" s="56" t="s">
        <v>129</v>
      </c>
      <c r="Q21" s="56"/>
      <c r="R21" s="56"/>
      <c r="S21" s="56" t="s">
        <v>129</v>
      </c>
      <c r="T21" s="56"/>
      <c r="U21" s="61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36" customHeight="1" x14ac:dyDescent="0.4">
      <c r="A22" s="56"/>
      <c r="B22" s="56"/>
      <c r="C22" s="56"/>
      <c r="D22" s="56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6"/>
      <c r="P22" s="56"/>
      <c r="Q22" s="56"/>
      <c r="R22" s="56"/>
      <c r="S22" s="56"/>
      <c r="T22" s="56"/>
      <c r="U22" s="61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 spans="1:40" ht="36" customHeight="1" x14ac:dyDescent="0.25">
      <c r="A23" s="3"/>
      <c r="B23" s="3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3"/>
      <c r="P23" s="3"/>
      <c r="Q23" s="3"/>
      <c r="R23" s="3"/>
      <c r="S23" s="3"/>
      <c r="T23" s="3"/>
      <c r="U23" s="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 spans="1:40" ht="36" customHeight="1" x14ac:dyDescent="0.25">
      <c r="A24" s="3"/>
      <c r="B24" s="3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3"/>
      <c r="P24" s="3"/>
      <c r="Q24" s="3"/>
      <c r="R24" s="3"/>
      <c r="S24" s="3"/>
      <c r="T24" s="3"/>
      <c r="U24" s="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 spans="1:40" ht="36" customHeight="1" x14ac:dyDescent="0.25">
      <c r="A25" s="3"/>
      <c r="B25" s="3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3"/>
      <c r="P25" s="3"/>
      <c r="Q25" s="3"/>
      <c r="R25" s="3"/>
      <c r="S25" s="3"/>
      <c r="T25" s="3"/>
      <c r="U25" s="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 spans="1:40" ht="36" customHeight="1" x14ac:dyDescent="0.25">
      <c r="A26" s="3"/>
      <c r="B26" s="3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3"/>
      <c r="P26" s="3"/>
      <c r="Q26" s="3"/>
      <c r="R26" s="3"/>
      <c r="S26" s="3"/>
      <c r="T26" s="3"/>
      <c r="U26" s="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 spans="1:40" ht="36" customHeight="1" x14ac:dyDescent="0.25">
      <c r="A27" s="3"/>
      <c r="B27" s="3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3"/>
      <c r="P27" s="3"/>
      <c r="Q27" s="3"/>
      <c r="R27" s="3"/>
      <c r="S27" s="3"/>
      <c r="T27" s="3"/>
      <c r="U27" s="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 spans="1:40" ht="36" customHeight="1" x14ac:dyDescent="0.25">
      <c r="A28" s="3"/>
      <c r="B28" s="3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3"/>
      <c r="P28" s="3"/>
      <c r="Q28" s="3"/>
      <c r="R28" s="3"/>
      <c r="S28" s="3"/>
      <c r="T28" s="3"/>
      <c r="U28" s="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 spans="1:40" ht="36" customHeight="1" x14ac:dyDescent="0.25">
      <c r="A29" s="3"/>
      <c r="B29" s="3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3"/>
      <c r="P29" s="3"/>
      <c r="Q29" s="3"/>
      <c r="R29" s="3"/>
      <c r="S29" s="3"/>
      <c r="T29" s="3"/>
      <c r="U29" s="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 spans="1:40" ht="36" customHeight="1" thickBot="1" x14ac:dyDescent="0.3">
      <c r="A30" s="6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6"/>
      <c r="P30" s="6"/>
      <c r="Q30" s="6"/>
      <c r="R30" s="6"/>
      <c r="S30" s="6"/>
      <c r="T30" s="6"/>
      <c r="U30" s="8"/>
    </row>
    <row r="32" spans="1:40" ht="19.2" x14ac:dyDescent="0.35">
      <c r="A32" s="10" t="s">
        <v>7</v>
      </c>
      <c r="B32" s="17" t="s">
        <v>2</v>
      </c>
      <c r="C32" s="11"/>
      <c r="D32" s="11"/>
      <c r="E32" s="91"/>
      <c r="F32" s="91"/>
    </row>
    <row r="33" spans="1:20" ht="19.2" x14ac:dyDescent="0.35">
      <c r="A33" s="10" t="s">
        <v>9</v>
      </c>
      <c r="B33" s="10" t="s">
        <v>10</v>
      </c>
      <c r="E33" s="10" t="s">
        <v>14</v>
      </c>
      <c r="F33" s="10"/>
      <c r="G33" s="10"/>
      <c r="I33" s="10" t="s">
        <v>5</v>
      </c>
      <c r="J33" s="10" t="s">
        <v>12</v>
      </c>
      <c r="K33" s="1"/>
      <c r="L33" s="1"/>
      <c r="M33" s="10" t="s">
        <v>16</v>
      </c>
      <c r="N33" s="10"/>
      <c r="O33" s="10"/>
    </row>
    <row r="34" spans="1:20" ht="19.2" x14ac:dyDescent="0.35">
      <c r="A34" s="10" t="s">
        <v>4</v>
      </c>
      <c r="B34" s="10" t="s">
        <v>11</v>
      </c>
      <c r="E34" s="10" t="s">
        <v>15</v>
      </c>
      <c r="F34" s="10"/>
      <c r="G34" s="10"/>
      <c r="I34" s="10" t="s">
        <v>6</v>
      </c>
      <c r="J34" s="10" t="s">
        <v>13</v>
      </c>
      <c r="K34" s="1"/>
      <c r="L34" s="1"/>
      <c r="M34" s="10" t="s">
        <v>17</v>
      </c>
      <c r="N34" s="10"/>
      <c r="O34" s="10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>
        <f>IF(E7="X",(D7-C7),"0")</f>
        <v>2.2000000000000002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 t="str">
        <f>IF(I7="X",(D7-C7),"0")</f>
        <v>0</v>
      </c>
      <c r="J39" s="2">
        <f>IF(J7="X",(D7-C7),"0")</f>
        <v>2.2000000000000002</v>
      </c>
      <c r="K39" s="2" t="str">
        <f>IF(K7="X",(D7-C7),"0")</f>
        <v>0</v>
      </c>
      <c r="L39" s="2" t="str">
        <f>IF(L7="X",(D7-C7),"0")</f>
        <v>0</v>
      </c>
      <c r="M39" s="2">
        <f>IF(M7="X",(D7-C7),"0")</f>
        <v>2.2000000000000002</v>
      </c>
      <c r="N39" s="2">
        <f>IF(N7="X",(D7-C7),"0")</f>
        <v>2.2000000000000002</v>
      </c>
      <c r="O39" s="2" t="str">
        <f>IF(O7="X",(D7-C7),"0")</f>
        <v>0</v>
      </c>
      <c r="P39" s="2">
        <f>IF(P7="X",(D7-C7),"0")</f>
        <v>2.2000000000000002</v>
      </c>
      <c r="Q39" s="2" t="str">
        <f>IF(Q7="X",(D7-C7),"0")</f>
        <v>0</v>
      </c>
      <c r="R39" s="2" t="str">
        <f>IF(R7="X",(D7-C7),"0")</f>
        <v>0</v>
      </c>
      <c r="S39" s="2">
        <f>IF(S7="X",(D7-C7),"0")</f>
        <v>2.2000000000000002</v>
      </c>
      <c r="T39" s="2" t="str">
        <f>IF(T7="X",(D7-C7),"0")</f>
        <v>0</v>
      </c>
    </row>
    <row r="40" spans="1:20" x14ac:dyDescent="0.25">
      <c r="E40" s="2" t="str">
        <f t="shared" ref="E40:E103" si="0">IF(E8="X",(D8-C8),"0")</f>
        <v>0</v>
      </c>
      <c r="F40" s="2">
        <f t="shared" ref="F40:F103" si="1">IF(F8="X",(D8-C8),"0")</f>
        <v>2.3999999999999995</v>
      </c>
      <c r="G40" s="2" t="str">
        <f t="shared" ref="G40:G103" si="2">IF(G8="X",(D8-C8),"0")</f>
        <v>0</v>
      </c>
      <c r="H40" s="2">
        <f t="shared" ref="H40:H103" si="3">IF(H8="X",(D8-C8),"0")</f>
        <v>2.3999999999999995</v>
      </c>
      <c r="I40" s="2" t="str">
        <f t="shared" ref="I40:I103" si="4">IF(I8="X",(D8-C8),"0")</f>
        <v>0</v>
      </c>
      <c r="J40" s="2">
        <f t="shared" ref="J40:J103" si="5">IF(J8="X",(D8-C8),"0")</f>
        <v>2.3999999999999995</v>
      </c>
      <c r="K40" s="2" t="str">
        <f t="shared" ref="K40:K103" si="6">IF(K8="X",(D8-C8),"0")</f>
        <v>0</v>
      </c>
      <c r="L40" s="2" t="str">
        <f t="shared" ref="L40:L103" si="7">IF(L8="X",(D8-C8),"0")</f>
        <v>0</v>
      </c>
      <c r="M40" s="2">
        <f t="shared" ref="M40:M103" si="8">IF(M8="X",(D8-C8),"0")</f>
        <v>2.3999999999999995</v>
      </c>
      <c r="N40" s="2">
        <f t="shared" ref="N40:N103" si="9">IF(N8="X",(D8-C8),"0")</f>
        <v>2.3999999999999995</v>
      </c>
      <c r="O40" s="2" t="str">
        <f t="shared" ref="O40:O103" si="10">IF(O8="X",(D8-C8),"0")</f>
        <v>0</v>
      </c>
      <c r="P40" s="2">
        <f t="shared" ref="P40:P103" si="11">IF(P8="X",(D8-C8),"0")</f>
        <v>2.3999999999999995</v>
      </c>
      <c r="Q40" s="2" t="str">
        <f t="shared" ref="Q40:Q103" si="12">IF(Q8="X",(D8-C8),"0")</f>
        <v>0</v>
      </c>
      <c r="R40" s="2" t="str">
        <f t="shared" ref="R40:R103" si="13">IF(R8="X",(D8-C8),"0")</f>
        <v>0</v>
      </c>
      <c r="S40" s="2">
        <f t="shared" ref="S40:S103" si="14">IF(S8="X",(D8-C8),"0")</f>
        <v>2.3999999999999995</v>
      </c>
      <c r="T40" s="2" t="str">
        <f t="shared" ref="T40:T103" si="15">IF(T8="X",(D8-C8),"0")</f>
        <v>0</v>
      </c>
    </row>
    <row r="41" spans="1:20" x14ac:dyDescent="0.25">
      <c r="E41" s="2" t="str">
        <f t="shared" si="0"/>
        <v>0</v>
      </c>
      <c r="F41" s="2">
        <f t="shared" si="1"/>
        <v>4.3000000000000007</v>
      </c>
      <c r="G41" s="2" t="str">
        <f t="shared" si="2"/>
        <v>0</v>
      </c>
      <c r="H41" s="2">
        <f t="shared" si="3"/>
        <v>4.3000000000000007</v>
      </c>
      <c r="I41" s="2" t="str">
        <f t="shared" si="4"/>
        <v>0</v>
      </c>
      <c r="J41" s="2">
        <f t="shared" si="5"/>
        <v>4.3000000000000007</v>
      </c>
      <c r="K41" s="2" t="str">
        <f t="shared" si="6"/>
        <v>0</v>
      </c>
      <c r="L41" s="2" t="str">
        <f t="shared" si="7"/>
        <v>0</v>
      </c>
      <c r="M41" s="2">
        <f t="shared" si="8"/>
        <v>4.3000000000000007</v>
      </c>
      <c r="N41" s="2">
        <f t="shared" si="9"/>
        <v>4.3000000000000007</v>
      </c>
      <c r="O41" s="2" t="str">
        <f t="shared" si="10"/>
        <v>0</v>
      </c>
      <c r="P41" s="2">
        <f t="shared" si="11"/>
        <v>4.3000000000000007</v>
      </c>
      <c r="Q41" s="2" t="str">
        <f t="shared" si="12"/>
        <v>0</v>
      </c>
      <c r="R41" s="2" t="str">
        <f t="shared" si="13"/>
        <v>0</v>
      </c>
      <c r="S41" s="2">
        <f t="shared" si="14"/>
        <v>4.3000000000000007</v>
      </c>
      <c r="T41" s="2" t="str">
        <f t="shared" si="15"/>
        <v>0</v>
      </c>
    </row>
    <row r="42" spans="1:20" x14ac:dyDescent="0.25">
      <c r="E42" s="2" t="str">
        <f t="shared" si="0"/>
        <v>0</v>
      </c>
      <c r="F42" s="2">
        <f t="shared" si="1"/>
        <v>5.0999999999999996</v>
      </c>
      <c r="G42" s="2" t="str">
        <f t="shared" si="2"/>
        <v>0</v>
      </c>
      <c r="H42" s="2">
        <f t="shared" si="3"/>
        <v>5.0999999999999996</v>
      </c>
      <c r="I42" s="2" t="str">
        <f t="shared" si="4"/>
        <v>0</v>
      </c>
      <c r="J42" s="2">
        <f t="shared" si="5"/>
        <v>5.0999999999999996</v>
      </c>
      <c r="K42" s="2" t="str">
        <f t="shared" si="6"/>
        <v>0</v>
      </c>
      <c r="L42" s="2" t="str">
        <f t="shared" si="7"/>
        <v>0</v>
      </c>
      <c r="M42" s="2">
        <f t="shared" si="8"/>
        <v>5.0999999999999996</v>
      </c>
      <c r="N42" s="2">
        <f t="shared" si="9"/>
        <v>5.0999999999999996</v>
      </c>
      <c r="O42" s="2" t="str">
        <f t="shared" si="10"/>
        <v>0</v>
      </c>
      <c r="P42" s="2">
        <f t="shared" si="11"/>
        <v>5.0999999999999996</v>
      </c>
      <c r="Q42" s="2" t="str">
        <f t="shared" si="12"/>
        <v>0</v>
      </c>
      <c r="R42" s="2" t="str">
        <f t="shared" si="13"/>
        <v>0</v>
      </c>
      <c r="S42" s="2">
        <f t="shared" si="14"/>
        <v>5.0999999999999996</v>
      </c>
      <c r="T42" s="2" t="str">
        <f t="shared" si="15"/>
        <v>0</v>
      </c>
    </row>
    <row r="43" spans="1:20" x14ac:dyDescent="0.25">
      <c r="E43" s="2" t="str">
        <f t="shared" si="0"/>
        <v>0</v>
      </c>
      <c r="F43" s="2" t="str">
        <f t="shared" si="1"/>
        <v>0</v>
      </c>
      <c r="G43" s="2">
        <f t="shared" si="2"/>
        <v>3</v>
      </c>
      <c r="H43" s="2">
        <f t="shared" si="3"/>
        <v>3</v>
      </c>
      <c r="I43" s="2" t="str">
        <f t="shared" si="4"/>
        <v>0</v>
      </c>
      <c r="J43" s="2">
        <f t="shared" si="5"/>
        <v>3</v>
      </c>
      <c r="K43" s="2" t="str">
        <f t="shared" si="6"/>
        <v>0</v>
      </c>
      <c r="L43" s="2" t="str">
        <f t="shared" si="7"/>
        <v>0</v>
      </c>
      <c r="M43" s="2">
        <f t="shared" si="8"/>
        <v>3</v>
      </c>
      <c r="N43" s="2">
        <f t="shared" si="9"/>
        <v>3</v>
      </c>
      <c r="O43" s="2" t="str">
        <f t="shared" si="10"/>
        <v>0</v>
      </c>
      <c r="P43" s="2">
        <f t="shared" si="11"/>
        <v>3</v>
      </c>
      <c r="Q43" s="2" t="str">
        <f t="shared" si="12"/>
        <v>0</v>
      </c>
      <c r="R43" s="2" t="str">
        <f t="shared" si="13"/>
        <v>0</v>
      </c>
      <c r="S43" s="2">
        <f t="shared" si="14"/>
        <v>3</v>
      </c>
      <c r="T43" s="2" t="str">
        <f t="shared" si="15"/>
        <v>0</v>
      </c>
    </row>
    <row r="44" spans="1:20" x14ac:dyDescent="0.25">
      <c r="E44" s="2" t="str">
        <f t="shared" si="0"/>
        <v>0</v>
      </c>
      <c r="F44" s="2" t="str">
        <f t="shared" si="1"/>
        <v>0</v>
      </c>
      <c r="G44" s="2">
        <f t="shared" si="2"/>
        <v>3.8999999999999986</v>
      </c>
      <c r="H44" s="2">
        <f t="shared" si="3"/>
        <v>3.8999999999999986</v>
      </c>
      <c r="I44" s="2" t="str">
        <f t="shared" si="4"/>
        <v>0</v>
      </c>
      <c r="J44" s="2">
        <f t="shared" si="5"/>
        <v>3.8999999999999986</v>
      </c>
      <c r="K44" s="2" t="str">
        <f t="shared" si="6"/>
        <v>0</v>
      </c>
      <c r="L44" s="2" t="str">
        <f t="shared" si="7"/>
        <v>0</v>
      </c>
      <c r="M44" s="2">
        <f t="shared" si="8"/>
        <v>3.8999999999999986</v>
      </c>
      <c r="N44" s="2">
        <f t="shared" si="9"/>
        <v>3.8999999999999986</v>
      </c>
      <c r="O44" s="2" t="str">
        <f t="shared" si="10"/>
        <v>0</v>
      </c>
      <c r="P44" s="2">
        <f t="shared" si="11"/>
        <v>3.8999999999999986</v>
      </c>
      <c r="Q44" s="2" t="str">
        <f t="shared" si="12"/>
        <v>0</v>
      </c>
      <c r="R44" s="2" t="str">
        <f t="shared" si="13"/>
        <v>0</v>
      </c>
      <c r="S44" s="2">
        <f t="shared" si="14"/>
        <v>3.8999999999999986</v>
      </c>
      <c r="T44" s="2" t="str">
        <f t="shared" si="15"/>
        <v>0</v>
      </c>
    </row>
    <row r="45" spans="1:20" x14ac:dyDescent="0.25">
      <c r="E45" s="2" t="str">
        <f t="shared" si="0"/>
        <v>0</v>
      </c>
      <c r="F45" s="2" t="str">
        <f t="shared" si="1"/>
        <v>0</v>
      </c>
      <c r="G45" s="2" t="str">
        <f t="shared" si="2"/>
        <v>0</v>
      </c>
      <c r="H45" s="2" t="str">
        <f t="shared" si="3"/>
        <v>0</v>
      </c>
      <c r="I45" s="2" t="str">
        <f t="shared" si="4"/>
        <v>0</v>
      </c>
      <c r="J45" s="2" t="str">
        <f t="shared" si="5"/>
        <v>0</v>
      </c>
      <c r="K45" s="2" t="str">
        <f t="shared" si="6"/>
        <v>0</v>
      </c>
      <c r="L45" s="2" t="str">
        <f t="shared" si="7"/>
        <v>0</v>
      </c>
      <c r="M45" s="2" t="str">
        <f t="shared" si="8"/>
        <v>0</v>
      </c>
      <c r="N45" s="2" t="str">
        <f t="shared" si="9"/>
        <v>0</v>
      </c>
      <c r="O45" s="2" t="str">
        <f t="shared" si="10"/>
        <v>0</v>
      </c>
      <c r="P45" s="2" t="str">
        <f t="shared" si="11"/>
        <v>0</v>
      </c>
      <c r="Q45" s="2" t="str">
        <f t="shared" si="12"/>
        <v>0</v>
      </c>
      <c r="R45" s="2" t="str">
        <f t="shared" si="13"/>
        <v>0</v>
      </c>
      <c r="S45" s="2" t="str">
        <f t="shared" si="14"/>
        <v>0</v>
      </c>
      <c r="T45" s="2" t="str">
        <f t="shared" si="15"/>
        <v>0</v>
      </c>
    </row>
    <row r="46" spans="1:20" x14ac:dyDescent="0.25">
      <c r="E46" s="2" t="str">
        <f t="shared" si="0"/>
        <v>0</v>
      </c>
      <c r="F46" s="2">
        <f t="shared" si="1"/>
        <v>2.7</v>
      </c>
      <c r="G46" s="2" t="str">
        <f t="shared" si="2"/>
        <v>0</v>
      </c>
      <c r="H46" s="2" t="str">
        <f t="shared" si="3"/>
        <v>0</v>
      </c>
      <c r="I46" s="2" t="str">
        <f t="shared" si="4"/>
        <v>0</v>
      </c>
      <c r="J46" s="2">
        <f t="shared" si="5"/>
        <v>2.7</v>
      </c>
      <c r="K46" s="2" t="str">
        <f t="shared" si="6"/>
        <v>0</v>
      </c>
      <c r="L46" s="2" t="str">
        <f t="shared" si="7"/>
        <v>0</v>
      </c>
      <c r="M46" s="2">
        <f t="shared" si="8"/>
        <v>2.7</v>
      </c>
      <c r="N46" s="2">
        <f t="shared" si="9"/>
        <v>2.7</v>
      </c>
      <c r="O46" s="2" t="str">
        <f t="shared" si="10"/>
        <v>0</v>
      </c>
      <c r="P46" s="2">
        <f t="shared" si="11"/>
        <v>2.7</v>
      </c>
      <c r="Q46" s="2" t="str">
        <f t="shared" si="12"/>
        <v>0</v>
      </c>
      <c r="R46" s="2" t="str">
        <f t="shared" si="13"/>
        <v>0</v>
      </c>
      <c r="S46" s="2">
        <f t="shared" si="14"/>
        <v>2.7</v>
      </c>
      <c r="T46" s="2" t="str">
        <f t="shared" si="15"/>
        <v>0</v>
      </c>
    </row>
    <row r="47" spans="1:20" x14ac:dyDescent="0.25">
      <c r="E47" s="2" t="str">
        <f t="shared" si="0"/>
        <v>0</v>
      </c>
      <c r="F47" s="2" t="str">
        <f t="shared" si="1"/>
        <v>0</v>
      </c>
      <c r="G47" s="2">
        <f t="shared" si="2"/>
        <v>4.7</v>
      </c>
      <c r="H47" s="2">
        <f t="shared" si="3"/>
        <v>4.7</v>
      </c>
      <c r="I47" s="2" t="str">
        <f t="shared" si="4"/>
        <v>0</v>
      </c>
      <c r="J47" s="2">
        <f t="shared" si="5"/>
        <v>4.7</v>
      </c>
      <c r="K47" s="2" t="str">
        <f t="shared" si="6"/>
        <v>0</v>
      </c>
      <c r="L47" s="2" t="str">
        <f t="shared" si="7"/>
        <v>0</v>
      </c>
      <c r="M47" s="2">
        <f t="shared" si="8"/>
        <v>4.7</v>
      </c>
      <c r="N47" s="2">
        <f t="shared" si="9"/>
        <v>4.7</v>
      </c>
      <c r="O47" s="2" t="str">
        <f t="shared" si="10"/>
        <v>0</v>
      </c>
      <c r="P47" s="2">
        <f t="shared" si="11"/>
        <v>4.7</v>
      </c>
      <c r="Q47" s="2" t="str">
        <f t="shared" si="12"/>
        <v>0</v>
      </c>
      <c r="R47" s="2" t="str">
        <f t="shared" si="13"/>
        <v>0</v>
      </c>
      <c r="S47" s="2">
        <f t="shared" si="14"/>
        <v>4.7</v>
      </c>
      <c r="T47" s="2" t="str">
        <f t="shared" si="15"/>
        <v>0</v>
      </c>
    </row>
    <row r="48" spans="1:20" x14ac:dyDescent="0.25">
      <c r="E48" s="2" t="str">
        <f t="shared" si="0"/>
        <v>0</v>
      </c>
      <c r="F48" s="2">
        <f t="shared" si="1"/>
        <v>1.7999999999999989</v>
      </c>
      <c r="G48" s="2" t="str">
        <f t="shared" si="2"/>
        <v>0</v>
      </c>
      <c r="H48" s="2" t="str">
        <f t="shared" si="3"/>
        <v>0</v>
      </c>
      <c r="I48" s="2" t="str">
        <f t="shared" si="4"/>
        <v>0</v>
      </c>
      <c r="J48" s="2">
        <f t="shared" si="5"/>
        <v>1.7999999999999989</v>
      </c>
      <c r="K48" s="2" t="str">
        <f t="shared" si="6"/>
        <v>0</v>
      </c>
      <c r="L48" s="2" t="str">
        <f t="shared" si="7"/>
        <v>0</v>
      </c>
      <c r="M48" s="2">
        <f t="shared" si="8"/>
        <v>1.7999999999999989</v>
      </c>
      <c r="N48" s="2">
        <f t="shared" si="9"/>
        <v>1.7999999999999989</v>
      </c>
      <c r="O48" s="2" t="str">
        <f t="shared" si="10"/>
        <v>0</v>
      </c>
      <c r="P48" s="2">
        <f t="shared" si="11"/>
        <v>1.7999999999999989</v>
      </c>
      <c r="Q48" s="2" t="str">
        <f t="shared" si="12"/>
        <v>0</v>
      </c>
      <c r="R48" s="2" t="str">
        <f t="shared" si="13"/>
        <v>0</v>
      </c>
      <c r="S48" s="2">
        <f t="shared" si="14"/>
        <v>1.7999999999999989</v>
      </c>
      <c r="T48" s="2" t="str">
        <f t="shared" si="15"/>
        <v>0</v>
      </c>
    </row>
    <row r="49" spans="5:20" x14ac:dyDescent="0.25">
      <c r="E49" s="2" t="str">
        <f t="shared" si="0"/>
        <v>0</v>
      </c>
      <c r="F49" s="2" t="str">
        <f t="shared" si="1"/>
        <v>0</v>
      </c>
      <c r="G49" s="2">
        <f t="shared" si="2"/>
        <v>2.9000000000000004</v>
      </c>
      <c r="H49" s="2">
        <f t="shared" si="3"/>
        <v>2.9000000000000004</v>
      </c>
      <c r="I49" s="2" t="str">
        <f t="shared" si="4"/>
        <v>0</v>
      </c>
      <c r="J49" s="2">
        <f t="shared" si="5"/>
        <v>2.9000000000000004</v>
      </c>
      <c r="K49" s="2" t="str">
        <f t="shared" si="6"/>
        <v>0</v>
      </c>
      <c r="L49" s="2" t="str">
        <f t="shared" si="7"/>
        <v>0</v>
      </c>
      <c r="M49" s="2">
        <f t="shared" si="8"/>
        <v>2.9000000000000004</v>
      </c>
      <c r="N49" s="2">
        <f t="shared" si="9"/>
        <v>2.9000000000000004</v>
      </c>
      <c r="O49" s="2" t="str">
        <f t="shared" si="10"/>
        <v>0</v>
      </c>
      <c r="P49" s="2">
        <f t="shared" si="11"/>
        <v>2.9000000000000004</v>
      </c>
      <c r="Q49" s="2" t="str">
        <f t="shared" si="12"/>
        <v>0</v>
      </c>
      <c r="R49" s="2" t="str">
        <f t="shared" si="13"/>
        <v>0</v>
      </c>
      <c r="S49" s="2">
        <f t="shared" si="14"/>
        <v>2.9000000000000004</v>
      </c>
      <c r="T49" s="2" t="str">
        <f t="shared" si="15"/>
        <v>0</v>
      </c>
    </row>
    <row r="50" spans="5:20" x14ac:dyDescent="0.25">
      <c r="E50" s="2" t="str">
        <f t="shared" si="0"/>
        <v>0</v>
      </c>
      <c r="F50" s="2" t="str">
        <f t="shared" si="1"/>
        <v>0</v>
      </c>
      <c r="G50" s="2" t="str">
        <f t="shared" si="2"/>
        <v>0</v>
      </c>
      <c r="H50" s="2" t="str">
        <f t="shared" si="3"/>
        <v>0</v>
      </c>
      <c r="I50" s="2" t="str">
        <f t="shared" si="4"/>
        <v>0</v>
      </c>
      <c r="J50" s="2" t="str">
        <f t="shared" si="5"/>
        <v>0</v>
      </c>
      <c r="K50" s="2" t="str">
        <f t="shared" si="6"/>
        <v>0</v>
      </c>
      <c r="L50" s="2" t="str">
        <f t="shared" si="7"/>
        <v>0</v>
      </c>
      <c r="M50" s="2" t="str">
        <f t="shared" si="8"/>
        <v>0</v>
      </c>
      <c r="N50" s="2" t="str">
        <f t="shared" si="9"/>
        <v>0</v>
      </c>
      <c r="O50" s="2" t="str">
        <f t="shared" si="10"/>
        <v>0</v>
      </c>
      <c r="P50" s="2" t="str">
        <f t="shared" si="11"/>
        <v>0</v>
      </c>
      <c r="Q50" s="2" t="str">
        <f t="shared" si="12"/>
        <v>0</v>
      </c>
      <c r="R50" s="2" t="str">
        <f t="shared" si="13"/>
        <v>0</v>
      </c>
      <c r="S50" s="2" t="str">
        <f t="shared" si="14"/>
        <v>0</v>
      </c>
      <c r="T50" s="2" t="str">
        <f t="shared" si="15"/>
        <v>0</v>
      </c>
    </row>
    <row r="51" spans="5:20" x14ac:dyDescent="0.25">
      <c r="E51" s="2" t="str">
        <f t="shared" si="0"/>
        <v>0</v>
      </c>
      <c r="F51" s="2" t="str">
        <f t="shared" si="1"/>
        <v>0</v>
      </c>
      <c r="G51" s="2">
        <f t="shared" si="2"/>
        <v>3</v>
      </c>
      <c r="H51" s="2">
        <f t="shared" si="3"/>
        <v>3</v>
      </c>
      <c r="I51" s="2" t="str">
        <f t="shared" si="4"/>
        <v>0</v>
      </c>
      <c r="J51" s="2">
        <f t="shared" si="5"/>
        <v>3</v>
      </c>
      <c r="K51" s="2" t="str">
        <f t="shared" si="6"/>
        <v>0</v>
      </c>
      <c r="L51" s="2" t="str">
        <f t="shared" si="7"/>
        <v>0</v>
      </c>
      <c r="M51" s="2">
        <f t="shared" si="8"/>
        <v>3</v>
      </c>
      <c r="N51" s="2">
        <f t="shared" si="9"/>
        <v>3</v>
      </c>
      <c r="O51" s="2" t="str">
        <f t="shared" si="10"/>
        <v>0</v>
      </c>
      <c r="P51" s="2">
        <f t="shared" si="11"/>
        <v>3</v>
      </c>
      <c r="Q51" s="2" t="str">
        <f t="shared" si="12"/>
        <v>0</v>
      </c>
      <c r="R51" s="2" t="str">
        <f t="shared" si="13"/>
        <v>0</v>
      </c>
      <c r="S51" s="2">
        <f t="shared" si="14"/>
        <v>3</v>
      </c>
      <c r="T51" s="2" t="str">
        <f t="shared" si="15"/>
        <v>0</v>
      </c>
    </row>
    <row r="52" spans="5:20" x14ac:dyDescent="0.25">
      <c r="E52" s="2" t="str">
        <f t="shared" si="0"/>
        <v>0</v>
      </c>
      <c r="F52" s="2" t="str">
        <f t="shared" si="1"/>
        <v>0</v>
      </c>
      <c r="G52" s="2">
        <f t="shared" si="2"/>
        <v>3.3</v>
      </c>
      <c r="H52" s="2">
        <f t="shared" si="3"/>
        <v>3.3</v>
      </c>
      <c r="I52" s="2" t="str">
        <f t="shared" si="4"/>
        <v>0</v>
      </c>
      <c r="J52" s="2">
        <f t="shared" si="5"/>
        <v>3.3</v>
      </c>
      <c r="K52" s="2" t="str">
        <f t="shared" si="6"/>
        <v>0</v>
      </c>
      <c r="L52" s="2" t="str">
        <f t="shared" si="7"/>
        <v>0</v>
      </c>
      <c r="M52" s="2">
        <f t="shared" si="8"/>
        <v>3.3</v>
      </c>
      <c r="N52" s="2">
        <f t="shared" si="9"/>
        <v>3.3</v>
      </c>
      <c r="O52" s="2" t="str">
        <f t="shared" si="10"/>
        <v>0</v>
      </c>
      <c r="P52" s="2">
        <f t="shared" si="11"/>
        <v>3.3</v>
      </c>
      <c r="Q52" s="2" t="str">
        <f t="shared" si="12"/>
        <v>0</v>
      </c>
      <c r="R52" s="2" t="str">
        <f t="shared" si="13"/>
        <v>0</v>
      </c>
      <c r="S52" s="2">
        <f t="shared" si="14"/>
        <v>3.3</v>
      </c>
      <c r="T52" s="2" t="str">
        <f t="shared" si="15"/>
        <v>0</v>
      </c>
    </row>
    <row r="53" spans="5:20" x14ac:dyDescent="0.25">
      <c r="E53" s="2" t="str">
        <f t="shared" si="0"/>
        <v>0</v>
      </c>
      <c r="F53" s="2">
        <f>IF(F21="X",(D21-C21),"0")</f>
        <v>2.7</v>
      </c>
      <c r="G53" s="2" t="str">
        <f t="shared" si="2"/>
        <v>0</v>
      </c>
      <c r="H53" s="2" t="str">
        <f t="shared" si="3"/>
        <v>0</v>
      </c>
      <c r="I53" s="2" t="str">
        <f t="shared" si="4"/>
        <v>0</v>
      </c>
      <c r="J53" s="2">
        <f t="shared" si="5"/>
        <v>2.7</v>
      </c>
      <c r="K53" s="2" t="str">
        <f t="shared" si="6"/>
        <v>0</v>
      </c>
      <c r="L53" s="2" t="str">
        <f t="shared" si="7"/>
        <v>0</v>
      </c>
      <c r="M53" s="2">
        <f t="shared" si="8"/>
        <v>2.7</v>
      </c>
      <c r="N53" s="2">
        <f t="shared" si="9"/>
        <v>2.7</v>
      </c>
      <c r="O53" s="2" t="str">
        <f t="shared" si="10"/>
        <v>0</v>
      </c>
      <c r="P53" s="2">
        <f t="shared" si="11"/>
        <v>2.7</v>
      </c>
      <c r="Q53" s="2" t="str">
        <f t="shared" si="12"/>
        <v>0</v>
      </c>
      <c r="R53" s="2" t="str">
        <f t="shared" si="13"/>
        <v>0</v>
      </c>
      <c r="S53" s="2">
        <f t="shared" si="14"/>
        <v>2.7</v>
      </c>
      <c r="T53" s="2" t="str">
        <f t="shared" si="15"/>
        <v>0</v>
      </c>
    </row>
    <row r="54" spans="5:20" x14ac:dyDescent="0.25">
      <c r="E54" s="2" t="str">
        <f t="shared" si="0"/>
        <v>0</v>
      </c>
      <c r="F54" s="2" t="str">
        <f t="shared" si="1"/>
        <v>0</v>
      </c>
      <c r="G54" s="2" t="str">
        <f t="shared" si="2"/>
        <v>0</v>
      </c>
      <c r="H54" s="2" t="str">
        <f t="shared" si="3"/>
        <v>0</v>
      </c>
      <c r="I54" s="2" t="str">
        <f t="shared" si="4"/>
        <v>0</v>
      </c>
      <c r="J54" s="2" t="str">
        <f t="shared" si="5"/>
        <v>0</v>
      </c>
      <c r="K54" s="2" t="str">
        <f t="shared" si="6"/>
        <v>0</v>
      </c>
      <c r="L54" s="2" t="str">
        <f t="shared" si="7"/>
        <v>0</v>
      </c>
      <c r="M54" s="2" t="str">
        <f t="shared" si="8"/>
        <v>0</v>
      </c>
      <c r="N54" s="2" t="str">
        <f t="shared" si="9"/>
        <v>0</v>
      </c>
      <c r="O54" s="2" t="str">
        <f t="shared" si="10"/>
        <v>0</v>
      </c>
      <c r="P54" s="2" t="str">
        <f t="shared" si="11"/>
        <v>0</v>
      </c>
      <c r="Q54" s="2" t="str">
        <f t="shared" si="12"/>
        <v>0</v>
      </c>
      <c r="R54" s="2" t="str">
        <f t="shared" si="13"/>
        <v>0</v>
      </c>
      <c r="S54" s="2" t="str">
        <f t="shared" si="14"/>
        <v>0</v>
      </c>
      <c r="T54" s="2" t="str">
        <f t="shared" si="15"/>
        <v>0</v>
      </c>
    </row>
    <row r="55" spans="5:20" x14ac:dyDescent="0.25">
      <c r="E55" s="2" t="str">
        <f t="shared" si="0"/>
        <v>0</v>
      </c>
      <c r="F55" s="2" t="str">
        <f t="shared" si="1"/>
        <v>0</v>
      </c>
      <c r="G55" s="2" t="str">
        <f t="shared" si="2"/>
        <v>0</v>
      </c>
      <c r="H55" s="2" t="str">
        <f t="shared" si="3"/>
        <v>0</v>
      </c>
      <c r="I55" s="2" t="str">
        <f t="shared" si="4"/>
        <v>0</v>
      </c>
      <c r="J55" s="2" t="str">
        <f t="shared" si="5"/>
        <v>0</v>
      </c>
      <c r="K55" s="2" t="str">
        <f t="shared" si="6"/>
        <v>0</v>
      </c>
      <c r="L55" s="2" t="str">
        <f t="shared" si="7"/>
        <v>0</v>
      </c>
      <c r="M55" s="2" t="str">
        <f t="shared" si="8"/>
        <v>0</v>
      </c>
      <c r="N55" s="2" t="str">
        <f t="shared" si="9"/>
        <v>0</v>
      </c>
      <c r="O55" s="2" t="str">
        <f t="shared" si="10"/>
        <v>0</v>
      </c>
      <c r="P55" s="2" t="str">
        <f t="shared" si="11"/>
        <v>0</v>
      </c>
      <c r="Q55" s="2" t="str">
        <f t="shared" si="12"/>
        <v>0</v>
      </c>
      <c r="R55" s="2" t="str">
        <f t="shared" si="13"/>
        <v>0</v>
      </c>
      <c r="S55" s="2" t="str">
        <f t="shared" si="14"/>
        <v>0</v>
      </c>
      <c r="T55" s="2" t="str">
        <f t="shared" si="15"/>
        <v>0</v>
      </c>
    </row>
    <row r="56" spans="5:20" x14ac:dyDescent="0.25">
      <c r="E56" s="2" t="str">
        <f t="shared" si="0"/>
        <v>0</v>
      </c>
      <c r="F56" s="2" t="str">
        <f t="shared" si="1"/>
        <v>0</v>
      </c>
      <c r="G56" s="2" t="str">
        <f t="shared" si="2"/>
        <v>0</v>
      </c>
      <c r="H56" s="2" t="str">
        <f t="shared" si="3"/>
        <v>0</v>
      </c>
      <c r="I56" s="2" t="str">
        <f t="shared" si="4"/>
        <v>0</v>
      </c>
      <c r="J56" s="2" t="str">
        <f t="shared" si="5"/>
        <v>0</v>
      </c>
      <c r="K56" s="2" t="str">
        <f t="shared" si="6"/>
        <v>0</v>
      </c>
      <c r="L56" s="2" t="str">
        <f t="shared" si="7"/>
        <v>0</v>
      </c>
      <c r="M56" s="2" t="str">
        <f t="shared" si="8"/>
        <v>0</v>
      </c>
      <c r="N56" s="2" t="str">
        <f t="shared" si="9"/>
        <v>0</v>
      </c>
      <c r="O56" s="2" t="str">
        <f t="shared" si="10"/>
        <v>0</v>
      </c>
      <c r="P56" s="2" t="str">
        <f t="shared" si="11"/>
        <v>0</v>
      </c>
      <c r="Q56" s="2" t="str">
        <f t="shared" si="12"/>
        <v>0</v>
      </c>
      <c r="R56" s="2" t="str">
        <f t="shared" si="13"/>
        <v>0</v>
      </c>
      <c r="S56" s="2" t="str">
        <f t="shared" si="14"/>
        <v>0</v>
      </c>
      <c r="T56" s="2" t="str">
        <f t="shared" si="15"/>
        <v>0</v>
      </c>
    </row>
    <row r="57" spans="5:20" x14ac:dyDescent="0.25">
      <c r="E57" s="2" t="str">
        <f t="shared" si="0"/>
        <v>0</v>
      </c>
      <c r="F57" s="2" t="str">
        <f t="shared" si="1"/>
        <v>0</v>
      </c>
      <c r="G57" s="2" t="str">
        <f t="shared" si="2"/>
        <v>0</v>
      </c>
      <c r="H57" s="2" t="str">
        <f t="shared" si="3"/>
        <v>0</v>
      </c>
      <c r="I57" s="2" t="str">
        <f t="shared" si="4"/>
        <v>0</v>
      </c>
      <c r="J57" s="2" t="str">
        <f t="shared" si="5"/>
        <v>0</v>
      </c>
      <c r="K57" s="2" t="str">
        <f t="shared" si="6"/>
        <v>0</v>
      </c>
      <c r="L57" s="2" t="str">
        <f t="shared" si="7"/>
        <v>0</v>
      </c>
      <c r="M57" s="2" t="str">
        <f t="shared" si="8"/>
        <v>0</v>
      </c>
      <c r="N57" s="2" t="str">
        <f t="shared" si="9"/>
        <v>0</v>
      </c>
      <c r="O57" s="2" t="str">
        <f t="shared" si="10"/>
        <v>0</v>
      </c>
      <c r="P57" s="2" t="str">
        <f t="shared" si="11"/>
        <v>0</v>
      </c>
      <c r="Q57" s="2" t="str">
        <f t="shared" si="12"/>
        <v>0</v>
      </c>
      <c r="R57" s="2" t="str">
        <f t="shared" si="13"/>
        <v>0</v>
      </c>
      <c r="S57" s="2" t="str">
        <f t="shared" si="14"/>
        <v>0</v>
      </c>
      <c r="T57" s="2" t="str">
        <f t="shared" si="15"/>
        <v>0</v>
      </c>
    </row>
    <row r="58" spans="5:20" x14ac:dyDescent="0.25">
      <c r="E58" s="2" t="str">
        <f t="shared" si="0"/>
        <v>0</v>
      </c>
      <c r="F58" s="2" t="str">
        <f t="shared" si="1"/>
        <v>0</v>
      </c>
      <c r="G58" s="2" t="str">
        <f t="shared" si="2"/>
        <v>0</v>
      </c>
      <c r="H58" s="2" t="str">
        <f t="shared" si="3"/>
        <v>0</v>
      </c>
      <c r="I58" s="2" t="str">
        <f t="shared" si="4"/>
        <v>0</v>
      </c>
      <c r="J58" s="2" t="str">
        <f t="shared" si="5"/>
        <v>0</v>
      </c>
      <c r="K58" s="2" t="str">
        <f t="shared" si="6"/>
        <v>0</v>
      </c>
      <c r="L58" s="2" t="str">
        <f t="shared" si="7"/>
        <v>0</v>
      </c>
      <c r="M58" s="2" t="str">
        <f t="shared" si="8"/>
        <v>0</v>
      </c>
      <c r="N58" s="2" t="str">
        <f t="shared" si="9"/>
        <v>0</v>
      </c>
      <c r="O58" s="2" t="str">
        <f t="shared" si="10"/>
        <v>0</v>
      </c>
      <c r="P58" s="2" t="str">
        <f t="shared" si="11"/>
        <v>0</v>
      </c>
      <c r="Q58" s="2" t="str">
        <f t="shared" si="12"/>
        <v>0</v>
      </c>
      <c r="R58" s="2" t="str">
        <f t="shared" si="13"/>
        <v>0</v>
      </c>
      <c r="S58" s="2" t="str">
        <f t="shared" si="14"/>
        <v>0</v>
      </c>
      <c r="T58" s="2" t="str">
        <f t="shared" si="15"/>
        <v>0</v>
      </c>
    </row>
    <row r="59" spans="5:20" x14ac:dyDescent="0.25">
      <c r="E59" s="2" t="str">
        <f t="shared" si="0"/>
        <v>0</v>
      </c>
      <c r="F59" s="2" t="str">
        <f t="shared" si="1"/>
        <v>0</v>
      </c>
      <c r="G59" s="2" t="str">
        <f t="shared" si="2"/>
        <v>0</v>
      </c>
      <c r="H59" s="2" t="str">
        <f t="shared" si="3"/>
        <v>0</v>
      </c>
      <c r="I59" s="2" t="str">
        <f t="shared" si="4"/>
        <v>0</v>
      </c>
      <c r="J59" s="2" t="str">
        <f t="shared" si="5"/>
        <v>0</v>
      </c>
      <c r="K59" s="2" t="str">
        <f t="shared" si="6"/>
        <v>0</v>
      </c>
      <c r="L59" s="2" t="str">
        <f t="shared" si="7"/>
        <v>0</v>
      </c>
      <c r="M59" s="2" t="str">
        <f t="shared" si="8"/>
        <v>0</v>
      </c>
      <c r="N59" s="2" t="str">
        <f t="shared" si="9"/>
        <v>0</v>
      </c>
      <c r="O59" s="2" t="str">
        <f t="shared" si="10"/>
        <v>0</v>
      </c>
      <c r="P59" s="2" t="str">
        <f t="shared" si="11"/>
        <v>0</v>
      </c>
      <c r="Q59" s="2" t="str">
        <f t="shared" si="12"/>
        <v>0</v>
      </c>
      <c r="R59" s="2" t="str">
        <f t="shared" si="13"/>
        <v>0</v>
      </c>
      <c r="S59" s="2" t="str">
        <f t="shared" si="14"/>
        <v>0</v>
      </c>
      <c r="T59" s="2" t="str">
        <f t="shared" si="15"/>
        <v>0</v>
      </c>
    </row>
    <row r="60" spans="5:20" x14ac:dyDescent="0.25">
      <c r="E60" s="2" t="str">
        <f t="shared" si="0"/>
        <v>0</v>
      </c>
      <c r="F60" s="2" t="str">
        <f t="shared" si="1"/>
        <v>0</v>
      </c>
      <c r="G60" s="2" t="str">
        <f t="shared" si="2"/>
        <v>0</v>
      </c>
      <c r="H60" s="2" t="str">
        <f t="shared" si="3"/>
        <v>0</v>
      </c>
      <c r="I60" s="2" t="str">
        <f t="shared" si="4"/>
        <v>0</v>
      </c>
      <c r="J60" s="2" t="str">
        <f t="shared" si="5"/>
        <v>0</v>
      </c>
      <c r="K60" s="2" t="str">
        <f t="shared" si="6"/>
        <v>0</v>
      </c>
      <c r="L60" s="2" t="str">
        <f t="shared" si="7"/>
        <v>0</v>
      </c>
      <c r="M60" s="2" t="str">
        <f t="shared" si="8"/>
        <v>0</v>
      </c>
      <c r="N60" s="2" t="str">
        <f t="shared" si="9"/>
        <v>0</v>
      </c>
      <c r="O60" s="2" t="str">
        <f t="shared" si="10"/>
        <v>0</v>
      </c>
      <c r="P60" s="2" t="str">
        <f t="shared" si="11"/>
        <v>0</v>
      </c>
      <c r="Q60" s="2" t="str">
        <f t="shared" si="12"/>
        <v>0</v>
      </c>
      <c r="R60" s="2" t="str">
        <f t="shared" si="13"/>
        <v>0</v>
      </c>
      <c r="S60" s="2" t="str">
        <f t="shared" si="14"/>
        <v>0</v>
      </c>
      <c r="T60" s="2" t="str">
        <f t="shared" si="15"/>
        <v>0</v>
      </c>
    </row>
    <row r="61" spans="5:20" x14ac:dyDescent="0.25">
      <c r="E61" s="2" t="str">
        <f t="shared" si="0"/>
        <v>0</v>
      </c>
      <c r="F61" s="2" t="str">
        <f t="shared" si="1"/>
        <v>0</v>
      </c>
      <c r="G61" s="2" t="str">
        <f t="shared" si="2"/>
        <v>0</v>
      </c>
      <c r="H61" s="2" t="str">
        <f t="shared" si="3"/>
        <v>0</v>
      </c>
      <c r="I61" s="2" t="str">
        <f t="shared" si="4"/>
        <v>0</v>
      </c>
      <c r="J61" s="2" t="str">
        <f t="shared" si="5"/>
        <v>0</v>
      </c>
      <c r="K61" s="2" t="str">
        <f t="shared" si="6"/>
        <v>0</v>
      </c>
      <c r="L61" s="2" t="str">
        <f t="shared" si="7"/>
        <v>0</v>
      </c>
      <c r="M61" s="2" t="str">
        <f t="shared" si="8"/>
        <v>0</v>
      </c>
      <c r="N61" s="2" t="str">
        <f t="shared" si="9"/>
        <v>0</v>
      </c>
      <c r="O61" s="2" t="str">
        <f t="shared" si="10"/>
        <v>0</v>
      </c>
      <c r="P61" s="2" t="str">
        <f t="shared" si="11"/>
        <v>0</v>
      </c>
      <c r="Q61" s="2" t="str">
        <f t="shared" si="12"/>
        <v>0</v>
      </c>
      <c r="R61" s="2" t="str">
        <f t="shared" si="13"/>
        <v>0</v>
      </c>
      <c r="S61" s="2" t="str">
        <f t="shared" si="14"/>
        <v>0</v>
      </c>
      <c r="T61" s="2" t="str">
        <f t="shared" si="15"/>
        <v>0</v>
      </c>
    </row>
    <row r="62" spans="5:20" x14ac:dyDescent="0.25">
      <c r="E62" s="2" t="str">
        <f t="shared" si="0"/>
        <v>0</v>
      </c>
      <c r="F62" s="2" t="str">
        <f t="shared" si="1"/>
        <v>0</v>
      </c>
      <c r="G62" s="2" t="str">
        <f t="shared" si="2"/>
        <v>0</v>
      </c>
      <c r="H62" s="2" t="str">
        <f t="shared" si="3"/>
        <v>0</v>
      </c>
      <c r="I62" s="2" t="str">
        <f t="shared" si="4"/>
        <v>0</v>
      </c>
      <c r="J62" s="2" t="str">
        <f t="shared" si="5"/>
        <v>0</v>
      </c>
      <c r="K62" s="2" t="str">
        <f t="shared" si="6"/>
        <v>0</v>
      </c>
      <c r="L62" s="2" t="str">
        <f t="shared" si="7"/>
        <v>0</v>
      </c>
      <c r="M62" s="2" t="str">
        <f t="shared" si="8"/>
        <v>0</v>
      </c>
      <c r="N62" s="2" t="str">
        <f t="shared" si="9"/>
        <v>0</v>
      </c>
      <c r="O62" s="2" t="str">
        <f t="shared" si="10"/>
        <v>0</v>
      </c>
      <c r="P62" s="2" t="str">
        <f t="shared" si="11"/>
        <v>0</v>
      </c>
      <c r="Q62" s="2" t="str">
        <f t="shared" si="12"/>
        <v>0</v>
      </c>
      <c r="R62" s="2" t="str">
        <f t="shared" si="13"/>
        <v>0</v>
      </c>
      <c r="S62" s="2" t="str">
        <f t="shared" si="14"/>
        <v>0</v>
      </c>
      <c r="T62" s="2" t="str">
        <f t="shared" si="15"/>
        <v>0</v>
      </c>
    </row>
    <row r="63" spans="5:20" x14ac:dyDescent="0.25">
      <c r="E63" s="2" t="str">
        <f t="shared" si="0"/>
        <v>0</v>
      </c>
      <c r="F63" s="2" t="str">
        <f t="shared" si="1"/>
        <v>0</v>
      </c>
      <c r="G63" s="2" t="str">
        <f t="shared" si="2"/>
        <v>0</v>
      </c>
      <c r="H63" s="2" t="str">
        <f t="shared" si="3"/>
        <v>0</v>
      </c>
      <c r="I63" s="2" t="str">
        <f t="shared" si="4"/>
        <v>0</v>
      </c>
      <c r="J63" s="2" t="str">
        <f t="shared" si="5"/>
        <v>0</v>
      </c>
      <c r="K63" s="2" t="str">
        <f t="shared" si="6"/>
        <v>0</v>
      </c>
      <c r="L63" s="2" t="str">
        <f t="shared" si="7"/>
        <v>0</v>
      </c>
      <c r="M63" s="2" t="str">
        <f t="shared" si="8"/>
        <v>0</v>
      </c>
      <c r="N63" s="2" t="str">
        <f t="shared" si="9"/>
        <v>0</v>
      </c>
      <c r="O63" s="2" t="str">
        <f t="shared" si="10"/>
        <v>0</v>
      </c>
      <c r="P63" s="2" t="str">
        <f t="shared" si="11"/>
        <v>0</v>
      </c>
      <c r="Q63" s="2" t="str">
        <f t="shared" si="12"/>
        <v>0</v>
      </c>
      <c r="R63" s="2" t="str">
        <f t="shared" si="13"/>
        <v>0</v>
      </c>
      <c r="S63" s="2" t="str">
        <f t="shared" si="14"/>
        <v>0</v>
      </c>
      <c r="T63" s="2" t="str">
        <f t="shared" si="15"/>
        <v>0</v>
      </c>
    </row>
    <row r="64" spans="5:20" x14ac:dyDescent="0.25">
      <c r="E64" s="2" t="str">
        <f t="shared" si="0"/>
        <v>0</v>
      </c>
      <c r="F64" s="2" t="str">
        <f t="shared" si="1"/>
        <v>0</v>
      </c>
      <c r="G64" s="2" t="str">
        <f t="shared" si="2"/>
        <v>0</v>
      </c>
      <c r="H64" s="2" t="str">
        <f t="shared" si="3"/>
        <v>0</v>
      </c>
      <c r="I64" s="2" t="str">
        <f t="shared" si="4"/>
        <v>0</v>
      </c>
      <c r="J64" s="2" t="str">
        <f t="shared" si="5"/>
        <v>0</v>
      </c>
      <c r="K64" s="2" t="str">
        <f t="shared" si="6"/>
        <v>0</v>
      </c>
      <c r="L64" s="2" t="str">
        <f t="shared" si="7"/>
        <v>0</v>
      </c>
      <c r="M64" s="2" t="str">
        <f t="shared" si="8"/>
        <v>0</v>
      </c>
      <c r="N64" s="2" t="str">
        <f t="shared" si="9"/>
        <v>0</v>
      </c>
      <c r="O64" s="2" t="str">
        <f t="shared" si="10"/>
        <v>0</v>
      </c>
      <c r="P64" s="2" t="str">
        <f t="shared" si="11"/>
        <v>0</v>
      </c>
      <c r="Q64" s="2" t="str">
        <f t="shared" si="12"/>
        <v>0</v>
      </c>
      <c r="R64" s="2" t="str">
        <f t="shared" si="13"/>
        <v>0</v>
      </c>
      <c r="S64" s="2" t="str">
        <f t="shared" si="14"/>
        <v>0</v>
      </c>
      <c r="T64" s="2" t="str">
        <f t="shared" si="15"/>
        <v>0</v>
      </c>
    </row>
    <row r="65" spans="5:20" x14ac:dyDescent="0.25">
      <c r="E65" s="2" t="str">
        <f t="shared" si="0"/>
        <v>0</v>
      </c>
      <c r="F65" s="2" t="str">
        <f t="shared" si="1"/>
        <v>0</v>
      </c>
      <c r="G65" s="2" t="str">
        <f t="shared" si="2"/>
        <v>0</v>
      </c>
      <c r="H65" s="2" t="str">
        <f t="shared" si="3"/>
        <v>0</v>
      </c>
      <c r="I65" s="2" t="str">
        <f t="shared" si="4"/>
        <v>0</v>
      </c>
      <c r="J65" s="2" t="str">
        <f t="shared" si="5"/>
        <v>0</v>
      </c>
      <c r="K65" s="2" t="str">
        <f t="shared" si="6"/>
        <v>0</v>
      </c>
      <c r="L65" s="2" t="str">
        <f t="shared" si="7"/>
        <v>0</v>
      </c>
      <c r="M65" s="2" t="str">
        <f t="shared" si="8"/>
        <v>0</v>
      </c>
      <c r="N65" s="2" t="str">
        <f t="shared" si="9"/>
        <v>0</v>
      </c>
      <c r="O65" s="2" t="str">
        <f t="shared" si="10"/>
        <v>0</v>
      </c>
      <c r="P65" s="2" t="str">
        <f t="shared" si="11"/>
        <v>0</v>
      </c>
      <c r="Q65" s="2" t="str">
        <f t="shared" si="12"/>
        <v>0</v>
      </c>
      <c r="R65" s="2" t="str">
        <f t="shared" si="13"/>
        <v>0</v>
      </c>
      <c r="S65" s="2" t="str">
        <f t="shared" si="14"/>
        <v>0</v>
      </c>
      <c r="T65" s="2" t="str">
        <f t="shared" si="15"/>
        <v>0</v>
      </c>
    </row>
    <row r="66" spans="5:20" x14ac:dyDescent="0.25">
      <c r="E66" s="2" t="str">
        <f t="shared" si="0"/>
        <v>0</v>
      </c>
      <c r="F66" s="2" t="str">
        <f t="shared" si="1"/>
        <v>0</v>
      </c>
      <c r="G66" s="2" t="str">
        <f t="shared" si="2"/>
        <v>0</v>
      </c>
      <c r="H66" s="2" t="str">
        <f t="shared" si="3"/>
        <v>0</v>
      </c>
      <c r="I66" s="2" t="str">
        <f t="shared" si="4"/>
        <v>0</v>
      </c>
      <c r="J66" s="2" t="str">
        <f t="shared" si="5"/>
        <v>0</v>
      </c>
      <c r="K66" s="2" t="str">
        <f t="shared" si="6"/>
        <v>0</v>
      </c>
      <c r="L66" s="2" t="str">
        <f t="shared" si="7"/>
        <v>0</v>
      </c>
      <c r="M66" s="2" t="str">
        <f t="shared" si="8"/>
        <v>0</v>
      </c>
      <c r="N66" s="2" t="str">
        <f t="shared" si="9"/>
        <v>0</v>
      </c>
      <c r="O66" s="2" t="str">
        <f t="shared" si="10"/>
        <v>0</v>
      </c>
      <c r="P66" s="2" t="str">
        <f t="shared" si="11"/>
        <v>0</v>
      </c>
      <c r="Q66" s="2" t="str">
        <f t="shared" si="12"/>
        <v>0</v>
      </c>
      <c r="R66" s="2" t="str">
        <f t="shared" si="13"/>
        <v>0</v>
      </c>
      <c r="S66" s="2" t="str">
        <f t="shared" si="14"/>
        <v>0</v>
      </c>
      <c r="T66" s="2" t="str">
        <f t="shared" si="15"/>
        <v>0</v>
      </c>
    </row>
    <row r="67" spans="5:20" x14ac:dyDescent="0.25">
      <c r="E67" s="2" t="str">
        <f t="shared" si="0"/>
        <v>0</v>
      </c>
      <c r="F67" s="2" t="str">
        <f t="shared" si="1"/>
        <v>0</v>
      </c>
      <c r="G67" s="2" t="str">
        <f t="shared" si="2"/>
        <v>0</v>
      </c>
      <c r="H67" s="2" t="str">
        <f t="shared" si="3"/>
        <v>0</v>
      </c>
      <c r="I67" s="2" t="str">
        <f t="shared" si="4"/>
        <v>0</v>
      </c>
      <c r="J67" s="2" t="str">
        <f t="shared" si="5"/>
        <v>0</v>
      </c>
      <c r="K67" s="2" t="str">
        <f t="shared" si="6"/>
        <v>0</v>
      </c>
      <c r="L67" s="2" t="str">
        <f t="shared" si="7"/>
        <v>0</v>
      </c>
      <c r="M67" s="2" t="str">
        <f t="shared" si="8"/>
        <v>0</v>
      </c>
      <c r="N67" s="2" t="str">
        <f t="shared" si="9"/>
        <v>0</v>
      </c>
      <c r="O67" s="2" t="str">
        <f t="shared" si="10"/>
        <v>0</v>
      </c>
      <c r="P67" s="2" t="str">
        <f t="shared" si="11"/>
        <v>0</v>
      </c>
      <c r="Q67" s="2" t="str">
        <f t="shared" si="12"/>
        <v>0</v>
      </c>
      <c r="R67" s="2" t="str">
        <f t="shared" si="13"/>
        <v>0</v>
      </c>
      <c r="S67" s="2" t="str">
        <f t="shared" si="14"/>
        <v>0</v>
      </c>
      <c r="T67" s="2" t="str">
        <f t="shared" si="15"/>
        <v>0</v>
      </c>
    </row>
    <row r="68" spans="5:20" x14ac:dyDescent="0.25">
      <c r="E68" s="2" t="str">
        <f t="shared" si="0"/>
        <v>0</v>
      </c>
      <c r="F68" s="2" t="str">
        <f t="shared" si="1"/>
        <v>0</v>
      </c>
      <c r="G68" s="2" t="str">
        <f t="shared" si="2"/>
        <v>0</v>
      </c>
      <c r="H68" s="2" t="str">
        <f t="shared" si="3"/>
        <v>0</v>
      </c>
      <c r="I68" s="2" t="str">
        <f t="shared" si="4"/>
        <v>0</v>
      </c>
      <c r="J68" s="2" t="str">
        <f t="shared" si="5"/>
        <v>0</v>
      </c>
      <c r="K68" s="2" t="str">
        <f t="shared" si="6"/>
        <v>0</v>
      </c>
      <c r="L68" s="2" t="str">
        <f t="shared" si="7"/>
        <v>0</v>
      </c>
      <c r="M68" s="2" t="str">
        <f t="shared" si="8"/>
        <v>0</v>
      </c>
      <c r="N68" s="2" t="str">
        <f t="shared" si="9"/>
        <v>0</v>
      </c>
      <c r="O68" s="2" t="str">
        <f t="shared" si="10"/>
        <v>0</v>
      </c>
      <c r="P68" s="2" t="str">
        <f t="shared" si="11"/>
        <v>0</v>
      </c>
      <c r="Q68" s="2" t="str">
        <f t="shared" si="12"/>
        <v>0</v>
      </c>
      <c r="R68" s="2" t="str">
        <f t="shared" si="13"/>
        <v>0</v>
      </c>
      <c r="S68" s="2" t="str">
        <f t="shared" si="14"/>
        <v>0</v>
      </c>
      <c r="T68" s="2" t="str">
        <f t="shared" si="15"/>
        <v>0</v>
      </c>
    </row>
    <row r="69" spans="5:20" x14ac:dyDescent="0.25">
      <c r="E69" s="2" t="str">
        <f t="shared" si="0"/>
        <v>0</v>
      </c>
      <c r="F69" s="2" t="str">
        <f t="shared" si="1"/>
        <v>0</v>
      </c>
      <c r="G69" s="2" t="str">
        <f t="shared" si="2"/>
        <v>0</v>
      </c>
      <c r="H69" s="2" t="str">
        <f t="shared" si="3"/>
        <v>0</v>
      </c>
      <c r="I69" s="2" t="str">
        <f t="shared" si="4"/>
        <v>0</v>
      </c>
      <c r="J69" s="2" t="str">
        <f t="shared" si="5"/>
        <v>0</v>
      </c>
      <c r="K69" s="2" t="str">
        <f t="shared" si="6"/>
        <v>0</v>
      </c>
      <c r="L69" s="2" t="str">
        <f t="shared" si="7"/>
        <v>0</v>
      </c>
      <c r="M69" s="2" t="str">
        <f t="shared" si="8"/>
        <v>0</v>
      </c>
      <c r="N69" s="2" t="str">
        <f t="shared" si="9"/>
        <v>0</v>
      </c>
      <c r="O69" s="2" t="str">
        <f t="shared" si="10"/>
        <v>0</v>
      </c>
      <c r="P69" s="2" t="str">
        <f t="shared" si="11"/>
        <v>0</v>
      </c>
      <c r="Q69" s="2" t="str">
        <f t="shared" si="12"/>
        <v>0</v>
      </c>
      <c r="R69" s="2" t="str">
        <f t="shared" si="13"/>
        <v>0</v>
      </c>
      <c r="S69" s="2" t="str">
        <f t="shared" si="14"/>
        <v>0</v>
      </c>
      <c r="T69" s="2" t="str">
        <f t="shared" si="15"/>
        <v>0</v>
      </c>
    </row>
    <row r="70" spans="5:20" x14ac:dyDescent="0.25">
      <c r="E70" s="2" t="str">
        <f t="shared" si="0"/>
        <v>0</v>
      </c>
      <c r="F70" s="2" t="str">
        <f t="shared" si="1"/>
        <v>0</v>
      </c>
      <c r="G70" s="2" t="str">
        <f t="shared" si="2"/>
        <v>0</v>
      </c>
      <c r="H70" s="2" t="str">
        <f t="shared" si="3"/>
        <v>0</v>
      </c>
      <c r="I70" s="2" t="str">
        <f t="shared" si="4"/>
        <v>0</v>
      </c>
      <c r="J70" s="2" t="str">
        <f t="shared" si="5"/>
        <v>0</v>
      </c>
      <c r="K70" s="2" t="str">
        <f t="shared" si="6"/>
        <v>0</v>
      </c>
      <c r="L70" s="2" t="str">
        <f t="shared" si="7"/>
        <v>0</v>
      </c>
      <c r="M70" s="2" t="str">
        <f t="shared" si="8"/>
        <v>0</v>
      </c>
      <c r="N70" s="2" t="str">
        <f t="shared" si="9"/>
        <v>0</v>
      </c>
      <c r="O70" s="2" t="str">
        <f t="shared" si="10"/>
        <v>0</v>
      </c>
      <c r="P70" s="2" t="str">
        <f t="shared" si="11"/>
        <v>0</v>
      </c>
      <c r="Q70" s="2" t="str">
        <f t="shared" si="12"/>
        <v>0</v>
      </c>
      <c r="R70" s="2" t="str">
        <f t="shared" si="13"/>
        <v>0</v>
      </c>
      <c r="S70" s="2" t="str">
        <f t="shared" si="14"/>
        <v>0</v>
      </c>
      <c r="T70" s="2" t="str">
        <f t="shared" si="15"/>
        <v>0</v>
      </c>
    </row>
    <row r="71" spans="5:20" x14ac:dyDescent="0.25">
      <c r="E71" s="2" t="str">
        <f t="shared" si="0"/>
        <v>0</v>
      </c>
      <c r="F71" s="2" t="str">
        <f t="shared" si="1"/>
        <v>0</v>
      </c>
      <c r="G71" s="2" t="str">
        <f t="shared" si="2"/>
        <v>0</v>
      </c>
      <c r="H71" s="2" t="str">
        <f t="shared" si="3"/>
        <v>0</v>
      </c>
      <c r="I71" s="2" t="str">
        <f t="shared" si="4"/>
        <v>0</v>
      </c>
      <c r="J71" s="2" t="str">
        <f t="shared" si="5"/>
        <v>0</v>
      </c>
      <c r="K71" s="2" t="str">
        <f t="shared" si="6"/>
        <v>0</v>
      </c>
      <c r="L71" s="2" t="str">
        <f t="shared" si="7"/>
        <v>0</v>
      </c>
      <c r="M71" s="2" t="str">
        <f t="shared" si="8"/>
        <v>0</v>
      </c>
      <c r="N71" s="2" t="str">
        <f t="shared" si="9"/>
        <v>0</v>
      </c>
      <c r="O71" s="2" t="str">
        <f t="shared" si="10"/>
        <v>0</v>
      </c>
      <c r="P71" s="2" t="str">
        <f t="shared" si="11"/>
        <v>0</v>
      </c>
      <c r="Q71" s="2" t="str">
        <f t="shared" si="12"/>
        <v>0</v>
      </c>
      <c r="R71" s="2" t="str">
        <f t="shared" si="13"/>
        <v>0</v>
      </c>
      <c r="S71" s="2" t="str">
        <f t="shared" si="14"/>
        <v>0</v>
      </c>
      <c r="T71" s="2" t="str">
        <f t="shared" si="15"/>
        <v>0</v>
      </c>
    </row>
    <row r="72" spans="5:20" x14ac:dyDescent="0.25">
      <c r="E72" s="2" t="str">
        <f t="shared" si="0"/>
        <v>0</v>
      </c>
      <c r="F72" s="2" t="str">
        <f t="shared" si="1"/>
        <v>0</v>
      </c>
      <c r="G72" s="2" t="str">
        <f t="shared" si="2"/>
        <v>0</v>
      </c>
      <c r="H72" s="2" t="str">
        <f t="shared" si="3"/>
        <v>0</v>
      </c>
      <c r="I72" s="2" t="str">
        <f t="shared" si="4"/>
        <v>0</v>
      </c>
      <c r="J72" s="2" t="str">
        <f t="shared" si="5"/>
        <v>0</v>
      </c>
      <c r="K72" s="2" t="str">
        <f t="shared" si="6"/>
        <v>0</v>
      </c>
      <c r="L72" s="2" t="str">
        <f t="shared" si="7"/>
        <v>0</v>
      </c>
      <c r="M72" s="2" t="str">
        <f t="shared" si="8"/>
        <v>0</v>
      </c>
      <c r="N72" s="2" t="str">
        <f t="shared" si="9"/>
        <v>0</v>
      </c>
      <c r="O72" s="2" t="str">
        <f t="shared" si="10"/>
        <v>0</v>
      </c>
      <c r="P72" s="2" t="str">
        <f t="shared" si="11"/>
        <v>0</v>
      </c>
      <c r="Q72" s="2" t="str">
        <f t="shared" si="12"/>
        <v>0</v>
      </c>
      <c r="R72" s="2" t="str">
        <f t="shared" si="13"/>
        <v>0</v>
      </c>
      <c r="S72" s="2" t="str">
        <f t="shared" si="14"/>
        <v>0</v>
      </c>
      <c r="T72" s="2" t="str">
        <f t="shared" si="15"/>
        <v>0</v>
      </c>
    </row>
    <row r="73" spans="5:20" x14ac:dyDescent="0.25">
      <c r="E73" s="2" t="str">
        <f t="shared" si="0"/>
        <v>0</v>
      </c>
      <c r="F73" s="2" t="str">
        <f t="shared" si="1"/>
        <v>0</v>
      </c>
      <c r="G73" s="2" t="str">
        <f t="shared" si="2"/>
        <v>0</v>
      </c>
      <c r="H73" s="2" t="str">
        <f t="shared" si="3"/>
        <v>0</v>
      </c>
      <c r="I73" s="2" t="str">
        <f t="shared" si="4"/>
        <v>0</v>
      </c>
      <c r="J73" s="2" t="str">
        <f t="shared" si="5"/>
        <v>0</v>
      </c>
      <c r="K73" s="2" t="str">
        <f t="shared" si="6"/>
        <v>0</v>
      </c>
      <c r="L73" s="2" t="str">
        <f t="shared" si="7"/>
        <v>0</v>
      </c>
      <c r="M73" s="2" t="str">
        <f t="shared" si="8"/>
        <v>0</v>
      </c>
      <c r="N73" s="2" t="str">
        <f t="shared" si="9"/>
        <v>0</v>
      </c>
      <c r="O73" s="2" t="str">
        <f t="shared" si="10"/>
        <v>0</v>
      </c>
      <c r="P73" s="2" t="str">
        <f t="shared" si="11"/>
        <v>0</v>
      </c>
      <c r="Q73" s="2" t="str">
        <f t="shared" si="12"/>
        <v>0</v>
      </c>
      <c r="R73" s="2" t="str">
        <f t="shared" si="13"/>
        <v>0</v>
      </c>
      <c r="S73" s="2" t="str">
        <f t="shared" si="14"/>
        <v>0</v>
      </c>
      <c r="T73" s="2" t="str">
        <f t="shared" si="15"/>
        <v>0</v>
      </c>
    </row>
    <row r="74" spans="5:20" x14ac:dyDescent="0.25">
      <c r="E74" s="2" t="str">
        <f t="shared" si="0"/>
        <v>0</v>
      </c>
      <c r="F74" s="2" t="str">
        <f t="shared" si="1"/>
        <v>0</v>
      </c>
      <c r="G74" s="2" t="str">
        <f t="shared" si="2"/>
        <v>0</v>
      </c>
      <c r="H74" s="2" t="str">
        <f t="shared" si="3"/>
        <v>0</v>
      </c>
      <c r="I74" s="2" t="str">
        <f t="shared" si="4"/>
        <v>0</v>
      </c>
      <c r="J74" s="2" t="str">
        <f t="shared" si="5"/>
        <v>0</v>
      </c>
      <c r="K74" s="2" t="str">
        <f t="shared" si="6"/>
        <v>0</v>
      </c>
      <c r="L74" s="2" t="str">
        <f t="shared" si="7"/>
        <v>0</v>
      </c>
      <c r="M74" s="2" t="str">
        <f t="shared" si="8"/>
        <v>0</v>
      </c>
      <c r="N74" s="2" t="str">
        <f t="shared" si="9"/>
        <v>0</v>
      </c>
      <c r="O74" s="2" t="str">
        <f t="shared" si="10"/>
        <v>0</v>
      </c>
      <c r="P74" s="2" t="str">
        <f t="shared" si="11"/>
        <v>0</v>
      </c>
      <c r="Q74" s="2" t="str">
        <f t="shared" si="12"/>
        <v>0</v>
      </c>
      <c r="R74" s="2" t="str">
        <f t="shared" si="13"/>
        <v>0</v>
      </c>
      <c r="S74" s="2" t="str">
        <f t="shared" si="14"/>
        <v>0</v>
      </c>
      <c r="T74" s="2" t="str">
        <f t="shared" si="15"/>
        <v>0</v>
      </c>
    </row>
    <row r="75" spans="5:20" x14ac:dyDescent="0.25">
      <c r="E75" s="2" t="str">
        <f t="shared" si="0"/>
        <v>0</v>
      </c>
      <c r="F75" s="2" t="str">
        <f t="shared" si="1"/>
        <v>0</v>
      </c>
      <c r="G75" s="2" t="str">
        <f t="shared" si="2"/>
        <v>0</v>
      </c>
      <c r="H75" s="2" t="str">
        <f t="shared" si="3"/>
        <v>0</v>
      </c>
      <c r="I75" s="2" t="str">
        <f t="shared" si="4"/>
        <v>0</v>
      </c>
      <c r="J75" s="2" t="str">
        <f t="shared" si="5"/>
        <v>0</v>
      </c>
      <c r="K75" s="2" t="str">
        <f t="shared" si="6"/>
        <v>0</v>
      </c>
      <c r="L75" s="2" t="str">
        <f t="shared" si="7"/>
        <v>0</v>
      </c>
      <c r="M75" s="2" t="str">
        <f t="shared" si="8"/>
        <v>0</v>
      </c>
      <c r="N75" s="2" t="str">
        <f t="shared" si="9"/>
        <v>0</v>
      </c>
      <c r="O75" s="2" t="str">
        <f t="shared" si="10"/>
        <v>0</v>
      </c>
      <c r="P75" s="2" t="str">
        <f t="shared" si="11"/>
        <v>0</v>
      </c>
      <c r="Q75" s="2" t="str">
        <f t="shared" si="12"/>
        <v>0</v>
      </c>
      <c r="R75" s="2" t="str">
        <f t="shared" si="13"/>
        <v>0</v>
      </c>
      <c r="S75" s="2" t="str">
        <f t="shared" si="14"/>
        <v>0</v>
      </c>
      <c r="T75" s="2" t="str">
        <f t="shared" si="15"/>
        <v>0</v>
      </c>
    </row>
    <row r="76" spans="5:20" x14ac:dyDescent="0.25">
      <c r="E76" s="2" t="str">
        <f t="shared" si="0"/>
        <v>0</v>
      </c>
      <c r="F76" s="2" t="str">
        <f t="shared" si="1"/>
        <v>0</v>
      </c>
      <c r="G76" s="2" t="str">
        <f t="shared" si="2"/>
        <v>0</v>
      </c>
      <c r="H76" s="2" t="str">
        <f t="shared" si="3"/>
        <v>0</v>
      </c>
      <c r="I76" s="2" t="str">
        <f t="shared" si="4"/>
        <v>0</v>
      </c>
      <c r="J76" s="2" t="str">
        <f t="shared" si="5"/>
        <v>0</v>
      </c>
      <c r="K76" s="2" t="str">
        <f t="shared" si="6"/>
        <v>0</v>
      </c>
      <c r="L76" s="2" t="str">
        <f t="shared" si="7"/>
        <v>0</v>
      </c>
      <c r="M76" s="2" t="str">
        <f t="shared" si="8"/>
        <v>0</v>
      </c>
      <c r="N76" s="2" t="str">
        <f t="shared" si="9"/>
        <v>0</v>
      </c>
      <c r="O76" s="2" t="str">
        <f t="shared" si="10"/>
        <v>0</v>
      </c>
      <c r="P76" s="2" t="str">
        <f t="shared" si="11"/>
        <v>0</v>
      </c>
      <c r="Q76" s="2" t="str">
        <f t="shared" si="12"/>
        <v>0</v>
      </c>
      <c r="R76" s="2" t="str">
        <f t="shared" si="13"/>
        <v>0</v>
      </c>
      <c r="S76" s="2" t="str">
        <f t="shared" si="14"/>
        <v>0</v>
      </c>
      <c r="T76" s="2" t="str">
        <f t="shared" si="15"/>
        <v>0</v>
      </c>
    </row>
    <row r="77" spans="5:20" x14ac:dyDescent="0.25">
      <c r="E77" s="2" t="str">
        <f t="shared" si="0"/>
        <v>0</v>
      </c>
      <c r="F77" s="2" t="str">
        <f t="shared" si="1"/>
        <v>0</v>
      </c>
      <c r="G77" s="2" t="str">
        <f t="shared" si="2"/>
        <v>0</v>
      </c>
      <c r="H77" s="2" t="str">
        <f t="shared" si="3"/>
        <v>0</v>
      </c>
      <c r="I77" s="2" t="str">
        <f t="shared" si="4"/>
        <v>0</v>
      </c>
      <c r="J77" s="2" t="str">
        <f t="shared" si="5"/>
        <v>0</v>
      </c>
      <c r="K77" s="2" t="str">
        <f t="shared" si="6"/>
        <v>0</v>
      </c>
      <c r="L77" s="2" t="str">
        <f t="shared" si="7"/>
        <v>0</v>
      </c>
      <c r="M77" s="2" t="str">
        <f t="shared" si="8"/>
        <v>0</v>
      </c>
      <c r="N77" s="2" t="str">
        <f t="shared" si="9"/>
        <v>0</v>
      </c>
      <c r="O77" s="2" t="str">
        <f t="shared" si="10"/>
        <v>0</v>
      </c>
      <c r="P77" s="2" t="str">
        <f t="shared" si="11"/>
        <v>0</v>
      </c>
      <c r="Q77" s="2" t="str">
        <f t="shared" si="12"/>
        <v>0</v>
      </c>
      <c r="R77" s="2" t="str">
        <f t="shared" si="13"/>
        <v>0</v>
      </c>
      <c r="S77" s="2" t="str">
        <f t="shared" si="14"/>
        <v>0</v>
      </c>
      <c r="T77" s="2" t="str">
        <f t="shared" si="15"/>
        <v>0</v>
      </c>
    </row>
    <row r="78" spans="5:20" x14ac:dyDescent="0.25">
      <c r="E78" s="2" t="str">
        <f t="shared" si="0"/>
        <v>0</v>
      </c>
      <c r="F78" s="2" t="str">
        <f t="shared" si="1"/>
        <v>0</v>
      </c>
      <c r="G78" s="2" t="str">
        <f t="shared" si="2"/>
        <v>0</v>
      </c>
      <c r="H78" s="2" t="str">
        <f t="shared" si="3"/>
        <v>0</v>
      </c>
      <c r="I78" s="2" t="str">
        <f t="shared" si="4"/>
        <v>0</v>
      </c>
      <c r="J78" s="2" t="str">
        <f t="shared" si="5"/>
        <v>0</v>
      </c>
      <c r="K78" s="2" t="str">
        <f t="shared" si="6"/>
        <v>0</v>
      </c>
      <c r="L78" s="2" t="str">
        <f t="shared" si="7"/>
        <v>0</v>
      </c>
      <c r="M78" s="2" t="str">
        <f t="shared" si="8"/>
        <v>0</v>
      </c>
      <c r="N78" s="2" t="str">
        <f t="shared" si="9"/>
        <v>0</v>
      </c>
      <c r="O78" s="2" t="str">
        <f t="shared" si="10"/>
        <v>0</v>
      </c>
      <c r="P78" s="2" t="str">
        <f t="shared" si="11"/>
        <v>0</v>
      </c>
      <c r="Q78" s="2" t="str">
        <f t="shared" si="12"/>
        <v>0</v>
      </c>
      <c r="R78" s="2" t="str">
        <f t="shared" si="13"/>
        <v>0</v>
      </c>
      <c r="S78" s="2" t="str">
        <f t="shared" si="14"/>
        <v>0</v>
      </c>
      <c r="T78" s="2" t="str">
        <f t="shared" si="15"/>
        <v>0</v>
      </c>
    </row>
    <row r="79" spans="5:20" x14ac:dyDescent="0.25">
      <c r="E79" s="2" t="str">
        <f t="shared" si="0"/>
        <v>0</v>
      </c>
      <c r="F79" s="2" t="str">
        <f t="shared" si="1"/>
        <v>0</v>
      </c>
      <c r="G79" s="2" t="str">
        <f t="shared" si="2"/>
        <v>0</v>
      </c>
      <c r="H79" s="2" t="str">
        <f t="shared" si="3"/>
        <v>0</v>
      </c>
      <c r="I79" s="2" t="str">
        <f t="shared" si="4"/>
        <v>0</v>
      </c>
      <c r="J79" s="2" t="str">
        <f t="shared" si="5"/>
        <v>0</v>
      </c>
      <c r="K79" s="2" t="str">
        <f t="shared" si="6"/>
        <v>0</v>
      </c>
      <c r="L79" s="2" t="str">
        <f t="shared" si="7"/>
        <v>0</v>
      </c>
      <c r="M79" s="2" t="str">
        <f t="shared" si="8"/>
        <v>0</v>
      </c>
      <c r="N79" s="2" t="str">
        <f t="shared" si="9"/>
        <v>0</v>
      </c>
      <c r="O79" s="2" t="str">
        <f t="shared" si="10"/>
        <v>0</v>
      </c>
      <c r="P79" s="2" t="str">
        <f t="shared" si="11"/>
        <v>0</v>
      </c>
      <c r="Q79" s="2" t="str">
        <f t="shared" si="12"/>
        <v>0</v>
      </c>
      <c r="R79" s="2" t="str">
        <f t="shared" si="13"/>
        <v>0</v>
      </c>
      <c r="S79" s="2" t="str">
        <f t="shared" si="14"/>
        <v>0</v>
      </c>
      <c r="T79" s="2" t="str">
        <f t="shared" si="15"/>
        <v>0</v>
      </c>
    </row>
    <row r="80" spans="5:20" x14ac:dyDescent="0.25">
      <c r="E80" s="2" t="str">
        <f t="shared" si="0"/>
        <v>0</v>
      </c>
      <c r="F80" s="2" t="str">
        <f t="shared" si="1"/>
        <v>0</v>
      </c>
      <c r="G80" s="2" t="str">
        <f t="shared" si="2"/>
        <v>0</v>
      </c>
      <c r="H80" s="2" t="str">
        <f t="shared" si="3"/>
        <v>0</v>
      </c>
      <c r="I80" s="2" t="str">
        <f t="shared" si="4"/>
        <v>0</v>
      </c>
      <c r="J80" s="2" t="str">
        <f t="shared" si="5"/>
        <v>0</v>
      </c>
      <c r="K80" s="2" t="str">
        <f t="shared" si="6"/>
        <v>0</v>
      </c>
      <c r="L80" s="2" t="str">
        <f t="shared" si="7"/>
        <v>0</v>
      </c>
      <c r="M80" s="2" t="str">
        <f t="shared" si="8"/>
        <v>0</v>
      </c>
      <c r="N80" s="2" t="str">
        <f t="shared" si="9"/>
        <v>0</v>
      </c>
      <c r="O80" s="2" t="str">
        <f t="shared" si="10"/>
        <v>0</v>
      </c>
      <c r="P80" s="2" t="str">
        <f t="shared" si="11"/>
        <v>0</v>
      </c>
      <c r="Q80" s="2" t="str">
        <f t="shared" si="12"/>
        <v>0</v>
      </c>
      <c r="R80" s="2" t="str">
        <f t="shared" si="13"/>
        <v>0</v>
      </c>
      <c r="S80" s="2" t="str">
        <f t="shared" si="14"/>
        <v>0</v>
      </c>
      <c r="T80" s="2" t="str">
        <f t="shared" si="15"/>
        <v>0</v>
      </c>
    </row>
    <row r="81" spans="5:20" x14ac:dyDescent="0.25">
      <c r="E81" s="2" t="str">
        <f t="shared" si="0"/>
        <v>0</v>
      </c>
      <c r="F81" s="2" t="str">
        <f t="shared" si="1"/>
        <v>0</v>
      </c>
      <c r="G81" s="2" t="str">
        <f t="shared" si="2"/>
        <v>0</v>
      </c>
      <c r="H81" s="2" t="str">
        <f t="shared" si="3"/>
        <v>0</v>
      </c>
      <c r="I81" s="2" t="str">
        <f t="shared" si="4"/>
        <v>0</v>
      </c>
      <c r="J81" s="2" t="str">
        <f t="shared" si="5"/>
        <v>0</v>
      </c>
      <c r="K81" s="2" t="str">
        <f t="shared" si="6"/>
        <v>0</v>
      </c>
      <c r="L81" s="2" t="str">
        <f t="shared" si="7"/>
        <v>0</v>
      </c>
      <c r="M81" s="2" t="str">
        <f t="shared" si="8"/>
        <v>0</v>
      </c>
      <c r="N81" s="2" t="str">
        <f t="shared" si="9"/>
        <v>0</v>
      </c>
      <c r="O81" s="2" t="str">
        <f t="shared" si="10"/>
        <v>0</v>
      </c>
      <c r="P81" s="2" t="str">
        <f t="shared" si="11"/>
        <v>0</v>
      </c>
      <c r="Q81" s="2" t="str">
        <f t="shared" si="12"/>
        <v>0</v>
      </c>
      <c r="R81" s="2" t="str">
        <f t="shared" si="13"/>
        <v>0</v>
      </c>
      <c r="S81" s="2" t="str">
        <f t="shared" si="14"/>
        <v>0</v>
      </c>
      <c r="T81" s="2" t="str">
        <f t="shared" si="15"/>
        <v>0</v>
      </c>
    </row>
    <row r="82" spans="5:20" x14ac:dyDescent="0.25">
      <c r="E82" s="2" t="str">
        <f t="shared" si="0"/>
        <v>0</v>
      </c>
      <c r="F82" s="2" t="str">
        <f t="shared" si="1"/>
        <v>0</v>
      </c>
      <c r="G82" s="2" t="str">
        <f t="shared" si="2"/>
        <v>0</v>
      </c>
      <c r="H82" s="2" t="str">
        <f t="shared" si="3"/>
        <v>0</v>
      </c>
      <c r="I82" s="2" t="str">
        <f t="shared" si="4"/>
        <v>0</v>
      </c>
      <c r="J82" s="2" t="str">
        <f t="shared" si="5"/>
        <v>0</v>
      </c>
      <c r="K82" s="2" t="str">
        <f t="shared" si="6"/>
        <v>0</v>
      </c>
      <c r="L82" s="2" t="str">
        <f t="shared" si="7"/>
        <v>0</v>
      </c>
      <c r="M82" s="2" t="str">
        <f t="shared" si="8"/>
        <v>0</v>
      </c>
      <c r="N82" s="2" t="str">
        <f t="shared" si="9"/>
        <v>0</v>
      </c>
      <c r="O82" s="2" t="str">
        <f t="shared" si="10"/>
        <v>0</v>
      </c>
      <c r="P82" s="2" t="str">
        <f t="shared" si="11"/>
        <v>0</v>
      </c>
      <c r="Q82" s="2" t="str">
        <f t="shared" si="12"/>
        <v>0</v>
      </c>
      <c r="R82" s="2" t="str">
        <f t="shared" si="13"/>
        <v>0</v>
      </c>
      <c r="S82" s="2" t="str">
        <f t="shared" si="14"/>
        <v>0</v>
      </c>
      <c r="T82" s="2" t="str">
        <f t="shared" si="15"/>
        <v>0</v>
      </c>
    </row>
    <row r="83" spans="5:20" x14ac:dyDescent="0.25">
      <c r="E83" s="2" t="str">
        <f t="shared" si="0"/>
        <v>0</v>
      </c>
      <c r="F83" s="2" t="str">
        <f t="shared" si="1"/>
        <v>0</v>
      </c>
      <c r="G83" s="2" t="str">
        <f t="shared" si="2"/>
        <v>0</v>
      </c>
      <c r="H83" s="2" t="str">
        <f t="shared" si="3"/>
        <v>0</v>
      </c>
      <c r="I83" s="2" t="str">
        <f t="shared" si="4"/>
        <v>0</v>
      </c>
      <c r="J83" s="2" t="str">
        <f t="shared" si="5"/>
        <v>0</v>
      </c>
      <c r="K83" s="2" t="str">
        <f t="shared" si="6"/>
        <v>0</v>
      </c>
      <c r="L83" s="2" t="str">
        <f t="shared" si="7"/>
        <v>0</v>
      </c>
      <c r="M83" s="2" t="str">
        <f t="shared" si="8"/>
        <v>0</v>
      </c>
      <c r="N83" s="2" t="str">
        <f t="shared" si="9"/>
        <v>0</v>
      </c>
      <c r="O83" s="2" t="str">
        <f t="shared" si="10"/>
        <v>0</v>
      </c>
      <c r="P83" s="2" t="str">
        <f t="shared" si="11"/>
        <v>0</v>
      </c>
      <c r="Q83" s="2" t="str">
        <f t="shared" si="12"/>
        <v>0</v>
      </c>
      <c r="R83" s="2" t="str">
        <f t="shared" si="13"/>
        <v>0</v>
      </c>
      <c r="S83" s="2" t="str">
        <f t="shared" si="14"/>
        <v>0</v>
      </c>
      <c r="T83" s="2" t="str">
        <f t="shared" si="15"/>
        <v>0</v>
      </c>
    </row>
    <row r="84" spans="5:20" x14ac:dyDescent="0.25">
      <c r="E84" s="2" t="str">
        <f t="shared" si="0"/>
        <v>0</v>
      </c>
      <c r="F84" s="2" t="str">
        <f t="shared" si="1"/>
        <v>0</v>
      </c>
      <c r="G84" s="2" t="str">
        <f t="shared" si="2"/>
        <v>0</v>
      </c>
      <c r="H84" s="2" t="str">
        <f t="shared" si="3"/>
        <v>0</v>
      </c>
      <c r="I84" s="2" t="str">
        <f t="shared" si="4"/>
        <v>0</v>
      </c>
      <c r="J84" s="2" t="str">
        <f t="shared" si="5"/>
        <v>0</v>
      </c>
      <c r="K84" s="2" t="str">
        <f t="shared" si="6"/>
        <v>0</v>
      </c>
      <c r="L84" s="2" t="str">
        <f t="shared" si="7"/>
        <v>0</v>
      </c>
      <c r="M84" s="2" t="str">
        <f t="shared" si="8"/>
        <v>0</v>
      </c>
      <c r="N84" s="2" t="str">
        <f t="shared" si="9"/>
        <v>0</v>
      </c>
      <c r="O84" s="2" t="str">
        <f t="shared" si="10"/>
        <v>0</v>
      </c>
      <c r="P84" s="2" t="str">
        <f t="shared" si="11"/>
        <v>0</v>
      </c>
      <c r="Q84" s="2" t="str">
        <f t="shared" si="12"/>
        <v>0</v>
      </c>
      <c r="R84" s="2" t="str">
        <f t="shared" si="13"/>
        <v>0</v>
      </c>
      <c r="S84" s="2" t="str">
        <f t="shared" si="14"/>
        <v>0</v>
      </c>
      <c r="T84" s="2" t="str">
        <f t="shared" si="15"/>
        <v>0</v>
      </c>
    </row>
    <row r="85" spans="5:20" x14ac:dyDescent="0.25">
      <c r="E85" s="2" t="str">
        <f t="shared" si="0"/>
        <v>0</v>
      </c>
      <c r="F85" s="2" t="str">
        <f t="shared" si="1"/>
        <v>0</v>
      </c>
      <c r="G85" s="2" t="str">
        <f t="shared" si="2"/>
        <v>0</v>
      </c>
      <c r="H85" s="2" t="str">
        <f t="shared" si="3"/>
        <v>0</v>
      </c>
      <c r="I85" s="2" t="str">
        <f t="shared" si="4"/>
        <v>0</v>
      </c>
      <c r="J85" s="2" t="str">
        <f t="shared" si="5"/>
        <v>0</v>
      </c>
      <c r="K85" s="2" t="str">
        <f t="shared" si="6"/>
        <v>0</v>
      </c>
      <c r="L85" s="2" t="str">
        <f t="shared" si="7"/>
        <v>0</v>
      </c>
      <c r="M85" s="2" t="str">
        <f t="shared" si="8"/>
        <v>0</v>
      </c>
      <c r="N85" s="2" t="str">
        <f t="shared" si="9"/>
        <v>0</v>
      </c>
      <c r="O85" s="2" t="str">
        <f t="shared" si="10"/>
        <v>0</v>
      </c>
      <c r="P85" s="2" t="str">
        <f t="shared" si="11"/>
        <v>0</v>
      </c>
      <c r="Q85" s="2" t="str">
        <f t="shared" si="12"/>
        <v>0</v>
      </c>
      <c r="R85" s="2" t="str">
        <f t="shared" si="13"/>
        <v>0</v>
      </c>
      <c r="S85" s="2" t="str">
        <f t="shared" si="14"/>
        <v>0</v>
      </c>
      <c r="T85" s="2" t="str">
        <f t="shared" si="15"/>
        <v>0</v>
      </c>
    </row>
    <row r="86" spans="5:20" x14ac:dyDescent="0.25">
      <c r="E86" s="2" t="str">
        <f t="shared" si="0"/>
        <v>0</v>
      </c>
      <c r="F86" s="2" t="str">
        <f t="shared" si="1"/>
        <v>0</v>
      </c>
      <c r="G86" s="2" t="str">
        <f t="shared" si="2"/>
        <v>0</v>
      </c>
      <c r="H86" s="2" t="str">
        <f t="shared" si="3"/>
        <v>0</v>
      </c>
      <c r="I86" s="2" t="str">
        <f t="shared" si="4"/>
        <v>0</v>
      </c>
      <c r="J86" s="2" t="str">
        <f t="shared" si="5"/>
        <v>0</v>
      </c>
      <c r="K86" s="2" t="str">
        <f t="shared" si="6"/>
        <v>0</v>
      </c>
      <c r="L86" s="2" t="str">
        <f t="shared" si="7"/>
        <v>0</v>
      </c>
      <c r="M86" s="2" t="str">
        <f t="shared" si="8"/>
        <v>0</v>
      </c>
      <c r="N86" s="2" t="str">
        <f t="shared" si="9"/>
        <v>0</v>
      </c>
      <c r="O86" s="2" t="str">
        <f t="shared" si="10"/>
        <v>0</v>
      </c>
      <c r="P86" s="2" t="str">
        <f t="shared" si="11"/>
        <v>0</v>
      </c>
      <c r="Q86" s="2" t="str">
        <f t="shared" si="12"/>
        <v>0</v>
      </c>
      <c r="R86" s="2" t="str">
        <f t="shared" si="13"/>
        <v>0</v>
      </c>
      <c r="S86" s="2" t="str">
        <f t="shared" si="14"/>
        <v>0</v>
      </c>
      <c r="T86" s="2" t="str">
        <f t="shared" si="15"/>
        <v>0</v>
      </c>
    </row>
    <row r="87" spans="5:20" x14ac:dyDescent="0.25">
      <c r="E87" s="2" t="str">
        <f t="shared" si="0"/>
        <v>0</v>
      </c>
      <c r="F87" s="2" t="str">
        <f t="shared" si="1"/>
        <v>0</v>
      </c>
      <c r="G87" s="2" t="str">
        <f t="shared" si="2"/>
        <v>0</v>
      </c>
      <c r="H87" s="2" t="str">
        <f t="shared" si="3"/>
        <v>0</v>
      </c>
      <c r="I87" s="2" t="str">
        <f t="shared" si="4"/>
        <v>0</v>
      </c>
      <c r="J87" s="2" t="str">
        <f t="shared" si="5"/>
        <v>0</v>
      </c>
      <c r="K87" s="2" t="str">
        <f t="shared" si="6"/>
        <v>0</v>
      </c>
      <c r="L87" s="2" t="str">
        <f t="shared" si="7"/>
        <v>0</v>
      </c>
      <c r="M87" s="2" t="str">
        <f t="shared" si="8"/>
        <v>0</v>
      </c>
      <c r="N87" s="2" t="str">
        <f t="shared" si="9"/>
        <v>0</v>
      </c>
      <c r="O87" s="2" t="str">
        <f t="shared" si="10"/>
        <v>0</v>
      </c>
      <c r="P87" s="2" t="str">
        <f t="shared" si="11"/>
        <v>0</v>
      </c>
      <c r="Q87" s="2" t="str">
        <f t="shared" si="12"/>
        <v>0</v>
      </c>
      <c r="R87" s="2" t="str">
        <f t="shared" si="13"/>
        <v>0</v>
      </c>
      <c r="S87" s="2" t="str">
        <f t="shared" si="14"/>
        <v>0</v>
      </c>
      <c r="T87" s="2" t="str">
        <f t="shared" si="15"/>
        <v>0</v>
      </c>
    </row>
    <row r="88" spans="5:20" x14ac:dyDescent="0.25">
      <c r="E88" s="2" t="str">
        <f t="shared" si="0"/>
        <v>0</v>
      </c>
      <c r="F88" s="2" t="str">
        <f t="shared" si="1"/>
        <v>0</v>
      </c>
      <c r="G88" s="2" t="str">
        <f t="shared" si="2"/>
        <v>0</v>
      </c>
      <c r="H88" s="2" t="str">
        <f t="shared" si="3"/>
        <v>0</v>
      </c>
      <c r="I88" s="2" t="str">
        <f t="shared" si="4"/>
        <v>0</v>
      </c>
      <c r="J88" s="2" t="str">
        <f t="shared" si="5"/>
        <v>0</v>
      </c>
      <c r="K88" s="2" t="str">
        <f t="shared" si="6"/>
        <v>0</v>
      </c>
      <c r="L88" s="2" t="str">
        <f t="shared" si="7"/>
        <v>0</v>
      </c>
      <c r="M88" s="2" t="str">
        <f t="shared" si="8"/>
        <v>0</v>
      </c>
      <c r="N88" s="2" t="str">
        <f t="shared" si="9"/>
        <v>0</v>
      </c>
      <c r="O88" s="2" t="str">
        <f t="shared" si="10"/>
        <v>0</v>
      </c>
      <c r="P88" s="2" t="str">
        <f t="shared" si="11"/>
        <v>0</v>
      </c>
      <c r="Q88" s="2" t="str">
        <f t="shared" si="12"/>
        <v>0</v>
      </c>
      <c r="R88" s="2" t="str">
        <f t="shared" si="13"/>
        <v>0</v>
      </c>
      <c r="S88" s="2" t="str">
        <f t="shared" si="14"/>
        <v>0</v>
      </c>
      <c r="T88" s="2" t="str">
        <f t="shared" si="15"/>
        <v>0</v>
      </c>
    </row>
    <row r="89" spans="5:20" x14ac:dyDescent="0.25">
      <c r="E89" s="2" t="str">
        <f t="shared" si="0"/>
        <v>0</v>
      </c>
      <c r="F89" s="2" t="str">
        <f t="shared" si="1"/>
        <v>0</v>
      </c>
      <c r="G89" s="2" t="str">
        <f t="shared" si="2"/>
        <v>0</v>
      </c>
      <c r="H89" s="2" t="str">
        <f t="shared" si="3"/>
        <v>0</v>
      </c>
      <c r="I89" s="2" t="str">
        <f t="shared" si="4"/>
        <v>0</v>
      </c>
      <c r="J89" s="2" t="str">
        <f t="shared" si="5"/>
        <v>0</v>
      </c>
      <c r="K89" s="2" t="str">
        <f t="shared" si="6"/>
        <v>0</v>
      </c>
      <c r="L89" s="2" t="str">
        <f t="shared" si="7"/>
        <v>0</v>
      </c>
      <c r="M89" s="2" t="str">
        <f t="shared" si="8"/>
        <v>0</v>
      </c>
      <c r="N89" s="2" t="str">
        <f t="shared" si="9"/>
        <v>0</v>
      </c>
      <c r="O89" s="2" t="str">
        <f t="shared" si="10"/>
        <v>0</v>
      </c>
      <c r="P89" s="2" t="str">
        <f t="shared" si="11"/>
        <v>0</v>
      </c>
      <c r="Q89" s="2" t="str">
        <f t="shared" si="12"/>
        <v>0</v>
      </c>
      <c r="R89" s="2" t="str">
        <f t="shared" si="13"/>
        <v>0</v>
      </c>
      <c r="S89" s="2" t="str">
        <f t="shared" si="14"/>
        <v>0</v>
      </c>
      <c r="T89" s="2" t="str">
        <f t="shared" si="15"/>
        <v>0</v>
      </c>
    </row>
    <row r="90" spans="5:20" x14ac:dyDescent="0.25">
      <c r="E90" s="2" t="str">
        <f t="shared" si="0"/>
        <v>0</v>
      </c>
      <c r="F90" s="2" t="str">
        <f t="shared" si="1"/>
        <v>0</v>
      </c>
      <c r="G90" s="2" t="str">
        <f t="shared" si="2"/>
        <v>0</v>
      </c>
      <c r="H90" s="2" t="str">
        <f t="shared" si="3"/>
        <v>0</v>
      </c>
      <c r="I90" s="2" t="str">
        <f t="shared" si="4"/>
        <v>0</v>
      </c>
      <c r="J90" s="2" t="str">
        <f t="shared" si="5"/>
        <v>0</v>
      </c>
      <c r="K90" s="2" t="str">
        <f t="shared" si="6"/>
        <v>0</v>
      </c>
      <c r="L90" s="2" t="str">
        <f t="shared" si="7"/>
        <v>0</v>
      </c>
      <c r="M90" s="2" t="str">
        <f t="shared" si="8"/>
        <v>0</v>
      </c>
      <c r="N90" s="2" t="str">
        <f t="shared" si="9"/>
        <v>0</v>
      </c>
      <c r="O90" s="2" t="str">
        <f t="shared" si="10"/>
        <v>0</v>
      </c>
      <c r="P90" s="2" t="str">
        <f t="shared" si="11"/>
        <v>0</v>
      </c>
      <c r="Q90" s="2" t="str">
        <f t="shared" si="12"/>
        <v>0</v>
      </c>
      <c r="R90" s="2" t="str">
        <f t="shared" si="13"/>
        <v>0</v>
      </c>
      <c r="S90" s="2" t="str">
        <f t="shared" si="14"/>
        <v>0</v>
      </c>
      <c r="T90" s="2" t="str">
        <f t="shared" si="15"/>
        <v>0</v>
      </c>
    </row>
    <row r="91" spans="5:20" x14ac:dyDescent="0.25">
      <c r="E91" s="2" t="str">
        <f t="shared" si="0"/>
        <v>0</v>
      </c>
      <c r="F91" s="2" t="str">
        <f t="shared" si="1"/>
        <v>0</v>
      </c>
      <c r="G91" s="2" t="str">
        <f t="shared" si="2"/>
        <v>0</v>
      </c>
      <c r="H91" s="2" t="str">
        <f t="shared" si="3"/>
        <v>0</v>
      </c>
      <c r="I91" s="2" t="str">
        <f t="shared" si="4"/>
        <v>0</v>
      </c>
      <c r="J91" s="2" t="str">
        <f t="shared" si="5"/>
        <v>0</v>
      </c>
      <c r="K91" s="2" t="str">
        <f t="shared" si="6"/>
        <v>0</v>
      </c>
      <c r="L91" s="2" t="str">
        <f t="shared" si="7"/>
        <v>0</v>
      </c>
      <c r="M91" s="2" t="str">
        <f t="shared" si="8"/>
        <v>0</v>
      </c>
      <c r="N91" s="2" t="str">
        <f t="shared" si="9"/>
        <v>0</v>
      </c>
      <c r="O91" s="2" t="str">
        <f t="shared" si="10"/>
        <v>0</v>
      </c>
      <c r="P91" s="2" t="str">
        <f t="shared" si="11"/>
        <v>0</v>
      </c>
      <c r="Q91" s="2" t="str">
        <f t="shared" si="12"/>
        <v>0</v>
      </c>
      <c r="R91" s="2" t="str">
        <f t="shared" si="13"/>
        <v>0</v>
      </c>
      <c r="S91" s="2" t="str">
        <f t="shared" si="14"/>
        <v>0</v>
      </c>
      <c r="T91" s="2" t="str">
        <f t="shared" si="15"/>
        <v>0</v>
      </c>
    </row>
    <row r="92" spans="5:20" x14ac:dyDescent="0.25">
      <c r="E92" s="2" t="str">
        <f t="shared" si="0"/>
        <v>0</v>
      </c>
      <c r="F92" s="2" t="str">
        <f t="shared" si="1"/>
        <v>0</v>
      </c>
      <c r="G92" s="2" t="str">
        <f t="shared" si="2"/>
        <v>0</v>
      </c>
      <c r="H92" s="2" t="str">
        <f t="shared" si="3"/>
        <v>0</v>
      </c>
      <c r="I92" s="2" t="str">
        <f t="shared" si="4"/>
        <v>0</v>
      </c>
      <c r="J92" s="2" t="str">
        <f t="shared" si="5"/>
        <v>0</v>
      </c>
      <c r="K92" s="2" t="str">
        <f t="shared" si="6"/>
        <v>0</v>
      </c>
      <c r="L92" s="2" t="str">
        <f t="shared" si="7"/>
        <v>0</v>
      </c>
      <c r="M92" s="2" t="str">
        <f t="shared" si="8"/>
        <v>0</v>
      </c>
      <c r="N92" s="2" t="str">
        <f t="shared" si="9"/>
        <v>0</v>
      </c>
      <c r="O92" s="2" t="str">
        <f t="shared" si="10"/>
        <v>0</v>
      </c>
      <c r="P92" s="2" t="str">
        <f t="shared" si="11"/>
        <v>0</v>
      </c>
      <c r="Q92" s="2" t="str">
        <f t="shared" si="12"/>
        <v>0</v>
      </c>
      <c r="R92" s="2" t="str">
        <f t="shared" si="13"/>
        <v>0</v>
      </c>
      <c r="S92" s="2" t="str">
        <f t="shared" si="14"/>
        <v>0</v>
      </c>
      <c r="T92" s="2" t="str">
        <f t="shared" si="15"/>
        <v>0</v>
      </c>
    </row>
    <row r="93" spans="5:20" x14ac:dyDescent="0.25">
      <c r="E93" s="2" t="str">
        <f t="shared" si="0"/>
        <v>0</v>
      </c>
      <c r="F93" s="2" t="str">
        <f t="shared" si="1"/>
        <v>0</v>
      </c>
      <c r="G93" s="2" t="str">
        <f t="shared" si="2"/>
        <v>0</v>
      </c>
      <c r="H93" s="2" t="str">
        <f t="shared" si="3"/>
        <v>0</v>
      </c>
      <c r="I93" s="2" t="str">
        <f t="shared" si="4"/>
        <v>0</v>
      </c>
      <c r="J93" s="2" t="str">
        <f t="shared" si="5"/>
        <v>0</v>
      </c>
      <c r="K93" s="2" t="str">
        <f t="shared" si="6"/>
        <v>0</v>
      </c>
      <c r="L93" s="2" t="str">
        <f t="shared" si="7"/>
        <v>0</v>
      </c>
      <c r="M93" s="2" t="str">
        <f t="shared" si="8"/>
        <v>0</v>
      </c>
      <c r="N93" s="2" t="str">
        <f t="shared" si="9"/>
        <v>0</v>
      </c>
      <c r="O93" s="2" t="str">
        <f t="shared" si="10"/>
        <v>0</v>
      </c>
      <c r="P93" s="2" t="str">
        <f t="shared" si="11"/>
        <v>0</v>
      </c>
      <c r="Q93" s="2" t="str">
        <f t="shared" si="12"/>
        <v>0</v>
      </c>
      <c r="R93" s="2" t="str">
        <f t="shared" si="13"/>
        <v>0</v>
      </c>
      <c r="S93" s="2" t="str">
        <f t="shared" si="14"/>
        <v>0</v>
      </c>
      <c r="T93" s="2" t="str">
        <f t="shared" si="15"/>
        <v>0</v>
      </c>
    </row>
    <row r="94" spans="5:20" x14ac:dyDescent="0.25">
      <c r="E94" s="2" t="str">
        <f t="shared" si="0"/>
        <v>0</v>
      </c>
      <c r="F94" s="2" t="str">
        <f t="shared" si="1"/>
        <v>0</v>
      </c>
      <c r="G94" s="2" t="str">
        <f t="shared" si="2"/>
        <v>0</v>
      </c>
      <c r="H94" s="2" t="str">
        <f t="shared" si="3"/>
        <v>0</v>
      </c>
      <c r="I94" s="2" t="str">
        <f t="shared" si="4"/>
        <v>0</v>
      </c>
      <c r="J94" s="2" t="str">
        <f t="shared" si="5"/>
        <v>0</v>
      </c>
      <c r="K94" s="2" t="str">
        <f t="shared" si="6"/>
        <v>0</v>
      </c>
      <c r="L94" s="2" t="str">
        <f t="shared" si="7"/>
        <v>0</v>
      </c>
      <c r="M94" s="2" t="str">
        <f t="shared" si="8"/>
        <v>0</v>
      </c>
      <c r="N94" s="2" t="str">
        <f t="shared" si="9"/>
        <v>0</v>
      </c>
      <c r="O94" s="2" t="str">
        <f t="shared" si="10"/>
        <v>0</v>
      </c>
      <c r="P94" s="2" t="str">
        <f t="shared" si="11"/>
        <v>0</v>
      </c>
      <c r="Q94" s="2" t="str">
        <f t="shared" si="12"/>
        <v>0</v>
      </c>
      <c r="R94" s="2" t="str">
        <f t="shared" si="13"/>
        <v>0</v>
      </c>
      <c r="S94" s="2" t="str">
        <f t="shared" si="14"/>
        <v>0</v>
      </c>
      <c r="T94" s="2" t="str">
        <f t="shared" si="15"/>
        <v>0</v>
      </c>
    </row>
    <row r="95" spans="5:20" x14ac:dyDescent="0.25">
      <c r="E95" s="2" t="str">
        <f t="shared" si="0"/>
        <v>0</v>
      </c>
      <c r="F95" s="2" t="str">
        <f t="shared" si="1"/>
        <v>0</v>
      </c>
      <c r="G95" s="2" t="str">
        <f t="shared" si="2"/>
        <v>0</v>
      </c>
      <c r="H95" s="2" t="str">
        <f t="shared" si="3"/>
        <v>0</v>
      </c>
      <c r="I95" s="2" t="str">
        <f t="shared" si="4"/>
        <v>0</v>
      </c>
      <c r="J95" s="2" t="str">
        <f t="shared" si="5"/>
        <v>0</v>
      </c>
      <c r="K95" s="2" t="str">
        <f t="shared" si="6"/>
        <v>0</v>
      </c>
      <c r="L95" s="2" t="str">
        <f t="shared" si="7"/>
        <v>0</v>
      </c>
      <c r="M95" s="2" t="str">
        <f t="shared" si="8"/>
        <v>0</v>
      </c>
      <c r="N95" s="2" t="str">
        <f t="shared" si="9"/>
        <v>0</v>
      </c>
      <c r="O95" s="2" t="str">
        <f t="shared" si="10"/>
        <v>0</v>
      </c>
      <c r="P95" s="2" t="str">
        <f t="shared" si="11"/>
        <v>0</v>
      </c>
      <c r="Q95" s="2" t="str">
        <f t="shared" si="12"/>
        <v>0</v>
      </c>
      <c r="R95" s="2" t="str">
        <f t="shared" si="13"/>
        <v>0</v>
      </c>
      <c r="S95" s="2" t="str">
        <f t="shared" si="14"/>
        <v>0</v>
      </c>
      <c r="T95" s="2" t="str">
        <f t="shared" si="15"/>
        <v>0</v>
      </c>
    </row>
    <row r="96" spans="5:20" x14ac:dyDescent="0.25">
      <c r="E96" s="2" t="str">
        <f t="shared" si="0"/>
        <v>0</v>
      </c>
      <c r="F96" s="2" t="str">
        <f t="shared" si="1"/>
        <v>0</v>
      </c>
      <c r="G96" s="2" t="str">
        <f t="shared" si="2"/>
        <v>0</v>
      </c>
      <c r="H96" s="2" t="str">
        <f t="shared" si="3"/>
        <v>0</v>
      </c>
      <c r="I96" s="2" t="str">
        <f t="shared" si="4"/>
        <v>0</v>
      </c>
      <c r="J96" s="2" t="str">
        <f t="shared" si="5"/>
        <v>0</v>
      </c>
      <c r="K96" s="2" t="str">
        <f t="shared" si="6"/>
        <v>0</v>
      </c>
      <c r="L96" s="2" t="str">
        <f t="shared" si="7"/>
        <v>0</v>
      </c>
      <c r="M96" s="2" t="str">
        <f t="shared" si="8"/>
        <v>0</v>
      </c>
      <c r="N96" s="2" t="str">
        <f t="shared" si="9"/>
        <v>0</v>
      </c>
      <c r="O96" s="2" t="str">
        <f t="shared" si="10"/>
        <v>0</v>
      </c>
      <c r="P96" s="2" t="str">
        <f t="shared" si="11"/>
        <v>0</v>
      </c>
      <c r="Q96" s="2" t="str">
        <f t="shared" si="12"/>
        <v>0</v>
      </c>
      <c r="R96" s="2" t="str">
        <f t="shared" si="13"/>
        <v>0</v>
      </c>
      <c r="S96" s="2" t="str">
        <f t="shared" si="14"/>
        <v>0</v>
      </c>
      <c r="T96" s="2" t="str">
        <f t="shared" si="15"/>
        <v>0</v>
      </c>
    </row>
    <row r="97" spans="5:20" x14ac:dyDescent="0.25">
      <c r="E97" s="2" t="str">
        <f t="shared" si="0"/>
        <v>0</v>
      </c>
      <c r="F97" s="2" t="str">
        <f t="shared" si="1"/>
        <v>0</v>
      </c>
      <c r="G97" s="2" t="str">
        <f t="shared" si="2"/>
        <v>0</v>
      </c>
      <c r="H97" s="2" t="str">
        <f t="shared" si="3"/>
        <v>0</v>
      </c>
      <c r="I97" s="2" t="str">
        <f t="shared" si="4"/>
        <v>0</v>
      </c>
      <c r="J97" s="2" t="str">
        <f t="shared" si="5"/>
        <v>0</v>
      </c>
      <c r="K97" s="2" t="str">
        <f t="shared" si="6"/>
        <v>0</v>
      </c>
      <c r="L97" s="2" t="str">
        <f t="shared" si="7"/>
        <v>0</v>
      </c>
      <c r="M97" s="2" t="str">
        <f t="shared" si="8"/>
        <v>0</v>
      </c>
      <c r="N97" s="2" t="str">
        <f t="shared" si="9"/>
        <v>0</v>
      </c>
      <c r="O97" s="2" t="str">
        <f t="shared" si="10"/>
        <v>0</v>
      </c>
      <c r="P97" s="2" t="str">
        <f t="shared" si="11"/>
        <v>0</v>
      </c>
      <c r="Q97" s="2" t="str">
        <f t="shared" si="12"/>
        <v>0</v>
      </c>
      <c r="R97" s="2" t="str">
        <f t="shared" si="13"/>
        <v>0</v>
      </c>
      <c r="S97" s="2" t="str">
        <f t="shared" si="14"/>
        <v>0</v>
      </c>
      <c r="T97" s="2" t="str">
        <f t="shared" si="15"/>
        <v>0</v>
      </c>
    </row>
    <row r="98" spans="5:20" x14ac:dyDescent="0.25">
      <c r="E98" s="2" t="str">
        <f t="shared" si="0"/>
        <v>0</v>
      </c>
      <c r="F98" s="2" t="str">
        <f t="shared" si="1"/>
        <v>0</v>
      </c>
      <c r="G98" s="2" t="str">
        <f t="shared" si="2"/>
        <v>0</v>
      </c>
      <c r="H98" s="2" t="str">
        <f t="shared" si="3"/>
        <v>0</v>
      </c>
      <c r="I98" s="2" t="str">
        <f t="shared" si="4"/>
        <v>0</v>
      </c>
      <c r="J98" s="2" t="str">
        <f t="shared" si="5"/>
        <v>0</v>
      </c>
      <c r="K98" s="2" t="str">
        <f t="shared" si="6"/>
        <v>0</v>
      </c>
      <c r="L98" s="2" t="str">
        <f t="shared" si="7"/>
        <v>0</v>
      </c>
      <c r="M98" s="2" t="str">
        <f t="shared" si="8"/>
        <v>0</v>
      </c>
      <c r="N98" s="2" t="str">
        <f t="shared" si="9"/>
        <v>0</v>
      </c>
      <c r="O98" s="2" t="str">
        <f t="shared" si="10"/>
        <v>0</v>
      </c>
      <c r="P98" s="2" t="str">
        <f t="shared" si="11"/>
        <v>0</v>
      </c>
      <c r="Q98" s="2" t="str">
        <f t="shared" si="12"/>
        <v>0</v>
      </c>
      <c r="R98" s="2" t="str">
        <f t="shared" si="13"/>
        <v>0</v>
      </c>
      <c r="S98" s="2" t="str">
        <f t="shared" si="14"/>
        <v>0</v>
      </c>
      <c r="T98" s="2" t="str">
        <f t="shared" si="15"/>
        <v>0</v>
      </c>
    </row>
    <row r="99" spans="5:20" x14ac:dyDescent="0.25">
      <c r="E99" s="2" t="str">
        <f t="shared" si="0"/>
        <v>0</v>
      </c>
      <c r="F99" s="2" t="str">
        <f t="shared" si="1"/>
        <v>0</v>
      </c>
      <c r="G99" s="2" t="str">
        <f t="shared" si="2"/>
        <v>0</v>
      </c>
      <c r="H99" s="2" t="str">
        <f t="shared" si="3"/>
        <v>0</v>
      </c>
      <c r="I99" s="2" t="str">
        <f t="shared" si="4"/>
        <v>0</v>
      </c>
      <c r="J99" s="2" t="str">
        <f t="shared" si="5"/>
        <v>0</v>
      </c>
      <c r="K99" s="2" t="str">
        <f t="shared" si="6"/>
        <v>0</v>
      </c>
      <c r="L99" s="2" t="str">
        <f t="shared" si="7"/>
        <v>0</v>
      </c>
      <c r="M99" s="2" t="str">
        <f t="shared" si="8"/>
        <v>0</v>
      </c>
      <c r="N99" s="2" t="str">
        <f t="shared" si="9"/>
        <v>0</v>
      </c>
      <c r="O99" s="2" t="str">
        <f t="shared" si="10"/>
        <v>0</v>
      </c>
      <c r="P99" s="2" t="str">
        <f t="shared" si="11"/>
        <v>0</v>
      </c>
      <c r="Q99" s="2" t="str">
        <f t="shared" si="12"/>
        <v>0</v>
      </c>
      <c r="R99" s="2" t="str">
        <f t="shared" si="13"/>
        <v>0</v>
      </c>
      <c r="S99" s="2" t="str">
        <f t="shared" si="14"/>
        <v>0</v>
      </c>
      <c r="T99" s="2" t="str">
        <f t="shared" si="15"/>
        <v>0</v>
      </c>
    </row>
    <row r="100" spans="5:20" x14ac:dyDescent="0.25">
      <c r="E100" s="2" t="str">
        <f t="shared" si="0"/>
        <v>0</v>
      </c>
      <c r="F100" s="2" t="str">
        <f t="shared" si="1"/>
        <v>0</v>
      </c>
      <c r="G100" s="2" t="str">
        <f t="shared" si="2"/>
        <v>0</v>
      </c>
      <c r="H100" s="2" t="str">
        <f t="shared" si="3"/>
        <v>0</v>
      </c>
      <c r="I100" s="2" t="str">
        <f t="shared" si="4"/>
        <v>0</v>
      </c>
      <c r="J100" s="2" t="str">
        <f t="shared" si="5"/>
        <v>0</v>
      </c>
      <c r="K100" s="2" t="str">
        <f t="shared" si="6"/>
        <v>0</v>
      </c>
      <c r="L100" s="2" t="str">
        <f t="shared" si="7"/>
        <v>0</v>
      </c>
      <c r="M100" s="2" t="str">
        <f t="shared" si="8"/>
        <v>0</v>
      </c>
      <c r="N100" s="2" t="str">
        <f t="shared" si="9"/>
        <v>0</v>
      </c>
      <c r="O100" s="2" t="str">
        <f t="shared" si="10"/>
        <v>0</v>
      </c>
      <c r="P100" s="2" t="str">
        <f t="shared" si="11"/>
        <v>0</v>
      </c>
      <c r="Q100" s="2" t="str">
        <f t="shared" si="12"/>
        <v>0</v>
      </c>
      <c r="R100" s="2" t="str">
        <f t="shared" si="13"/>
        <v>0</v>
      </c>
      <c r="S100" s="2" t="str">
        <f t="shared" si="14"/>
        <v>0</v>
      </c>
      <c r="T100" s="2" t="str">
        <f t="shared" si="15"/>
        <v>0</v>
      </c>
    </row>
    <row r="101" spans="5:20" x14ac:dyDescent="0.25">
      <c r="E101" s="2" t="str">
        <f t="shared" si="0"/>
        <v>0</v>
      </c>
      <c r="F101" s="2" t="str">
        <f t="shared" si="1"/>
        <v>0</v>
      </c>
      <c r="G101" s="2" t="str">
        <f t="shared" si="2"/>
        <v>0</v>
      </c>
      <c r="H101" s="2" t="str">
        <f t="shared" si="3"/>
        <v>0</v>
      </c>
      <c r="I101" s="2" t="str">
        <f t="shared" si="4"/>
        <v>0</v>
      </c>
      <c r="J101" s="2" t="str">
        <f t="shared" si="5"/>
        <v>0</v>
      </c>
      <c r="K101" s="2" t="str">
        <f t="shared" si="6"/>
        <v>0</v>
      </c>
      <c r="L101" s="2" t="str">
        <f t="shared" si="7"/>
        <v>0</v>
      </c>
      <c r="M101" s="2" t="str">
        <f t="shared" si="8"/>
        <v>0</v>
      </c>
      <c r="N101" s="2" t="str">
        <f t="shared" si="9"/>
        <v>0</v>
      </c>
      <c r="O101" s="2" t="str">
        <f t="shared" si="10"/>
        <v>0</v>
      </c>
      <c r="P101" s="2" t="str">
        <f t="shared" si="11"/>
        <v>0</v>
      </c>
      <c r="Q101" s="2" t="str">
        <f t="shared" si="12"/>
        <v>0</v>
      </c>
      <c r="R101" s="2" t="str">
        <f t="shared" si="13"/>
        <v>0</v>
      </c>
      <c r="S101" s="2" t="str">
        <f t="shared" si="14"/>
        <v>0</v>
      </c>
      <c r="T101" s="2" t="str">
        <f t="shared" si="15"/>
        <v>0</v>
      </c>
    </row>
    <row r="102" spans="5:20" x14ac:dyDescent="0.25">
      <c r="E102" s="2" t="str">
        <f t="shared" si="0"/>
        <v>0</v>
      </c>
      <c r="F102" s="2" t="str">
        <f t="shared" si="1"/>
        <v>0</v>
      </c>
      <c r="G102" s="2" t="str">
        <f t="shared" si="2"/>
        <v>0</v>
      </c>
      <c r="H102" s="2" t="str">
        <f t="shared" si="3"/>
        <v>0</v>
      </c>
      <c r="I102" s="2" t="str">
        <f t="shared" si="4"/>
        <v>0</v>
      </c>
      <c r="J102" s="2" t="str">
        <f t="shared" si="5"/>
        <v>0</v>
      </c>
      <c r="K102" s="2" t="str">
        <f t="shared" si="6"/>
        <v>0</v>
      </c>
      <c r="L102" s="2" t="str">
        <f t="shared" si="7"/>
        <v>0</v>
      </c>
      <c r="M102" s="2" t="str">
        <f t="shared" si="8"/>
        <v>0</v>
      </c>
      <c r="N102" s="2" t="str">
        <f t="shared" si="9"/>
        <v>0</v>
      </c>
      <c r="O102" s="2" t="str">
        <f t="shared" si="10"/>
        <v>0</v>
      </c>
      <c r="P102" s="2" t="str">
        <f t="shared" si="11"/>
        <v>0</v>
      </c>
      <c r="Q102" s="2" t="str">
        <f t="shared" si="12"/>
        <v>0</v>
      </c>
      <c r="R102" s="2" t="str">
        <f t="shared" si="13"/>
        <v>0</v>
      </c>
      <c r="S102" s="2" t="str">
        <f t="shared" si="14"/>
        <v>0</v>
      </c>
      <c r="T102" s="2" t="str">
        <f t="shared" si="15"/>
        <v>0</v>
      </c>
    </row>
    <row r="103" spans="5:20" x14ac:dyDescent="0.25">
      <c r="E103" s="2" t="str">
        <f t="shared" si="0"/>
        <v>0</v>
      </c>
      <c r="F103" s="2" t="str">
        <f t="shared" si="1"/>
        <v>0</v>
      </c>
      <c r="G103" s="2" t="str">
        <f t="shared" si="2"/>
        <v>0</v>
      </c>
      <c r="H103" s="2" t="str">
        <f t="shared" si="3"/>
        <v>0</v>
      </c>
      <c r="I103" s="2" t="str">
        <f t="shared" si="4"/>
        <v>0</v>
      </c>
      <c r="J103" s="2" t="str">
        <f t="shared" si="5"/>
        <v>0</v>
      </c>
      <c r="K103" s="2" t="str">
        <f t="shared" si="6"/>
        <v>0</v>
      </c>
      <c r="L103" s="2" t="str">
        <f t="shared" si="7"/>
        <v>0</v>
      </c>
      <c r="M103" s="2" t="str">
        <f t="shared" si="8"/>
        <v>0</v>
      </c>
      <c r="N103" s="2" t="str">
        <f t="shared" si="9"/>
        <v>0</v>
      </c>
      <c r="O103" s="2" t="str">
        <f t="shared" si="10"/>
        <v>0</v>
      </c>
      <c r="P103" s="2" t="str">
        <f t="shared" si="11"/>
        <v>0</v>
      </c>
      <c r="Q103" s="2" t="str">
        <f t="shared" si="12"/>
        <v>0</v>
      </c>
      <c r="R103" s="2" t="str">
        <f t="shared" si="13"/>
        <v>0</v>
      </c>
      <c r="S103" s="2" t="str">
        <f t="shared" si="14"/>
        <v>0</v>
      </c>
      <c r="T103" s="2" t="str">
        <f t="shared" si="15"/>
        <v>0</v>
      </c>
    </row>
    <row r="104" spans="5:20" x14ac:dyDescent="0.25">
      <c r="E104" s="2" t="str">
        <f t="shared" ref="E104:E126" si="16">IF(E72="X",(D72-C72),"0")</f>
        <v>0</v>
      </c>
      <c r="F104" s="2" t="str">
        <f t="shared" ref="F104:F126" si="17">IF(F72="X",(D72-C72),"0")</f>
        <v>0</v>
      </c>
      <c r="G104" s="2" t="str">
        <f t="shared" ref="G104:G126" si="18">IF(G72="X",(D72-C72),"0")</f>
        <v>0</v>
      </c>
      <c r="H104" s="2" t="str">
        <f t="shared" ref="H104:H126" si="19">IF(H72="X",(D72-C72),"0")</f>
        <v>0</v>
      </c>
      <c r="I104" s="2" t="str">
        <f t="shared" ref="I104:I126" si="20">IF(I72="X",(D72-C72),"0")</f>
        <v>0</v>
      </c>
      <c r="J104" s="2" t="str">
        <f t="shared" ref="J104:J126" si="21">IF(J72="X",(D72-C72),"0")</f>
        <v>0</v>
      </c>
      <c r="K104" s="2" t="str">
        <f t="shared" ref="K104:K126" si="22">IF(K72="X",(D72-C72),"0")</f>
        <v>0</v>
      </c>
      <c r="L104" s="2" t="str">
        <f t="shared" ref="L104:L126" si="23">IF(L72="X",(D72-C72),"0")</f>
        <v>0</v>
      </c>
      <c r="M104" s="2" t="str">
        <f t="shared" ref="M104:M126" si="24">IF(M72="X",(D72-C72),"0")</f>
        <v>0</v>
      </c>
      <c r="N104" s="2" t="str">
        <f t="shared" ref="N104:N126" si="25">IF(N72="X",(D72-C72),"0")</f>
        <v>0</v>
      </c>
      <c r="O104" s="2" t="str">
        <f t="shared" ref="O104:O126" si="26">IF(O72="X",(D72-C72),"0")</f>
        <v>0</v>
      </c>
      <c r="P104" s="2" t="str">
        <f t="shared" ref="P104:P126" si="27">IF(P72="X",(D72-C72),"0")</f>
        <v>0</v>
      </c>
      <c r="Q104" s="2" t="str">
        <f t="shared" ref="Q104:Q126" si="28">IF(Q72="X",(D72-C72),"0")</f>
        <v>0</v>
      </c>
      <c r="R104" s="2" t="str">
        <f t="shared" ref="R104:R126" si="29">IF(R72="X",(D72-C72),"0")</f>
        <v>0</v>
      </c>
      <c r="S104" s="2" t="str">
        <f t="shared" ref="S104:S126" si="30">IF(S72="X",(D72-C72),"0")</f>
        <v>0</v>
      </c>
      <c r="T104" s="2" t="str">
        <f t="shared" ref="T104:T126" si="31">IF(T72="X",(D72-C72),"0")</f>
        <v>0</v>
      </c>
    </row>
    <row r="105" spans="5:20" x14ac:dyDescent="0.25">
      <c r="E105" s="2" t="str">
        <f t="shared" si="16"/>
        <v>0</v>
      </c>
      <c r="F105" s="2" t="str">
        <f t="shared" si="17"/>
        <v>0</v>
      </c>
      <c r="G105" s="2" t="str">
        <f t="shared" si="18"/>
        <v>0</v>
      </c>
      <c r="H105" s="2" t="str">
        <f t="shared" si="19"/>
        <v>0</v>
      </c>
      <c r="I105" s="2" t="str">
        <f t="shared" si="20"/>
        <v>0</v>
      </c>
      <c r="J105" s="2" t="str">
        <f t="shared" si="21"/>
        <v>0</v>
      </c>
      <c r="K105" s="2" t="str">
        <f t="shared" si="22"/>
        <v>0</v>
      </c>
      <c r="L105" s="2" t="str">
        <f t="shared" si="23"/>
        <v>0</v>
      </c>
      <c r="M105" s="2" t="str">
        <f t="shared" si="24"/>
        <v>0</v>
      </c>
      <c r="N105" s="2" t="str">
        <f t="shared" si="25"/>
        <v>0</v>
      </c>
      <c r="O105" s="2" t="str">
        <f t="shared" si="26"/>
        <v>0</v>
      </c>
      <c r="P105" s="2" t="str">
        <f t="shared" si="27"/>
        <v>0</v>
      </c>
      <c r="Q105" s="2" t="str">
        <f t="shared" si="28"/>
        <v>0</v>
      </c>
      <c r="R105" s="2" t="str">
        <f t="shared" si="29"/>
        <v>0</v>
      </c>
      <c r="S105" s="2" t="str">
        <f t="shared" si="30"/>
        <v>0</v>
      </c>
      <c r="T105" s="2" t="str">
        <f t="shared" si="31"/>
        <v>0</v>
      </c>
    </row>
    <row r="106" spans="5:20" x14ac:dyDescent="0.25">
      <c r="E106" s="2" t="str">
        <f t="shared" si="16"/>
        <v>0</v>
      </c>
      <c r="F106" s="2" t="str">
        <f t="shared" si="17"/>
        <v>0</v>
      </c>
      <c r="G106" s="2" t="str">
        <f t="shared" si="18"/>
        <v>0</v>
      </c>
      <c r="H106" s="2" t="str">
        <f t="shared" si="19"/>
        <v>0</v>
      </c>
      <c r="I106" s="2" t="str">
        <f t="shared" si="20"/>
        <v>0</v>
      </c>
      <c r="J106" s="2" t="str">
        <f t="shared" si="21"/>
        <v>0</v>
      </c>
      <c r="K106" s="2" t="str">
        <f t="shared" si="22"/>
        <v>0</v>
      </c>
      <c r="L106" s="2" t="str">
        <f t="shared" si="23"/>
        <v>0</v>
      </c>
      <c r="M106" s="2" t="str">
        <f t="shared" si="24"/>
        <v>0</v>
      </c>
      <c r="N106" s="2" t="str">
        <f t="shared" si="25"/>
        <v>0</v>
      </c>
      <c r="O106" s="2" t="str">
        <f t="shared" si="26"/>
        <v>0</v>
      </c>
      <c r="P106" s="2" t="str">
        <f t="shared" si="27"/>
        <v>0</v>
      </c>
      <c r="Q106" s="2" t="str">
        <f t="shared" si="28"/>
        <v>0</v>
      </c>
      <c r="R106" s="2" t="str">
        <f t="shared" si="29"/>
        <v>0</v>
      </c>
      <c r="S106" s="2" t="str">
        <f t="shared" si="30"/>
        <v>0</v>
      </c>
      <c r="T106" s="2" t="str">
        <f t="shared" si="31"/>
        <v>0</v>
      </c>
    </row>
    <row r="107" spans="5:20" x14ac:dyDescent="0.25">
      <c r="E107" s="2" t="str">
        <f t="shared" si="16"/>
        <v>0</v>
      </c>
      <c r="F107" s="2" t="str">
        <f t="shared" si="17"/>
        <v>0</v>
      </c>
      <c r="G107" s="2" t="str">
        <f t="shared" si="18"/>
        <v>0</v>
      </c>
      <c r="H107" s="2" t="str">
        <f t="shared" si="19"/>
        <v>0</v>
      </c>
      <c r="I107" s="2" t="str">
        <f t="shared" si="20"/>
        <v>0</v>
      </c>
      <c r="J107" s="2" t="str">
        <f t="shared" si="21"/>
        <v>0</v>
      </c>
      <c r="K107" s="2" t="str">
        <f t="shared" si="22"/>
        <v>0</v>
      </c>
      <c r="L107" s="2" t="str">
        <f t="shared" si="23"/>
        <v>0</v>
      </c>
      <c r="M107" s="2" t="str">
        <f t="shared" si="24"/>
        <v>0</v>
      </c>
      <c r="N107" s="2" t="str">
        <f t="shared" si="25"/>
        <v>0</v>
      </c>
      <c r="O107" s="2" t="str">
        <f t="shared" si="26"/>
        <v>0</v>
      </c>
      <c r="P107" s="2" t="str">
        <f t="shared" si="27"/>
        <v>0</v>
      </c>
      <c r="Q107" s="2" t="str">
        <f t="shared" si="28"/>
        <v>0</v>
      </c>
      <c r="R107" s="2" t="str">
        <f t="shared" si="29"/>
        <v>0</v>
      </c>
      <c r="S107" s="2" t="str">
        <f t="shared" si="30"/>
        <v>0</v>
      </c>
      <c r="T107" s="2" t="str">
        <f t="shared" si="31"/>
        <v>0</v>
      </c>
    </row>
    <row r="108" spans="5:20" x14ac:dyDescent="0.25">
      <c r="E108" s="2" t="str">
        <f t="shared" si="16"/>
        <v>0</v>
      </c>
      <c r="F108" s="2" t="str">
        <f t="shared" si="17"/>
        <v>0</v>
      </c>
      <c r="G108" s="2" t="str">
        <f t="shared" si="18"/>
        <v>0</v>
      </c>
      <c r="H108" s="2" t="str">
        <f t="shared" si="19"/>
        <v>0</v>
      </c>
      <c r="I108" s="2" t="str">
        <f t="shared" si="20"/>
        <v>0</v>
      </c>
      <c r="J108" s="2" t="str">
        <f t="shared" si="21"/>
        <v>0</v>
      </c>
      <c r="K108" s="2" t="str">
        <f t="shared" si="22"/>
        <v>0</v>
      </c>
      <c r="L108" s="2" t="str">
        <f t="shared" si="23"/>
        <v>0</v>
      </c>
      <c r="M108" s="2" t="str">
        <f t="shared" si="24"/>
        <v>0</v>
      </c>
      <c r="N108" s="2" t="str">
        <f t="shared" si="25"/>
        <v>0</v>
      </c>
      <c r="O108" s="2" t="str">
        <f t="shared" si="26"/>
        <v>0</v>
      </c>
      <c r="P108" s="2" t="str">
        <f t="shared" si="27"/>
        <v>0</v>
      </c>
      <c r="Q108" s="2" t="str">
        <f t="shared" si="28"/>
        <v>0</v>
      </c>
      <c r="R108" s="2" t="str">
        <f t="shared" si="29"/>
        <v>0</v>
      </c>
      <c r="S108" s="2" t="str">
        <f t="shared" si="30"/>
        <v>0</v>
      </c>
      <c r="T108" s="2" t="str">
        <f t="shared" si="31"/>
        <v>0</v>
      </c>
    </row>
    <row r="109" spans="5:20" x14ac:dyDescent="0.25">
      <c r="E109" s="2" t="str">
        <f t="shared" si="16"/>
        <v>0</v>
      </c>
      <c r="F109" s="2" t="str">
        <f t="shared" si="17"/>
        <v>0</v>
      </c>
      <c r="G109" s="2" t="str">
        <f t="shared" si="18"/>
        <v>0</v>
      </c>
      <c r="H109" s="2" t="str">
        <f t="shared" si="19"/>
        <v>0</v>
      </c>
      <c r="I109" s="2" t="str">
        <f t="shared" si="20"/>
        <v>0</v>
      </c>
      <c r="J109" s="2" t="str">
        <f t="shared" si="21"/>
        <v>0</v>
      </c>
      <c r="K109" s="2" t="str">
        <f t="shared" si="22"/>
        <v>0</v>
      </c>
      <c r="L109" s="2" t="str">
        <f t="shared" si="23"/>
        <v>0</v>
      </c>
      <c r="M109" s="2" t="str">
        <f t="shared" si="24"/>
        <v>0</v>
      </c>
      <c r="N109" s="2" t="str">
        <f t="shared" si="25"/>
        <v>0</v>
      </c>
      <c r="O109" s="2" t="str">
        <f t="shared" si="26"/>
        <v>0</v>
      </c>
      <c r="P109" s="2" t="str">
        <f t="shared" si="27"/>
        <v>0</v>
      </c>
      <c r="Q109" s="2" t="str">
        <f t="shared" si="28"/>
        <v>0</v>
      </c>
      <c r="R109" s="2" t="str">
        <f t="shared" si="29"/>
        <v>0</v>
      </c>
      <c r="S109" s="2" t="str">
        <f t="shared" si="30"/>
        <v>0</v>
      </c>
      <c r="T109" s="2" t="str">
        <f t="shared" si="31"/>
        <v>0</v>
      </c>
    </row>
    <row r="110" spans="5:20" x14ac:dyDescent="0.25">
      <c r="E110" s="2" t="str">
        <f t="shared" si="16"/>
        <v>0</v>
      </c>
      <c r="F110" s="2" t="str">
        <f t="shared" si="17"/>
        <v>0</v>
      </c>
      <c r="G110" s="2" t="str">
        <f t="shared" si="18"/>
        <v>0</v>
      </c>
      <c r="H110" s="2" t="str">
        <f t="shared" si="19"/>
        <v>0</v>
      </c>
      <c r="I110" s="2" t="str">
        <f t="shared" si="20"/>
        <v>0</v>
      </c>
      <c r="J110" s="2" t="str">
        <f t="shared" si="21"/>
        <v>0</v>
      </c>
      <c r="K110" s="2" t="str">
        <f t="shared" si="22"/>
        <v>0</v>
      </c>
      <c r="L110" s="2" t="str">
        <f t="shared" si="23"/>
        <v>0</v>
      </c>
      <c r="M110" s="2" t="str">
        <f t="shared" si="24"/>
        <v>0</v>
      </c>
      <c r="N110" s="2" t="str">
        <f t="shared" si="25"/>
        <v>0</v>
      </c>
      <c r="O110" s="2" t="str">
        <f t="shared" si="26"/>
        <v>0</v>
      </c>
      <c r="P110" s="2" t="str">
        <f t="shared" si="27"/>
        <v>0</v>
      </c>
      <c r="Q110" s="2" t="str">
        <f t="shared" si="28"/>
        <v>0</v>
      </c>
      <c r="R110" s="2" t="str">
        <f t="shared" si="29"/>
        <v>0</v>
      </c>
      <c r="S110" s="2" t="str">
        <f t="shared" si="30"/>
        <v>0</v>
      </c>
      <c r="T110" s="2" t="str">
        <f t="shared" si="31"/>
        <v>0</v>
      </c>
    </row>
    <row r="111" spans="5:20" x14ac:dyDescent="0.25">
      <c r="E111" s="2" t="str">
        <f t="shared" si="16"/>
        <v>0</v>
      </c>
      <c r="F111" s="2" t="str">
        <f t="shared" si="17"/>
        <v>0</v>
      </c>
      <c r="G111" s="2" t="str">
        <f t="shared" si="18"/>
        <v>0</v>
      </c>
      <c r="H111" s="2" t="str">
        <f t="shared" si="19"/>
        <v>0</v>
      </c>
      <c r="I111" s="2" t="str">
        <f t="shared" si="20"/>
        <v>0</v>
      </c>
      <c r="J111" s="2" t="str">
        <f t="shared" si="21"/>
        <v>0</v>
      </c>
      <c r="K111" s="2" t="str">
        <f t="shared" si="22"/>
        <v>0</v>
      </c>
      <c r="L111" s="2" t="str">
        <f t="shared" si="23"/>
        <v>0</v>
      </c>
      <c r="M111" s="2" t="str">
        <f t="shared" si="24"/>
        <v>0</v>
      </c>
      <c r="N111" s="2" t="str">
        <f t="shared" si="25"/>
        <v>0</v>
      </c>
      <c r="O111" s="2" t="str">
        <f t="shared" si="26"/>
        <v>0</v>
      </c>
      <c r="P111" s="2" t="str">
        <f t="shared" si="27"/>
        <v>0</v>
      </c>
      <c r="Q111" s="2" t="str">
        <f t="shared" si="28"/>
        <v>0</v>
      </c>
      <c r="R111" s="2" t="str">
        <f t="shared" si="29"/>
        <v>0</v>
      </c>
      <c r="S111" s="2" t="str">
        <f t="shared" si="30"/>
        <v>0</v>
      </c>
      <c r="T111" s="2" t="str">
        <f t="shared" si="31"/>
        <v>0</v>
      </c>
    </row>
    <row r="112" spans="5:20" x14ac:dyDescent="0.25">
      <c r="E112" s="2" t="str">
        <f t="shared" si="16"/>
        <v>0</v>
      </c>
      <c r="F112" s="2" t="str">
        <f t="shared" si="17"/>
        <v>0</v>
      </c>
      <c r="G112" s="2" t="str">
        <f t="shared" si="18"/>
        <v>0</v>
      </c>
      <c r="H112" s="2" t="str">
        <f t="shared" si="19"/>
        <v>0</v>
      </c>
      <c r="I112" s="2" t="str">
        <f t="shared" si="20"/>
        <v>0</v>
      </c>
      <c r="J112" s="2" t="str">
        <f t="shared" si="21"/>
        <v>0</v>
      </c>
      <c r="K112" s="2" t="str">
        <f t="shared" si="22"/>
        <v>0</v>
      </c>
      <c r="L112" s="2" t="str">
        <f t="shared" si="23"/>
        <v>0</v>
      </c>
      <c r="M112" s="2" t="str">
        <f t="shared" si="24"/>
        <v>0</v>
      </c>
      <c r="N112" s="2" t="str">
        <f t="shared" si="25"/>
        <v>0</v>
      </c>
      <c r="O112" s="2" t="str">
        <f t="shared" si="26"/>
        <v>0</v>
      </c>
      <c r="P112" s="2" t="str">
        <f t="shared" si="27"/>
        <v>0</v>
      </c>
      <c r="Q112" s="2" t="str">
        <f t="shared" si="28"/>
        <v>0</v>
      </c>
      <c r="R112" s="2" t="str">
        <f t="shared" si="29"/>
        <v>0</v>
      </c>
      <c r="S112" s="2" t="str">
        <f t="shared" si="30"/>
        <v>0</v>
      </c>
      <c r="T112" s="2" t="str">
        <f t="shared" si="31"/>
        <v>0</v>
      </c>
    </row>
    <row r="113" spans="5:20" x14ac:dyDescent="0.25">
      <c r="E113" s="2" t="str">
        <f t="shared" si="16"/>
        <v>0</v>
      </c>
      <c r="F113" s="2" t="str">
        <f t="shared" si="17"/>
        <v>0</v>
      </c>
      <c r="G113" s="2" t="str">
        <f t="shared" si="18"/>
        <v>0</v>
      </c>
      <c r="H113" s="2" t="str">
        <f t="shared" si="19"/>
        <v>0</v>
      </c>
      <c r="I113" s="2" t="str">
        <f t="shared" si="20"/>
        <v>0</v>
      </c>
      <c r="J113" s="2" t="str">
        <f t="shared" si="21"/>
        <v>0</v>
      </c>
      <c r="K113" s="2" t="str">
        <f t="shared" si="22"/>
        <v>0</v>
      </c>
      <c r="L113" s="2" t="str">
        <f t="shared" si="23"/>
        <v>0</v>
      </c>
      <c r="M113" s="2" t="str">
        <f t="shared" si="24"/>
        <v>0</v>
      </c>
      <c r="N113" s="2" t="str">
        <f t="shared" si="25"/>
        <v>0</v>
      </c>
      <c r="O113" s="2" t="str">
        <f t="shared" si="26"/>
        <v>0</v>
      </c>
      <c r="P113" s="2" t="str">
        <f t="shared" si="27"/>
        <v>0</v>
      </c>
      <c r="Q113" s="2" t="str">
        <f t="shared" si="28"/>
        <v>0</v>
      </c>
      <c r="R113" s="2" t="str">
        <f t="shared" si="29"/>
        <v>0</v>
      </c>
      <c r="S113" s="2" t="str">
        <f t="shared" si="30"/>
        <v>0</v>
      </c>
      <c r="T113" s="2" t="str">
        <f t="shared" si="31"/>
        <v>0</v>
      </c>
    </row>
    <row r="114" spans="5:20" x14ac:dyDescent="0.25">
      <c r="E114" s="2" t="str">
        <f t="shared" si="16"/>
        <v>0</v>
      </c>
      <c r="F114" s="2" t="str">
        <f t="shared" si="17"/>
        <v>0</v>
      </c>
      <c r="G114" s="2" t="str">
        <f t="shared" si="18"/>
        <v>0</v>
      </c>
      <c r="H114" s="2" t="str">
        <f t="shared" si="19"/>
        <v>0</v>
      </c>
      <c r="I114" s="2" t="str">
        <f t="shared" si="20"/>
        <v>0</v>
      </c>
      <c r="J114" s="2" t="str">
        <f t="shared" si="21"/>
        <v>0</v>
      </c>
      <c r="K114" s="2" t="str">
        <f t="shared" si="22"/>
        <v>0</v>
      </c>
      <c r="L114" s="2" t="str">
        <f t="shared" si="23"/>
        <v>0</v>
      </c>
      <c r="M114" s="2" t="str">
        <f t="shared" si="24"/>
        <v>0</v>
      </c>
      <c r="N114" s="2" t="str">
        <f t="shared" si="25"/>
        <v>0</v>
      </c>
      <c r="O114" s="2" t="str">
        <f t="shared" si="26"/>
        <v>0</v>
      </c>
      <c r="P114" s="2" t="str">
        <f t="shared" si="27"/>
        <v>0</v>
      </c>
      <c r="Q114" s="2" t="str">
        <f t="shared" si="28"/>
        <v>0</v>
      </c>
      <c r="R114" s="2" t="str">
        <f t="shared" si="29"/>
        <v>0</v>
      </c>
      <c r="S114" s="2" t="str">
        <f t="shared" si="30"/>
        <v>0</v>
      </c>
      <c r="T114" s="2" t="str">
        <f t="shared" si="31"/>
        <v>0</v>
      </c>
    </row>
    <row r="115" spans="5:20" x14ac:dyDescent="0.25">
      <c r="E115" s="2" t="str">
        <f t="shared" si="16"/>
        <v>0</v>
      </c>
      <c r="F115" s="2" t="str">
        <f t="shared" si="17"/>
        <v>0</v>
      </c>
      <c r="G115" s="2" t="str">
        <f t="shared" si="18"/>
        <v>0</v>
      </c>
      <c r="H115" s="2" t="str">
        <f t="shared" si="19"/>
        <v>0</v>
      </c>
      <c r="I115" s="2" t="str">
        <f t="shared" si="20"/>
        <v>0</v>
      </c>
      <c r="J115" s="2" t="str">
        <f t="shared" si="21"/>
        <v>0</v>
      </c>
      <c r="K115" s="2" t="str">
        <f t="shared" si="22"/>
        <v>0</v>
      </c>
      <c r="L115" s="2" t="str">
        <f t="shared" si="23"/>
        <v>0</v>
      </c>
      <c r="M115" s="2" t="str">
        <f t="shared" si="24"/>
        <v>0</v>
      </c>
      <c r="N115" s="2" t="str">
        <f t="shared" si="25"/>
        <v>0</v>
      </c>
      <c r="O115" s="2" t="str">
        <f t="shared" si="26"/>
        <v>0</v>
      </c>
      <c r="P115" s="2" t="str">
        <f t="shared" si="27"/>
        <v>0</v>
      </c>
      <c r="Q115" s="2" t="str">
        <f t="shared" si="28"/>
        <v>0</v>
      </c>
      <c r="R115" s="2" t="str">
        <f t="shared" si="29"/>
        <v>0</v>
      </c>
      <c r="S115" s="2" t="str">
        <f t="shared" si="30"/>
        <v>0</v>
      </c>
      <c r="T115" s="2" t="str">
        <f t="shared" si="31"/>
        <v>0</v>
      </c>
    </row>
    <row r="116" spans="5:20" x14ac:dyDescent="0.25">
      <c r="E116" s="2" t="str">
        <f t="shared" si="16"/>
        <v>0</v>
      </c>
      <c r="F116" s="2" t="str">
        <f t="shared" si="17"/>
        <v>0</v>
      </c>
      <c r="G116" s="2" t="str">
        <f t="shared" si="18"/>
        <v>0</v>
      </c>
      <c r="H116" s="2" t="str">
        <f t="shared" si="19"/>
        <v>0</v>
      </c>
      <c r="I116" s="2" t="str">
        <f t="shared" si="20"/>
        <v>0</v>
      </c>
      <c r="J116" s="2" t="str">
        <f t="shared" si="21"/>
        <v>0</v>
      </c>
      <c r="K116" s="2" t="str">
        <f t="shared" si="22"/>
        <v>0</v>
      </c>
      <c r="L116" s="2" t="str">
        <f t="shared" si="23"/>
        <v>0</v>
      </c>
      <c r="M116" s="2" t="str">
        <f t="shared" si="24"/>
        <v>0</v>
      </c>
      <c r="N116" s="2" t="str">
        <f t="shared" si="25"/>
        <v>0</v>
      </c>
      <c r="O116" s="2" t="str">
        <f t="shared" si="26"/>
        <v>0</v>
      </c>
      <c r="P116" s="2" t="str">
        <f t="shared" si="27"/>
        <v>0</v>
      </c>
      <c r="Q116" s="2" t="str">
        <f t="shared" si="28"/>
        <v>0</v>
      </c>
      <c r="R116" s="2" t="str">
        <f t="shared" si="29"/>
        <v>0</v>
      </c>
      <c r="S116" s="2" t="str">
        <f t="shared" si="30"/>
        <v>0</v>
      </c>
      <c r="T116" s="2" t="str">
        <f t="shared" si="31"/>
        <v>0</v>
      </c>
    </row>
    <row r="117" spans="5:20" x14ac:dyDescent="0.25">
      <c r="E117" s="2" t="str">
        <f t="shared" si="16"/>
        <v>0</v>
      </c>
      <c r="F117" s="2" t="str">
        <f t="shared" si="17"/>
        <v>0</v>
      </c>
      <c r="G117" s="2" t="str">
        <f t="shared" si="18"/>
        <v>0</v>
      </c>
      <c r="H117" s="2" t="str">
        <f t="shared" si="19"/>
        <v>0</v>
      </c>
      <c r="I117" s="2" t="str">
        <f t="shared" si="20"/>
        <v>0</v>
      </c>
      <c r="J117" s="2" t="str">
        <f t="shared" si="21"/>
        <v>0</v>
      </c>
      <c r="K117" s="2" t="str">
        <f t="shared" si="22"/>
        <v>0</v>
      </c>
      <c r="L117" s="2" t="str">
        <f t="shared" si="23"/>
        <v>0</v>
      </c>
      <c r="M117" s="2" t="str">
        <f t="shared" si="24"/>
        <v>0</v>
      </c>
      <c r="N117" s="2" t="str">
        <f t="shared" si="25"/>
        <v>0</v>
      </c>
      <c r="O117" s="2" t="str">
        <f t="shared" si="26"/>
        <v>0</v>
      </c>
      <c r="P117" s="2" t="str">
        <f t="shared" si="27"/>
        <v>0</v>
      </c>
      <c r="Q117" s="2" t="str">
        <f t="shared" si="28"/>
        <v>0</v>
      </c>
      <c r="R117" s="2" t="str">
        <f t="shared" si="29"/>
        <v>0</v>
      </c>
      <c r="S117" s="2" t="str">
        <f t="shared" si="30"/>
        <v>0</v>
      </c>
      <c r="T117" s="2" t="str">
        <f t="shared" si="31"/>
        <v>0</v>
      </c>
    </row>
    <row r="118" spans="5:20" x14ac:dyDescent="0.25">
      <c r="E118" s="2" t="str">
        <f t="shared" si="16"/>
        <v>0</v>
      </c>
      <c r="F118" s="2" t="str">
        <f t="shared" si="17"/>
        <v>0</v>
      </c>
      <c r="G118" s="2" t="str">
        <f t="shared" si="18"/>
        <v>0</v>
      </c>
      <c r="H118" s="2" t="str">
        <f t="shared" si="19"/>
        <v>0</v>
      </c>
      <c r="I118" s="2" t="str">
        <f t="shared" si="20"/>
        <v>0</v>
      </c>
      <c r="J118" s="2" t="str">
        <f t="shared" si="21"/>
        <v>0</v>
      </c>
      <c r="K118" s="2" t="str">
        <f t="shared" si="22"/>
        <v>0</v>
      </c>
      <c r="L118" s="2" t="str">
        <f t="shared" si="23"/>
        <v>0</v>
      </c>
      <c r="M118" s="2" t="str">
        <f t="shared" si="24"/>
        <v>0</v>
      </c>
      <c r="N118" s="2" t="str">
        <f t="shared" si="25"/>
        <v>0</v>
      </c>
      <c r="O118" s="2" t="str">
        <f t="shared" si="26"/>
        <v>0</v>
      </c>
      <c r="P118" s="2" t="str">
        <f t="shared" si="27"/>
        <v>0</v>
      </c>
      <c r="Q118" s="2" t="str">
        <f t="shared" si="28"/>
        <v>0</v>
      </c>
      <c r="R118" s="2" t="str">
        <f t="shared" si="29"/>
        <v>0</v>
      </c>
      <c r="S118" s="2" t="str">
        <f t="shared" si="30"/>
        <v>0</v>
      </c>
      <c r="T118" s="2" t="str">
        <f t="shared" si="31"/>
        <v>0</v>
      </c>
    </row>
    <row r="119" spans="5:20" x14ac:dyDescent="0.25">
      <c r="E119" s="2" t="str">
        <f t="shared" si="16"/>
        <v>0</v>
      </c>
      <c r="F119" s="2" t="str">
        <f t="shared" si="17"/>
        <v>0</v>
      </c>
      <c r="G119" s="2" t="str">
        <f t="shared" si="18"/>
        <v>0</v>
      </c>
      <c r="H119" s="2" t="str">
        <f t="shared" si="19"/>
        <v>0</v>
      </c>
      <c r="I119" s="2" t="str">
        <f t="shared" si="20"/>
        <v>0</v>
      </c>
      <c r="J119" s="2" t="str">
        <f t="shared" si="21"/>
        <v>0</v>
      </c>
      <c r="K119" s="2" t="str">
        <f t="shared" si="22"/>
        <v>0</v>
      </c>
      <c r="L119" s="2" t="str">
        <f t="shared" si="23"/>
        <v>0</v>
      </c>
      <c r="M119" s="2" t="str">
        <f t="shared" si="24"/>
        <v>0</v>
      </c>
      <c r="N119" s="2" t="str">
        <f t="shared" si="25"/>
        <v>0</v>
      </c>
      <c r="O119" s="2" t="str">
        <f t="shared" si="26"/>
        <v>0</v>
      </c>
      <c r="P119" s="2" t="str">
        <f t="shared" si="27"/>
        <v>0</v>
      </c>
      <c r="Q119" s="2" t="str">
        <f t="shared" si="28"/>
        <v>0</v>
      </c>
      <c r="R119" s="2" t="str">
        <f t="shared" si="29"/>
        <v>0</v>
      </c>
      <c r="S119" s="2" t="str">
        <f t="shared" si="30"/>
        <v>0</v>
      </c>
      <c r="T119" s="2" t="str">
        <f t="shared" si="31"/>
        <v>0</v>
      </c>
    </row>
    <row r="120" spans="5:20" x14ac:dyDescent="0.25">
      <c r="E120" s="2" t="str">
        <f t="shared" si="16"/>
        <v>0</v>
      </c>
      <c r="F120" s="2" t="str">
        <f t="shared" si="17"/>
        <v>0</v>
      </c>
      <c r="G120" s="2" t="str">
        <f t="shared" si="18"/>
        <v>0</v>
      </c>
      <c r="H120" s="2" t="str">
        <f t="shared" si="19"/>
        <v>0</v>
      </c>
      <c r="I120" s="2" t="str">
        <f t="shared" si="20"/>
        <v>0</v>
      </c>
      <c r="J120" s="2" t="str">
        <f t="shared" si="21"/>
        <v>0</v>
      </c>
      <c r="K120" s="2" t="str">
        <f t="shared" si="22"/>
        <v>0</v>
      </c>
      <c r="L120" s="2" t="str">
        <f t="shared" si="23"/>
        <v>0</v>
      </c>
      <c r="M120" s="2" t="str">
        <f t="shared" si="24"/>
        <v>0</v>
      </c>
      <c r="N120" s="2" t="str">
        <f t="shared" si="25"/>
        <v>0</v>
      </c>
      <c r="O120" s="2" t="str">
        <f t="shared" si="26"/>
        <v>0</v>
      </c>
      <c r="P120" s="2" t="str">
        <f t="shared" si="27"/>
        <v>0</v>
      </c>
      <c r="Q120" s="2" t="str">
        <f t="shared" si="28"/>
        <v>0</v>
      </c>
      <c r="R120" s="2" t="str">
        <f t="shared" si="29"/>
        <v>0</v>
      </c>
      <c r="S120" s="2" t="str">
        <f t="shared" si="30"/>
        <v>0</v>
      </c>
      <c r="T120" s="2" t="str">
        <f t="shared" si="31"/>
        <v>0</v>
      </c>
    </row>
    <row r="121" spans="5:20" x14ac:dyDescent="0.25">
      <c r="E121" s="2" t="str">
        <f t="shared" si="16"/>
        <v>0</v>
      </c>
      <c r="F121" s="2" t="str">
        <f t="shared" si="17"/>
        <v>0</v>
      </c>
      <c r="G121" s="2" t="str">
        <f t="shared" si="18"/>
        <v>0</v>
      </c>
      <c r="H121" s="2" t="str">
        <f t="shared" si="19"/>
        <v>0</v>
      </c>
      <c r="I121" s="2" t="str">
        <f t="shared" si="20"/>
        <v>0</v>
      </c>
      <c r="J121" s="2" t="str">
        <f t="shared" si="21"/>
        <v>0</v>
      </c>
      <c r="K121" s="2" t="str">
        <f t="shared" si="22"/>
        <v>0</v>
      </c>
      <c r="L121" s="2" t="str">
        <f t="shared" si="23"/>
        <v>0</v>
      </c>
      <c r="M121" s="2" t="str">
        <f t="shared" si="24"/>
        <v>0</v>
      </c>
      <c r="N121" s="2" t="str">
        <f t="shared" si="25"/>
        <v>0</v>
      </c>
      <c r="O121" s="2" t="str">
        <f t="shared" si="26"/>
        <v>0</v>
      </c>
      <c r="P121" s="2" t="str">
        <f t="shared" si="27"/>
        <v>0</v>
      </c>
      <c r="Q121" s="2" t="str">
        <f t="shared" si="28"/>
        <v>0</v>
      </c>
      <c r="R121" s="2" t="str">
        <f t="shared" si="29"/>
        <v>0</v>
      </c>
      <c r="S121" s="2" t="str">
        <f t="shared" si="30"/>
        <v>0</v>
      </c>
      <c r="T121" s="2" t="str">
        <f t="shared" si="31"/>
        <v>0</v>
      </c>
    </row>
    <row r="122" spans="5:20" x14ac:dyDescent="0.25">
      <c r="E122" s="2" t="str">
        <f t="shared" si="16"/>
        <v>0</v>
      </c>
      <c r="F122" s="2" t="str">
        <f t="shared" si="17"/>
        <v>0</v>
      </c>
      <c r="G122" s="2" t="str">
        <f t="shared" si="18"/>
        <v>0</v>
      </c>
      <c r="H122" s="2" t="str">
        <f t="shared" si="19"/>
        <v>0</v>
      </c>
      <c r="I122" s="2" t="str">
        <f t="shared" si="20"/>
        <v>0</v>
      </c>
      <c r="J122" s="2" t="str">
        <f t="shared" si="21"/>
        <v>0</v>
      </c>
      <c r="K122" s="2" t="str">
        <f t="shared" si="22"/>
        <v>0</v>
      </c>
      <c r="L122" s="2" t="str">
        <f t="shared" si="23"/>
        <v>0</v>
      </c>
      <c r="M122" s="2" t="str">
        <f t="shared" si="24"/>
        <v>0</v>
      </c>
      <c r="N122" s="2" t="str">
        <f t="shared" si="25"/>
        <v>0</v>
      </c>
      <c r="O122" s="2" t="str">
        <f t="shared" si="26"/>
        <v>0</v>
      </c>
      <c r="P122" s="2" t="str">
        <f t="shared" si="27"/>
        <v>0</v>
      </c>
      <c r="Q122" s="2" t="str">
        <f t="shared" si="28"/>
        <v>0</v>
      </c>
      <c r="R122" s="2" t="str">
        <f t="shared" si="29"/>
        <v>0</v>
      </c>
      <c r="S122" s="2" t="str">
        <f t="shared" si="30"/>
        <v>0</v>
      </c>
      <c r="T122" s="2" t="str">
        <f t="shared" si="31"/>
        <v>0</v>
      </c>
    </row>
    <row r="123" spans="5:20" x14ac:dyDescent="0.25">
      <c r="E123" s="2" t="str">
        <f t="shared" si="16"/>
        <v>0</v>
      </c>
      <c r="F123" s="2" t="str">
        <f t="shared" si="17"/>
        <v>0</v>
      </c>
      <c r="G123" s="2" t="str">
        <f t="shared" si="18"/>
        <v>0</v>
      </c>
      <c r="H123" s="2" t="str">
        <f t="shared" si="19"/>
        <v>0</v>
      </c>
      <c r="I123" s="2" t="str">
        <f t="shared" si="20"/>
        <v>0</v>
      </c>
      <c r="J123" s="2" t="str">
        <f t="shared" si="21"/>
        <v>0</v>
      </c>
      <c r="K123" s="2" t="str">
        <f t="shared" si="22"/>
        <v>0</v>
      </c>
      <c r="L123" s="2" t="str">
        <f t="shared" si="23"/>
        <v>0</v>
      </c>
      <c r="M123" s="2" t="str">
        <f t="shared" si="24"/>
        <v>0</v>
      </c>
      <c r="N123" s="2" t="str">
        <f t="shared" si="25"/>
        <v>0</v>
      </c>
      <c r="O123" s="2" t="str">
        <f t="shared" si="26"/>
        <v>0</v>
      </c>
      <c r="P123" s="2" t="str">
        <f t="shared" si="27"/>
        <v>0</v>
      </c>
      <c r="Q123" s="2" t="str">
        <f t="shared" si="28"/>
        <v>0</v>
      </c>
      <c r="R123" s="2" t="str">
        <f t="shared" si="29"/>
        <v>0</v>
      </c>
      <c r="S123" s="2" t="str">
        <f t="shared" si="30"/>
        <v>0</v>
      </c>
      <c r="T123" s="2" t="str">
        <f t="shared" si="31"/>
        <v>0</v>
      </c>
    </row>
    <row r="124" spans="5:20" x14ac:dyDescent="0.25">
      <c r="E124" s="2" t="str">
        <f t="shared" si="16"/>
        <v>0</v>
      </c>
      <c r="F124" s="2" t="str">
        <f t="shared" si="17"/>
        <v>0</v>
      </c>
      <c r="G124" s="2" t="str">
        <f t="shared" si="18"/>
        <v>0</v>
      </c>
      <c r="H124" s="2" t="str">
        <f t="shared" si="19"/>
        <v>0</v>
      </c>
      <c r="I124" s="2" t="str">
        <f t="shared" si="20"/>
        <v>0</v>
      </c>
      <c r="J124" s="2" t="str">
        <f t="shared" si="21"/>
        <v>0</v>
      </c>
      <c r="K124" s="2" t="str">
        <f t="shared" si="22"/>
        <v>0</v>
      </c>
      <c r="L124" s="2" t="str">
        <f t="shared" si="23"/>
        <v>0</v>
      </c>
      <c r="M124" s="2" t="str">
        <f t="shared" si="24"/>
        <v>0</v>
      </c>
      <c r="N124" s="2" t="str">
        <f t="shared" si="25"/>
        <v>0</v>
      </c>
      <c r="O124" s="2" t="str">
        <f t="shared" si="26"/>
        <v>0</v>
      </c>
      <c r="P124" s="2" t="str">
        <f t="shared" si="27"/>
        <v>0</v>
      </c>
      <c r="Q124" s="2" t="str">
        <f t="shared" si="28"/>
        <v>0</v>
      </c>
      <c r="R124" s="2" t="str">
        <f t="shared" si="29"/>
        <v>0</v>
      </c>
      <c r="S124" s="2" t="str">
        <f t="shared" si="30"/>
        <v>0</v>
      </c>
      <c r="T124" s="2" t="str">
        <f t="shared" si="31"/>
        <v>0</v>
      </c>
    </row>
    <row r="125" spans="5:20" x14ac:dyDescent="0.25">
      <c r="E125" s="2" t="str">
        <f t="shared" si="16"/>
        <v>0</v>
      </c>
      <c r="F125" s="2" t="str">
        <f t="shared" si="17"/>
        <v>0</v>
      </c>
      <c r="G125" s="2" t="str">
        <f t="shared" si="18"/>
        <v>0</v>
      </c>
      <c r="H125" s="2" t="str">
        <f t="shared" si="19"/>
        <v>0</v>
      </c>
      <c r="I125" s="2" t="str">
        <f t="shared" si="20"/>
        <v>0</v>
      </c>
      <c r="J125" s="2" t="str">
        <f t="shared" si="21"/>
        <v>0</v>
      </c>
      <c r="K125" s="2" t="str">
        <f t="shared" si="22"/>
        <v>0</v>
      </c>
      <c r="L125" s="2" t="str">
        <f t="shared" si="23"/>
        <v>0</v>
      </c>
      <c r="M125" s="2" t="str">
        <f t="shared" si="24"/>
        <v>0</v>
      </c>
      <c r="N125" s="2" t="str">
        <f t="shared" si="25"/>
        <v>0</v>
      </c>
      <c r="O125" s="2" t="str">
        <f t="shared" si="26"/>
        <v>0</v>
      </c>
      <c r="P125" s="2" t="str">
        <f t="shared" si="27"/>
        <v>0</v>
      </c>
      <c r="Q125" s="2" t="str">
        <f t="shared" si="28"/>
        <v>0</v>
      </c>
      <c r="R125" s="2" t="str">
        <f t="shared" si="29"/>
        <v>0</v>
      </c>
      <c r="S125" s="2" t="str">
        <f t="shared" si="30"/>
        <v>0</v>
      </c>
      <c r="T125" s="2" t="str">
        <f t="shared" si="31"/>
        <v>0</v>
      </c>
    </row>
    <row r="126" spans="5:20" x14ac:dyDescent="0.25">
      <c r="E126" s="2" t="str">
        <f t="shared" si="16"/>
        <v>0</v>
      </c>
      <c r="F126" s="2" t="str">
        <f t="shared" si="17"/>
        <v>0</v>
      </c>
      <c r="G126" s="2" t="str">
        <f t="shared" si="18"/>
        <v>0</v>
      </c>
      <c r="H126" s="2" t="str">
        <f t="shared" si="19"/>
        <v>0</v>
      </c>
      <c r="I126" s="2" t="str">
        <f t="shared" si="20"/>
        <v>0</v>
      </c>
      <c r="J126" s="2" t="str">
        <f t="shared" si="21"/>
        <v>0</v>
      </c>
      <c r="K126" s="2" t="str">
        <f t="shared" si="22"/>
        <v>0</v>
      </c>
      <c r="L126" s="2" t="str">
        <f t="shared" si="23"/>
        <v>0</v>
      </c>
      <c r="M126" s="2" t="str">
        <f t="shared" si="24"/>
        <v>0</v>
      </c>
      <c r="N126" s="2" t="str">
        <f t="shared" si="25"/>
        <v>0</v>
      </c>
      <c r="O126" s="2" t="str">
        <f t="shared" si="26"/>
        <v>0</v>
      </c>
      <c r="P126" s="2" t="str">
        <f t="shared" si="27"/>
        <v>0</v>
      </c>
      <c r="Q126" s="2" t="str">
        <f t="shared" si="28"/>
        <v>0</v>
      </c>
      <c r="R126" s="2" t="str">
        <f t="shared" si="29"/>
        <v>0</v>
      </c>
      <c r="S126" s="2" t="str">
        <f t="shared" si="30"/>
        <v>0</v>
      </c>
      <c r="T126" s="2" t="str">
        <f t="shared" si="31"/>
        <v>0</v>
      </c>
    </row>
    <row r="127" spans="5:20" x14ac:dyDescent="0.25">
      <c r="E127" s="2">
        <f>SUM(E39:E126)</f>
        <v>2.2000000000000002</v>
      </c>
      <c r="F127" s="2">
        <f t="shared" ref="F127:T127" si="32">SUM(F39:F126)</f>
        <v>18.999999999999996</v>
      </c>
      <c r="G127" s="2">
        <f t="shared" si="32"/>
        <v>20.8</v>
      </c>
      <c r="H127" s="2">
        <f t="shared" si="32"/>
        <v>32.599999999999994</v>
      </c>
      <c r="I127" s="2">
        <f t="shared" si="32"/>
        <v>0</v>
      </c>
      <c r="J127" s="2">
        <f t="shared" si="32"/>
        <v>41.999999999999993</v>
      </c>
      <c r="K127" s="2">
        <f t="shared" si="32"/>
        <v>0</v>
      </c>
      <c r="L127" s="2">
        <f t="shared" si="32"/>
        <v>0</v>
      </c>
      <c r="M127" s="2">
        <f t="shared" si="32"/>
        <v>41.999999999999993</v>
      </c>
      <c r="N127" s="2">
        <f t="shared" si="32"/>
        <v>41.999999999999993</v>
      </c>
      <c r="O127" s="2">
        <f t="shared" si="32"/>
        <v>0</v>
      </c>
      <c r="P127" s="2">
        <f t="shared" si="32"/>
        <v>41.999999999999993</v>
      </c>
      <c r="Q127" s="2">
        <f t="shared" si="32"/>
        <v>0</v>
      </c>
      <c r="R127" s="2">
        <f t="shared" si="32"/>
        <v>0</v>
      </c>
      <c r="S127" s="2">
        <f t="shared" si="32"/>
        <v>41.999999999999993</v>
      </c>
      <c r="T127" s="2">
        <f t="shared" si="32"/>
        <v>0</v>
      </c>
    </row>
  </sheetData>
  <mergeCells count="14">
    <mergeCell ref="R5:T5"/>
    <mergeCell ref="U5:U6"/>
    <mergeCell ref="E32:F32"/>
    <mergeCell ref="J2:K2"/>
    <mergeCell ref="O2:S2"/>
    <mergeCell ref="J5:K5"/>
    <mergeCell ref="L5:N5"/>
    <mergeCell ref="O5:Q5"/>
    <mergeCell ref="A2:G2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E8D5-260B-4EFB-B075-2F47FFE620FA}">
  <sheetPr>
    <pageSetUpPr fitToPage="1"/>
  </sheetPr>
  <dimension ref="B1:AK25"/>
  <sheetViews>
    <sheetView view="pageBreakPreview" zoomScale="70" zoomScaleNormal="55" zoomScaleSheetLayoutView="70" workbookViewId="0">
      <selection activeCell="AH21" sqref="AH21"/>
    </sheetView>
  </sheetViews>
  <sheetFormatPr defaultColWidth="8.88671875" defaultRowHeight="13.8" x14ac:dyDescent="0.3"/>
  <cols>
    <col min="1" max="1" width="8.88671875" style="19"/>
    <col min="2" max="2" width="23.33203125" style="19" customWidth="1"/>
    <col min="3" max="3" width="85.109375" style="19" customWidth="1"/>
    <col min="4" max="7" width="11.5546875" style="19" customWidth="1"/>
    <col min="8" max="8" width="15.6640625" style="19" customWidth="1"/>
    <col min="9" max="9" width="13" style="19" customWidth="1"/>
    <col min="10" max="10" width="14" style="19" bestFit="1" customWidth="1"/>
    <col min="11" max="12" width="12.5546875" style="19" customWidth="1"/>
    <col min="13" max="13" width="12.109375" style="19" customWidth="1"/>
    <col min="14" max="16" width="13.6640625" style="19" customWidth="1"/>
    <col min="17" max="19" width="14.5546875" style="19" customWidth="1"/>
    <col min="20" max="16384" width="8.88671875" style="19"/>
  </cols>
  <sheetData>
    <row r="1" spans="2:37" ht="14.4" thickBot="1" x14ac:dyDescent="0.35"/>
    <row r="2" spans="2:37" x14ac:dyDescent="0.3">
      <c r="B2" s="95" t="s">
        <v>37</v>
      </c>
      <c r="C2" s="93" t="s">
        <v>38</v>
      </c>
      <c r="D2" s="93" t="s">
        <v>2</v>
      </c>
      <c r="E2" s="93"/>
      <c r="F2" s="93"/>
      <c r="G2" s="93"/>
      <c r="H2" s="93"/>
      <c r="I2" s="93" t="s">
        <v>18</v>
      </c>
      <c r="J2" s="93"/>
      <c r="K2" s="93" t="s">
        <v>32</v>
      </c>
      <c r="L2" s="93"/>
      <c r="M2" s="93"/>
      <c r="N2" s="93" t="s">
        <v>22</v>
      </c>
      <c r="O2" s="93"/>
      <c r="P2" s="93"/>
      <c r="Q2" s="93" t="s">
        <v>25</v>
      </c>
      <c r="R2" s="93"/>
      <c r="S2" s="94"/>
    </row>
    <row r="3" spans="2:37" ht="14.4" thickBot="1" x14ac:dyDescent="0.35">
      <c r="B3" s="96"/>
      <c r="C3" s="97"/>
      <c r="D3" s="20" t="s">
        <v>3</v>
      </c>
      <c r="E3" s="20" t="s">
        <v>8</v>
      </c>
      <c r="F3" s="20" t="s">
        <v>4</v>
      </c>
      <c r="G3" s="20" t="s">
        <v>5</v>
      </c>
      <c r="H3" s="20" t="s">
        <v>6</v>
      </c>
      <c r="I3" s="20" t="s">
        <v>19</v>
      </c>
      <c r="J3" s="20" t="s">
        <v>35</v>
      </c>
      <c r="K3" s="20" t="s">
        <v>20</v>
      </c>
      <c r="L3" s="20" t="s">
        <v>21</v>
      </c>
      <c r="M3" s="20" t="s">
        <v>31</v>
      </c>
      <c r="N3" s="20" t="s">
        <v>3</v>
      </c>
      <c r="O3" s="20" t="s">
        <v>23</v>
      </c>
      <c r="P3" s="20" t="s">
        <v>24</v>
      </c>
      <c r="Q3" s="20" t="s">
        <v>3</v>
      </c>
      <c r="R3" s="20" t="s">
        <v>26</v>
      </c>
      <c r="S3" s="21" t="s">
        <v>24</v>
      </c>
    </row>
    <row r="4" spans="2:37" ht="30" customHeight="1" x14ac:dyDescent="0.3">
      <c r="B4" s="69">
        <v>224</v>
      </c>
      <c r="C4" s="22" t="s">
        <v>40</v>
      </c>
      <c r="D4" s="28">
        <f>'224'!E127</f>
        <v>14.1</v>
      </c>
      <c r="E4" s="28">
        <f>'224'!F127</f>
        <v>7.2</v>
      </c>
      <c r="F4" s="28">
        <f>'224'!G127</f>
        <v>4.8999999999999995</v>
      </c>
      <c r="G4" s="28">
        <f>'224'!H127</f>
        <v>9.8999999999999986</v>
      </c>
      <c r="H4" s="28">
        <f>'224'!I127</f>
        <v>0</v>
      </c>
      <c r="I4" s="28">
        <f>'224'!J127</f>
        <v>26.2</v>
      </c>
      <c r="J4" s="28">
        <f>'224'!K127</f>
        <v>0</v>
      </c>
      <c r="K4" s="28">
        <f>'224'!L127</f>
        <v>0</v>
      </c>
      <c r="L4" s="28">
        <f>'224'!M127</f>
        <v>26.2</v>
      </c>
      <c r="M4" s="28">
        <f>'224'!N127</f>
        <v>0</v>
      </c>
      <c r="N4" s="28">
        <f>'224'!O127</f>
        <v>0</v>
      </c>
      <c r="O4" s="28">
        <f>'224'!P127</f>
        <v>26.2</v>
      </c>
      <c r="P4" s="28">
        <f>'224'!Q127</f>
        <v>0</v>
      </c>
      <c r="Q4" s="28">
        <f>'224'!R127</f>
        <v>0</v>
      </c>
      <c r="R4" s="28">
        <f>'224'!S127</f>
        <v>26.2</v>
      </c>
      <c r="S4" s="29">
        <f>'224'!T127</f>
        <v>0</v>
      </c>
    </row>
    <row r="5" spans="2:37" ht="30" customHeight="1" x14ac:dyDescent="0.3">
      <c r="B5" s="72">
        <v>225</v>
      </c>
      <c r="C5" s="23" t="s">
        <v>41</v>
      </c>
      <c r="D5" s="26">
        <f>'225'!E127</f>
        <v>0</v>
      </c>
      <c r="E5" s="26">
        <f>'225'!F127</f>
        <v>20.100000000000001</v>
      </c>
      <c r="F5" s="26">
        <f>'225'!G127</f>
        <v>67.600000000000009</v>
      </c>
      <c r="G5" s="26">
        <f>'225'!H127</f>
        <v>0</v>
      </c>
      <c r="H5" s="26">
        <f>'225'!I127</f>
        <v>12</v>
      </c>
      <c r="I5" s="26">
        <f>'225'!J127</f>
        <v>76.2</v>
      </c>
      <c r="J5" s="26">
        <f>'225'!K127</f>
        <v>0</v>
      </c>
      <c r="K5" s="26">
        <f>'225'!L127</f>
        <v>6.5</v>
      </c>
      <c r="L5" s="26">
        <f>'225'!M127</f>
        <v>45.499999999999993</v>
      </c>
      <c r="M5" s="26">
        <f>'225'!N127</f>
        <v>0</v>
      </c>
      <c r="N5" s="26">
        <f>'225'!O127</f>
        <v>0</v>
      </c>
      <c r="O5" s="26">
        <f>'225'!P127</f>
        <v>76.2</v>
      </c>
      <c r="P5" s="26">
        <f>'225'!Q127</f>
        <v>0</v>
      </c>
      <c r="Q5" s="26">
        <f>'225'!R127</f>
        <v>0</v>
      </c>
      <c r="R5" s="26">
        <f>'225'!S127</f>
        <v>76.2</v>
      </c>
      <c r="S5" s="30">
        <f>'225'!T127</f>
        <v>0</v>
      </c>
      <c r="U5" s="34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</row>
    <row r="6" spans="2:37" ht="30" customHeight="1" x14ac:dyDescent="0.3">
      <c r="B6" s="72">
        <v>226</v>
      </c>
      <c r="C6" s="23" t="s">
        <v>42</v>
      </c>
      <c r="D6" s="26">
        <f>'226'!E127</f>
        <v>0</v>
      </c>
      <c r="E6" s="26">
        <f>'226'!F127</f>
        <v>27.099999999999998</v>
      </c>
      <c r="F6" s="26">
        <f>'226'!G127</f>
        <v>37.930000000000007</v>
      </c>
      <c r="G6" s="26">
        <f>'226'!H127</f>
        <v>19.190000000000001</v>
      </c>
      <c r="H6" s="26">
        <f>'226'!I127</f>
        <v>35.03</v>
      </c>
      <c r="I6" s="26">
        <f>'226'!J127</f>
        <v>65.03</v>
      </c>
      <c r="J6" s="26">
        <f>'226'!K127</f>
        <v>0</v>
      </c>
      <c r="K6" s="26">
        <f>'226'!L127</f>
        <v>13.09</v>
      </c>
      <c r="L6" s="26">
        <f>'226'!M127</f>
        <v>29.729999999999997</v>
      </c>
      <c r="M6" s="26">
        <f>'226'!N127</f>
        <v>0</v>
      </c>
      <c r="N6" s="26">
        <f>'226'!O127</f>
        <v>0</v>
      </c>
      <c r="O6" s="26">
        <f>'226'!P127</f>
        <v>65.03</v>
      </c>
      <c r="P6" s="26">
        <f>'226'!Q127</f>
        <v>0</v>
      </c>
      <c r="Q6" s="26">
        <f>'226'!R127</f>
        <v>0</v>
      </c>
      <c r="R6" s="26">
        <f>'226'!S127</f>
        <v>65.03</v>
      </c>
      <c r="S6" s="30">
        <f>'226'!T127</f>
        <v>0</v>
      </c>
      <c r="U6" s="34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</row>
    <row r="7" spans="2:37" ht="30" customHeight="1" x14ac:dyDescent="0.3">
      <c r="B7" s="72">
        <v>227</v>
      </c>
      <c r="C7" s="23" t="s">
        <v>43</v>
      </c>
      <c r="D7" s="26">
        <f>'227'!E127</f>
        <v>0</v>
      </c>
      <c r="E7" s="26">
        <f>'227'!F127</f>
        <v>36.25</v>
      </c>
      <c r="F7" s="26">
        <f>'227'!G127</f>
        <v>6.900000000000003</v>
      </c>
      <c r="G7" s="26">
        <f>'227'!H127</f>
        <v>22.059999999999995</v>
      </c>
      <c r="H7" s="26">
        <f>'227'!I127</f>
        <v>15.819999999999999</v>
      </c>
      <c r="I7" s="26">
        <f>'227'!J127</f>
        <v>43.15</v>
      </c>
      <c r="J7" s="26">
        <f>'227'!K127</f>
        <v>0</v>
      </c>
      <c r="K7" s="26">
        <f>'227'!L127</f>
        <v>3.06</v>
      </c>
      <c r="L7" s="26">
        <f>'227'!M127</f>
        <v>28.79</v>
      </c>
      <c r="M7" s="26">
        <f>'227'!N127</f>
        <v>8.99</v>
      </c>
      <c r="N7" s="26">
        <f>'227'!O127</f>
        <v>0</v>
      </c>
      <c r="O7" s="26">
        <f>'227'!P127</f>
        <v>41.29</v>
      </c>
      <c r="P7" s="26">
        <f>'227'!Q127</f>
        <v>1.86</v>
      </c>
      <c r="Q7" s="26">
        <f>'227'!R127</f>
        <v>8.99</v>
      </c>
      <c r="R7" s="26">
        <f>'227'!S127</f>
        <v>43.15</v>
      </c>
      <c r="S7" s="30">
        <f>'227'!T127</f>
        <v>0</v>
      </c>
      <c r="U7" s="34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</row>
    <row r="8" spans="2:37" ht="30" customHeight="1" x14ac:dyDescent="0.3">
      <c r="B8" s="70">
        <v>228</v>
      </c>
      <c r="C8" s="23" t="s">
        <v>44</v>
      </c>
      <c r="D8" s="26">
        <f>'228'!E127</f>
        <v>4.3399999999999963</v>
      </c>
      <c r="E8" s="26">
        <f>'228'!F127</f>
        <v>50.6</v>
      </c>
      <c r="F8" s="26">
        <f>'228'!G127</f>
        <v>0</v>
      </c>
      <c r="G8" s="26">
        <f>'228'!H127</f>
        <v>50.6</v>
      </c>
      <c r="H8" s="26">
        <f>'228'!I127</f>
        <v>0</v>
      </c>
      <c r="I8" s="26">
        <f>'228'!J127</f>
        <v>0</v>
      </c>
      <c r="J8" s="26">
        <f>'228'!K127</f>
        <v>54.94</v>
      </c>
      <c r="K8" s="26">
        <f>'228'!L127</f>
        <v>0</v>
      </c>
      <c r="L8" s="26">
        <f>'228'!M127</f>
        <v>54.94</v>
      </c>
      <c r="M8" s="26">
        <f>'228'!N127</f>
        <v>54.94</v>
      </c>
      <c r="N8" s="26">
        <f>'228'!O127</f>
        <v>54.94</v>
      </c>
      <c r="O8" s="26">
        <f>'228'!P127</f>
        <v>0</v>
      </c>
      <c r="P8" s="26">
        <f>'228'!Q127</f>
        <v>0</v>
      </c>
      <c r="Q8" s="26">
        <f>'228'!R127</f>
        <v>0</v>
      </c>
      <c r="R8" s="26">
        <f>'228'!S127</f>
        <v>54.94</v>
      </c>
      <c r="S8" s="30">
        <f>'228'!T127</f>
        <v>0</v>
      </c>
      <c r="U8" s="34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</row>
    <row r="9" spans="2:37" ht="30" customHeight="1" x14ac:dyDescent="0.3">
      <c r="B9" s="70">
        <v>229</v>
      </c>
      <c r="C9" s="23" t="s">
        <v>45</v>
      </c>
      <c r="D9" s="26">
        <f>'229'!E127</f>
        <v>0.44</v>
      </c>
      <c r="E9" s="26">
        <f>'229'!F127</f>
        <v>0</v>
      </c>
      <c r="F9" s="26">
        <f>'229'!G127</f>
        <v>1.97</v>
      </c>
      <c r="G9" s="26">
        <f>'229'!H127</f>
        <v>0</v>
      </c>
      <c r="H9" s="26">
        <f>'229'!I127</f>
        <v>0</v>
      </c>
      <c r="I9" s="26">
        <f>'229'!J127</f>
        <v>2.41</v>
      </c>
      <c r="J9" s="26">
        <f>'229'!K127</f>
        <v>0</v>
      </c>
      <c r="K9" s="26">
        <f>'229'!L127</f>
        <v>0.44</v>
      </c>
      <c r="L9" s="26">
        <f>'229'!M127</f>
        <v>1.97</v>
      </c>
      <c r="M9" s="26">
        <f>'229'!N127</f>
        <v>0</v>
      </c>
      <c r="N9" s="26">
        <f>'229'!O127</f>
        <v>0</v>
      </c>
      <c r="O9" s="26">
        <f>'229'!P127</f>
        <v>2.41</v>
      </c>
      <c r="P9" s="26">
        <f>'229'!Q127</f>
        <v>0</v>
      </c>
      <c r="Q9" s="26">
        <f>'229'!R127</f>
        <v>0</v>
      </c>
      <c r="R9" s="26">
        <f>'229'!S127</f>
        <v>2.41</v>
      </c>
      <c r="S9" s="30">
        <f>'229'!T127</f>
        <v>0</v>
      </c>
      <c r="U9" s="34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</row>
    <row r="10" spans="2:37" ht="30" customHeight="1" x14ac:dyDescent="0.3">
      <c r="B10" s="72">
        <v>230</v>
      </c>
      <c r="C10" s="23" t="s">
        <v>46</v>
      </c>
      <c r="D10" s="26">
        <f>'230'!E167</f>
        <v>14.319999999999999</v>
      </c>
      <c r="E10" s="26">
        <f>'230'!F167</f>
        <v>26.78</v>
      </c>
      <c r="F10" s="26">
        <f>'230'!G167</f>
        <v>13.5</v>
      </c>
      <c r="G10" s="26">
        <f>'230'!H167</f>
        <v>11.779999999999998</v>
      </c>
      <c r="H10" s="26">
        <f>'230'!I167</f>
        <v>39.300000000000004</v>
      </c>
      <c r="I10" s="26">
        <f>'230'!J167</f>
        <v>1</v>
      </c>
      <c r="J10" s="26">
        <f>'230'!K167</f>
        <v>61.899999999999991</v>
      </c>
      <c r="K10" s="26">
        <f>'230'!L167</f>
        <v>0</v>
      </c>
      <c r="L10" s="26">
        <f>'230'!M167</f>
        <v>38.819999999999993</v>
      </c>
      <c r="M10" s="26">
        <f>'230'!N167</f>
        <v>1.1000000000000001</v>
      </c>
      <c r="N10" s="26">
        <f>'230'!O167</f>
        <v>0</v>
      </c>
      <c r="O10" s="26">
        <f>'230'!P167</f>
        <v>38.819999999999993</v>
      </c>
      <c r="P10" s="26">
        <f>'230'!Q167</f>
        <v>0</v>
      </c>
      <c r="Q10" s="26">
        <f>'230'!R167</f>
        <v>0</v>
      </c>
      <c r="R10" s="26">
        <f>'230'!S167</f>
        <v>38.819999999999993</v>
      </c>
      <c r="S10" s="30">
        <f>'230'!T167</f>
        <v>0</v>
      </c>
      <c r="U10" s="34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</row>
    <row r="11" spans="2:37" ht="30" customHeight="1" x14ac:dyDescent="0.3">
      <c r="B11" s="70">
        <v>231</v>
      </c>
      <c r="C11" s="23" t="s">
        <v>47</v>
      </c>
      <c r="D11" s="26">
        <f>'231'!E127</f>
        <v>0</v>
      </c>
      <c r="E11" s="26">
        <f>'231'!F127</f>
        <v>1.1299999999999999</v>
      </c>
      <c r="F11" s="26">
        <f>'231'!G127</f>
        <v>0</v>
      </c>
      <c r="G11" s="26">
        <f>'231'!H127</f>
        <v>0</v>
      </c>
      <c r="H11" s="26">
        <f>'231'!I127</f>
        <v>0</v>
      </c>
      <c r="I11" s="26">
        <f>'231'!J127</f>
        <v>1.1299999999999999</v>
      </c>
      <c r="J11" s="26">
        <f>'231'!K127</f>
        <v>0</v>
      </c>
      <c r="K11" s="26">
        <f>'231'!L127</f>
        <v>1.1299999999999999</v>
      </c>
      <c r="L11" s="26">
        <f>'231'!M127</f>
        <v>0</v>
      </c>
      <c r="M11" s="26">
        <f>'231'!N127</f>
        <v>0</v>
      </c>
      <c r="N11" s="26">
        <f>'231'!O127</f>
        <v>0</v>
      </c>
      <c r="O11" s="26">
        <f>'231'!P127</f>
        <v>1.1299999999999999</v>
      </c>
      <c r="P11" s="26">
        <f>'231'!Q127</f>
        <v>0</v>
      </c>
      <c r="Q11" s="26">
        <f>'231'!R127</f>
        <v>0</v>
      </c>
      <c r="R11" s="26">
        <f>'231'!S127</f>
        <v>1.1299999999999999</v>
      </c>
      <c r="S11" s="30">
        <f>'231'!T127</f>
        <v>0</v>
      </c>
      <c r="U11" s="34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</row>
    <row r="12" spans="2:37" ht="30" customHeight="1" x14ac:dyDescent="0.3">
      <c r="B12" s="72">
        <v>233</v>
      </c>
      <c r="C12" s="23" t="s">
        <v>48</v>
      </c>
      <c r="D12" s="26">
        <f>'233'!E158</f>
        <v>9</v>
      </c>
      <c r="E12" s="26">
        <f>'233'!F158</f>
        <v>57.58</v>
      </c>
      <c r="F12" s="26">
        <f>'233'!G158</f>
        <v>33.269999999999996</v>
      </c>
      <c r="G12" s="26">
        <f>'233'!H158</f>
        <v>0</v>
      </c>
      <c r="H12" s="26">
        <f>'233'!I158</f>
        <v>11</v>
      </c>
      <c r="I12" s="26">
        <f>'233'!J158</f>
        <v>88.85</v>
      </c>
      <c r="J12" s="26">
        <f>'233'!K158</f>
        <v>0</v>
      </c>
      <c r="K12" s="26">
        <f>'233'!L158</f>
        <v>10</v>
      </c>
      <c r="L12" s="26">
        <f>'233'!M158</f>
        <v>77.849999999999994</v>
      </c>
      <c r="M12" s="26">
        <f>'233'!N158</f>
        <v>7</v>
      </c>
      <c r="N12" s="26">
        <f>'233'!O158</f>
        <v>0</v>
      </c>
      <c r="O12" s="26">
        <f>'233'!P158</f>
        <v>89.85</v>
      </c>
      <c r="P12" s="26">
        <f>'233'!Q158</f>
        <v>0</v>
      </c>
      <c r="Q12" s="26">
        <f>'233'!R158</f>
        <v>0</v>
      </c>
      <c r="R12" s="26">
        <f>'233'!S158</f>
        <v>89.85</v>
      </c>
      <c r="S12" s="30">
        <f>'233'!T158</f>
        <v>0</v>
      </c>
      <c r="U12" s="34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</row>
    <row r="13" spans="2:37" ht="30" customHeight="1" x14ac:dyDescent="0.3">
      <c r="B13" s="70">
        <v>234</v>
      </c>
      <c r="C13" s="23" t="s">
        <v>49</v>
      </c>
      <c r="D13" s="26">
        <f>'234'!E127</f>
        <v>3</v>
      </c>
      <c r="E13" s="26">
        <f>'234'!F127</f>
        <v>32.120000000000005</v>
      </c>
      <c r="F13" s="26">
        <f>'234'!G127</f>
        <v>2.2999999999999989</v>
      </c>
      <c r="G13" s="26">
        <f>'234'!H127</f>
        <v>1.7999999999999998</v>
      </c>
      <c r="H13" s="26">
        <f>'234'!I127</f>
        <v>24.02</v>
      </c>
      <c r="I13" s="26">
        <f>'234'!J127</f>
        <v>0</v>
      </c>
      <c r="J13" s="26">
        <f>'234'!K127</f>
        <v>37.42</v>
      </c>
      <c r="K13" s="26">
        <f>'234'!L127</f>
        <v>0</v>
      </c>
      <c r="L13" s="26">
        <f>'234'!M127</f>
        <v>37.42</v>
      </c>
      <c r="M13" s="26">
        <f>'234'!N127</f>
        <v>10</v>
      </c>
      <c r="N13" s="26">
        <f>'234'!O127</f>
        <v>0</v>
      </c>
      <c r="O13" s="26">
        <f>'234'!P127</f>
        <v>37.42</v>
      </c>
      <c r="P13" s="26">
        <f>'234'!Q127</f>
        <v>0</v>
      </c>
      <c r="Q13" s="26">
        <f>'234'!R127</f>
        <v>0</v>
      </c>
      <c r="R13" s="26">
        <f>'234'!S127</f>
        <v>37.42</v>
      </c>
      <c r="S13" s="30">
        <f>'234'!T127</f>
        <v>0</v>
      </c>
      <c r="U13" s="34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</row>
    <row r="14" spans="2:37" ht="30" customHeight="1" x14ac:dyDescent="0.3">
      <c r="B14" s="72">
        <v>235</v>
      </c>
      <c r="C14" s="23" t="s">
        <v>50</v>
      </c>
      <c r="D14" s="26">
        <f>'235'!E127</f>
        <v>3.24</v>
      </c>
      <c r="E14" s="26">
        <f>'235'!F127</f>
        <v>5</v>
      </c>
      <c r="F14" s="26">
        <f>'235'!G127</f>
        <v>1</v>
      </c>
      <c r="G14" s="26">
        <f>'235'!H127</f>
        <v>6.44</v>
      </c>
      <c r="H14" s="26">
        <f>'235'!I127</f>
        <v>0</v>
      </c>
      <c r="I14" s="26">
        <f>'235'!J127</f>
        <v>11.44</v>
      </c>
      <c r="J14" s="26">
        <f>'235'!K127</f>
        <v>0</v>
      </c>
      <c r="K14" s="26">
        <f>'235'!L127</f>
        <v>0</v>
      </c>
      <c r="L14" s="26">
        <f>'235'!M127</f>
        <v>11.44</v>
      </c>
      <c r="M14" s="26">
        <f>'235'!N127</f>
        <v>0</v>
      </c>
      <c r="N14" s="26">
        <f>'235'!O127</f>
        <v>11.44</v>
      </c>
      <c r="O14" s="26">
        <f>'235'!P127</f>
        <v>0</v>
      </c>
      <c r="P14" s="26">
        <f>'235'!Q127</f>
        <v>0</v>
      </c>
      <c r="Q14" s="26">
        <f>'235'!R127</f>
        <v>11.44</v>
      </c>
      <c r="R14" s="26">
        <f>'235'!S127</f>
        <v>0</v>
      </c>
      <c r="S14" s="30">
        <f>'235'!T127</f>
        <v>0</v>
      </c>
      <c r="U14" s="34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</row>
    <row r="15" spans="2:37" ht="30" customHeight="1" x14ac:dyDescent="0.3">
      <c r="B15" s="72">
        <v>243</v>
      </c>
      <c r="C15" s="23" t="s">
        <v>51</v>
      </c>
      <c r="D15" s="26">
        <f>'243'!E127</f>
        <v>25.53</v>
      </c>
      <c r="E15" s="26">
        <f>'243'!F127</f>
        <v>9.5300000000000011</v>
      </c>
      <c r="F15" s="26">
        <f>'243'!G127</f>
        <v>0</v>
      </c>
      <c r="G15" s="26">
        <f>'243'!H127</f>
        <v>23.03</v>
      </c>
      <c r="H15" s="26">
        <f>'243'!I127</f>
        <v>0</v>
      </c>
      <c r="I15" s="26">
        <f>'243'!J127</f>
        <v>36.06</v>
      </c>
      <c r="J15" s="26">
        <f>'243'!K127</f>
        <v>0</v>
      </c>
      <c r="K15" s="26">
        <f>'243'!L127</f>
        <v>13</v>
      </c>
      <c r="L15" s="26">
        <f>'243'!M127</f>
        <v>23.060000000000002</v>
      </c>
      <c r="M15" s="26">
        <f>'243'!N127</f>
        <v>13.030000000000001</v>
      </c>
      <c r="N15" s="26">
        <f>'243'!O127</f>
        <v>0</v>
      </c>
      <c r="O15" s="26">
        <f>'243'!P127</f>
        <v>36.06</v>
      </c>
      <c r="P15" s="26">
        <f>'243'!Q127</f>
        <v>0</v>
      </c>
      <c r="Q15" s="26">
        <f>'243'!R127</f>
        <v>0.5</v>
      </c>
      <c r="R15" s="26">
        <f>'243'!S127</f>
        <v>35.56</v>
      </c>
      <c r="S15" s="30">
        <f>'243'!T127</f>
        <v>0</v>
      </c>
      <c r="U15" s="34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</row>
    <row r="16" spans="2:37" ht="30" customHeight="1" thickBot="1" x14ac:dyDescent="0.35">
      <c r="B16" s="71">
        <v>244</v>
      </c>
      <c r="C16" s="24" t="s">
        <v>52</v>
      </c>
      <c r="D16" s="27">
        <f>'244'!E127</f>
        <v>2.2000000000000002</v>
      </c>
      <c r="E16" s="27">
        <f>'244'!F127</f>
        <v>18.999999999999996</v>
      </c>
      <c r="F16" s="27">
        <f>'244'!G127</f>
        <v>20.8</v>
      </c>
      <c r="G16" s="27">
        <f>'244'!H127</f>
        <v>32.599999999999994</v>
      </c>
      <c r="H16" s="27">
        <f>'244'!I127</f>
        <v>0</v>
      </c>
      <c r="I16" s="27">
        <f>'244'!J127</f>
        <v>41.999999999999993</v>
      </c>
      <c r="J16" s="27">
        <f>'244'!K127</f>
        <v>0</v>
      </c>
      <c r="K16" s="27">
        <f>'244'!L127</f>
        <v>0</v>
      </c>
      <c r="L16" s="27">
        <f>'244'!M127</f>
        <v>41.999999999999993</v>
      </c>
      <c r="M16" s="27">
        <f>'244'!N127</f>
        <v>41.999999999999993</v>
      </c>
      <c r="N16" s="27">
        <f>'244'!O127</f>
        <v>0</v>
      </c>
      <c r="O16" s="27">
        <f>'244'!P127</f>
        <v>41.999999999999993</v>
      </c>
      <c r="P16" s="27">
        <f>'244'!Q127</f>
        <v>0</v>
      </c>
      <c r="Q16" s="27">
        <f>'244'!R127</f>
        <v>0</v>
      </c>
      <c r="R16" s="27">
        <f>'244'!S127</f>
        <v>41.999999999999993</v>
      </c>
      <c r="S16" s="31">
        <f>'244'!T127</f>
        <v>0</v>
      </c>
      <c r="U16" s="34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3:37" ht="23.4" x14ac:dyDescent="0.3">
      <c r="U17" s="34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spans="3:37" ht="23.4" x14ac:dyDescent="0.3">
      <c r="C18" s="32" t="s">
        <v>53</v>
      </c>
      <c r="D18" s="33">
        <f>SUM(D4:D16)</f>
        <v>76.17</v>
      </c>
      <c r="E18" s="33">
        <f t="shared" ref="E18:S18" si="0">SUM(E4:E16)</f>
        <v>292.39</v>
      </c>
      <c r="F18" s="33">
        <f t="shared" si="0"/>
        <v>190.17000000000002</v>
      </c>
      <c r="G18" s="33">
        <f t="shared" si="0"/>
        <v>177.4</v>
      </c>
      <c r="H18" s="33">
        <f t="shared" si="0"/>
        <v>137.17000000000002</v>
      </c>
      <c r="I18" s="33">
        <f t="shared" si="0"/>
        <v>393.47</v>
      </c>
      <c r="J18" s="33">
        <f t="shared" si="0"/>
        <v>154.26</v>
      </c>
      <c r="K18" s="33">
        <f t="shared" si="0"/>
        <v>47.22</v>
      </c>
      <c r="L18" s="33">
        <f t="shared" si="0"/>
        <v>417.71999999999997</v>
      </c>
      <c r="M18" s="33">
        <f t="shared" si="0"/>
        <v>137.06</v>
      </c>
      <c r="N18" s="33">
        <f t="shared" si="0"/>
        <v>66.38</v>
      </c>
      <c r="O18" s="33">
        <f t="shared" si="0"/>
        <v>456.40999999999997</v>
      </c>
      <c r="P18" s="33">
        <f t="shared" si="0"/>
        <v>1.86</v>
      </c>
      <c r="Q18" s="33">
        <f t="shared" si="0"/>
        <v>20.93</v>
      </c>
      <c r="R18" s="33">
        <f t="shared" si="0"/>
        <v>512.71</v>
      </c>
      <c r="S18" s="33">
        <f t="shared" si="0"/>
        <v>0</v>
      </c>
      <c r="U18" s="34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</row>
    <row r="19" spans="3:37" ht="23.4" x14ac:dyDescent="0.3">
      <c r="C19" s="32" t="s">
        <v>54</v>
      </c>
      <c r="D19" s="34"/>
      <c r="E19" s="34"/>
      <c r="F19" s="34"/>
      <c r="G19" s="34"/>
      <c r="H19" s="35">
        <f>SUM(D18:H18)</f>
        <v>873.3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U19" s="34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</row>
    <row r="20" spans="3:37" ht="23.4" x14ac:dyDescent="0.3">
      <c r="C20" s="32" t="s">
        <v>55</v>
      </c>
      <c r="D20" s="34"/>
      <c r="E20" s="34"/>
      <c r="F20" s="34"/>
      <c r="G20" s="34"/>
      <c r="H20" s="36">
        <f>H19/Trechos!F35</f>
        <v>1.5605147914378645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U20" s="34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</row>
    <row r="21" spans="3:37" ht="23.4" x14ac:dyDescent="0.3">
      <c r="U21" s="34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</row>
    <row r="22" spans="3:37" ht="23.4" x14ac:dyDescent="0.3">
      <c r="U22" s="34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</row>
    <row r="23" spans="3:37" ht="23.4" x14ac:dyDescent="0.3">
      <c r="U23" s="34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</row>
    <row r="24" spans="3:37" ht="23.4" x14ac:dyDescent="0.3">
      <c r="U24" s="34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</row>
    <row r="25" spans="3:37" ht="23.4" x14ac:dyDescent="0.3">
      <c r="U25" s="34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</row>
  </sheetData>
  <mergeCells count="7">
    <mergeCell ref="Q2:S2"/>
    <mergeCell ref="B2:B3"/>
    <mergeCell ref="C2:C3"/>
    <mergeCell ref="D2:H2"/>
    <mergeCell ref="I2:J2"/>
    <mergeCell ref="K2:M2"/>
    <mergeCell ref="N2:P2"/>
  </mergeCells>
  <pageMargins left="0.51181102362204722" right="0.51181102362204722" top="0.78740157480314965" bottom="0.78740157480314965" header="0.31496062992125984" footer="0.31496062992125984"/>
  <pageSetup paperSize="9" scale="42" orientation="landscape" horizontalDpi="1200" verticalDpi="1200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15</vt:i4>
      </vt:variant>
    </vt:vector>
  </HeadingPairs>
  <TitlesOfParts>
    <vt:vector size="30" baseType="lpstr">
      <vt:lpstr>Trechos</vt:lpstr>
      <vt:lpstr>224</vt:lpstr>
      <vt:lpstr>225</vt:lpstr>
      <vt:lpstr>226</vt:lpstr>
      <vt:lpstr>227</vt:lpstr>
      <vt:lpstr>228</vt:lpstr>
      <vt:lpstr>229</vt:lpstr>
      <vt:lpstr>230</vt:lpstr>
      <vt:lpstr>231</vt:lpstr>
      <vt:lpstr>233</vt:lpstr>
      <vt:lpstr>234</vt:lpstr>
      <vt:lpstr>235</vt:lpstr>
      <vt:lpstr>243</vt:lpstr>
      <vt:lpstr>244</vt:lpstr>
      <vt:lpstr>TT</vt:lpstr>
      <vt:lpstr>'224'!Area_de_impressao</vt:lpstr>
      <vt:lpstr>'225'!Area_de_impressao</vt:lpstr>
      <vt:lpstr>'226'!Area_de_impressao</vt:lpstr>
      <vt:lpstr>'227'!Area_de_impressao</vt:lpstr>
      <vt:lpstr>'228'!Area_de_impressao</vt:lpstr>
      <vt:lpstr>'229'!Area_de_impressao</vt:lpstr>
      <vt:lpstr>'230'!Area_de_impressao</vt:lpstr>
      <vt:lpstr>'231'!Area_de_impressao</vt:lpstr>
      <vt:lpstr>'233'!Area_de_impressao</vt:lpstr>
      <vt:lpstr>'234'!Area_de_impressao</vt:lpstr>
      <vt:lpstr>'235'!Area_de_impressao</vt:lpstr>
      <vt:lpstr>'243'!Area_de_impressao</vt:lpstr>
      <vt:lpstr>'244'!Area_de_impressao</vt:lpstr>
      <vt:lpstr>Trechos!Area_de_impressao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Thiago Borges Torquato</cp:lastModifiedBy>
  <cp:lastPrinted>2025-08-28T12:36:43Z</cp:lastPrinted>
  <dcterms:created xsi:type="dcterms:W3CDTF">2025-07-22T11:15:05Z</dcterms:created>
  <dcterms:modified xsi:type="dcterms:W3CDTF">2026-07-27T14:42:44Z</dcterms:modified>
</cp:coreProperties>
</file>