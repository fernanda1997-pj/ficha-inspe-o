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AREA DE SERVIÇO JULHO\ARQUIVOS PRICILLA\FICHA DE INSPEÇÃO - JULHO\"/>
    </mc:Choice>
  </mc:AlternateContent>
  <xr:revisionPtr revIDLastSave="0" documentId="13_ncr:1_{6B241D78-B77B-42A2-BB0C-3F0B884A4DB5}" xr6:coauthVersionLast="47" xr6:coauthVersionMax="47" xr10:uidLastSave="{00000000-0000-0000-0000-000000000000}"/>
  <bookViews>
    <workbookView xWindow="-108" yWindow="-108" windowWidth="23256" windowHeight="12456" activeTab="1" xr2:uid="{B3ADFE79-E3C6-47F3-8176-221C62BDF425}"/>
  </bookViews>
  <sheets>
    <sheet name="Trechos" sheetId="24" r:id="rId1"/>
    <sheet name="228" sheetId="3" r:id="rId2"/>
    <sheet name="229" sheetId="14" r:id="rId3"/>
    <sheet name="231" sheetId="15" r:id="rId4"/>
    <sheet name="232" sheetId="16" r:id="rId5"/>
    <sheet name="236" sheetId="17" r:id="rId6"/>
    <sheet name="238" sheetId="19" r:id="rId7"/>
    <sheet name="237" sheetId="18" r:id="rId8"/>
    <sheet name="239" sheetId="20" r:id="rId9"/>
    <sheet name="240" sheetId="21" r:id="rId10"/>
    <sheet name="241" sheetId="22" r:id="rId11"/>
    <sheet name="242" sheetId="23" r:id="rId12"/>
    <sheet name="TT" sheetId="2" r:id="rId13"/>
  </sheets>
  <definedNames>
    <definedName name="_xlnm._FilterDatabase" localSheetId="0" hidden="1">Trechos!$A$2:$I$2</definedName>
    <definedName name="_xlnm.Print_Area" localSheetId="1">'228'!$A$1:$R$34</definedName>
    <definedName name="_xlnm.Print_Area" localSheetId="2">'229'!$A$1:$R$34</definedName>
    <definedName name="_xlnm.Print_Area" localSheetId="3">'231'!$A$1:$R$34</definedName>
    <definedName name="_xlnm.Print_Area" localSheetId="4">'232'!$A$1:$R$34</definedName>
    <definedName name="_xlnm.Print_Area" localSheetId="5">'236'!$A$1:$R$34</definedName>
    <definedName name="_xlnm.Print_Area" localSheetId="7">'237'!$A$1:$R$34</definedName>
    <definedName name="_xlnm.Print_Area" localSheetId="6">'238'!$A$1:$R$39</definedName>
    <definedName name="_xlnm.Print_Area" localSheetId="8">'239'!$A$1:$R$34</definedName>
    <definedName name="_xlnm.Print_Area" localSheetId="9">'240'!$A$1:$R$34</definedName>
    <definedName name="_xlnm.Print_Area" localSheetId="10">'241'!$A$1:$R$34</definedName>
    <definedName name="_xlnm.Print_Area" localSheetId="11">'242'!$A$1:$R$34</definedName>
    <definedName name="_xlnm.Print_Area" localSheetId="0">Trechos!$A$1:$I$27</definedName>
    <definedName name="_xlnm.Print_Area" localSheetId="12">TT!$A$1:$J$18</definedName>
    <definedName name="_xlnm.Print_Titles" localSheetId="0">Trechos!$1:$2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19" l="1"/>
  <c r="N1" i="23" l="1"/>
  <c r="N1" i="22"/>
  <c r="N1" i="21"/>
  <c r="N1" i="20"/>
  <c r="N1" i="19"/>
  <c r="N1" i="18"/>
  <c r="N1" i="17"/>
  <c r="N1" i="16"/>
  <c r="N1" i="15"/>
  <c r="N1" i="14"/>
  <c r="J1" i="22"/>
  <c r="J1" i="23"/>
  <c r="J1" i="21"/>
  <c r="J1" i="20"/>
  <c r="J1" i="18"/>
  <c r="J1" i="17"/>
  <c r="J1" i="16"/>
  <c r="J1" i="15"/>
  <c r="J1" i="14"/>
  <c r="G37" i="17"/>
  <c r="H37" i="17"/>
  <c r="J37" i="17"/>
  <c r="K37" i="17"/>
  <c r="F38" i="17"/>
  <c r="H38" i="17"/>
  <c r="J38" i="17"/>
  <c r="K38" i="17"/>
  <c r="E39" i="17"/>
  <c r="F39" i="17"/>
  <c r="G39" i="17"/>
  <c r="H39" i="17"/>
  <c r="I39" i="17"/>
  <c r="J39" i="17"/>
  <c r="K39" i="17"/>
  <c r="E40" i="17"/>
  <c r="F40" i="17"/>
  <c r="G40" i="17"/>
  <c r="H40" i="17"/>
  <c r="I40" i="17"/>
  <c r="J40" i="17"/>
  <c r="K40" i="17"/>
  <c r="E41" i="17"/>
  <c r="F41" i="17"/>
  <c r="G41" i="17"/>
  <c r="H41" i="17"/>
  <c r="I41" i="17"/>
  <c r="J41" i="17"/>
  <c r="K41" i="17"/>
  <c r="G42" i="17"/>
  <c r="H42" i="17"/>
  <c r="J42" i="17"/>
  <c r="K42" i="17"/>
  <c r="G43" i="17"/>
  <c r="H43" i="17"/>
  <c r="J43" i="17"/>
  <c r="K43" i="17"/>
  <c r="G44" i="17"/>
  <c r="H44" i="17"/>
  <c r="J44" i="17"/>
  <c r="K44" i="17"/>
  <c r="F45" i="17"/>
  <c r="H45" i="17"/>
  <c r="J45" i="17"/>
  <c r="K45" i="17"/>
  <c r="G46" i="17"/>
  <c r="H46" i="17"/>
  <c r="J46" i="17"/>
  <c r="K46" i="17"/>
  <c r="F47" i="17"/>
  <c r="H47" i="17"/>
  <c r="J47" i="17"/>
  <c r="K47" i="17"/>
  <c r="F48" i="17"/>
  <c r="H48" i="17"/>
  <c r="J48" i="17"/>
  <c r="K48" i="17"/>
  <c r="G49" i="17"/>
  <c r="H49" i="17"/>
  <c r="J49" i="17"/>
  <c r="K49" i="17"/>
  <c r="E50" i="17"/>
  <c r="F50" i="17"/>
  <c r="G50" i="17"/>
  <c r="H50" i="17"/>
  <c r="I50" i="17"/>
  <c r="J50" i="17"/>
  <c r="K50" i="17"/>
  <c r="E51" i="17"/>
  <c r="F51" i="17"/>
  <c r="G51" i="17"/>
  <c r="H51" i="17"/>
  <c r="I51" i="17"/>
  <c r="J51" i="17"/>
  <c r="K51" i="17"/>
  <c r="E52" i="17"/>
  <c r="F52" i="17"/>
  <c r="G52" i="17"/>
  <c r="H52" i="17"/>
  <c r="I52" i="17"/>
  <c r="J52" i="17"/>
  <c r="K52" i="17"/>
  <c r="F53" i="17"/>
  <c r="H53" i="17"/>
  <c r="J53" i="17"/>
  <c r="K53" i="17"/>
  <c r="E54" i="17"/>
  <c r="F54" i="17"/>
  <c r="G54" i="17"/>
  <c r="H54" i="17"/>
  <c r="I54" i="17"/>
  <c r="J54" i="17"/>
  <c r="K54" i="17"/>
  <c r="E55" i="17"/>
  <c r="F55" i="17"/>
  <c r="G55" i="17"/>
  <c r="H55" i="17"/>
  <c r="I55" i="17"/>
  <c r="J55" i="17"/>
  <c r="K55" i="17"/>
  <c r="E56" i="17"/>
  <c r="F56" i="17"/>
  <c r="G56" i="17"/>
  <c r="H56" i="17"/>
  <c r="I56" i="17"/>
  <c r="J56" i="17"/>
  <c r="K56" i="17"/>
  <c r="E57" i="17"/>
  <c r="G57" i="17"/>
  <c r="H57" i="17"/>
  <c r="I57" i="17"/>
  <c r="J57" i="17"/>
  <c r="K57" i="17"/>
  <c r="G58" i="17"/>
  <c r="H58" i="17"/>
  <c r="J58" i="17"/>
  <c r="K58" i="17"/>
  <c r="G59" i="17"/>
  <c r="H59" i="17"/>
  <c r="J59" i="17"/>
  <c r="K59" i="17"/>
  <c r="G60" i="17"/>
  <c r="H60" i="17"/>
  <c r="J60" i="17"/>
  <c r="K60" i="17"/>
  <c r="E61" i="17"/>
  <c r="F61" i="17"/>
  <c r="G61" i="17"/>
  <c r="H61" i="17"/>
  <c r="I61" i="17"/>
  <c r="J61" i="17"/>
  <c r="K61" i="17"/>
  <c r="F37" i="15"/>
  <c r="H37" i="15"/>
  <c r="J37" i="15"/>
  <c r="K37" i="15"/>
  <c r="F38" i="15"/>
  <c r="G38" i="15"/>
  <c r="J38" i="15"/>
  <c r="K38" i="15"/>
  <c r="G39" i="15"/>
  <c r="H39" i="15"/>
  <c r="J39" i="15"/>
  <c r="K39" i="15"/>
  <c r="G40" i="15"/>
  <c r="H40" i="15"/>
  <c r="J40" i="15"/>
  <c r="K40" i="15"/>
  <c r="G41" i="15"/>
  <c r="H41" i="15"/>
  <c r="J41" i="15"/>
  <c r="K41" i="15"/>
  <c r="E42" i="15"/>
  <c r="G42" i="15"/>
  <c r="H42" i="15"/>
  <c r="J42" i="15"/>
  <c r="K42" i="15"/>
  <c r="G43" i="15"/>
  <c r="H43" i="15"/>
  <c r="J43" i="15"/>
  <c r="K43" i="15"/>
  <c r="G44" i="15"/>
  <c r="H44" i="15"/>
  <c r="J44" i="15"/>
  <c r="K44" i="15"/>
  <c r="G45" i="15"/>
  <c r="H45" i="15"/>
  <c r="J45" i="15"/>
  <c r="K45" i="15"/>
  <c r="E46" i="15"/>
  <c r="F46" i="15"/>
  <c r="G46" i="15"/>
  <c r="H46" i="15"/>
  <c r="I46" i="15"/>
  <c r="J46" i="15"/>
  <c r="K46" i="15"/>
  <c r="E47" i="15"/>
  <c r="F47" i="15"/>
  <c r="G47" i="15"/>
  <c r="H47" i="15"/>
  <c r="I47" i="15"/>
  <c r="J47" i="15"/>
  <c r="K47" i="15"/>
  <c r="G48" i="15"/>
  <c r="H48" i="15"/>
  <c r="J48" i="15"/>
  <c r="K48" i="15"/>
  <c r="G49" i="15"/>
  <c r="H49" i="15"/>
  <c r="J49" i="15"/>
  <c r="K49" i="15"/>
  <c r="E50" i="15"/>
  <c r="F50" i="15"/>
  <c r="G50" i="15"/>
  <c r="H50" i="15"/>
  <c r="I50" i="15"/>
  <c r="J50" i="15"/>
  <c r="K50" i="15"/>
  <c r="E51" i="15"/>
  <c r="F51" i="15"/>
  <c r="G51" i="15"/>
  <c r="H51" i="15"/>
  <c r="I51" i="15"/>
  <c r="J51" i="15"/>
  <c r="K51" i="15"/>
  <c r="G52" i="15"/>
  <c r="H52" i="15"/>
  <c r="J52" i="15"/>
  <c r="K52" i="15"/>
  <c r="E53" i="15"/>
  <c r="F53" i="15"/>
  <c r="G53" i="15"/>
  <c r="H53" i="15"/>
  <c r="I53" i="15"/>
  <c r="J53" i="15"/>
  <c r="K53" i="15"/>
  <c r="E54" i="15"/>
  <c r="F54" i="15"/>
  <c r="G54" i="15"/>
  <c r="H54" i="15"/>
  <c r="I54" i="15"/>
  <c r="J54" i="15"/>
  <c r="K54" i="15"/>
  <c r="E55" i="15"/>
  <c r="F55" i="15"/>
  <c r="G55" i="15"/>
  <c r="H55" i="15"/>
  <c r="I55" i="15"/>
  <c r="J55" i="15"/>
  <c r="K55" i="15"/>
  <c r="E56" i="15"/>
  <c r="F56" i="15"/>
  <c r="G56" i="15"/>
  <c r="H56" i="15"/>
  <c r="I56" i="15"/>
  <c r="J56" i="15"/>
  <c r="K56" i="15"/>
  <c r="E57" i="15"/>
  <c r="F57" i="15"/>
  <c r="G57" i="15"/>
  <c r="H57" i="15"/>
  <c r="I57" i="15"/>
  <c r="J57" i="15"/>
  <c r="K57" i="15"/>
  <c r="E58" i="15"/>
  <c r="F58" i="15"/>
  <c r="G58" i="15"/>
  <c r="H58" i="15"/>
  <c r="I58" i="15"/>
  <c r="J58" i="15"/>
  <c r="K58" i="15"/>
  <c r="E59" i="15"/>
  <c r="F59" i="15"/>
  <c r="G59" i="15"/>
  <c r="H59" i="15"/>
  <c r="I59" i="15"/>
  <c r="J59" i="15"/>
  <c r="K59" i="15"/>
  <c r="E60" i="15"/>
  <c r="F60" i="15"/>
  <c r="G60" i="15"/>
  <c r="H60" i="15"/>
  <c r="I60" i="15"/>
  <c r="J60" i="15"/>
  <c r="K60" i="15"/>
  <c r="E61" i="15"/>
  <c r="F61" i="15"/>
  <c r="G61" i="15"/>
  <c r="H61" i="15"/>
  <c r="I61" i="15"/>
  <c r="J61" i="15"/>
  <c r="K61" i="15"/>
  <c r="E37" i="3"/>
  <c r="F37" i="3"/>
  <c r="G37" i="3"/>
  <c r="H37" i="3"/>
  <c r="I37" i="3"/>
  <c r="J37" i="3"/>
  <c r="K37" i="3"/>
  <c r="E38" i="3"/>
  <c r="F38" i="3"/>
  <c r="G38" i="3"/>
  <c r="H38" i="3"/>
  <c r="I38" i="3"/>
  <c r="J38" i="3"/>
  <c r="K38" i="3"/>
  <c r="E39" i="3"/>
  <c r="F39" i="3"/>
  <c r="G39" i="3"/>
  <c r="H39" i="3"/>
  <c r="I39" i="3"/>
  <c r="J39" i="3"/>
  <c r="K39" i="3"/>
  <c r="E40" i="3"/>
  <c r="F40" i="3"/>
  <c r="G40" i="3"/>
  <c r="H40" i="3"/>
  <c r="I40" i="3"/>
  <c r="J40" i="3"/>
  <c r="K40" i="3"/>
  <c r="E41" i="3"/>
  <c r="F41" i="3"/>
  <c r="G41" i="3"/>
  <c r="H41" i="3"/>
  <c r="I41" i="3"/>
  <c r="J41" i="3"/>
  <c r="K41" i="3"/>
  <c r="E42" i="3"/>
  <c r="F42" i="3"/>
  <c r="G42" i="3"/>
  <c r="H42" i="3"/>
  <c r="I42" i="3"/>
  <c r="J42" i="3"/>
  <c r="K42" i="3"/>
  <c r="E43" i="3"/>
  <c r="F43" i="3"/>
  <c r="G43" i="3"/>
  <c r="H43" i="3"/>
  <c r="I43" i="3"/>
  <c r="J43" i="3"/>
  <c r="K43" i="3"/>
  <c r="E44" i="3"/>
  <c r="F44" i="3"/>
  <c r="G44" i="3"/>
  <c r="H44" i="3"/>
  <c r="I44" i="3"/>
  <c r="J44" i="3"/>
  <c r="K44" i="3"/>
  <c r="E45" i="3"/>
  <c r="F45" i="3"/>
  <c r="G45" i="3"/>
  <c r="H45" i="3"/>
  <c r="I45" i="3"/>
  <c r="J45" i="3"/>
  <c r="K45" i="3"/>
  <c r="E46" i="3"/>
  <c r="F46" i="3"/>
  <c r="G46" i="3"/>
  <c r="H46" i="3"/>
  <c r="I46" i="3"/>
  <c r="J46" i="3"/>
  <c r="K46" i="3"/>
  <c r="E47" i="3"/>
  <c r="F47" i="3"/>
  <c r="G47" i="3"/>
  <c r="H47" i="3"/>
  <c r="I47" i="3"/>
  <c r="J47" i="3"/>
  <c r="K47" i="3"/>
  <c r="E48" i="3"/>
  <c r="F48" i="3"/>
  <c r="G48" i="3"/>
  <c r="H48" i="3"/>
  <c r="I48" i="3"/>
  <c r="J48" i="3"/>
  <c r="K48" i="3"/>
  <c r="E49" i="3"/>
  <c r="F49" i="3"/>
  <c r="G49" i="3"/>
  <c r="H49" i="3"/>
  <c r="I49" i="3"/>
  <c r="J49" i="3"/>
  <c r="K49" i="3"/>
  <c r="E50" i="3"/>
  <c r="F50" i="3"/>
  <c r="G50" i="3"/>
  <c r="H50" i="3"/>
  <c r="I50" i="3"/>
  <c r="J50" i="3"/>
  <c r="K50" i="3"/>
  <c r="E51" i="3"/>
  <c r="F51" i="3"/>
  <c r="G51" i="3"/>
  <c r="H51" i="3"/>
  <c r="I51" i="3"/>
  <c r="J51" i="3"/>
  <c r="K51" i="3"/>
  <c r="E52" i="3"/>
  <c r="F52" i="3"/>
  <c r="G52" i="3"/>
  <c r="H52" i="3"/>
  <c r="I52" i="3"/>
  <c r="J52" i="3"/>
  <c r="K52" i="3"/>
  <c r="E53" i="3"/>
  <c r="F53" i="3"/>
  <c r="G53" i="3"/>
  <c r="H53" i="3"/>
  <c r="I53" i="3"/>
  <c r="J53" i="3"/>
  <c r="K53" i="3"/>
  <c r="E54" i="3"/>
  <c r="F54" i="3"/>
  <c r="G54" i="3"/>
  <c r="H54" i="3"/>
  <c r="I54" i="3"/>
  <c r="J54" i="3"/>
  <c r="K54" i="3"/>
  <c r="E55" i="3"/>
  <c r="F55" i="3"/>
  <c r="G55" i="3"/>
  <c r="H55" i="3"/>
  <c r="I55" i="3"/>
  <c r="J55" i="3"/>
  <c r="K55" i="3"/>
  <c r="E56" i="3"/>
  <c r="F56" i="3"/>
  <c r="G56" i="3"/>
  <c r="H56" i="3"/>
  <c r="I56" i="3"/>
  <c r="J56" i="3"/>
  <c r="K56" i="3"/>
  <c r="E57" i="3"/>
  <c r="F57" i="3"/>
  <c r="G57" i="3"/>
  <c r="H57" i="3"/>
  <c r="I57" i="3"/>
  <c r="J57" i="3"/>
  <c r="K57" i="3"/>
  <c r="E58" i="3"/>
  <c r="F58" i="3"/>
  <c r="G58" i="3"/>
  <c r="H58" i="3"/>
  <c r="I58" i="3"/>
  <c r="J58" i="3"/>
  <c r="K58" i="3"/>
  <c r="E59" i="3"/>
  <c r="F59" i="3"/>
  <c r="G59" i="3"/>
  <c r="H59" i="3"/>
  <c r="I59" i="3"/>
  <c r="J59" i="3"/>
  <c r="K59" i="3"/>
  <c r="E60" i="3"/>
  <c r="F60" i="3"/>
  <c r="G60" i="3"/>
  <c r="H60" i="3"/>
  <c r="I60" i="3"/>
  <c r="J60" i="3"/>
  <c r="K60" i="3"/>
  <c r="E61" i="3"/>
  <c r="F61" i="3"/>
  <c r="G61" i="3"/>
  <c r="H61" i="3"/>
  <c r="I61" i="3"/>
  <c r="J61" i="3"/>
  <c r="K61" i="3"/>
  <c r="E37" i="18"/>
  <c r="F37" i="18"/>
  <c r="G37" i="18"/>
  <c r="H37" i="18"/>
  <c r="I37" i="18"/>
  <c r="J37" i="18"/>
  <c r="K37" i="18"/>
  <c r="E38" i="18"/>
  <c r="F38" i="18"/>
  <c r="G38" i="18"/>
  <c r="H38" i="18"/>
  <c r="I38" i="18"/>
  <c r="J38" i="18"/>
  <c r="K38" i="18"/>
  <c r="E39" i="18"/>
  <c r="F39" i="18"/>
  <c r="G39" i="18"/>
  <c r="H39" i="18"/>
  <c r="I39" i="18"/>
  <c r="J39" i="18"/>
  <c r="K39" i="18"/>
  <c r="E40" i="18"/>
  <c r="F40" i="18"/>
  <c r="G40" i="18"/>
  <c r="H40" i="18"/>
  <c r="I40" i="18"/>
  <c r="J40" i="18"/>
  <c r="K40" i="18"/>
  <c r="E41" i="18"/>
  <c r="F41" i="18"/>
  <c r="G41" i="18"/>
  <c r="H41" i="18"/>
  <c r="I41" i="18"/>
  <c r="J41" i="18"/>
  <c r="K41" i="18"/>
  <c r="E42" i="18"/>
  <c r="F42" i="18"/>
  <c r="G42" i="18"/>
  <c r="H42" i="18"/>
  <c r="I42" i="18"/>
  <c r="J42" i="18"/>
  <c r="K42" i="18"/>
  <c r="E43" i="18"/>
  <c r="F43" i="18"/>
  <c r="G43" i="18"/>
  <c r="H43" i="18"/>
  <c r="I43" i="18"/>
  <c r="J43" i="18"/>
  <c r="K43" i="18"/>
  <c r="E44" i="18"/>
  <c r="F44" i="18"/>
  <c r="G44" i="18"/>
  <c r="H44" i="18"/>
  <c r="I44" i="18"/>
  <c r="J44" i="18"/>
  <c r="K44" i="18"/>
  <c r="E45" i="18"/>
  <c r="F45" i="18"/>
  <c r="G45" i="18"/>
  <c r="H45" i="18"/>
  <c r="I45" i="18"/>
  <c r="J45" i="18"/>
  <c r="K45" i="18"/>
  <c r="E46" i="18"/>
  <c r="F46" i="18"/>
  <c r="G46" i="18"/>
  <c r="H46" i="18"/>
  <c r="I46" i="18"/>
  <c r="J46" i="18"/>
  <c r="K46" i="18"/>
  <c r="E47" i="18"/>
  <c r="F47" i="18"/>
  <c r="G47" i="18"/>
  <c r="H47" i="18"/>
  <c r="I47" i="18"/>
  <c r="J47" i="18"/>
  <c r="K47" i="18"/>
  <c r="E48" i="18"/>
  <c r="F48" i="18"/>
  <c r="G48" i="18"/>
  <c r="H48" i="18"/>
  <c r="I48" i="18"/>
  <c r="J48" i="18"/>
  <c r="K48" i="18"/>
  <c r="E49" i="18"/>
  <c r="F49" i="18"/>
  <c r="G49" i="18"/>
  <c r="H49" i="18"/>
  <c r="I49" i="18"/>
  <c r="J49" i="18"/>
  <c r="K49" i="18"/>
  <c r="E50" i="18"/>
  <c r="F50" i="18"/>
  <c r="G50" i="18"/>
  <c r="H50" i="18"/>
  <c r="I50" i="18"/>
  <c r="J50" i="18"/>
  <c r="K50" i="18"/>
  <c r="E51" i="18"/>
  <c r="F51" i="18"/>
  <c r="G51" i="18"/>
  <c r="H51" i="18"/>
  <c r="I51" i="18"/>
  <c r="J51" i="18"/>
  <c r="K51" i="18"/>
  <c r="E52" i="18"/>
  <c r="F52" i="18"/>
  <c r="G52" i="18"/>
  <c r="H52" i="18"/>
  <c r="I52" i="18"/>
  <c r="J52" i="18"/>
  <c r="K52" i="18"/>
  <c r="E53" i="18"/>
  <c r="F53" i="18"/>
  <c r="G53" i="18"/>
  <c r="H53" i="18"/>
  <c r="I53" i="18"/>
  <c r="J53" i="18"/>
  <c r="K53" i="18"/>
  <c r="E54" i="18"/>
  <c r="F54" i="18"/>
  <c r="G54" i="18"/>
  <c r="H54" i="18"/>
  <c r="I54" i="18"/>
  <c r="J54" i="18"/>
  <c r="K54" i="18"/>
  <c r="E55" i="18"/>
  <c r="F55" i="18"/>
  <c r="G55" i="18"/>
  <c r="H55" i="18"/>
  <c r="I55" i="18"/>
  <c r="J55" i="18"/>
  <c r="K55" i="18"/>
  <c r="E56" i="18"/>
  <c r="F56" i="18"/>
  <c r="G56" i="18"/>
  <c r="H56" i="18"/>
  <c r="I56" i="18"/>
  <c r="J56" i="18"/>
  <c r="K56" i="18"/>
  <c r="E57" i="18"/>
  <c r="F57" i="18"/>
  <c r="G57" i="18"/>
  <c r="H57" i="18"/>
  <c r="I57" i="18"/>
  <c r="J57" i="18"/>
  <c r="K57" i="18"/>
  <c r="E58" i="18"/>
  <c r="F58" i="18"/>
  <c r="G58" i="18"/>
  <c r="H58" i="18"/>
  <c r="I58" i="18"/>
  <c r="J58" i="18"/>
  <c r="K58" i="18"/>
  <c r="E59" i="18"/>
  <c r="F59" i="18"/>
  <c r="G59" i="18"/>
  <c r="H59" i="18"/>
  <c r="I59" i="18"/>
  <c r="J59" i="18"/>
  <c r="K59" i="18"/>
  <c r="E60" i="18"/>
  <c r="F60" i="18"/>
  <c r="G60" i="18"/>
  <c r="H60" i="18"/>
  <c r="I60" i="18"/>
  <c r="J60" i="18"/>
  <c r="K60" i="18"/>
  <c r="E61" i="18"/>
  <c r="F61" i="18"/>
  <c r="G61" i="18"/>
  <c r="H61" i="18"/>
  <c r="I61" i="18"/>
  <c r="J61" i="18"/>
  <c r="K61" i="18"/>
  <c r="E37" i="16"/>
  <c r="F37" i="16"/>
  <c r="G37" i="16"/>
  <c r="H37" i="16"/>
  <c r="I37" i="16"/>
  <c r="J37" i="16"/>
  <c r="K37" i="16"/>
  <c r="E38" i="16"/>
  <c r="F38" i="16"/>
  <c r="G38" i="16"/>
  <c r="H38" i="16"/>
  <c r="I38" i="16"/>
  <c r="J38" i="16"/>
  <c r="K38" i="16"/>
  <c r="E39" i="16"/>
  <c r="F39" i="16"/>
  <c r="G39" i="16"/>
  <c r="H39" i="16"/>
  <c r="I39" i="16"/>
  <c r="J39" i="16"/>
  <c r="K39" i="16"/>
  <c r="E40" i="16"/>
  <c r="F40" i="16"/>
  <c r="G40" i="16"/>
  <c r="H40" i="16"/>
  <c r="I40" i="16"/>
  <c r="J40" i="16"/>
  <c r="K40" i="16"/>
  <c r="E41" i="16"/>
  <c r="F41" i="16"/>
  <c r="G41" i="16"/>
  <c r="H41" i="16"/>
  <c r="I41" i="16"/>
  <c r="J41" i="16"/>
  <c r="K41" i="16"/>
  <c r="E42" i="16"/>
  <c r="F42" i="16"/>
  <c r="G42" i="16"/>
  <c r="H42" i="16"/>
  <c r="I42" i="16"/>
  <c r="J42" i="16"/>
  <c r="K42" i="16"/>
  <c r="E43" i="16"/>
  <c r="F43" i="16"/>
  <c r="G43" i="16"/>
  <c r="H43" i="16"/>
  <c r="I43" i="16"/>
  <c r="J43" i="16"/>
  <c r="K43" i="16"/>
  <c r="E44" i="16"/>
  <c r="F44" i="16"/>
  <c r="G44" i="16"/>
  <c r="H44" i="16"/>
  <c r="I44" i="16"/>
  <c r="J44" i="16"/>
  <c r="K44" i="16"/>
  <c r="E45" i="16"/>
  <c r="F45" i="16"/>
  <c r="G45" i="16"/>
  <c r="H45" i="16"/>
  <c r="I45" i="16"/>
  <c r="J45" i="16"/>
  <c r="K45" i="16"/>
  <c r="E46" i="16"/>
  <c r="F46" i="16"/>
  <c r="G46" i="16"/>
  <c r="H46" i="16"/>
  <c r="I46" i="16"/>
  <c r="J46" i="16"/>
  <c r="K46" i="16"/>
  <c r="E47" i="16"/>
  <c r="F47" i="16"/>
  <c r="G47" i="16"/>
  <c r="H47" i="16"/>
  <c r="I47" i="16"/>
  <c r="J47" i="16"/>
  <c r="K47" i="16"/>
  <c r="E48" i="16"/>
  <c r="F48" i="16"/>
  <c r="G48" i="16"/>
  <c r="H48" i="16"/>
  <c r="I48" i="16"/>
  <c r="J48" i="16"/>
  <c r="K48" i="16"/>
  <c r="E49" i="16"/>
  <c r="F49" i="16"/>
  <c r="G49" i="16"/>
  <c r="H49" i="16"/>
  <c r="I49" i="16"/>
  <c r="J49" i="16"/>
  <c r="K49" i="16"/>
  <c r="E50" i="16"/>
  <c r="F50" i="16"/>
  <c r="G50" i="16"/>
  <c r="H50" i="16"/>
  <c r="I50" i="16"/>
  <c r="J50" i="16"/>
  <c r="K50" i="16"/>
  <c r="E51" i="16"/>
  <c r="F51" i="16"/>
  <c r="G51" i="16"/>
  <c r="H51" i="16"/>
  <c r="I51" i="16"/>
  <c r="J51" i="16"/>
  <c r="K51" i="16"/>
  <c r="E52" i="16"/>
  <c r="F52" i="16"/>
  <c r="G52" i="16"/>
  <c r="H52" i="16"/>
  <c r="I52" i="16"/>
  <c r="J52" i="16"/>
  <c r="K52" i="16"/>
  <c r="E53" i="16"/>
  <c r="F53" i="16"/>
  <c r="G53" i="16"/>
  <c r="H53" i="16"/>
  <c r="I53" i="16"/>
  <c r="J53" i="16"/>
  <c r="K53" i="16"/>
  <c r="E54" i="16"/>
  <c r="F54" i="16"/>
  <c r="G54" i="16"/>
  <c r="H54" i="16"/>
  <c r="I54" i="16"/>
  <c r="J54" i="16"/>
  <c r="K54" i="16"/>
  <c r="E55" i="16"/>
  <c r="F55" i="16"/>
  <c r="G55" i="16"/>
  <c r="H55" i="16"/>
  <c r="I55" i="16"/>
  <c r="J55" i="16"/>
  <c r="K55" i="16"/>
  <c r="E56" i="16"/>
  <c r="F56" i="16"/>
  <c r="G56" i="16"/>
  <c r="H56" i="16"/>
  <c r="I56" i="16"/>
  <c r="J56" i="16"/>
  <c r="K56" i="16"/>
  <c r="E57" i="16"/>
  <c r="F57" i="16"/>
  <c r="G57" i="16"/>
  <c r="H57" i="16"/>
  <c r="I57" i="16"/>
  <c r="J57" i="16"/>
  <c r="K57" i="16"/>
  <c r="E58" i="16"/>
  <c r="F58" i="16"/>
  <c r="G58" i="16"/>
  <c r="H58" i="16"/>
  <c r="I58" i="16"/>
  <c r="J58" i="16"/>
  <c r="K58" i="16"/>
  <c r="E59" i="16"/>
  <c r="F59" i="16"/>
  <c r="G59" i="16"/>
  <c r="H59" i="16"/>
  <c r="I59" i="16"/>
  <c r="J59" i="16"/>
  <c r="K59" i="16"/>
  <c r="E60" i="16"/>
  <c r="F60" i="16"/>
  <c r="G60" i="16"/>
  <c r="H60" i="16"/>
  <c r="I60" i="16"/>
  <c r="J60" i="16"/>
  <c r="K60" i="16"/>
  <c r="E61" i="16"/>
  <c r="F61" i="16"/>
  <c r="G61" i="16"/>
  <c r="H61" i="16"/>
  <c r="I61" i="16"/>
  <c r="J61" i="16"/>
  <c r="K61" i="16"/>
  <c r="E37" i="20"/>
  <c r="G37" i="20"/>
  <c r="H37" i="20"/>
  <c r="J37" i="20"/>
  <c r="K37" i="20"/>
  <c r="E38" i="20"/>
  <c r="G38" i="20"/>
  <c r="H38" i="20"/>
  <c r="J38" i="20"/>
  <c r="K38" i="20"/>
  <c r="F39" i="20"/>
  <c r="G39" i="20"/>
  <c r="H39" i="20"/>
  <c r="J39" i="20"/>
  <c r="K39" i="20"/>
  <c r="E40" i="20"/>
  <c r="G40" i="20"/>
  <c r="H40" i="20"/>
  <c r="J40" i="20"/>
  <c r="K40" i="20"/>
  <c r="E41" i="20"/>
  <c r="F41" i="20"/>
  <c r="G41" i="20"/>
  <c r="J41" i="20"/>
  <c r="K41" i="20"/>
  <c r="F42" i="20"/>
  <c r="G42" i="20"/>
  <c r="H42" i="20"/>
  <c r="J42" i="20"/>
  <c r="K42" i="20"/>
  <c r="F43" i="20"/>
  <c r="G43" i="20"/>
  <c r="H43" i="20"/>
  <c r="J43" i="20"/>
  <c r="K43" i="20"/>
  <c r="F44" i="20"/>
  <c r="G44" i="20"/>
  <c r="H44" i="20"/>
  <c r="J44" i="20"/>
  <c r="K44" i="20"/>
  <c r="F45" i="20"/>
  <c r="G45" i="20"/>
  <c r="H45" i="20"/>
  <c r="J45" i="20"/>
  <c r="K45" i="20"/>
  <c r="F46" i="20"/>
  <c r="G46" i="20"/>
  <c r="H46" i="20"/>
  <c r="J46" i="20"/>
  <c r="K46" i="20"/>
  <c r="F47" i="20"/>
  <c r="G47" i="20"/>
  <c r="H47" i="20"/>
  <c r="J47" i="20"/>
  <c r="K47" i="20"/>
  <c r="E48" i="20"/>
  <c r="F48" i="20"/>
  <c r="G48" i="20"/>
  <c r="H48" i="20"/>
  <c r="I48" i="20"/>
  <c r="J48" i="20"/>
  <c r="K48" i="20"/>
  <c r="E49" i="20"/>
  <c r="F49" i="20"/>
  <c r="G49" i="20"/>
  <c r="H49" i="20"/>
  <c r="I49" i="20"/>
  <c r="J49" i="20"/>
  <c r="K49" i="20"/>
  <c r="E50" i="20"/>
  <c r="F50" i="20"/>
  <c r="G50" i="20"/>
  <c r="H50" i="20"/>
  <c r="I50" i="20"/>
  <c r="J50" i="20"/>
  <c r="K50" i="20"/>
  <c r="E51" i="20"/>
  <c r="F51" i="20"/>
  <c r="G51" i="20"/>
  <c r="H51" i="20"/>
  <c r="I51" i="20"/>
  <c r="J51" i="20"/>
  <c r="K51" i="20"/>
  <c r="E52" i="20"/>
  <c r="F52" i="20"/>
  <c r="G52" i="20"/>
  <c r="H52" i="20"/>
  <c r="I52" i="20"/>
  <c r="J52" i="20"/>
  <c r="K52" i="20"/>
  <c r="E53" i="20"/>
  <c r="F53" i="20"/>
  <c r="G53" i="20"/>
  <c r="H53" i="20"/>
  <c r="I53" i="20"/>
  <c r="J53" i="20"/>
  <c r="K53" i="20"/>
  <c r="E54" i="20"/>
  <c r="F54" i="20"/>
  <c r="G54" i="20"/>
  <c r="H54" i="20"/>
  <c r="I54" i="20"/>
  <c r="J54" i="20"/>
  <c r="K54" i="20"/>
  <c r="E55" i="20"/>
  <c r="F55" i="20"/>
  <c r="G55" i="20"/>
  <c r="H55" i="20"/>
  <c r="I55" i="20"/>
  <c r="J55" i="20"/>
  <c r="K55" i="20"/>
  <c r="E56" i="20"/>
  <c r="F56" i="20"/>
  <c r="G56" i="20"/>
  <c r="H56" i="20"/>
  <c r="I56" i="20"/>
  <c r="J56" i="20"/>
  <c r="K56" i="20"/>
  <c r="E57" i="20"/>
  <c r="F57" i="20"/>
  <c r="G57" i="20"/>
  <c r="H57" i="20"/>
  <c r="I57" i="20"/>
  <c r="J57" i="20"/>
  <c r="K57" i="20"/>
  <c r="E58" i="20"/>
  <c r="F58" i="20"/>
  <c r="G58" i="20"/>
  <c r="H58" i="20"/>
  <c r="I58" i="20"/>
  <c r="J58" i="20"/>
  <c r="K58" i="20"/>
  <c r="E59" i="20"/>
  <c r="F59" i="20"/>
  <c r="G59" i="20"/>
  <c r="H59" i="20"/>
  <c r="I59" i="20"/>
  <c r="J59" i="20"/>
  <c r="K59" i="20"/>
  <c r="E60" i="20"/>
  <c r="F60" i="20"/>
  <c r="G60" i="20"/>
  <c r="H60" i="20"/>
  <c r="I60" i="20"/>
  <c r="J60" i="20"/>
  <c r="K60" i="20"/>
  <c r="E61" i="20"/>
  <c r="F61" i="20"/>
  <c r="G61" i="20"/>
  <c r="H61" i="20"/>
  <c r="I61" i="20"/>
  <c r="J61" i="20"/>
  <c r="K61" i="20"/>
  <c r="E58" i="19"/>
  <c r="G58" i="19"/>
  <c r="H58" i="19"/>
  <c r="J58" i="19"/>
  <c r="K58" i="19"/>
  <c r="F59" i="19"/>
  <c r="G59" i="19"/>
  <c r="H59" i="19"/>
  <c r="J59" i="19"/>
  <c r="K59" i="19"/>
  <c r="E60" i="19"/>
  <c r="G60" i="19"/>
  <c r="H60" i="19"/>
  <c r="J60" i="19"/>
  <c r="K60" i="19"/>
  <c r="E61" i="19"/>
  <c r="G61" i="19"/>
  <c r="H61" i="19"/>
  <c r="J61" i="19"/>
  <c r="K61" i="19"/>
  <c r="F62" i="19"/>
  <c r="G62" i="19"/>
  <c r="H62" i="19"/>
  <c r="J62" i="19"/>
  <c r="K62" i="19"/>
  <c r="F63" i="19"/>
  <c r="G63" i="19"/>
  <c r="H63" i="19"/>
  <c r="J63" i="19"/>
  <c r="K63" i="19"/>
  <c r="F64" i="19"/>
  <c r="G64" i="19"/>
  <c r="H64" i="19"/>
  <c r="J64" i="19"/>
  <c r="K64" i="19"/>
  <c r="E65" i="19"/>
  <c r="F65" i="19"/>
  <c r="G65" i="19"/>
  <c r="H65" i="19"/>
  <c r="I65" i="19"/>
  <c r="J65" i="19"/>
  <c r="K65" i="19"/>
  <c r="E66" i="19"/>
  <c r="F66" i="19"/>
  <c r="G66" i="19"/>
  <c r="H66" i="19"/>
  <c r="I66" i="19"/>
  <c r="J66" i="19"/>
  <c r="K66" i="19"/>
  <c r="F67" i="19"/>
  <c r="G67" i="19"/>
  <c r="H67" i="19"/>
  <c r="J67" i="19"/>
  <c r="K67" i="19"/>
  <c r="F68" i="19"/>
  <c r="G68" i="19"/>
  <c r="H68" i="19"/>
  <c r="J68" i="19"/>
  <c r="K68" i="19"/>
  <c r="F69" i="19"/>
  <c r="G69" i="19"/>
  <c r="H69" i="19"/>
  <c r="J69" i="19"/>
  <c r="K69" i="19"/>
  <c r="F70" i="19"/>
  <c r="G70" i="19"/>
  <c r="H70" i="19"/>
  <c r="J70" i="19"/>
  <c r="K70" i="19"/>
  <c r="F71" i="19"/>
  <c r="G71" i="19"/>
  <c r="H71" i="19"/>
  <c r="J71" i="19"/>
  <c r="K71" i="19"/>
  <c r="F72" i="19"/>
  <c r="G72" i="19"/>
  <c r="H72" i="19"/>
  <c r="J72" i="19"/>
  <c r="K72" i="19"/>
  <c r="E73" i="19"/>
  <c r="F73" i="19"/>
  <c r="G73" i="19"/>
  <c r="H73" i="19"/>
  <c r="I73" i="19"/>
  <c r="J73" i="19"/>
  <c r="K73" i="19"/>
  <c r="E74" i="19"/>
  <c r="F74" i="19"/>
  <c r="G74" i="19"/>
  <c r="H74" i="19"/>
  <c r="I74" i="19"/>
  <c r="J74" i="19"/>
  <c r="K74" i="19"/>
  <c r="E42" i="19"/>
  <c r="G42" i="19"/>
  <c r="H42" i="19"/>
  <c r="J42" i="19"/>
  <c r="K42" i="19"/>
  <c r="E43" i="19"/>
  <c r="G43" i="19"/>
  <c r="H43" i="19"/>
  <c r="J43" i="19"/>
  <c r="K43" i="19"/>
  <c r="F44" i="19"/>
  <c r="G44" i="19"/>
  <c r="H44" i="19"/>
  <c r="J44" i="19"/>
  <c r="K44" i="19"/>
  <c r="F45" i="19"/>
  <c r="G45" i="19"/>
  <c r="H45" i="19"/>
  <c r="J45" i="19"/>
  <c r="K45" i="19"/>
  <c r="F46" i="19"/>
  <c r="G46" i="19"/>
  <c r="H46" i="19"/>
  <c r="J46" i="19"/>
  <c r="K46" i="19"/>
  <c r="F47" i="19"/>
  <c r="G47" i="19"/>
  <c r="H47" i="19"/>
  <c r="J47" i="19"/>
  <c r="K47" i="19"/>
  <c r="F48" i="19"/>
  <c r="G48" i="19"/>
  <c r="H48" i="19"/>
  <c r="J48" i="19"/>
  <c r="K48" i="19"/>
  <c r="E49" i="19"/>
  <c r="G49" i="19"/>
  <c r="H49" i="19"/>
  <c r="J49" i="19"/>
  <c r="K49" i="19"/>
  <c r="E50" i="19"/>
  <c r="G50" i="19"/>
  <c r="H50" i="19"/>
  <c r="J50" i="19"/>
  <c r="K50" i="19"/>
  <c r="E51" i="19"/>
  <c r="G51" i="19"/>
  <c r="H51" i="19"/>
  <c r="J51" i="19"/>
  <c r="K51" i="19"/>
  <c r="F52" i="19"/>
  <c r="G52" i="19"/>
  <c r="H52" i="19"/>
  <c r="J52" i="19"/>
  <c r="K52" i="19"/>
  <c r="F53" i="19"/>
  <c r="G53" i="19"/>
  <c r="H53" i="19"/>
  <c r="J53" i="19"/>
  <c r="K53" i="19"/>
  <c r="E54" i="19"/>
  <c r="F54" i="19"/>
  <c r="G54" i="19"/>
  <c r="H54" i="19"/>
  <c r="I54" i="19"/>
  <c r="J54" i="19"/>
  <c r="K54" i="19"/>
  <c r="E55" i="19"/>
  <c r="F55" i="19"/>
  <c r="G55" i="19"/>
  <c r="H55" i="19"/>
  <c r="I55" i="19"/>
  <c r="J55" i="19"/>
  <c r="K55" i="19"/>
  <c r="E56" i="19"/>
  <c r="G56" i="19"/>
  <c r="H56" i="19"/>
  <c r="J56" i="19"/>
  <c r="K56" i="19"/>
  <c r="E57" i="19"/>
  <c r="G57" i="19"/>
  <c r="H57" i="19"/>
  <c r="J57" i="19"/>
  <c r="K57" i="19"/>
  <c r="C13" i="14"/>
  <c r="C14" i="14"/>
  <c r="C15" i="14"/>
  <c r="C12" i="14"/>
  <c r="C9" i="22"/>
  <c r="C8" i="22"/>
  <c r="C38" i="19"/>
  <c r="C34" i="19"/>
  <c r="I68" i="19" s="1"/>
  <c r="C35" i="19"/>
  <c r="C36" i="19"/>
  <c r="I70" i="19" s="1"/>
  <c r="C37" i="19"/>
  <c r="C33" i="19"/>
  <c r="I67" i="19" s="1"/>
  <c r="C29" i="19"/>
  <c r="E63" i="19" s="1"/>
  <c r="C30" i="19"/>
  <c r="C26" i="19"/>
  <c r="C27" i="19"/>
  <c r="I61" i="19" s="1"/>
  <c r="C28" i="19"/>
  <c r="C23" i="19"/>
  <c r="C24" i="19"/>
  <c r="C25" i="19"/>
  <c r="I59" i="19" s="1"/>
  <c r="C22" i="19"/>
  <c r="F56" i="19" s="1"/>
  <c r="I72" i="19" l="1"/>
  <c r="E72" i="19"/>
  <c r="E69" i="19"/>
  <c r="I69" i="19"/>
  <c r="E71" i="19"/>
  <c r="I71" i="19"/>
  <c r="E64" i="19"/>
  <c r="I64" i="19"/>
  <c r="F60" i="19"/>
  <c r="I60" i="19"/>
  <c r="I62" i="19"/>
  <c r="E62" i="19"/>
  <c r="I57" i="19"/>
  <c r="F57" i="19"/>
  <c r="F58" i="19"/>
  <c r="I58" i="19"/>
  <c r="E67" i="19"/>
  <c r="I63" i="19"/>
  <c r="E59" i="19"/>
  <c r="E68" i="19"/>
  <c r="F61" i="19"/>
  <c r="E70" i="19"/>
  <c r="I56" i="19"/>
  <c r="D16" i="17"/>
  <c r="C14" i="17"/>
  <c r="F43" i="17" s="1"/>
  <c r="C15" i="17"/>
  <c r="F44" i="17" s="1"/>
  <c r="C29" i="17"/>
  <c r="F58" i="17" s="1"/>
  <c r="C30" i="17"/>
  <c r="F59" i="17" s="1"/>
  <c r="C31" i="17"/>
  <c r="F60" i="17" s="1"/>
  <c r="C28" i="17"/>
  <c r="F57" i="17" s="1"/>
  <c r="C23" i="15"/>
  <c r="F52" i="15" s="1"/>
  <c r="C20" i="15"/>
  <c r="F49" i="15" s="1"/>
  <c r="C19" i="15"/>
  <c r="F48" i="15" s="1"/>
  <c r="C9" i="15"/>
  <c r="C10" i="15"/>
  <c r="F39" i="15" s="1"/>
  <c r="C11" i="15"/>
  <c r="F40" i="15" s="1"/>
  <c r="C12" i="15"/>
  <c r="F41" i="15" s="1"/>
  <c r="C13" i="15"/>
  <c r="C14" i="15"/>
  <c r="F43" i="15" s="1"/>
  <c r="C15" i="15"/>
  <c r="F44" i="15" s="1"/>
  <c r="C16" i="15"/>
  <c r="F45" i="15" s="1"/>
  <c r="C8" i="15"/>
  <c r="C9" i="20"/>
  <c r="C10" i="20"/>
  <c r="C11" i="20"/>
  <c r="C12" i="20"/>
  <c r="C13" i="20"/>
  <c r="C14" i="20"/>
  <c r="C15" i="20"/>
  <c r="C16" i="20"/>
  <c r="C17" i="20"/>
  <c r="C18" i="20"/>
  <c r="C8" i="20"/>
  <c r="E43" i="17" l="1"/>
  <c r="I43" i="17"/>
  <c r="E44" i="17"/>
  <c r="I44" i="17"/>
  <c r="E58" i="17"/>
  <c r="I58" i="17"/>
  <c r="I59" i="17"/>
  <c r="E59" i="17"/>
  <c r="E60" i="17"/>
  <c r="I60" i="17"/>
  <c r="E52" i="15"/>
  <c r="I52" i="15"/>
  <c r="I49" i="15"/>
  <c r="E49" i="15"/>
  <c r="E48" i="15"/>
  <c r="I48" i="15"/>
  <c r="E38" i="15"/>
  <c r="H38" i="15"/>
  <c r="I38" i="15"/>
  <c r="E39" i="15"/>
  <c r="I39" i="15"/>
  <c r="E40" i="15"/>
  <c r="I40" i="15"/>
  <c r="E41" i="15"/>
  <c r="I41" i="15"/>
  <c r="F42" i="15"/>
  <c r="I42" i="15"/>
  <c r="E43" i="15"/>
  <c r="I43" i="15"/>
  <c r="E44" i="15"/>
  <c r="I44" i="15"/>
  <c r="E45" i="15"/>
  <c r="I45" i="15"/>
  <c r="G37" i="15"/>
  <c r="I37" i="15"/>
  <c r="E37" i="15"/>
  <c r="F37" i="20"/>
  <c r="I37" i="20"/>
  <c r="I40" i="20"/>
  <c r="F40" i="20"/>
  <c r="E43" i="20"/>
  <c r="I43" i="20"/>
  <c r="E42" i="20"/>
  <c r="I42" i="20"/>
  <c r="I47" i="20"/>
  <c r="E47" i="20"/>
  <c r="I39" i="20"/>
  <c r="E39" i="20"/>
  <c r="F38" i="20"/>
  <c r="I38" i="20"/>
  <c r="I41" i="20"/>
  <c r="H41" i="20"/>
  <c r="I46" i="20"/>
  <c r="E46" i="20"/>
  <c r="E45" i="20"/>
  <c r="I45" i="20"/>
  <c r="E44" i="20"/>
  <c r="I44" i="20"/>
  <c r="E36" i="21"/>
  <c r="E38" i="21"/>
  <c r="E37" i="21"/>
  <c r="F37" i="21"/>
  <c r="G37" i="21"/>
  <c r="H37" i="21"/>
  <c r="I37" i="21"/>
  <c r="J37" i="21"/>
  <c r="K37" i="21"/>
  <c r="F38" i="21"/>
  <c r="G38" i="21"/>
  <c r="H38" i="21"/>
  <c r="I38" i="21"/>
  <c r="J38" i="21"/>
  <c r="K38" i="21"/>
  <c r="E39" i="21"/>
  <c r="F39" i="21"/>
  <c r="G39" i="21"/>
  <c r="H39" i="21"/>
  <c r="I39" i="21"/>
  <c r="J39" i="21"/>
  <c r="K39" i="21"/>
  <c r="E40" i="21"/>
  <c r="F40" i="21"/>
  <c r="G40" i="21"/>
  <c r="H40" i="21"/>
  <c r="I40" i="21"/>
  <c r="J40" i="21"/>
  <c r="K40" i="21"/>
  <c r="E41" i="21"/>
  <c r="F41" i="21"/>
  <c r="G41" i="21"/>
  <c r="H41" i="21"/>
  <c r="I41" i="21"/>
  <c r="J41" i="21"/>
  <c r="K41" i="21"/>
  <c r="E42" i="21"/>
  <c r="F42" i="21"/>
  <c r="G42" i="21"/>
  <c r="H42" i="21"/>
  <c r="I42" i="21"/>
  <c r="J42" i="21"/>
  <c r="K42" i="21"/>
  <c r="F36" i="21"/>
  <c r="E43" i="21" l="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D17" i="17"/>
  <c r="F46" i="17" s="1"/>
  <c r="D18" i="17"/>
  <c r="G47" i="17" s="1"/>
  <c r="D19" i="17"/>
  <c r="G48" i="17" s="1"/>
  <c r="D20" i="17"/>
  <c r="F49" i="17" s="1"/>
  <c r="D24" i="17"/>
  <c r="G53" i="17" s="1"/>
  <c r="D8" i="17"/>
  <c r="F37" i="17" s="1"/>
  <c r="D9" i="17"/>
  <c r="G38" i="17" s="1"/>
  <c r="D7" i="17"/>
  <c r="C9" i="19"/>
  <c r="C10" i="19"/>
  <c r="C11" i="19"/>
  <c r="C12" i="19"/>
  <c r="C13" i="19"/>
  <c r="C14" i="19"/>
  <c r="C15" i="19"/>
  <c r="C16" i="19"/>
  <c r="C17" i="19"/>
  <c r="C18" i="19"/>
  <c r="C19" i="19"/>
  <c r="C8" i="19"/>
  <c r="F28" i="24"/>
  <c r="E46" i="17" l="1"/>
  <c r="I46" i="17"/>
  <c r="E47" i="17"/>
  <c r="I47" i="17"/>
  <c r="E48" i="17"/>
  <c r="I48" i="17"/>
  <c r="E49" i="17"/>
  <c r="I49" i="17"/>
  <c r="E53" i="17"/>
  <c r="I53" i="17"/>
  <c r="E37" i="17"/>
  <c r="I37" i="17"/>
  <c r="E38" i="17"/>
  <c r="I38" i="17"/>
  <c r="E47" i="19"/>
  <c r="I47" i="19"/>
  <c r="E46" i="19"/>
  <c r="I46" i="19"/>
  <c r="I51" i="19"/>
  <c r="F51" i="19"/>
  <c r="I42" i="19"/>
  <c r="F42" i="19"/>
  <c r="E53" i="19"/>
  <c r="I53" i="19"/>
  <c r="F49" i="19"/>
  <c r="I49" i="19"/>
  <c r="E45" i="19"/>
  <c r="I45" i="19"/>
  <c r="I43" i="19"/>
  <c r="F43" i="19"/>
  <c r="I50" i="19"/>
  <c r="F50" i="19"/>
  <c r="I52" i="19"/>
  <c r="E52" i="19"/>
  <c r="E48" i="19"/>
  <c r="I48" i="19"/>
  <c r="I44" i="19"/>
  <c r="E44" i="19"/>
  <c r="B3" i="23"/>
  <c r="K61" i="23"/>
  <c r="J61" i="23"/>
  <c r="I61" i="23"/>
  <c r="H61" i="23"/>
  <c r="G61" i="23"/>
  <c r="F61" i="23"/>
  <c r="E61" i="23"/>
  <c r="K60" i="23"/>
  <c r="J60" i="23"/>
  <c r="I60" i="23"/>
  <c r="H60" i="23"/>
  <c r="G60" i="23"/>
  <c r="F60" i="23"/>
  <c r="E60" i="23"/>
  <c r="K59" i="23"/>
  <c r="J59" i="23"/>
  <c r="I59" i="23"/>
  <c r="H59" i="23"/>
  <c r="G59" i="23"/>
  <c r="F59" i="23"/>
  <c r="E59" i="23"/>
  <c r="K58" i="23"/>
  <c r="J58" i="23"/>
  <c r="I58" i="23"/>
  <c r="H58" i="23"/>
  <c r="G58" i="23"/>
  <c r="F58" i="23"/>
  <c r="E58" i="23"/>
  <c r="K57" i="23"/>
  <c r="J57" i="23"/>
  <c r="I57" i="23"/>
  <c r="H57" i="23"/>
  <c r="G57" i="23"/>
  <c r="F57" i="23"/>
  <c r="E57" i="23"/>
  <c r="K56" i="23"/>
  <c r="J56" i="23"/>
  <c r="I56" i="23"/>
  <c r="H56" i="23"/>
  <c r="G56" i="23"/>
  <c r="F56" i="23"/>
  <c r="E56" i="23"/>
  <c r="K55" i="23"/>
  <c r="J55" i="23"/>
  <c r="I55" i="23"/>
  <c r="H55" i="23"/>
  <c r="G55" i="23"/>
  <c r="F55" i="23"/>
  <c r="E55" i="23"/>
  <c r="K54" i="23"/>
  <c r="J54" i="23"/>
  <c r="I54" i="23"/>
  <c r="H54" i="23"/>
  <c r="G54" i="23"/>
  <c r="F54" i="23"/>
  <c r="E54" i="23"/>
  <c r="K53" i="23"/>
  <c r="J53" i="23"/>
  <c r="I53" i="23"/>
  <c r="H53" i="23"/>
  <c r="G53" i="23"/>
  <c r="F53" i="23"/>
  <c r="E53" i="23"/>
  <c r="K52" i="23"/>
  <c r="J52" i="23"/>
  <c r="I52" i="23"/>
  <c r="H52" i="23"/>
  <c r="G52" i="23"/>
  <c r="F52" i="23"/>
  <c r="E52" i="23"/>
  <c r="K51" i="23"/>
  <c r="J51" i="23"/>
  <c r="I51" i="23"/>
  <c r="H51" i="23"/>
  <c r="G51" i="23"/>
  <c r="F51" i="23"/>
  <c r="E51" i="23"/>
  <c r="K50" i="23"/>
  <c r="J50" i="23"/>
  <c r="I50" i="23"/>
  <c r="H50" i="23"/>
  <c r="G50" i="23"/>
  <c r="F50" i="23"/>
  <c r="E50" i="23"/>
  <c r="K49" i="23"/>
  <c r="J49" i="23"/>
  <c r="I49" i="23"/>
  <c r="H49" i="23"/>
  <c r="G49" i="23"/>
  <c r="F49" i="23"/>
  <c r="E49" i="23"/>
  <c r="K48" i="23"/>
  <c r="J48" i="23"/>
  <c r="I48" i="23"/>
  <c r="H48" i="23"/>
  <c r="G48" i="23"/>
  <c r="F48" i="23"/>
  <c r="E48" i="23"/>
  <c r="K47" i="23"/>
  <c r="J47" i="23"/>
  <c r="I47" i="23"/>
  <c r="H47" i="23"/>
  <c r="G47" i="23"/>
  <c r="F47" i="23"/>
  <c r="E47" i="23"/>
  <c r="K46" i="23"/>
  <c r="J46" i="23"/>
  <c r="I46" i="23"/>
  <c r="H46" i="23"/>
  <c r="G46" i="23"/>
  <c r="F46" i="23"/>
  <c r="E46" i="23"/>
  <c r="K45" i="23"/>
  <c r="J45" i="23"/>
  <c r="I45" i="23"/>
  <c r="H45" i="23"/>
  <c r="G45" i="23"/>
  <c r="F45" i="23"/>
  <c r="E45" i="23"/>
  <c r="K44" i="23"/>
  <c r="J44" i="23"/>
  <c r="I44" i="23"/>
  <c r="H44" i="23"/>
  <c r="G44" i="23"/>
  <c r="F44" i="23"/>
  <c r="E44" i="23"/>
  <c r="K43" i="23"/>
  <c r="J43" i="23"/>
  <c r="I43" i="23"/>
  <c r="H43" i="23"/>
  <c r="G43" i="23"/>
  <c r="F43" i="23"/>
  <c r="E43" i="23"/>
  <c r="K42" i="23"/>
  <c r="J42" i="23"/>
  <c r="I42" i="23"/>
  <c r="H42" i="23"/>
  <c r="G42" i="23"/>
  <c r="F42" i="23"/>
  <c r="E42" i="23"/>
  <c r="K41" i="23"/>
  <c r="J41" i="23"/>
  <c r="I41" i="23"/>
  <c r="H41" i="23"/>
  <c r="G41" i="23"/>
  <c r="F41" i="23"/>
  <c r="E41" i="23"/>
  <c r="K40" i="23"/>
  <c r="J40" i="23"/>
  <c r="I40" i="23"/>
  <c r="H40" i="23"/>
  <c r="G40" i="23"/>
  <c r="F40" i="23"/>
  <c r="E40" i="23"/>
  <c r="K39" i="23"/>
  <c r="J39" i="23"/>
  <c r="I39" i="23"/>
  <c r="H39" i="23"/>
  <c r="G39" i="23"/>
  <c r="F39" i="23"/>
  <c r="E39" i="23"/>
  <c r="K38" i="23"/>
  <c r="J38" i="23"/>
  <c r="I38" i="23"/>
  <c r="H38" i="23"/>
  <c r="G38" i="23"/>
  <c r="F38" i="23"/>
  <c r="E38" i="23"/>
  <c r="K37" i="23"/>
  <c r="J37" i="23"/>
  <c r="I37" i="23"/>
  <c r="H37" i="23"/>
  <c r="G37" i="23"/>
  <c r="F37" i="23"/>
  <c r="E37" i="23"/>
  <c r="K36" i="23"/>
  <c r="J36" i="23"/>
  <c r="I36" i="23"/>
  <c r="H36" i="23"/>
  <c r="G36" i="23"/>
  <c r="F36" i="23"/>
  <c r="E36" i="23"/>
  <c r="B3" i="22"/>
  <c r="K61" i="22"/>
  <c r="J61" i="22"/>
  <c r="I61" i="22"/>
  <c r="H61" i="22"/>
  <c r="G61" i="22"/>
  <c r="F61" i="22"/>
  <c r="E61" i="22"/>
  <c r="K60" i="22"/>
  <c r="J60" i="22"/>
  <c r="I60" i="22"/>
  <c r="H60" i="22"/>
  <c r="G60" i="22"/>
  <c r="F60" i="22"/>
  <c r="E60" i="22"/>
  <c r="K59" i="22"/>
  <c r="J59" i="22"/>
  <c r="I59" i="22"/>
  <c r="H59" i="22"/>
  <c r="G59" i="22"/>
  <c r="F59" i="22"/>
  <c r="E59" i="22"/>
  <c r="K58" i="22"/>
  <c r="J58" i="22"/>
  <c r="I58" i="22"/>
  <c r="H58" i="22"/>
  <c r="G58" i="22"/>
  <c r="F58" i="22"/>
  <c r="E58" i="22"/>
  <c r="K57" i="22"/>
  <c r="J57" i="22"/>
  <c r="I57" i="22"/>
  <c r="H57" i="22"/>
  <c r="G57" i="22"/>
  <c r="F57" i="22"/>
  <c r="E57" i="22"/>
  <c r="K56" i="22"/>
  <c r="J56" i="22"/>
  <c r="I56" i="22"/>
  <c r="H56" i="22"/>
  <c r="G56" i="22"/>
  <c r="F56" i="22"/>
  <c r="E56" i="22"/>
  <c r="K55" i="22"/>
  <c r="J55" i="22"/>
  <c r="I55" i="22"/>
  <c r="H55" i="22"/>
  <c r="G55" i="22"/>
  <c r="F55" i="22"/>
  <c r="E55" i="22"/>
  <c r="K54" i="22"/>
  <c r="J54" i="22"/>
  <c r="I54" i="22"/>
  <c r="H54" i="22"/>
  <c r="G54" i="22"/>
  <c r="F54" i="22"/>
  <c r="E54" i="22"/>
  <c r="K53" i="22"/>
  <c r="J53" i="22"/>
  <c r="I53" i="22"/>
  <c r="H53" i="22"/>
  <c r="G53" i="22"/>
  <c r="F53" i="22"/>
  <c r="E53" i="22"/>
  <c r="K52" i="22"/>
  <c r="J52" i="22"/>
  <c r="I52" i="22"/>
  <c r="H52" i="22"/>
  <c r="G52" i="22"/>
  <c r="F52" i="22"/>
  <c r="E52" i="22"/>
  <c r="K51" i="22"/>
  <c r="J51" i="22"/>
  <c r="I51" i="22"/>
  <c r="H51" i="22"/>
  <c r="G51" i="22"/>
  <c r="F51" i="22"/>
  <c r="E51" i="22"/>
  <c r="K50" i="22"/>
  <c r="J50" i="22"/>
  <c r="I50" i="22"/>
  <c r="H50" i="22"/>
  <c r="G50" i="22"/>
  <c r="F50" i="22"/>
  <c r="E50" i="22"/>
  <c r="K49" i="22"/>
  <c r="J49" i="22"/>
  <c r="I49" i="22"/>
  <c r="H49" i="22"/>
  <c r="G49" i="22"/>
  <c r="F49" i="22"/>
  <c r="E49" i="22"/>
  <c r="K48" i="22"/>
  <c r="J48" i="22"/>
  <c r="I48" i="22"/>
  <c r="H48" i="22"/>
  <c r="G48" i="22"/>
  <c r="F48" i="22"/>
  <c r="E48" i="22"/>
  <c r="K47" i="22"/>
  <c r="J47" i="22"/>
  <c r="I47" i="22"/>
  <c r="H47" i="22"/>
  <c r="G47" i="22"/>
  <c r="F47" i="22"/>
  <c r="E47" i="22"/>
  <c r="K46" i="22"/>
  <c r="J46" i="22"/>
  <c r="I46" i="22"/>
  <c r="H46" i="22"/>
  <c r="G46" i="22"/>
  <c r="F46" i="22"/>
  <c r="E46" i="22"/>
  <c r="K45" i="22"/>
  <c r="J45" i="22"/>
  <c r="I45" i="22"/>
  <c r="H45" i="22"/>
  <c r="G45" i="22"/>
  <c r="F45" i="22"/>
  <c r="E45" i="22"/>
  <c r="K44" i="22"/>
  <c r="J44" i="22"/>
  <c r="I44" i="22"/>
  <c r="H44" i="22"/>
  <c r="G44" i="22"/>
  <c r="F44" i="22"/>
  <c r="E44" i="22"/>
  <c r="K43" i="22"/>
  <c r="J43" i="22"/>
  <c r="I43" i="22"/>
  <c r="H43" i="22"/>
  <c r="G43" i="22"/>
  <c r="F43" i="22"/>
  <c r="E43" i="22"/>
  <c r="K42" i="22"/>
  <c r="J42" i="22"/>
  <c r="I42" i="22"/>
  <c r="H42" i="22"/>
  <c r="G42" i="22"/>
  <c r="F42" i="22"/>
  <c r="E42" i="22"/>
  <c r="K41" i="22"/>
  <c r="J41" i="22"/>
  <c r="I41" i="22"/>
  <c r="H41" i="22"/>
  <c r="G41" i="22"/>
  <c r="F41" i="22"/>
  <c r="E41" i="22"/>
  <c r="K40" i="22"/>
  <c r="J40" i="22"/>
  <c r="I40" i="22"/>
  <c r="H40" i="22"/>
  <c r="G40" i="22"/>
  <c r="F40" i="22"/>
  <c r="E40" i="22"/>
  <c r="K39" i="22"/>
  <c r="J39" i="22"/>
  <c r="I39" i="22"/>
  <c r="H39" i="22"/>
  <c r="G39" i="22"/>
  <c r="F39" i="22"/>
  <c r="E39" i="22"/>
  <c r="K38" i="22"/>
  <c r="J38" i="22"/>
  <c r="I38" i="22"/>
  <c r="H38" i="22"/>
  <c r="G38" i="22"/>
  <c r="F38" i="22"/>
  <c r="E38" i="22"/>
  <c r="K37" i="22"/>
  <c r="J37" i="22"/>
  <c r="I37" i="22"/>
  <c r="H37" i="22"/>
  <c r="G37" i="22"/>
  <c r="F37" i="22"/>
  <c r="E37" i="22"/>
  <c r="K36" i="22"/>
  <c r="J36" i="22"/>
  <c r="I36" i="22"/>
  <c r="H36" i="22"/>
  <c r="G36" i="22"/>
  <c r="F36" i="22"/>
  <c r="E36" i="22"/>
  <c r="B3" i="21"/>
  <c r="K61" i="21"/>
  <c r="J61" i="21"/>
  <c r="I61" i="21"/>
  <c r="H61" i="21"/>
  <c r="G61" i="21"/>
  <c r="F61" i="21"/>
  <c r="K60" i="21"/>
  <c r="J60" i="21"/>
  <c r="I60" i="21"/>
  <c r="H60" i="21"/>
  <c r="G60" i="21"/>
  <c r="F60" i="21"/>
  <c r="K59" i="21"/>
  <c r="J59" i="21"/>
  <c r="I59" i="21"/>
  <c r="H59" i="21"/>
  <c r="G59" i="21"/>
  <c r="F59" i="21"/>
  <c r="K58" i="21"/>
  <c r="J58" i="21"/>
  <c r="I58" i="21"/>
  <c r="H58" i="21"/>
  <c r="G58" i="21"/>
  <c r="F58" i="21"/>
  <c r="K57" i="21"/>
  <c r="J57" i="21"/>
  <c r="I57" i="21"/>
  <c r="H57" i="21"/>
  <c r="G57" i="21"/>
  <c r="F57" i="21"/>
  <c r="K56" i="21"/>
  <c r="J56" i="21"/>
  <c r="I56" i="21"/>
  <c r="H56" i="21"/>
  <c r="G56" i="21"/>
  <c r="F56" i="21"/>
  <c r="K55" i="21"/>
  <c r="J55" i="21"/>
  <c r="I55" i="21"/>
  <c r="H55" i="21"/>
  <c r="G55" i="21"/>
  <c r="F55" i="21"/>
  <c r="K54" i="21"/>
  <c r="J54" i="21"/>
  <c r="I54" i="21"/>
  <c r="H54" i="21"/>
  <c r="G54" i="21"/>
  <c r="F54" i="21"/>
  <c r="K53" i="21"/>
  <c r="J53" i="21"/>
  <c r="I53" i="21"/>
  <c r="H53" i="21"/>
  <c r="G53" i="21"/>
  <c r="F53" i="21"/>
  <c r="K52" i="21"/>
  <c r="J52" i="21"/>
  <c r="I52" i="21"/>
  <c r="H52" i="21"/>
  <c r="G52" i="21"/>
  <c r="F52" i="21"/>
  <c r="K51" i="21"/>
  <c r="J51" i="21"/>
  <c r="I51" i="21"/>
  <c r="H51" i="21"/>
  <c r="G51" i="21"/>
  <c r="F51" i="21"/>
  <c r="K50" i="21"/>
  <c r="J50" i="21"/>
  <c r="I50" i="21"/>
  <c r="H50" i="21"/>
  <c r="G50" i="21"/>
  <c r="F50" i="21"/>
  <c r="K49" i="21"/>
  <c r="J49" i="21"/>
  <c r="I49" i="21"/>
  <c r="H49" i="21"/>
  <c r="G49" i="21"/>
  <c r="F49" i="21"/>
  <c r="K48" i="21"/>
  <c r="J48" i="21"/>
  <c r="I48" i="21"/>
  <c r="H48" i="21"/>
  <c r="G48" i="21"/>
  <c r="F48" i="21"/>
  <c r="K47" i="21"/>
  <c r="J47" i="21"/>
  <c r="I47" i="21"/>
  <c r="H47" i="21"/>
  <c r="G47" i="21"/>
  <c r="F47" i="21"/>
  <c r="K46" i="21"/>
  <c r="J46" i="21"/>
  <c r="I46" i="21"/>
  <c r="H46" i="21"/>
  <c r="G46" i="21"/>
  <c r="F46" i="21"/>
  <c r="K45" i="21"/>
  <c r="J45" i="21"/>
  <c r="I45" i="21"/>
  <c r="H45" i="21"/>
  <c r="G45" i="21"/>
  <c r="F45" i="21"/>
  <c r="K44" i="21"/>
  <c r="J44" i="21"/>
  <c r="I44" i="21"/>
  <c r="H44" i="21"/>
  <c r="G44" i="21"/>
  <c r="F44" i="21"/>
  <c r="K43" i="21"/>
  <c r="J43" i="21"/>
  <c r="I43" i="21"/>
  <c r="H43" i="21"/>
  <c r="G43" i="21"/>
  <c r="F43" i="21"/>
  <c r="F62" i="21" s="1"/>
  <c r="K36" i="21"/>
  <c r="J36" i="21"/>
  <c r="I36" i="21"/>
  <c r="H36" i="21"/>
  <c r="G36" i="21"/>
  <c r="B3" i="20"/>
  <c r="K36" i="20"/>
  <c r="J36" i="20"/>
  <c r="I36" i="20"/>
  <c r="H36" i="20"/>
  <c r="G36" i="20"/>
  <c r="F36" i="20"/>
  <c r="E36" i="20"/>
  <c r="B3" i="19"/>
  <c r="K41" i="19"/>
  <c r="J41" i="19"/>
  <c r="I41" i="19"/>
  <c r="H41" i="19"/>
  <c r="G41" i="19"/>
  <c r="F41" i="19"/>
  <c r="E41" i="19"/>
  <c r="B3" i="18"/>
  <c r="K36" i="18"/>
  <c r="J36" i="18"/>
  <c r="I36" i="18"/>
  <c r="H36" i="18"/>
  <c r="G36" i="18"/>
  <c r="F36" i="18"/>
  <c r="E36" i="18"/>
  <c r="E62" i="18" s="1"/>
  <c r="B3" i="17"/>
  <c r="K36" i="17"/>
  <c r="J36" i="17"/>
  <c r="I36" i="17"/>
  <c r="H36" i="17"/>
  <c r="G36" i="17"/>
  <c r="F36" i="17"/>
  <c r="E36" i="17"/>
  <c r="B3" i="16"/>
  <c r="K36" i="16"/>
  <c r="J36" i="16"/>
  <c r="I36" i="16"/>
  <c r="H36" i="16"/>
  <c r="G36" i="16"/>
  <c r="F36" i="16"/>
  <c r="E36" i="16"/>
  <c r="E62" i="16" s="1"/>
  <c r="B3" i="15"/>
  <c r="K36" i="15"/>
  <c r="J36" i="15"/>
  <c r="I36" i="15"/>
  <c r="H36" i="15"/>
  <c r="G36" i="15"/>
  <c r="F36" i="15"/>
  <c r="E36" i="15"/>
  <c r="E62" i="15" s="1"/>
  <c r="B3" i="14"/>
  <c r="K61" i="14"/>
  <c r="J61" i="14"/>
  <c r="I61" i="14"/>
  <c r="H61" i="14"/>
  <c r="G61" i="14"/>
  <c r="F61" i="14"/>
  <c r="E61" i="14"/>
  <c r="K60" i="14"/>
  <c r="J60" i="14"/>
  <c r="I60" i="14"/>
  <c r="H60" i="14"/>
  <c r="G60" i="14"/>
  <c r="F60" i="14"/>
  <c r="E60" i="14"/>
  <c r="K59" i="14"/>
  <c r="J59" i="14"/>
  <c r="I59" i="14"/>
  <c r="H59" i="14"/>
  <c r="G59" i="14"/>
  <c r="F59" i="14"/>
  <c r="E59" i="14"/>
  <c r="K58" i="14"/>
  <c r="J58" i="14"/>
  <c r="I58" i="14"/>
  <c r="H58" i="14"/>
  <c r="G58" i="14"/>
  <c r="F58" i="14"/>
  <c r="E58" i="14"/>
  <c r="K57" i="14"/>
  <c r="J57" i="14"/>
  <c r="I57" i="14"/>
  <c r="H57" i="14"/>
  <c r="G57" i="14"/>
  <c r="F57" i="14"/>
  <c r="E57" i="14"/>
  <c r="K56" i="14"/>
  <c r="J56" i="14"/>
  <c r="I56" i="14"/>
  <c r="H56" i="14"/>
  <c r="G56" i="14"/>
  <c r="F56" i="14"/>
  <c r="E56" i="14"/>
  <c r="K55" i="14"/>
  <c r="J55" i="14"/>
  <c r="I55" i="14"/>
  <c r="H55" i="14"/>
  <c r="G55" i="14"/>
  <c r="F55" i="14"/>
  <c r="E55" i="14"/>
  <c r="K54" i="14"/>
  <c r="J54" i="14"/>
  <c r="I54" i="14"/>
  <c r="H54" i="14"/>
  <c r="G54" i="14"/>
  <c r="F54" i="14"/>
  <c r="E54" i="14"/>
  <c r="K53" i="14"/>
  <c r="J53" i="14"/>
  <c r="I53" i="14"/>
  <c r="H53" i="14"/>
  <c r="G53" i="14"/>
  <c r="F53" i="14"/>
  <c r="E53" i="14"/>
  <c r="K52" i="14"/>
  <c r="J52" i="14"/>
  <c r="I52" i="14"/>
  <c r="H52" i="14"/>
  <c r="G52" i="14"/>
  <c r="F52" i="14"/>
  <c r="E52" i="14"/>
  <c r="K51" i="14"/>
  <c r="J51" i="14"/>
  <c r="I51" i="14"/>
  <c r="H51" i="14"/>
  <c r="G51" i="14"/>
  <c r="F51" i="14"/>
  <c r="E51" i="14"/>
  <c r="K50" i="14"/>
  <c r="J50" i="14"/>
  <c r="I50" i="14"/>
  <c r="H50" i="14"/>
  <c r="G50" i="14"/>
  <c r="F50" i="14"/>
  <c r="E50" i="14"/>
  <c r="K49" i="14"/>
  <c r="J49" i="14"/>
  <c r="I49" i="14"/>
  <c r="H49" i="14"/>
  <c r="G49" i="14"/>
  <c r="F49" i="14"/>
  <c r="E49" i="14"/>
  <c r="K48" i="14"/>
  <c r="J48" i="14"/>
  <c r="I48" i="14"/>
  <c r="H48" i="14"/>
  <c r="G48" i="14"/>
  <c r="F48" i="14"/>
  <c r="E48" i="14"/>
  <c r="K47" i="14"/>
  <c r="J47" i="14"/>
  <c r="I47" i="14"/>
  <c r="H47" i="14"/>
  <c r="G47" i="14"/>
  <c r="F47" i="14"/>
  <c r="E47" i="14"/>
  <c r="K46" i="14"/>
  <c r="J46" i="14"/>
  <c r="I46" i="14"/>
  <c r="H46" i="14"/>
  <c r="G46" i="14"/>
  <c r="F46" i="14"/>
  <c r="E46" i="14"/>
  <c r="K45" i="14"/>
  <c r="J45" i="14"/>
  <c r="I45" i="14"/>
  <c r="H45" i="14"/>
  <c r="G45" i="14"/>
  <c r="F45" i="14"/>
  <c r="E45" i="14"/>
  <c r="K44" i="14"/>
  <c r="J44" i="14"/>
  <c r="I44" i="14"/>
  <c r="H44" i="14"/>
  <c r="G44" i="14"/>
  <c r="F44" i="14"/>
  <c r="E44" i="14"/>
  <c r="K43" i="14"/>
  <c r="J43" i="14"/>
  <c r="I43" i="14"/>
  <c r="H43" i="14"/>
  <c r="G43" i="14"/>
  <c r="F43" i="14"/>
  <c r="E43" i="14"/>
  <c r="K42" i="14"/>
  <c r="J42" i="14"/>
  <c r="I42" i="14"/>
  <c r="H42" i="14"/>
  <c r="G42" i="14"/>
  <c r="F42" i="14"/>
  <c r="E42" i="14"/>
  <c r="K41" i="14"/>
  <c r="J41" i="14"/>
  <c r="I41" i="14"/>
  <c r="H41" i="14"/>
  <c r="G41" i="14"/>
  <c r="F41" i="14"/>
  <c r="E41" i="14"/>
  <c r="K40" i="14"/>
  <c r="J40" i="14"/>
  <c r="I40" i="14"/>
  <c r="H40" i="14"/>
  <c r="G40" i="14"/>
  <c r="F40" i="14"/>
  <c r="E40" i="14"/>
  <c r="K39" i="14"/>
  <c r="J39" i="14"/>
  <c r="I39" i="14"/>
  <c r="H39" i="14"/>
  <c r="G39" i="14"/>
  <c r="F39" i="14"/>
  <c r="E39" i="14"/>
  <c r="K38" i="14"/>
  <c r="J38" i="14"/>
  <c r="I38" i="14"/>
  <c r="H38" i="14"/>
  <c r="G38" i="14"/>
  <c r="F38" i="14"/>
  <c r="E38" i="14"/>
  <c r="K37" i="14"/>
  <c r="J37" i="14"/>
  <c r="I37" i="14"/>
  <c r="H37" i="14"/>
  <c r="G37" i="14"/>
  <c r="F37" i="14"/>
  <c r="E37" i="14"/>
  <c r="K36" i="14"/>
  <c r="J36" i="14"/>
  <c r="I36" i="14"/>
  <c r="H36" i="14"/>
  <c r="G36" i="14"/>
  <c r="F36" i="14"/>
  <c r="E36" i="14"/>
  <c r="J62" i="16" l="1"/>
  <c r="I7" i="2" s="1"/>
  <c r="K62" i="17"/>
  <c r="J8" i="2" s="1"/>
  <c r="F62" i="18"/>
  <c r="E9" i="2" s="1"/>
  <c r="G76" i="19"/>
  <c r="F10" i="2" s="1"/>
  <c r="F62" i="20"/>
  <c r="E11" i="2" s="1"/>
  <c r="G62" i="21"/>
  <c r="F12" i="2" s="1"/>
  <c r="I62" i="23"/>
  <c r="H14" i="2" s="1"/>
  <c r="I62" i="15"/>
  <c r="H6" i="2" s="1"/>
  <c r="H62" i="14"/>
  <c r="G5" i="2" s="1"/>
  <c r="K62" i="16"/>
  <c r="J7" i="2" s="1"/>
  <c r="D7" i="2"/>
  <c r="D9" i="2"/>
  <c r="G62" i="18"/>
  <c r="F9" i="2" s="1"/>
  <c r="G62" i="20"/>
  <c r="F11" i="2" s="1"/>
  <c r="H62" i="21"/>
  <c r="G12" i="2" s="1"/>
  <c r="I62" i="22"/>
  <c r="H13" i="2" s="1"/>
  <c r="J62" i="23"/>
  <c r="I14" i="2" s="1"/>
  <c r="K62" i="15"/>
  <c r="J6" i="2" s="1"/>
  <c r="H62" i="20"/>
  <c r="G11" i="2" s="1"/>
  <c r="I62" i="21"/>
  <c r="H12" i="2" s="1"/>
  <c r="J62" i="22"/>
  <c r="I13" i="2" s="1"/>
  <c r="K62" i="23"/>
  <c r="J14" i="2" s="1"/>
  <c r="I62" i="14"/>
  <c r="H5" i="2" s="1"/>
  <c r="F62" i="15"/>
  <c r="E6" i="2" s="1"/>
  <c r="H76" i="19"/>
  <c r="G10" i="2" s="1"/>
  <c r="I62" i="20"/>
  <c r="H11" i="2" s="1"/>
  <c r="J62" i="21"/>
  <c r="I12" i="2" s="1"/>
  <c r="K62" i="22"/>
  <c r="J13" i="2" s="1"/>
  <c r="E62" i="22"/>
  <c r="D13" i="2" s="1"/>
  <c r="F62" i="23"/>
  <c r="E14" i="2" s="1"/>
  <c r="E76" i="19"/>
  <c r="D10" i="2" s="1"/>
  <c r="D6" i="2"/>
  <c r="G62" i="15"/>
  <c r="F6" i="2" s="1"/>
  <c r="F62" i="16"/>
  <c r="E7" i="2" s="1"/>
  <c r="H62" i="16"/>
  <c r="G7" i="2" s="1"/>
  <c r="H62" i="18"/>
  <c r="G9" i="2" s="1"/>
  <c r="I76" i="19"/>
  <c r="H10" i="2" s="1"/>
  <c r="J62" i="20"/>
  <c r="I11" i="2" s="1"/>
  <c r="E62" i="20"/>
  <c r="D11" i="2" s="1"/>
  <c r="K62" i="21"/>
  <c r="J12" i="2" s="1"/>
  <c r="E62" i="21"/>
  <c r="D12" i="2" s="1"/>
  <c r="E62" i="23"/>
  <c r="D14" i="2" s="1"/>
  <c r="G62" i="23"/>
  <c r="F14" i="2" s="1"/>
  <c r="F62" i="14"/>
  <c r="E5" i="2" s="1"/>
  <c r="G62" i="14"/>
  <c r="F5" i="2" s="1"/>
  <c r="G62" i="16"/>
  <c r="F7" i="2" s="1"/>
  <c r="H62" i="17"/>
  <c r="G8" i="2" s="1"/>
  <c r="I62" i="18"/>
  <c r="H9" i="2" s="1"/>
  <c r="J76" i="19"/>
  <c r="I10" i="2" s="1"/>
  <c r="K62" i="20"/>
  <c r="J11" i="2" s="1"/>
  <c r="H62" i="22"/>
  <c r="G13" i="2" s="1"/>
  <c r="J62" i="14"/>
  <c r="I5" i="2" s="1"/>
  <c r="K62" i="14"/>
  <c r="J5" i="2" s="1"/>
  <c r="J62" i="18"/>
  <c r="I9" i="2" s="1"/>
  <c r="K76" i="19"/>
  <c r="J10" i="2" s="1"/>
  <c r="F62" i="22"/>
  <c r="E13" i="2" s="1"/>
  <c r="E62" i="14"/>
  <c r="D5" i="2" s="1"/>
  <c r="H62" i="15"/>
  <c r="G6" i="2" s="1"/>
  <c r="J62" i="15"/>
  <c r="I6" i="2" s="1"/>
  <c r="I62" i="16"/>
  <c r="H7" i="2" s="1"/>
  <c r="K62" i="18"/>
  <c r="J9" i="2" s="1"/>
  <c r="F76" i="19"/>
  <c r="E10" i="2" s="1"/>
  <c r="E12" i="2"/>
  <c r="G62" i="22"/>
  <c r="F13" i="2" s="1"/>
  <c r="H62" i="23"/>
  <c r="G14" i="2" s="1"/>
  <c r="B3" i="3"/>
  <c r="K36" i="3"/>
  <c r="J36" i="3"/>
  <c r="I36" i="3"/>
  <c r="H36" i="3"/>
  <c r="G36" i="3"/>
  <c r="F36" i="3"/>
  <c r="E36" i="3"/>
  <c r="K62" i="3" l="1"/>
  <c r="J4" i="2" s="1"/>
  <c r="J16" i="2" s="1"/>
  <c r="I62" i="3"/>
  <c r="H4" i="2" s="1"/>
  <c r="E62" i="3"/>
  <c r="D4" i="2" s="1"/>
  <c r="F62" i="3"/>
  <c r="E4" i="2" s="1"/>
  <c r="H62" i="3"/>
  <c r="G4" i="2" s="1"/>
  <c r="G16" i="2" s="1"/>
  <c r="J62" i="3" l="1"/>
  <c r="I4" i="2" s="1"/>
  <c r="G62" i="3"/>
  <c r="F4" i="2" s="1"/>
  <c r="C13" i="17" l="1"/>
  <c r="F42" i="17" s="1"/>
  <c r="E42" i="17" l="1"/>
  <c r="I42" i="17"/>
  <c r="J62" i="17"/>
  <c r="I8" i="2" s="1"/>
  <c r="I16" i="2" s="1"/>
  <c r="F62" i="17"/>
  <c r="E8" i="2" s="1"/>
  <c r="E16" i="2" s="1"/>
  <c r="C16" i="17"/>
  <c r="G45" i="17" s="1"/>
  <c r="G62" i="17" s="1"/>
  <c r="F8" i="2" s="1"/>
  <c r="F16" i="2" s="1"/>
  <c r="E45" i="17" l="1"/>
  <c r="E62" i="17" s="1"/>
  <c r="D8" i="2" s="1"/>
  <c r="D16" i="2" s="1"/>
  <c r="G17" i="2" s="1"/>
  <c r="G18" i="2" s="1"/>
  <c r="I45" i="17"/>
  <c r="I62" i="17" s="1"/>
  <c r="H8" i="2" s="1"/>
  <c r="H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clc-0829</author>
  </authors>
  <commentList>
    <comment ref="B4" authorId="0" shapeId="0" xr:uid="{D50B0CC8-9818-4B3D-990B-9B474FB0AF87}">
      <text>
        <r>
          <rPr>
            <b/>
            <sz val="9"/>
            <color indexed="81"/>
            <rFont val="Segoe UI"/>
            <family val="2"/>
          </rPr>
          <t>clc-0829:</t>
        </r>
        <r>
          <rPr>
            <sz val="9"/>
            <color indexed="81"/>
            <rFont val="Segoe UI"/>
            <family val="2"/>
          </rPr>
          <t xml:space="preserve">
TRECHO PAVIMENTADO
</t>
        </r>
      </text>
    </comment>
  </commentList>
</comments>
</file>

<file path=xl/sharedStrings.xml><?xml version="1.0" encoding="utf-8"?>
<sst xmlns="http://schemas.openxmlformats.org/spreadsheetml/2006/main" count="621" uniqueCount="101">
  <si>
    <t>PROGRAMA DE MANUTENÇÃORODOVIÁRIA</t>
  </si>
  <si>
    <t>S.R.E.</t>
  </si>
  <si>
    <t>BOM</t>
  </si>
  <si>
    <t>DATA:</t>
  </si>
  <si>
    <t>TÉCNICO RESP.</t>
  </si>
  <si>
    <t>INÍCIO
(KM)</t>
  </si>
  <si>
    <t>FIM
(KM)</t>
  </si>
  <si>
    <t>SENTIDO</t>
  </si>
  <si>
    <t>OBSERV.</t>
  </si>
  <si>
    <t>RODOVIAS NÃO PAVIMENTADAS</t>
  </si>
  <si>
    <t>CONDIÇÃO DA PLATAFORMA</t>
  </si>
  <si>
    <t>DRENAGEM SUPERFICIAL</t>
  </si>
  <si>
    <t>LIMPA</t>
  </si>
  <si>
    <t>OBSTRUÍDA</t>
  </si>
  <si>
    <t>AUSENTE</t>
  </si>
  <si>
    <t>REG.
(ATÉ 10 IRR./KM)</t>
  </si>
  <si>
    <t>RUÍM
(+ 10 IRR./KM)</t>
  </si>
  <si>
    <t>PÉSSIMA
(ATOLEIRO/PTO. CRÍTICO)</t>
  </si>
  <si>
    <t>RESUMO</t>
  </si>
  <si>
    <t>TRECHO</t>
  </si>
  <si>
    <t>Nº DO TRECHO</t>
  </si>
  <si>
    <t>FICHA DE INSPEÇÃO:</t>
  </si>
  <si>
    <t>RODOVIA TO-296 - TRECHO SÃO SALVADOR DO TOCANTINS - PARANÃ</t>
  </si>
  <si>
    <t>RODOVIA TO-296 - TRECHO JAÚ DO TOCANTINS - SÃO SALVADOR DO TOCANTINS</t>
  </si>
  <si>
    <t>RODOVIA TO-365 - TRECHO IPUEIRAS - SILVANÓPOLIS</t>
  </si>
  <si>
    <t>RODOVIA TO-373 - TRECHO ENTR. TO-365 (BALSA) - SÃO MIGUEL - LAGOA DO ROMÃO -ENTR. TO-280</t>
  </si>
  <si>
    <t>RODOVIA TO-458 - TRECHO ENTR. TO-365 (IPUEIRAS) - ENTR. BR-010</t>
  </si>
  <si>
    <t>RODOVIA TO-479 - TRECHO PEIXE - POVOADO LAGOA DO ROMÃO (ENTR. TO-373)</t>
  </si>
  <si>
    <t>RODOVIA TO-482 - TRECHO: ENTR. TO-280 (SÃO VALÉRIO DE NATIVIDADE) / ENTR. TO-458</t>
  </si>
  <si>
    <t>RODOVIA TO-486 - TRECHO SANTA ROSA DO TOCANTINS - ENTR. TO-280 (NATIVIDADE)</t>
  </si>
  <si>
    <t>RODOVIA TO-490 - TRECHO SÃO VALÉRIO DE NATIVIDADE - ENTR. BR-242</t>
  </si>
  <si>
    <t>RODOVIA TO-491 - TRECHO ENTR. BR-242 - ENTR. TO-296 (POVOADO RETIRO)</t>
  </si>
  <si>
    <t>RODOVIA TO-495 - TRECHO DIVISA TO-GO - LOURENÇO BORGES - ENTR. TO-296</t>
  </si>
  <si>
    <t>PERCORRIDO NO MÊS:</t>
  </si>
  <si>
    <t>TOTAL:</t>
  </si>
  <si>
    <t>% DA EXTENSÃO DA MALHA:</t>
  </si>
  <si>
    <t>LOTE</t>
  </si>
  <si>
    <t>S.R.E</t>
  </si>
  <si>
    <t>SEGMENTOS</t>
  </si>
  <si>
    <t>TIPO</t>
  </si>
  <si>
    <t>ACESSO</t>
  </si>
  <si>
    <t>ENTR. TO-387 - UHE SÃO SALVADOR</t>
  </si>
  <si>
    <t>LEN</t>
  </si>
  <si>
    <t>296ETO0240</t>
  </si>
  <si>
    <t>ENTR. TO-387 - RETIRO</t>
  </si>
  <si>
    <t>EOP</t>
  </si>
  <si>
    <t>296ETO0250</t>
  </si>
  <si>
    <t>RETIRO - ENTR. TO-491</t>
  </si>
  <si>
    <t>296ETO0260</t>
  </si>
  <si>
    <t>ENTR. TO-491 - JAÚ DO TOCANTINS *TRECHO URBANO*</t>
  </si>
  <si>
    <t>365ETO0170</t>
  </si>
  <si>
    <t>ENTR- TO-050-BR-010 (SILVANÓPOLIS) - SURUBIM</t>
  </si>
  <si>
    <t>365ETO0180</t>
  </si>
  <si>
    <t>SURUBIM - ENTR. TO-458</t>
  </si>
  <si>
    <t>365ETO0190</t>
  </si>
  <si>
    <t>ENTR. TO-458 - IPUEIRAS *TRECHO URBANO*</t>
  </si>
  <si>
    <t>365ETO0210</t>
  </si>
  <si>
    <t>ENTR. TO-458 (IPUEIRAS *TRECHO URBANO*) - RIO TOCANTINS( BALSA)</t>
  </si>
  <si>
    <t>373ETO0120</t>
  </si>
  <si>
    <t>RIO TOCANTINS (BALSA) - SÃO MIGUEL</t>
  </si>
  <si>
    <t>373ETO0130</t>
  </si>
  <si>
    <t>SÃO MIGUEL - LAGOA DO ROMÃO</t>
  </si>
  <si>
    <t>373ETO0140</t>
  </si>
  <si>
    <t>LAGOA DO ROMÃO - ENTR. TO-479</t>
  </si>
  <si>
    <t>373ETO0150</t>
  </si>
  <si>
    <t>ENTR.TO- 479 - ENTR. TO-280</t>
  </si>
  <si>
    <t>458ETO0050</t>
  </si>
  <si>
    <t>ENTR. TO-365 - MORRO DE SÃO JOÃO</t>
  </si>
  <si>
    <t>458ETO0060</t>
  </si>
  <si>
    <t>MORRO DE SÃO JOÃO - ENTR. TO-482</t>
  </si>
  <si>
    <t>458ETO0070</t>
  </si>
  <si>
    <t>ENTR. TO-482 - ENTR. TO-050-BR-010</t>
  </si>
  <si>
    <t>479ETO0010</t>
  </si>
  <si>
    <t>ENTROC. TO-373 - PEIXE (RIO TOCANTINS)</t>
  </si>
  <si>
    <t>482ETO0010</t>
  </si>
  <si>
    <t>ENTR. TO-458 - POV. APINAJE (BALSA)</t>
  </si>
  <si>
    <t>482ETO0020</t>
  </si>
  <si>
    <t>POV. APINAJE (BALSA) - POV. SÃO PEDRO</t>
  </si>
  <si>
    <t>482ETO0030</t>
  </si>
  <si>
    <t>POV. SÃO PEDRO - ENTR. TO-280</t>
  </si>
  <si>
    <t>486ETO0010</t>
  </si>
  <si>
    <t>SANTA ROSA *TRECHO URBANO* - ENTR. TO-280 (NATIVIDADE)</t>
  </si>
  <si>
    <t>490ETO0010</t>
  </si>
  <si>
    <t>ENTR. TO-280 (SÃO VALÉRIO DA NATIVIDADE) - TIGRE</t>
  </si>
  <si>
    <t>490ETO0020</t>
  </si>
  <si>
    <t>TIGRE - ENTR. BR-242</t>
  </si>
  <si>
    <t>491ETO0010</t>
  </si>
  <si>
    <t>ENTR. TO-373-BR-242 - ENTR. TO-296</t>
  </si>
  <si>
    <t>495ETO0010</t>
  </si>
  <si>
    <t>ENTR. TO-296 - POV LORENÇO BORGES</t>
  </si>
  <si>
    <t>495ETO0020</t>
  </si>
  <si>
    <t>POV LORENÇO BORGES - DIVISA TO-GO</t>
  </si>
  <si>
    <t>N.</t>
  </si>
  <si>
    <t>EXT. (KM)</t>
  </si>
  <si>
    <t>REGIÃO:</t>
  </si>
  <si>
    <t>RELAÇÃO DE TRECHOS NÃO PAVIMENTDOS R.12</t>
  </si>
  <si>
    <t>D</t>
  </si>
  <si>
    <t>X</t>
  </si>
  <si>
    <t>C</t>
  </si>
  <si>
    <t>x</t>
  </si>
  <si>
    <t>ENG. THIAGO TORQUATO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</si>
</sst>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rgb="FFFF0000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b/>
      <sz val="20"/>
      <name val="Times New Roman"/>
      <family val="1"/>
    </font>
    <font>
      <sz val="16"/>
      <color theme="1"/>
      <name val="Times New Roman"/>
      <family val="1"/>
    </font>
    <font>
      <sz val="8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7" xfId="0" applyFont="1" applyBorder="1"/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2" xfId="2" applyFont="1" applyBorder="1"/>
    <xf numFmtId="0" fontId="9" fillId="0" borderId="2" xfId="2" applyFont="1" applyBorder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9" fillId="0" borderId="1" xfId="2" applyFont="1" applyBorder="1"/>
    <xf numFmtId="0" fontId="3" fillId="2" borderId="16" xfId="0" applyFont="1" applyFill="1" applyBorder="1"/>
    <xf numFmtId="0" fontId="8" fillId="0" borderId="16" xfId="0" applyFont="1" applyBorder="1" applyAlignment="1">
      <alignment horizontal="center" vertical="center"/>
    </xf>
    <xf numFmtId="0" fontId="1" fillId="0" borderId="7" xfId="0" applyFont="1" applyBorder="1"/>
    <xf numFmtId="2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0" fontId="6" fillId="0" borderId="2" xfId="3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2" borderId="18" xfId="0" applyFont="1" applyFill="1" applyBorder="1"/>
    <xf numFmtId="0" fontId="4" fillId="2" borderId="19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22" xfId="0" applyNumberFormat="1" applyFont="1" applyBorder="1" applyAlignment="1">
      <alignment horizontal="center" vertical="center"/>
    </xf>
    <xf numFmtId="0" fontId="14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2" fontId="8" fillId="0" borderId="2" xfId="0" applyNumberFormat="1" applyFont="1" applyBorder="1"/>
    <xf numFmtId="0" fontId="9" fillId="2" borderId="16" xfId="2" applyFont="1" applyFill="1" applyBorder="1" applyAlignment="1">
      <alignment horizontal="center" vertical="center" wrapText="1"/>
    </xf>
    <xf numFmtId="0" fontId="9" fillId="2" borderId="15" xfId="2" applyFont="1" applyFill="1" applyBorder="1" applyAlignment="1">
      <alignment horizontal="center" vertical="center" wrapText="1"/>
    </xf>
    <xf numFmtId="0" fontId="9" fillId="2" borderId="2" xfId="2" applyFont="1" applyFill="1" applyBorder="1"/>
    <xf numFmtId="0" fontId="9" fillId="2" borderId="2" xfId="2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" fontId="1" fillId="3" borderId="3" xfId="0" applyNumberFormat="1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9" fillId="2" borderId="17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vertical="center"/>
    </xf>
    <xf numFmtId="0" fontId="3" fillId="2" borderId="3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13" fillId="2" borderId="11" xfId="0" applyFont="1" applyFill="1" applyBorder="1" applyAlignment="1">
      <alignment horizontal="left"/>
    </xf>
    <xf numFmtId="0" fontId="13" fillId="2" borderId="12" xfId="0" applyFont="1" applyFill="1" applyBorder="1" applyAlignment="1">
      <alignment horizontal="left"/>
    </xf>
    <xf numFmtId="0" fontId="13" fillId="2" borderId="28" xfId="0" applyFont="1" applyFill="1" applyBorder="1" applyAlignment="1">
      <alignment horizontal="left"/>
    </xf>
    <xf numFmtId="164" fontId="7" fillId="2" borderId="6" xfId="0" applyNumberFormat="1" applyFont="1" applyFill="1" applyBorder="1" applyAlignment="1">
      <alignment horizontal="center" vertical="center"/>
    </xf>
    <xf numFmtId="164" fontId="7" fillId="2" borderId="35" xfId="0" applyNumberFormat="1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164" fontId="7" fillId="2" borderId="36" xfId="0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4" fontId="3" fillId="2" borderId="1" xfId="1" applyFont="1" applyFill="1" applyBorder="1" applyAlignment="1">
      <alignment horizontal="center" vertical="center"/>
    </xf>
    <xf numFmtId="44" fontId="3" fillId="2" borderId="37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44" fontId="11" fillId="2" borderId="37" xfId="1" applyFont="1" applyFill="1" applyBorder="1" applyAlignment="1">
      <alignment horizontal="center" vertical="center"/>
    </xf>
    <xf numFmtId="44" fontId="11" fillId="2" borderId="38" xfId="1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left" vertical="center"/>
    </xf>
    <xf numFmtId="0" fontId="11" fillId="2" borderId="19" xfId="0" applyFont="1" applyFill="1" applyBorder="1" applyAlignment="1">
      <alignment horizontal="left" vertical="center"/>
    </xf>
    <xf numFmtId="0" fontId="11" fillId="2" borderId="20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left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  <xf numFmtId="44" fontId="12" fillId="2" borderId="37" xfId="1" applyFont="1" applyFill="1" applyBorder="1" applyAlignment="1">
      <alignment horizontal="center" vertical="center"/>
    </xf>
    <xf numFmtId="44" fontId="12" fillId="2" borderId="38" xfId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2" fontId="8" fillId="0" borderId="11" xfId="0" applyNumberFormat="1" applyFont="1" applyBorder="1" applyAlignment="1">
      <alignment horizontal="center" vertical="center"/>
    </xf>
    <xf numFmtId="2" fontId="8" fillId="0" borderId="12" xfId="0" applyNumberFormat="1" applyFont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164" fontId="18" fillId="2" borderId="6" xfId="0" applyNumberFormat="1" applyFont="1" applyFill="1" applyBorder="1" applyAlignment="1">
      <alignment horizontal="center" vertical="center"/>
    </xf>
    <xf numFmtId="164" fontId="18" fillId="2" borderId="35" xfId="0" applyNumberFormat="1" applyFont="1" applyFill="1" applyBorder="1" applyAlignment="1">
      <alignment horizontal="center" vertical="center"/>
    </xf>
    <xf numFmtId="164" fontId="18" fillId="2" borderId="8" xfId="0" applyNumberFormat="1" applyFont="1" applyFill="1" applyBorder="1" applyAlignment="1">
      <alignment horizontal="center" vertical="center"/>
    </xf>
    <xf numFmtId="164" fontId="18" fillId="2" borderId="36" xfId="0" applyNumberFormat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4">
    <cellStyle name="Moeda" xfId="1" builtinId="4"/>
    <cellStyle name="Normal" xfId="0" builtinId="0"/>
    <cellStyle name="Normal 9" xfId="2" xr:uid="{2DFCE4FB-9C79-41A1-A386-3EAF63ED7D18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140428986827399E-2"/>
          <c:y val="0.11347279629814402"/>
          <c:w val="0.53333808602660315"/>
          <c:h val="0.8657541517479623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5-4D94-A00F-381E4ECBED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5-4D94-A00F-381E4ECBED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A5-4D94-A00F-381E4ECBED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A5-4D94-A00F-381E4ECBED51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A5-4D94-A00F-381E4ECBED5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'228'!$E$62:$H$62</c:f>
              <c:numCache>
                <c:formatCode>0.00</c:formatCode>
                <c:ptCount val="4"/>
                <c:pt idx="0">
                  <c:v>0</c:v>
                </c:pt>
                <c:pt idx="1">
                  <c:v>36.06</c:v>
                </c:pt>
                <c:pt idx="2">
                  <c:v>31.200000000000003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5-4D94-A00F-381E4ECBED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25729492154337"/>
          <c:y val="2.0951939360192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1EB-BBF4-96C1005090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1EB-BBF4-96C1005090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1EB-BBF4-96C10050901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'228'!$I$6:$K$6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'228'!$I$62:$K$62</c:f>
              <c:numCache>
                <c:formatCode>0.00</c:formatCode>
                <c:ptCount val="3"/>
                <c:pt idx="0">
                  <c:v>10.32</c:v>
                </c:pt>
                <c:pt idx="1">
                  <c:v>55.940000000000005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5-41EB-BBF4-96C1005090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43-40FA-AB7C-3D0EA7EB0E0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43-40FA-AB7C-3D0EA7EB0E0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43-40FA-AB7C-3D0EA7EB0E0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43-40FA-AB7C-3D0EA7EB0E0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43-40FA-AB7C-3D0EA7EB0E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43-40FA-AB7C-3D0EA7EB0E0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43-40FA-AB7C-3D0EA7EB0E0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'229'!$E$62:$H$62</c:f>
              <c:numCache>
                <c:formatCode>0.00</c:formatCode>
                <c:ptCount val="4"/>
                <c:pt idx="0">
                  <c:v>66.290000000000006</c:v>
                </c:pt>
                <c:pt idx="1">
                  <c:v>16.099999999999998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43-40FA-AB7C-3D0EA7EB0E0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66-48FD-A93D-A29D0D22725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66-48FD-A93D-A29D0D22725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66-48FD-A93D-A29D0D22725B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66-48FD-A93D-A29D0D22725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66-48FD-A93D-A29D0D22725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'229'!$I$62:$K$62</c:f>
              <c:numCache>
                <c:formatCode>0.00</c:formatCode>
                <c:ptCount val="3"/>
                <c:pt idx="0">
                  <c:v>81.690000000000012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66-48FD-A93D-A29D0D22725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45-4C9B-9C3B-C1C0E96C15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45-4C9B-9C3B-C1C0E96C15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45-4C9B-9C3B-C1C0E96C15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45-4C9B-9C3B-C1C0E96C1551}"/>
              </c:ext>
            </c:extLst>
          </c:dPt>
          <c:dLbls>
            <c:dLbl>
              <c:idx val="0"/>
              <c:layout>
                <c:manualLayout>
                  <c:x val="-2.737285575076057E-2"/>
                  <c:y val="-0.3270436675615054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45-4C9B-9C3B-C1C0E96C1551}"/>
                </c:ext>
              </c:extLst>
            </c:dLbl>
            <c:dLbl>
              <c:idx val="1"/>
              <c:layout>
                <c:manualLayout>
                  <c:x val="-0.13312840065717124"/>
                  <c:y val="3.219006787147714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45-4C9B-9C3B-C1C0E96C1551}"/>
                </c:ext>
              </c:extLst>
            </c:dLbl>
            <c:dLbl>
              <c:idx val="2"/>
              <c:layout>
                <c:manualLayout>
                  <c:x val="3.8652014147855019E-3"/>
                  <c:y val="-2.92312475610118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45-4C9B-9C3B-C1C0E96C1551}"/>
                </c:ext>
              </c:extLst>
            </c:dLbl>
            <c:dLbl>
              <c:idx val="3"/>
              <c:layout>
                <c:manualLayout>
                  <c:x val="0.14961122781568661"/>
                  <c:y val="-2.6847938325182341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45-4C9B-9C3B-C1C0E96C155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'231'!$E$62:$H$62</c:f>
              <c:numCache>
                <c:formatCode>0.00</c:formatCode>
                <c:ptCount val="4"/>
                <c:pt idx="0">
                  <c:v>45.780000000000008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45-4C9B-9C3B-C1C0E96C15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C7-43D6-A78B-A99722511DD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C7-43D6-A78B-A99722511DD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C7-43D6-A78B-A99722511DD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C7-43D6-A78B-A99722511DD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C7-43D6-A78B-A99722511DD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'231'!$I$62:$K$62</c:f>
              <c:numCache>
                <c:formatCode>0.00</c:formatCode>
                <c:ptCount val="3"/>
                <c:pt idx="0">
                  <c:v>45.780000000000008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C7-43D6-A78B-A99722511D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70-4FE0-B71C-EF567E1B42A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A70-4FE0-B71C-EF567E1B42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A70-4FE0-B71C-EF567E1B42A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A70-4FE0-B71C-EF567E1B42A9}"/>
              </c:ext>
            </c:extLst>
          </c:dPt>
          <c:dLbls>
            <c:dLbl>
              <c:idx val="1"/>
              <c:layout>
                <c:manualLayout>
                  <c:x val="0.17428359821038922"/>
                  <c:y val="-0.169244892513628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70-4FE0-B71C-EF567E1B42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A70-4FE0-B71C-EF567E1B42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A70-4FE0-B71C-EF567E1B42A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'232'!$E$62:$H$62</c:f>
              <c:numCache>
                <c:formatCode>0.00</c:formatCode>
                <c:ptCount val="4"/>
                <c:pt idx="0">
                  <c:v>87.53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70-4FE0-B71C-EF567E1B42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4D-44F8-ABE7-2EC74BB8B62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4D-44F8-ABE7-2EC74BB8B62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4D-44F8-ABE7-2EC74BB8B62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4D-44F8-ABE7-2EC74BB8B624}"/>
                </c:ext>
              </c:extLst>
            </c:dLbl>
            <c:dLbl>
              <c:idx val="2"/>
              <c:layout>
                <c:manualLayout>
                  <c:x val="0.14126865824671173"/>
                  <c:y val="-0.1791390471974768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4D-44F8-ABE7-2EC74BB8B62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'232'!$I$62:$K$62</c:f>
              <c:numCache>
                <c:formatCode>0.00</c:formatCode>
                <c:ptCount val="3"/>
                <c:pt idx="0">
                  <c:v>20.95</c:v>
                </c:pt>
                <c:pt idx="1">
                  <c:v>0</c:v>
                </c:pt>
                <c:pt idx="2">
                  <c:v>66.58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4D-44F8-ABE7-2EC74BB8B6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AF-46CF-95F6-C70A752C421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AF-46CF-95F6-C70A752C421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AF-46CF-95F6-C70A752C421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3AF-46CF-95F6-C70A752C4217}"/>
              </c:ext>
            </c:extLst>
          </c:dPt>
          <c:dLbls>
            <c:dLbl>
              <c:idx val="0"/>
              <c:layout>
                <c:manualLayout>
                  <c:x val="1.9064351496357391E-3"/>
                  <c:y val="-0.3301102211177959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AF-46CF-95F6-C70A752C4217}"/>
                </c:ext>
              </c:extLst>
            </c:dLbl>
            <c:dLbl>
              <c:idx val="1"/>
              <c:layout>
                <c:manualLayout>
                  <c:x val="-6.0157149991928571E-3"/>
                  <c:y val="7.725653011799695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AF-46CF-95F6-C70A752C421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AF-46CF-95F6-C70A752C421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AF-46CF-95F6-C70A752C421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'236'!$E$62:$H$62</c:f>
              <c:numCache>
                <c:formatCode>0.00</c:formatCode>
                <c:ptCount val="4"/>
                <c:pt idx="0">
                  <c:v>0</c:v>
                </c:pt>
                <c:pt idx="1">
                  <c:v>21.24</c:v>
                </c:pt>
                <c:pt idx="2">
                  <c:v>13.200000000000001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AF-46CF-95F6-C70A752C42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D1-48A6-A606-3BC1F5472A2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D1-48A6-A606-3BC1F5472A2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D1-48A6-A606-3BC1F5472A2A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CD1-48A6-A606-3BC1F5472A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D1-48A6-A606-3BC1F5472A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D1-48A6-A606-3BC1F5472A2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'236'!$I$62:$K$62</c:f>
              <c:numCache>
                <c:formatCode>0.00</c:formatCode>
                <c:ptCount val="3"/>
                <c:pt idx="0">
                  <c:v>34.340000000000003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D1-48A6-A606-3BC1F5472A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1E-4FF7-B9EA-D96B271B3BB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1E-4FF7-B9EA-D96B271B3BB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1E-4FF7-B9EA-D96B271B3BB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1E-4FF7-B9EA-D96B271B3BB5}"/>
              </c:ext>
            </c:extLst>
          </c:dPt>
          <c:dLbls>
            <c:dLbl>
              <c:idx val="0"/>
              <c:layout>
                <c:manualLayout>
                  <c:x val="-0.12758799181937716"/>
                  <c:y val="-0.2090480566356916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1E-4FF7-B9EA-D96B271B3BB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1E-4FF7-B9EA-D96B271B3BB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1E-4FF7-B9EA-D96B271B3BB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'238'!$E$6:$H$6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'238'!$E$76:$H$76</c:f>
              <c:numCache>
                <c:formatCode>0.00</c:formatCode>
                <c:ptCount val="4"/>
                <c:pt idx="0">
                  <c:v>72.760000000000005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1E-4FF7-B9EA-D96B271B3B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38-48EC-B8B8-19572424D86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E38-48EC-B8B8-19572424D86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E38-48EC-B8B8-19572424D86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38-48EC-B8B8-19572424D86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38-48EC-B8B8-19572424D86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'238'!$I$6:$K$6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'238'!$I$76:$K$76</c:f>
              <c:numCache>
                <c:formatCode>0.00</c:formatCode>
                <c:ptCount val="3"/>
                <c:pt idx="0">
                  <c:v>73.560000000000016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38-48EC-B8B8-19572424D8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C2-4A43-8C1F-60B2E9B0D19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C2-4A43-8C1F-60B2E9B0D19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C2-4A43-8C1F-60B2E9B0D19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C2-4A43-8C1F-60B2E9B0D19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C2-4A43-8C1F-60B2E9B0D19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C2-4A43-8C1F-60B2E9B0D19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C2-4A43-8C1F-60B2E9B0D19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'237'!$E$62:$H$62</c:f>
              <c:numCache>
                <c:formatCode>0.00</c:formatCode>
                <c:ptCount val="4"/>
                <c:pt idx="0">
                  <c:v>26.04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C2-4A43-8C1F-60B2E9B0D1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E8-4D69-BC53-16D1D5A0105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E8-4D69-BC53-16D1D5A0105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E8-4D69-BC53-16D1D5A0105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E8-4D69-BC53-16D1D5A0105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E8-4D69-BC53-16D1D5A0105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'237'!$I$62:$K$62</c:f>
              <c:numCache>
                <c:formatCode>0.00</c:formatCode>
                <c:ptCount val="3"/>
                <c:pt idx="0">
                  <c:v>26.04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E8-4D69-BC53-16D1D5A0105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31947822481364363"/>
          <c:y val="2.07730519538936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96-40BC-A310-9BC12879A4C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96-40BC-A310-9BC12879A4C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96-40BC-A310-9BC12879A4C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96-40BC-A310-9BC12879A4C7}"/>
              </c:ext>
            </c:extLst>
          </c:dPt>
          <c:dLbls>
            <c:dLbl>
              <c:idx val="0"/>
              <c:layout>
                <c:manualLayout>
                  <c:x val="-9.2803341485173926E-2"/>
                  <c:y val="-0.246739476697034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96-40BC-A310-9BC12879A4C7}"/>
                </c:ext>
              </c:extLst>
            </c:dLbl>
            <c:dLbl>
              <c:idx val="1"/>
              <c:layout>
                <c:manualLayout>
                  <c:x val="1.1793431441223044E-2"/>
                  <c:y val="1.617011450121512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96-40BC-A310-9BC12879A4C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96-40BC-A310-9BC12879A4C7}"/>
                </c:ext>
              </c:extLst>
            </c:dLbl>
            <c:dLbl>
              <c:idx val="3"/>
              <c:layout>
                <c:manualLayout>
                  <c:x val="6.3931199422394211E-2"/>
                  <c:y val="-1.983454289239725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296-40BC-A310-9BC12879A4C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'239'!$E$62:$H$62</c:f>
              <c:numCache>
                <c:formatCode>0.00</c:formatCode>
                <c:ptCount val="4"/>
                <c:pt idx="0">
                  <c:v>63.93</c:v>
                </c:pt>
                <c:pt idx="1">
                  <c:v>0</c:v>
                </c:pt>
                <c:pt idx="2">
                  <c:v>45.699999999999996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96-40BC-A310-9BC12879A4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2775053983498774"/>
          <c:y val="2.3551574581043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0D-4CF3-B9A7-C15D00C6ACA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0D-4CF3-B9A7-C15D00C6ACA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B0D-4CF3-B9A7-C15D00C6ACA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0D-4CF3-B9A7-C15D00C6AC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0D-4CF3-B9A7-C15D00C6ACA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'239'!$I$62:$K$62</c:f>
              <c:numCache>
                <c:formatCode>0.00</c:formatCode>
                <c:ptCount val="3"/>
                <c:pt idx="0">
                  <c:v>63.93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0D-4CF3-B9A7-C15D00C6AC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77-44AC-B959-D91B5B423C42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77-44AC-B959-D91B5B423C4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777-44AC-B959-D91B5B423C4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777-44AC-B959-D91B5B423C4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77-44AC-B959-D91B5B423C42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777-44AC-B959-D91B5B423C4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77-44AC-B959-D91B5B423C4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77-44AC-B959-D91B5B423C4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'240'!$E$62:$H$62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77-44AC-B959-D91B5B423C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29-4F61-A86C-4585D3F31C4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29-4F61-A86C-4585D3F31C4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29-4F61-A86C-4585D3F31C4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29-4F61-A86C-4585D3F31C4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29-4F61-A86C-4585D3F31C4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'240'!$I$62:$K$62</c:f>
              <c:numCache>
                <c:formatCode>0.00</c:formatCode>
                <c:ptCount val="3"/>
                <c:pt idx="0">
                  <c:v>0</c:v>
                </c:pt>
                <c:pt idx="1">
                  <c:v>81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29-4F61-A86C-4585D3F31C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68-4354-A239-865727E75382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68-4354-A239-865727E7538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68-4354-A239-865727E7538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68-4354-A239-865727E7538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68-4354-A239-865727E753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68-4354-A239-865727E7538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68-4354-A239-865727E7538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'241'!$E$62:$H$62</c:f>
              <c:numCache>
                <c:formatCode>0.00</c:formatCode>
                <c:ptCount val="4"/>
                <c:pt idx="0">
                  <c:v>54.410000000000004</c:v>
                </c:pt>
                <c:pt idx="1">
                  <c:v>5.8999999999999986</c:v>
                </c:pt>
                <c:pt idx="2">
                  <c:v>5.8999999999999986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68-4354-A239-865727E753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98-4A05-9AEA-E3245674A64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98-4A05-9AEA-E3245674A64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98-4A05-9AEA-E3245674A64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98-4A05-9AEA-E3245674A64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98-4A05-9AEA-E3245674A64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'241'!$I$62:$K$62</c:f>
              <c:numCache>
                <c:formatCode>0.00</c:formatCode>
                <c:ptCount val="3"/>
                <c:pt idx="0">
                  <c:v>60.31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98-4A05-9AEA-E3245674A6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02-447C-B02D-7FF35972E06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02-447C-B02D-7FF35972E06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02-447C-B02D-7FF35972E06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02-447C-B02D-7FF35972E06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02-447C-B02D-7FF35972E0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02-447C-B02D-7FF35972E0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D02-447C-B02D-7FF35972E06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'242'!$E$62:$H$62</c:f>
              <c:numCache>
                <c:formatCode>0.00</c:formatCode>
                <c:ptCount val="4"/>
                <c:pt idx="0">
                  <c:v>21.67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02-447C-B02D-7FF35972E0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12317264280779"/>
          <c:y val="2.09518361417936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57-4496-A6F7-AB218BC5D9B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57-4496-A6F7-AB218BC5D9B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57-4496-A6F7-AB218BC5D9B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57-4496-A6F7-AB218BC5D9B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'242'!$I$62:$K$62</c:f>
              <c:numCache>
                <c:formatCode>0.00</c:formatCode>
                <c:ptCount val="3"/>
                <c:pt idx="0">
                  <c:v>16.27</c:v>
                </c:pt>
                <c:pt idx="1">
                  <c:v>0</c:v>
                </c:pt>
                <c:pt idx="2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57-4496-A6F7-AB218BC5D9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51458850329249"/>
          <c:y val="1.2329184368632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362087921757582"/>
          <c:y val="0.21188888888888888"/>
          <c:w val="0.49003546621539629"/>
          <c:h val="0.7347938888888887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45-456C-9809-D2CB20CC087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45-456C-9809-D2CB20CC087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45-456C-9809-D2CB20CC087E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45-456C-9809-D2CB20CC08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TT!$D$3:$G$3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TT!$D$16:$G$16</c:f>
              <c:numCache>
                <c:formatCode>0.00</c:formatCode>
                <c:ptCount val="4"/>
                <c:pt idx="0">
                  <c:v>438.41000000000008</c:v>
                </c:pt>
                <c:pt idx="1">
                  <c:v>79.299999999999983</c:v>
                </c:pt>
                <c:pt idx="2">
                  <c:v>177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45-456C-9809-D2CB20CC087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25118951748943"/>
          <c:y val="1.2357752056787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6A-426A-9706-6B54EFD0FE5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6A-426A-9706-6B54EFD0FE5D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6A-426A-9706-6B54EFD0FE5D}"/>
              </c:ext>
            </c:extLst>
          </c:dPt>
          <c:dLbls>
            <c:dLbl>
              <c:idx val="0"/>
              <c:layout>
                <c:manualLayout>
                  <c:x val="-0.15760214641625145"/>
                  <c:y val="-0.258617222222222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6A-426A-9706-6B54EFD0FE5D}"/>
                </c:ext>
              </c:extLst>
            </c:dLbl>
            <c:dLbl>
              <c:idx val="2"/>
              <c:layout>
                <c:manualLayout>
                  <c:x val="0.11195860482943656"/>
                  <c:y val="-3.1291944444444442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8955538520506"/>
                      <c:h val="6.790972222222221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16A-426A-9706-6B54EFD0FE5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TT!$H$3:$J$3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TT!$H$16:$J$16</c:f>
              <c:numCache>
                <c:formatCode>0.00</c:formatCode>
                <c:ptCount val="3"/>
                <c:pt idx="0">
                  <c:v>433.19</c:v>
                </c:pt>
                <c:pt idx="1">
                  <c:v>136.94</c:v>
                </c:pt>
                <c:pt idx="2">
                  <c:v>72.98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6A-426A-9706-6B54EFD0FE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354195</xdr:colOff>
      <xdr:row>5</xdr:row>
      <xdr:rowOff>312691</xdr:rowOff>
    </xdr:from>
    <xdr:to>
      <xdr:col>27</xdr:col>
      <xdr:colOff>243303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396AA-FA1D-4B51-9138-1F4645DA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380191</xdr:colOff>
      <xdr:row>5</xdr:row>
      <xdr:rowOff>311155</xdr:rowOff>
    </xdr:from>
    <xdr:to>
      <xdr:col>36</xdr:col>
      <xdr:colOff>269298</xdr:colOff>
      <xdr:row>11</xdr:row>
      <xdr:rowOff>247023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397D3-68A9-42A3-AA3C-031EDBFF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736C0F-EC7E-44E9-9700-573188301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399506</xdr:colOff>
      <xdr:row>5</xdr:row>
      <xdr:rowOff>321400</xdr:rowOff>
    </xdr:from>
    <xdr:to>
      <xdr:col>36</xdr:col>
      <xdr:colOff>230375</xdr:colOff>
      <xdr:row>11</xdr:row>
      <xdr:rowOff>292375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D79DDD-EB06-4F6D-ACBD-E02C254FD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29</xdr:col>
      <xdr:colOff>257735</xdr:colOff>
      <xdr:row>7</xdr:row>
      <xdr:rowOff>403412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BD48A3D7-5682-4708-AEFC-DA44A28A9CD7}"/>
            </a:ext>
          </a:extLst>
        </xdr:cNvPr>
        <xdr:cNvSpPr txBox="1"/>
      </xdr:nvSpPr>
      <xdr:spPr>
        <a:xfrm>
          <a:off x="34435676" y="364191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ADD7F4-54D7-43E3-AE19-AD9F373FA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431618</xdr:colOff>
      <xdr:row>5</xdr:row>
      <xdr:rowOff>302758</xdr:rowOff>
    </xdr:from>
    <xdr:to>
      <xdr:col>36</xdr:col>
      <xdr:colOff>255683</xdr:colOff>
      <xdr:row>11</xdr:row>
      <xdr:rowOff>283258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0AAFAE-A680-4DC5-BCBC-F223276B7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447201</xdr:colOff>
      <xdr:row>11</xdr:row>
      <xdr:rowOff>268874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80B31C-6F35-4E6C-94D3-E54431FB0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554229</xdr:colOff>
      <xdr:row>5</xdr:row>
      <xdr:rowOff>324964</xdr:rowOff>
    </xdr:from>
    <xdr:to>
      <xdr:col>36</xdr:col>
      <xdr:colOff>506266</xdr:colOff>
      <xdr:row>11</xdr:row>
      <xdr:rowOff>279242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21B0F9-3B29-4BB6-AD32-17A6066294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5C7466-08BB-4A00-AF99-6DB745486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550273</xdr:colOff>
      <xdr:row>5</xdr:row>
      <xdr:rowOff>303266</xdr:rowOff>
    </xdr:from>
    <xdr:to>
      <xdr:col>36</xdr:col>
      <xdr:colOff>498856</xdr:colOff>
      <xdr:row>11</xdr:row>
      <xdr:rowOff>299179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5756D4-8FC0-4838-B64A-DDE0F279A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24B235-9190-44D5-A73C-4C831E97A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395159</xdr:colOff>
      <xdr:row>5</xdr:row>
      <xdr:rowOff>317878</xdr:rowOff>
    </xdr:from>
    <xdr:to>
      <xdr:col>36</xdr:col>
      <xdr:colOff>234118</xdr:colOff>
      <xdr:row>11</xdr:row>
      <xdr:rowOff>288853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9A84D7-F6F2-48D5-909C-AEA999211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7EDCEB-90CD-4FB1-8A61-BCABB0567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548498</xdr:colOff>
      <xdr:row>5</xdr:row>
      <xdr:rowOff>326163</xdr:rowOff>
    </xdr:from>
    <xdr:to>
      <xdr:col>36</xdr:col>
      <xdr:colOff>498986</xdr:colOff>
      <xdr:row>11</xdr:row>
      <xdr:rowOff>323981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8FED8E-EE69-4078-96C8-0FB5FC641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382368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568DEE-8EE1-4474-B4D4-1AA2918D0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495571</xdr:colOff>
      <xdr:row>5</xdr:row>
      <xdr:rowOff>293369</xdr:rowOff>
    </xdr:from>
    <xdr:to>
      <xdr:col>36</xdr:col>
      <xdr:colOff>384678</xdr:colOff>
      <xdr:row>11</xdr:row>
      <xdr:rowOff>219712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B0247F-F4DC-464A-8FF2-6D4DB28F2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382368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DE8371-89F4-41CB-A457-DC05192A7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463123</xdr:colOff>
      <xdr:row>5</xdr:row>
      <xdr:rowOff>314517</xdr:rowOff>
    </xdr:from>
    <xdr:to>
      <xdr:col>36</xdr:col>
      <xdr:colOff>354135</xdr:colOff>
      <xdr:row>11</xdr:row>
      <xdr:rowOff>250385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210FCE-BE38-4D4F-B57F-AB2F4136A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1C40FF-989A-4D21-A947-2805BE369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450954</xdr:colOff>
      <xdr:row>5</xdr:row>
      <xdr:rowOff>329602</xdr:rowOff>
    </xdr:from>
    <xdr:to>
      <xdr:col>36</xdr:col>
      <xdr:colOff>284544</xdr:colOff>
      <xdr:row>11</xdr:row>
      <xdr:rowOff>310102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C95B6C-4CE8-46B2-A123-2A54F0796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0EDDA9-6FE7-4332-A4FC-21230B54A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535824</xdr:colOff>
      <xdr:row>5</xdr:row>
      <xdr:rowOff>319051</xdr:rowOff>
    </xdr:from>
    <xdr:to>
      <xdr:col>36</xdr:col>
      <xdr:colOff>480597</xdr:colOff>
      <xdr:row>11</xdr:row>
      <xdr:rowOff>316869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555769-17EB-438B-BFAA-DF9983D1E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207509</xdr:colOff>
      <xdr:row>3</xdr:row>
      <xdr:rowOff>76470</xdr:rowOff>
    </xdr:from>
    <xdr:to>
      <xdr:col>20</xdr:col>
      <xdr:colOff>161450</xdr:colOff>
      <xdr:row>12</xdr:row>
      <xdr:rowOff>251280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30BC86-7114-40BD-839B-73634069E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243585</xdr:colOff>
      <xdr:row>3</xdr:row>
      <xdr:rowOff>64508</xdr:rowOff>
    </xdr:from>
    <xdr:to>
      <xdr:col>29</xdr:col>
      <xdr:colOff>195621</xdr:colOff>
      <xdr:row>12</xdr:row>
      <xdr:rowOff>235508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45ABA3-2C97-4A29-AF2D-F1B7C96AE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622D-C4F2-43EA-8F5C-4DAC2681266A}">
  <dimension ref="A1:I28"/>
  <sheetViews>
    <sheetView view="pageBreakPreview" topLeftCell="B1" zoomScaleNormal="100" zoomScaleSheetLayoutView="100" workbookViewId="0">
      <selection activeCell="C7" sqref="C7"/>
    </sheetView>
  </sheetViews>
  <sheetFormatPr defaultColWidth="8.88671875" defaultRowHeight="13.8" x14ac:dyDescent="0.3"/>
  <cols>
    <col min="1" max="1" width="6.33203125" style="38" bestFit="1" customWidth="1"/>
    <col min="2" max="2" width="5.88671875" style="38" customWidth="1"/>
    <col min="3" max="3" width="52.6640625" style="39" customWidth="1"/>
    <col min="4" max="4" width="14.33203125" style="38" customWidth="1"/>
    <col min="5" max="5" width="52" style="39" customWidth="1"/>
    <col min="6" max="6" width="16.6640625" style="40" bestFit="1" customWidth="1"/>
    <col min="7" max="7" width="10.88671875" style="38" bestFit="1" customWidth="1"/>
    <col min="8" max="16384" width="8.88671875" style="38"/>
  </cols>
  <sheetData>
    <row r="1" spans="1:9" ht="14.4" thickBot="1" x14ac:dyDescent="0.35">
      <c r="A1" s="37" t="s">
        <v>95</v>
      </c>
    </row>
    <row r="2" spans="1:9" s="47" customFormat="1" x14ac:dyDescent="0.3">
      <c r="A2" s="41" t="s">
        <v>36</v>
      </c>
      <c r="B2" s="42" t="s">
        <v>92</v>
      </c>
      <c r="C2" s="43" t="s">
        <v>19</v>
      </c>
      <c r="D2" s="42" t="s">
        <v>37</v>
      </c>
      <c r="E2" s="43" t="s">
        <v>38</v>
      </c>
      <c r="F2" s="44" t="s">
        <v>93</v>
      </c>
      <c r="G2" s="45" t="s">
        <v>39</v>
      </c>
      <c r="H2" s="46">
        <v>45839</v>
      </c>
      <c r="I2" s="46">
        <v>45870</v>
      </c>
    </row>
    <row r="3" spans="1:9" ht="27.6" x14ac:dyDescent="0.3">
      <c r="A3" s="57">
        <v>12</v>
      </c>
      <c r="B3" s="58">
        <v>228</v>
      </c>
      <c r="C3" s="59" t="s">
        <v>22</v>
      </c>
      <c r="D3" s="58" t="s">
        <v>40</v>
      </c>
      <c r="E3" s="59" t="s">
        <v>41</v>
      </c>
      <c r="F3" s="60">
        <v>12.3173480749</v>
      </c>
      <c r="G3" s="61" t="s">
        <v>42</v>
      </c>
    </row>
    <row r="4" spans="1:9" ht="27.6" x14ac:dyDescent="0.3">
      <c r="A4" s="57">
        <v>12</v>
      </c>
      <c r="B4" s="58">
        <v>229</v>
      </c>
      <c r="C4" s="59" t="s">
        <v>23</v>
      </c>
      <c r="D4" s="58" t="s">
        <v>43</v>
      </c>
      <c r="E4" s="59" t="s">
        <v>44</v>
      </c>
      <c r="F4" s="60">
        <v>22.432306739400001</v>
      </c>
      <c r="G4" s="61" t="s">
        <v>45</v>
      </c>
      <c r="I4" s="38" t="s">
        <v>97</v>
      </c>
    </row>
    <row r="5" spans="1:9" ht="27.6" x14ac:dyDescent="0.3">
      <c r="A5" s="57">
        <v>12</v>
      </c>
      <c r="B5" s="58">
        <v>229</v>
      </c>
      <c r="C5" s="59" t="s">
        <v>23</v>
      </c>
      <c r="D5" s="58" t="s">
        <v>46</v>
      </c>
      <c r="E5" s="59" t="s">
        <v>47</v>
      </c>
      <c r="F5" s="60">
        <v>7.6576127770199998</v>
      </c>
      <c r="G5" s="61" t="s">
        <v>45</v>
      </c>
      <c r="I5" s="38" t="s">
        <v>97</v>
      </c>
    </row>
    <row r="6" spans="1:9" ht="27.6" x14ac:dyDescent="0.3">
      <c r="A6" s="57">
        <v>12</v>
      </c>
      <c r="B6" s="58">
        <v>229</v>
      </c>
      <c r="C6" s="59" t="s">
        <v>23</v>
      </c>
      <c r="D6" s="58" t="s">
        <v>48</v>
      </c>
      <c r="E6" s="59" t="s">
        <v>49</v>
      </c>
      <c r="F6" s="60">
        <v>51.627934935699997</v>
      </c>
      <c r="G6" s="61" t="s">
        <v>45</v>
      </c>
      <c r="I6" s="38" t="s">
        <v>97</v>
      </c>
    </row>
    <row r="7" spans="1:9" ht="27.6" x14ac:dyDescent="0.3">
      <c r="A7" s="57">
        <v>12</v>
      </c>
      <c r="B7" s="58">
        <v>231</v>
      </c>
      <c r="C7" s="59" t="s">
        <v>24</v>
      </c>
      <c r="D7" s="58" t="s">
        <v>50</v>
      </c>
      <c r="E7" s="59" t="s">
        <v>51</v>
      </c>
      <c r="F7" s="60">
        <v>21.3542155608</v>
      </c>
      <c r="G7" s="61" t="s">
        <v>42</v>
      </c>
    </row>
    <row r="8" spans="1:9" ht="27.6" x14ac:dyDescent="0.3">
      <c r="A8" s="57">
        <v>12</v>
      </c>
      <c r="B8" s="58">
        <v>231</v>
      </c>
      <c r="C8" s="59" t="s">
        <v>24</v>
      </c>
      <c r="D8" s="58" t="s">
        <v>52</v>
      </c>
      <c r="E8" s="59" t="s">
        <v>53</v>
      </c>
      <c r="F8" s="60">
        <v>6.2394458372699999</v>
      </c>
      <c r="G8" s="61" t="s">
        <v>42</v>
      </c>
    </row>
    <row r="9" spans="1:9" ht="27.6" x14ac:dyDescent="0.3">
      <c r="A9" s="57">
        <v>12</v>
      </c>
      <c r="B9" s="58">
        <v>231</v>
      </c>
      <c r="C9" s="59" t="s">
        <v>24</v>
      </c>
      <c r="D9" s="58" t="s">
        <v>54</v>
      </c>
      <c r="E9" s="59" t="s">
        <v>55</v>
      </c>
      <c r="F9" s="60">
        <v>5.3298941924200003</v>
      </c>
      <c r="G9" s="61" t="s">
        <v>42</v>
      </c>
    </row>
    <row r="10" spans="1:9" ht="27.6" x14ac:dyDescent="0.3">
      <c r="A10" s="57">
        <v>12</v>
      </c>
      <c r="B10" s="58">
        <v>231</v>
      </c>
      <c r="C10" s="59" t="s">
        <v>24</v>
      </c>
      <c r="D10" s="58" t="s">
        <v>56</v>
      </c>
      <c r="E10" s="59" t="s">
        <v>57</v>
      </c>
      <c r="F10" s="60">
        <v>1.3310601720899999</v>
      </c>
      <c r="G10" s="61" t="s">
        <v>42</v>
      </c>
    </row>
    <row r="11" spans="1:9" ht="27.6" x14ac:dyDescent="0.3">
      <c r="A11" s="57">
        <v>12</v>
      </c>
      <c r="B11" s="58">
        <v>232</v>
      </c>
      <c r="C11" s="59" t="s">
        <v>25</v>
      </c>
      <c r="D11" s="58" t="s">
        <v>58</v>
      </c>
      <c r="E11" s="59" t="s">
        <v>59</v>
      </c>
      <c r="F11" s="60">
        <v>25.932626726399999</v>
      </c>
      <c r="G11" s="61" t="s">
        <v>42</v>
      </c>
    </row>
    <row r="12" spans="1:9" ht="27.6" x14ac:dyDescent="0.3">
      <c r="A12" s="57">
        <v>12</v>
      </c>
      <c r="B12" s="58">
        <v>232</v>
      </c>
      <c r="C12" s="59" t="s">
        <v>25</v>
      </c>
      <c r="D12" s="58" t="s">
        <v>60</v>
      </c>
      <c r="E12" s="59" t="s">
        <v>61</v>
      </c>
      <c r="F12" s="60">
        <v>39.401207841999998</v>
      </c>
      <c r="G12" s="61" t="s">
        <v>42</v>
      </c>
    </row>
    <row r="13" spans="1:9" ht="27.6" x14ac:dyDescent="0.3">
      <c r="A13" s="57">
        <v>12</v>
      </c>
      <c r="B13" s="58">
        <v>232</v>
      </c>
      <c r="C13" s="59" t="s">
        <v>25</v>
      </c>
      <c r="D13" s="58" t="s">
        <v>62</v>
      </c>
      <c r="E13" s="59" t="s">
        <v>63</v>
      </c>
      <c r="F13" s="60">
        <v>1.55186856897</v>
      </c>
      <c r="G13" s="61" t="s">
        <v>42</v>
      </c>
    </row>
    <row r="14" spans="1:9" ht="27.6" x14ac:dyDescent="0.3">
      <c r="A14" s="57">
        <v>12</v>
      </c>
      <c r="B14" s="58">
        <v>232</v>
      </c>
      <c r="C14" s="59" t="s">
        <v>25</v>
      </c>
      <c r="D14" s="58" t="s">
        <v>64</v>
      </c>
      <c r="E14" s="59" t="s">
        <v>65</v>
      </c>
      <c r="F14" s="60">
        <v>20.9453418423</v>
      </c>
      <c r="G14" s="61" t="s">
        <v>42</v>
      </c>
    </row>
    <row r="15" spans="1:9" ht="27.6" x14ac:dyDescent="0.3">
      <c r="A15" s="57">
        <v>12</v>
      </c>
      <c r="B15" s="58">
        <v>236</v>
      </c>
      <c r="C15" s="59" t="s">
        <v>26</v>
      </c>
      <c r="D15" s="58" t="s">
        <v>66</v>
      </c>
      <c r="E15" s="59" t="s">
        <v>67</v>
      </c>
      <c r="F15" s="60">
        <v>9.4784747975600006</v>
      </c>
      <c r="G15" s="61" t="s">
        <v>42</v>
      </c>
    </row>
    <row r="16" spans="1:9" ht="27.6" x14ac:dyDescent="0.3">
      <c r="A16" s="57">
        <v>12</v>
      </c>
      <c r="B16" s="58">
        <v>236</v>
      </c>
      <c r="C16" s="59" t="s">
        <v>26</v>
      </c>
      <c r="D16" s="58" t="s">
        <v>68</v>
      </c>
      <c r="E16" s="59" t="s">
        <v>69</v>
      </c>
      <c r="F16" s="60">
        <v>21.460758116600001</v>
      </c>
      <c r="G16" s="61" t="s">
        <v>42</v>
      </c>
    </row>
    <row r="17" spans="1:9" ht="27.6" x14ac:dyDescent="0.3">
      <c r="A17" s="57">
        <v>12</v>
      </c>
      <c r="B17" s="58">
        <v>236</v>
      </c>
      <c r="C17" s="59" t="s">
        <v>26</v>
      </c>
      <c r="D17" s="58" t="s">
        <v>70</v>
      </c>
      <c r="E17" s="59" t="s">
        <v>71</v>
      </c>
      <c r="F17" s="60">
        <v>3.02740671831</v>
      </c>
      <c r="G17" s="61" t="s">
        <v>42</v>
      </c>
    </row>
    <row r="18" spans="1:9" ht="27.6" x14ac:dyDescent="0.3">
      <c r="A18" s="57">
        <v>12</v>
      </c>
      <c r="B18" s="58">
        <v>237</v>
      </c>
      <c r="C18" s="59" t="s">
        <v>27</v>
      </c>
      <c r="D18" s="58" t="s">
        <v>72</v>
      </c>
      <c r="E18" s="59" t="s">
        <v>73</v>
      </c>
      <c r="F18" s="60">
        <v>26.043992977599999</v>
      </c>
      <c r="G18" s="61" t="s">
        <v>42</v>
      </c>
    </row>
    <row r="19" spans="1:9" ht="27.6" x14ac:dyDescent="0.3">
      <c r="A19" s="57">
        <v>12</v>
      </c>
      <c r="B19" s="58">
        <v>238</v>
      </c>
      <c r="C19" s="59" t="s">
        <v>28</v>
      </c>
      <c r="D19" s="58" t="s">
        <v>74</v>
      </c>
      <c r="E19" s="59" t="s">
        <v>75</v>
      </c>
      <c r="F19" s="60">
        <v>21.698196634199999</v>
      </c>
      <c r="G19" s="61" t="s">
        <v>42</v>
      </c>
      <c r="I19" s="38" t="s">
        <v>97</v>
      </c>
    </row>
    <row r="20" spans="1:9" ht="27.6" x14ac:dyDescent="0.3">
      <c r="A20" s="57">
        <v>12</v>
      </c>
      <c r="B20" s="58">
        <v>238</v>
      </c>
      <c r="C20" s="59" t="s">
        <v>28</v>
      </c>
      <c r="D20" s="58" t="s">
        <v>76</v>
      </c>
      <c r="E20" s="59" t="s">
        <v>77</v>
      </c>
      <c r="F20" s="60">
        <v>17.3678422658</v>
      </c>
      <c r="G20" s="61" t="s">
        <v>42</v>
      </c>
      <c r="I20" s="38" t="s">
        <v>97</v>
      </c>
    </row>
    <row r="21" spans="1:9" ht="27.6" x14ac:dyDescent="0.3">
      <c r="A21" s="57">
        <v>12</v>
      </c>
      <c r="B21" s="58">
        <v>238</v>
      </c>
      <c r="C21" s="59" t="s">
        <v>28</v>
      </c>
      <c r="D21" s="58" t="s">
        <v>78</v>
      </c>
      <c r="E21" s="59" t="s">
        <v>79</v>
      </c>
      <c r="F21" s="60">
        <v>34.4884422716</v>
      </c>
      <c r="G21" s="61" t="s">
        <v>42</v>
      </c>
      <c r="I21" s="38" t="s">
        <v>97</v>
      </c>
    </row>
    <row r="22" spans="1:9" ht="27.6" x14ac:dyDescent="0.3">
      <c r="A22" s="57">
        <v>12</v>
      </c>
      <c r="B22" s="58">
        <v>239</v>
      </c>
      <c r="C22" s="59" t="s">
        <v>29</v>
      </c>
      <c r="D22" s="58" t="s">
        <v>80</v>
      </c>
      <c r="E22" s="59" t="s">
        <v>81</v>
      </c>
      <c r="F22" s="60">
        <v>63.930071377099999</v>
      </c>
      <c r="G22" s="61" t="s">
        <v>42</v>
      </c>
      <c r="I22" s="38" t="s">
        <v>97</v>
      </c>
    </row>
    <row r="23" spans="1:9" ht="27.6" x14ac:dyDescent="0.3">
      <c r="A23" s="67">
        <v>12</v>
      </c>
      <c r="B23" s="68">
        <v>240</v>
      </c>
      <c r="C23" s="69" t="s">
        <v>30</v>
      </c>
      <c r="D23" s="68" t="s">
        <v>82</v>
      </c>
      <c r="E23" s="69" t="s">
        <v>83</v>
      </c>
      <c r="F23" s="70">
        <v>34.7691744595</v>
      </c>
      <c r="G23" s="71" t="s">
        <v>42</v>
      </c>
    </row>
    <row r="24" spans="1:9" ht="27.6" x14ac:dyDescent="0.3">
      <c r="A24" s="67">
        <v>12</v>
      </c>
      <c r="B24" s="68">
        <v>240</v>
      </c>
      <c r="C24" s="69" t="s">
        <v>30</v>
      </c>
      <c r="D24" s="68" t="s">
        <v>84</v>
      </c>
      <c r="E24" s="69" t="s">
        <v>85</v>
      </c>
      <c r="F24" s="70">
        <v>46.307033582199999</v>
      </c>
      <c r="G24" s="71" t="s">
        <v>42</v>
      </c>
    </row>
    <row r="25" spans="1:9" ht="27.6" x14ac:dyDescent="0.3">
      <c r="A25" s="57">
        <v>12</v>
      </c>
      <c r="B25" s="58">
        <v>241</v>
      </c>
      <c r="C25" s="59" t="s">
        <v>31</v>
      </c>
      <c r="D25" s="58" t="s">
        <v>86</v>
      </c>
      <c r="E25" s="59" t="s">
        <v>87</v>
      </c>
      <c r="F25" s="60">
        <v>60.310112592999999</v>
      </c>
      <c r="G25" s="61" t="s">
        <v>42</v>
      </c>
      <c r="I25" s="38" t="s">
        <v>97</v>
      </c>
    </row>
    <row r="26" spans="1:9" ht="27.6" x14ac:dyDescent="0.3">
      <c r="A26" s="67">
        <v>12</v>
      </c>
      <c r="B26" s="68">
        <v>242</v>
      </c>
      <c r="C26" s="69" t="s">
        <v>32</v>
      </c>
      <c r="D26" s="68" t="s">
        <v>88</v>
      </c>
      <c r="E26" s="69" t="s">
        <v>89</v>
      </c>
      <c r="F26" s="70">
        <v>16.272420419700001</v>
      </c>
      <c r="G26" s="71" t="s">
        <v>42</v>
      </c>
    </row>
    <row r="27" spans="1:9" ht="28.2" thickBot="1" x14ac:dyDescent="0.35">
      <c r="A27" s="72">
        <v>12</v>
      </c>
      <c r="B27" s="73">
        <v>242</v>
      </c>
      <c r="C27" s="74" t="s">
        <v>32</v>
      </c>
      <c r="D27" s="73" t="s">
        <v>90</v>
      </c>
      <c r="E27" s="74" t="s">
        <v>91</v>
      </c>
      <c r="F27" s="75">
        <v>5.4039721786000001</v>
      </c>
      <c r="G27" s="76" t="s">
        <v>42</v>
      </c>
    </row>
    <row r="28" spans="1:9" x14ac:dyDescent="0.3">
      <c r="F28" s="40">
        <f>SUM(F3:F27)</f>
        <v>576.67876166103997</v>
      </c>
    </row>
  </sheetData>
  <autoFilter ref="A2:I2" xr:uid="{A82E622D-C4F2-43EA-8F5C-4DAC2681266A}"/>
  <pageMargins left="0.51181102362204722" right="0.51181102362204722" top="0.78740157480314965" bottom="0.78740157480314965" header="0.31496062992125984" footer="0.31496062992125984"/>
  <pageSetup paperSize="9" scale="54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2F9C-EE0D-48B0-A5A8-D32DD818F317}">
  <sheetPr>
    <pageSetUpPr fitToPage="1"/>
  </sheetPr>
  <dimension ref="A1:S68"/>
  <sheetViews>
    <sheetView tabSelected="1" view="pageBreakPreview" topLeftCell="B1" zoomScale="55" zoomScaleNormal="25" zoomScaleSheetLayoutView="55" workbookViewId="0">
      <selection activeCell="G8" sqref="G8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9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88">
        <v>46204</v>
      </c>
      <c r="K1" s="89"/>
      <c r="L1" s="103" t="s">
        <v>4</v>
      </c>
      <c r="M1" s="103"/>
      <c r="N1" s="105" t="s">
        <v>100</v>
      </c>
      <c r="O1" s="105"/>
      <c r="P1" s="105"/>
      <c r="Q1" s="105"/>
      <c r="R1" s="106"/>
    </row>
    <row r="2" spans="1:19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90"/>
      <c r="K2" s="91"/>
      <c r="L2" s="104"/>
      <c r="M2" s="104"/>
      <c r="N2" s="107"/>
      <c r="O2" s="108"/>
      <c r="P2" s="108"/>
      <c r="Q2" s="108"/>
      <c r="R2" s="109"/>
    </row>
    <row r="3" spans="1:19" ht="24.6" x14ac:dyDescent="0.4">
      <c r="A3" s="22" t="s">
        <v>21</v>
      </c>
      <c r="B3" s="85" t="str">
        <f>TT!C4</f>
        <v>RODOVIA TO-296 - TRECHO SÃO SALVADOR DO TOCANTINS - PARANÃ</v>
      </c>
      <c r="C3" s="86"/>
      <c r="D3" s="86"/>
      <c r="E3" s="86"/>
      <c r="F3" s="86"/>
      <c r="G3" s="86"/>
      <c r="H3" s="87"/>
      <c r="I3" s="33"/>
      <c r="J3" s="34"/>
      <c r="K3" s="34"/>
      <c r="L3" s="112" t="s">
        <v>94</v>
      </c>
      <c r="M3" s="112"/>
      <c r="N3" s="114">
        <v>12</v>
      </c>
      <c r="O3" s="115"/>
      <c r="P3" s="115"/>
      <c r="Q3" s="115"/>
      <c r="R3" s="116"/>
    </row>
    <row r="4" spans="1:19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13"/>
      <c r="M4" s="113"/>
      <c r="N4" s="117"/>
      <c r="O4" s="118"/>
      <c r="P4" s="118"/>
      <c r="Q4" s="118"/>
      <c r="R4" s="119"/>
    </row>
    <row r="5" spans="1:19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9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9" ht="41.4" customHeight="1" x14ac:dyDescent="0.25">
      <c r="A7" s="23"/>
      <c r="B7" s="11"/>
      <c r="C7" s="12">
        <v>0</v>
      </c>
      <c r="D7" s="12">
        <v>1</v>
      </c>
      <c r="E7" s="11"/>
      <c r="F7" s="11"/>
      <c r="G7" s="11" t="s">
        <v>99</v>
      </c>
      <c r="H7" s="11"/>
      <c r="I7" s="11"/>
      <c r="J7" s="11" t="s">
        <v>99</v>
      </c>
      <c r="K7" s="11"/>
      <c r="L7" s="97"/>
      <c r="M7" s="97"/>
      <c r="N7" s="97"/>
      <c r="O7" s="97"/>
      <c r="P7" s="97"/>
      <c r="Q7" s="97"/>
      <c r="R7" s="98"/>
    </row>
    <row r="8" spans="1:19" ht="41.4" customHeight="1" x14ac:dyDescent="0.25">
      <c r="A8" s="23"/>
      <c r="B8" s="11"/>
      <c r="C8" s="12">
        <v>1</v>
      </c>
      <c r="D8" s="12">
        <v>2</v>
      </c>
      <c r="E8" s="11"/>
      <c r="F8" s="11" t="s">
        <v>99</v>
      </c>
      <c r="G8" s="11"/>
      <c r="H8" s="11"/>
      <c r="I8" s="11"/>
      <c r="J8" s="11"/>
      <c r="K8" s="11" t="s">
        <v>99</v>
      </c>
      <c r="L8" s="97"/>
      <c r="M8" s="97"/>
      <c r="N8" s="97"/>
      <c r="O8" s="97"/>
      <c r="P8" s="97"/>
      <c r="Q8" s="97"/>
      <c r="R8" s="98"/>
    </row>
    <row r="9" spans="1:19" ht="41.4" customHeight="1" x14ac:dyDescent="0.25">
      <c r="A9" s="23"/>
      <c r="B9" s="11"/>
      <c r="C9" s="12">
        <v>2</v>
      </c>
      <c r="D9" s="12">
        <v>12.32</v>
      </c>
      <c r="E9" s="11"/>
      <c r="F9" s="11"/>
      <c r="G9" s="11" t="s">
        <v>99</v>
      </c>
      <c r="H9" s="11"/>
      <c r="I9" s="11" t="s">
        <v>99</v>
      </c>
      <c r="J9" s="11"/>
      <c r="K9" s="11"/>
      <c r="L9" s="97"/>
      <c r="M9" s="97"/>
      <c r="N9" s="97"/>
      <c r="O9" s="97"/>
      <c r="P9" s="97"/>
      <c r="Q9" s="97"/>
      <c r="R9" s="98"/>
      <c r="S9" s="1">
        <v>2</v>
      </c>
    </row>
    <row r="10" spans="1:19" ht="41.4" customHeight="1" x14ac:dyDescent="0.25">
      <c r="A10" s="23"/>
      <c r="B10" s="11"/>
      <c r="C10" s="12">
        <v>12.32</v>
      </c>
      <c r="D10" s="12">
        <v>16.100000000000001</v>
      </c>
      <c r="E10" s="11"/>
      <c r="F10" s="11"/>
      <c r="G10" s="11" t="s">
        <v>99</v>
      </c>
      <c r="H10" s="11"/>
      <c r="I10" s="11"/>
      <c r="J10" s="11" t="s">
        <v>99</v>
      </c>
      <c r="K10" s="11"/>
      <c r="L10" s="97"/>
      <c r="M10" s="97"/>
      <c r="N10" s="97"/>
      <c r="O10" s="97"/>
      <c r="P10" s="97"/>
      <c r="Q10" s="97"/>
      <c r="R10" s="98"/>
    </row>
    <row r="11" spans="1:19" ht="41.4" customHeight="1" x14ac:dyDescent="0.25">
      <c r="A11" s="23"/>
      <c r="B11" s="11"/>
      <c r="C11" s="12">
        <v>16.100000000000001</v>
      </c>
      <c r="D11" s="12">
        <v>32.200000000000003</v>
      </c>
      <c r="E11" s="11"/>
      <c r="F11" s="11"/>
      <c r="G11" s="11" t="s">
        <v>99</v>
      </c>
      <c r="H11" s="11"/>
      <c r="I11" s="11"/>
      <c r="J11" s="11" t="s">
        <v>99</v>
      </c>
      <c r="K11" s="11"/>
      <c r="L11" s="97"/>
      <c r="M11" s="97"/>
      <c r="N11" s="97"/>
      <c r="O11" s="97"/>
      <c r="P11" s="97"/>
      <c r="Q11" s="97"/>
      <c r="R11" s="98"/>
    </row>
    <row r="12" spans="1:19" ht="41.4" customHeight="1" x14ac:dyDescent="0.25">
      <c r="A12" s="23"/>
      <c r="B12" s="11"/>
      <c r="C12" s="12">
        <v>32.200000000000003</v>
      </c>
      <c r="D12" s="12">
        <v>67.260000000000005</v>
      </c>
      <c r="E12" s="11"/>
      <c r="F12" s="11" t="s">
        <v>99</v>
      </c>
      <c r="G12" s="11"/>
      <c r="H12" s="11"/>
      <c r="I12" s="11"/>
      <c r="J12" s="11" t="s">
        <v>99</v>
      </c>
      <c r="K12" s="11"/>
      <c r="L12" s="97"/>
      <c r="M12" s="97"/>
      <c r="N12" s="97"/>
      <c r="O12" s="97"/>
      <c r="P12" s="97"/>
      <c r="Q12" s="97"/>
      <c r="R12" s="98"/>
    </row>
    <row r="13" spans="1:19" ht="41.4" customHeight="1" x14ac:dyDescent="0.25">
      <c r="A13" s="23"/>
      <c r="B13" s="11"/>
      <c r="C13" s="12"/>
      <c r="D13" s="12"/>
      <c r="E13" s="11"/>
      <c r="F13" s="11"/>
      <c r="G13" s="11"/>
      <c r="H13" s="11"/>
      <c r="I13" s="11"/>
      <c r="J13" s="11"/>
      <c r="K13" s="11"/>
      <c r="L13" s="97"/>
      <c r="M13" s="97"/>
      <c r="N13" s="97"/>
      <c r="O13" s="97"/>
      <c r="P13" s="97"/>
      <c r="Q13" s="97"/>
      <c r="R13" s="98"/>
    </row>
    <row r="14" spans="1:19" ht="41.4" customHeight="1" x14ac:dyDescent="0.25">
      <c r="A14" s="23"/>
      <c r="B14" s="11"/>
      <c r="C14" s="12"/>
      <c r="D14" s="12"/>
      <c r="E14" s="11"/>
      <c r="F14" s="11"/>
      <c r="G14" s="11"/>
      <c r="H14" s="11"/>
      <c r="I14" s="11"/>
      <c r="J14" s="11"/>
      <c r="K14" s="11"/>
      <c r="L14" s="97"/>
      <c r="M14" s="97"/>
      <c r="N14" s="97"/>
      <c r="O14" s="97"/>
      <c r="P14" s="97"/>
      <c r="Q14" s="97"/>
      <c r="R14" s="98"/>
    </row>
    <row r="15" spans="1:19" ht="41.4" customHeight="1" x14ac:dyDescent="0.25">
      <c r="A15" s="23"/>
      <c r="B15" s="11"/>
      <c r="C15" s="12"/>
      <c r="D15" s="12"/>
      <c r="E15" s="11"/>
      <c r="F15" s="11"/>
      <c r="G15" s="11"/>
      <c r="H15" s="11"/>
      <c r="I15" s="11"/>
      <c r="J15" s="11"/>
      <c r="K15" s="11"/>
      <c r="L15" s="97"/>
      <c r="M15" s="97"/>
      <c r="N15" s="97"/>
      <c r="O15" s="97"/>
      <c r="P15" s="97"/>
      <c r="Q15" s="97"/>
      <c r="R15" s="98"/>
    </row>
    <row r="16" spans="1:19" ht="41.4" customHeight="1" x14ac:dyDescent="0.25">
      <c r="A16" s="23"/>
      <c r="B16" s="11"/>
      <c r="C16" s="12"/>
      <c r="D16" s="12"/>
      <c r="E16" s="11"/>
      <c r="F16" s="11"/>
      <c r="G16" s="11"/>
      <c r="H16" s="11"/>
      <c r="I16" s="11"/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/>
      <c r="D17" s="12"/>
      <c r="E17" s="11"/>
      <c r="F17" s="11"/>
      <c r="G17" s="11"/>
      <c r="H17" s="11"/>
      <c r="I17" s="11"/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/>
      <c r="D18" s="12"/>
      <c r="E18" s="11"/>
      <c r="F18" s="11"/>
      <c r="G18" s="11"/>
      <c r="H18" s="11"/>
      <c r="I18" s="11"/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 t="str">
        <f>IF(E7="X",(D7-C7),"0")</f>
        <v>0</v>
      </c>
      <c r="F36" s="27" t="str">
        <f>IF(F7="X",(D7-C7),"0")</f>
        <v>0</v>
      </c>
      <c r="G36" s="27">
        <f>IF(G7="X",(D7-C7),"0")</f>
        <v>1</v>
      </c>
      <c r="H36" s="27" t="str">
        <f>IF(H7="X",(D7-C7),"0")</f>
        <v>0</v>
      </c>
      <c r="I36" s="27" t="str">
        <f>IF(I7="X",(D7-C7),"0")</f>
        <v>0</v>
      </c>
      <c r="J36" s="27">
        <f>IF(J7="X",(D7-C7),"0")</f>
        <v>1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 t="str">
        <f t="shared" ref="E37:E61" si="0">IF(E8="X",(D8-C8),"0")</f>
        <v>0</v>
      </c>
      <c r="F37" s="27">
        <f t="shared" ref="F37:F61" si="1">IF(F8="X",(D8-C8),"0")</f>
        <v>1</v>
      </c>
      <c r="G37" s="27" t="str">
        <f t="shared" ref="G37:G61" si="2">IF(G8="X",(D8-C8),"0")</f>
        <v>0</v>
      </c>
      <c r="H37" s="27" t="str">
        <f t="shared" ref="H37:H61" si="3">IF(H8="X",(D8-C8),"0")</f>
        <v>0</v>
      </c>
      <c r="I37" s="27" t="str">
        <f t="shared" ref="I37:I61" si="4">IF(I8="X",(D8-C8),"0")</f>
        <v>0</v>
      </c>
      <c r="J37" s="27" t="str">
        <f t="shared" ref="J37:J61" si="5">IF(J8="X",(D8-C8),"0")</f>
        <v>0</v>
      </c>
      <c r="K37" s="27">
        <f t="shared" ref="K37:K61" si="6">IF(K8="X",(D8-C8),"0")</f>
        <v>1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 t="str">
        <f t="shared" si="0"/>
        <v>0</v>
      </c>
      <c r="F38" s="27" t="str">
        <f t="shared" si="1"/>
        <v>0</v>
      </c>
      <c r="G38" s="27">
        <f t="shared" si="2"/>
        <v>10.32</v>
      </c>
      <c r="H38" s="27" t="str">
        <f t="shared" si="3"/>
        <v>0</v>
      </c>
      <c r="I38" s="27">
        <f t="shared" si="4"/>
        <v>10.32</v>
      </c>
      <c r="J38" s="27" t="str">
        <f t="shared" si="5"/>
        <v>0</v>
      </c>
      <c r="K38" s="27" t="str">
        <f t="shared" si="6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 t="str">
        <f t="shared" si="0"/>
        <v>0</v>
      </c>
      <c r="F39" s="27" t="str">
        <f t="shared" si="1"/>
        <v>0</v>
      </c>
      <c r="G39" s="27">
        <f t="shared" si="2"/>
        <v>3.7800000000000011</v>
      </c>
      <c r="H39" s="27" t="str">
        <f t="shared" si="3"/>
        <v>0</v>
      </c>
      <c r="I39" s="27" t="str">
        <f t="shared" si="4"/>
        <v>0</v>
      </c>
      <c r="J39" s="27">
        <f t="shared" si="5"/>
        <v>3.7800000000000011</v>
      </c>
      <c r="K39" s="27" t="str">
        <f t="shared" si="6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 t="str">
        <f t="shared" si="0"/>
        <v>0</v>
      </c>
      <c r="F40" s="27" t="str">
        <f t="shared" si="1"/>
        <v>0</v>
      </c>
      <c r="G40" s="27">
        <f t="shared" si="2"/>
        <v>16.100000000000001</v>
      </c>
      <c r="H40" s="27" t="str">
        <f t="shared" si="3"/>
        <v>0</v>
      </c>
      <c r="I40" s="27" t="str">
        <f t="shared" si="4"/>
        <v>0</v>
      </c>
      <c r="J40" s="27">
        <f t="shared" si="5"/>
        <v>16.100000000000001</v>
      </c>
      <c r="K40" s="27" t="str">
        <f t="shared" si="6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 t="str">
        <f t="shared" si="0"/>
        <v>0</v>
      </c>
      <c r="F41" s="27">
        <f t="shared" si="1"/>
        <v>35.06</v>
      </c>
      <c r="G41" s="27" t="str">
        <f t="shared" si="2"/>
        <v>0</v>
      </c>
      <c r="H41" s="27" t="str">
        <f t="shared" si="3"/>
        <v>0</v>
      </c>
      <c r="I41" s="27" t="str">
        <f t="shared" si="4"/>
        <v>0</v>
      </c>
      <c r="J41" s="27">
        <f t="shared" si="5"/>
        <v>35.06</v>
      </c>
      <c r="K41" s="27" t="str">
        <f t="shared" si="6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 t="str">
        <f t="shared" si="0"/>
        <v>0</v>
      </c>
      <c r="F42" s="27" t="str">
        <f t="shared" si="1"/>
        <v>0</v>
      </c>
      <c r="G42" s="27" t="str">
        <f t="shared" si="2"/>
        <v>0</v>
      </c>
      <c r="H42" s="27" t="str">
        <f t="shared" si="3"/>
        <v>0</v>
      </c>
      <c r="I42" s="27" t="str">
        <f t="shared" si="4"/>
        <v>0</v>
      </c>
      <c r="J42" s="27" t="str">
        <f t="shared" si="5"/>
        <v>0</v>
      </c>
      <c r="K42" s="27" t="str">
        <f t="shared" si="6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si="0"/>
        <v>0</v>
      </c>
      <c r="F43" s="27" t="str">
        <f t="shared" si="1"/>
        <v>0</v>
      </c>
      <c r="G43" s="27" t="str">
        <f t="shared" si="2"/>
        <v>0</v>
      </c>
      <c r="H43" s="27" t="str">
        <f t="shared" si="3"/>
        <v>0</v>
      </c>
      <c r="I43" s="27" t="str">
        <f t="shared" si="4"/>
        <v>0</v>
      </c>
      <c r="J43" s="27" t="str">
        <f t="shared" si="5"/>
        <v>0</v>
      </c>
      <c r="K43" s="27" t="str">
        <f t="shared" si="6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 t="str">
        <f t="shared" si="0"/>
        <v>0</v>
      </c>
      <c r="F44" s="27" t="str">
        <f t="shared" si="1"/>
        <v>0</v>
      </c>
      <c r="G44" s="27" t="str">
        <f t="shared" si="2"/>
        <v>0</v>
      </c>
      <c r="H44" s="27" t="str">
        <f t="shared" si="3"/>
        <v>0</v>
      </c>
      <c r="I44" s="27" t="str">
        <f t="shared" si="4"/>
        <v>0</v>
      </c>
      <c r="J44" s="27" t="str">
        <f t="shared" si="5"/>
        <v>0</v>
      </c>
      <c r="K44" s="27" t="str">
        <f t="shared" si="6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 t="str">
        <f t="shared" si="0"/>
        <v>0</v>
      </c>
      <c r="F45" s="27" t="str">
        <f t="shared" si="1"/>
        <v>0</v>
      </c>
      <c r="G45" s="27" t="str">
        <f t="shared" si="2"/>
        <v>0</v>
      </c>
      <c r="H45" s="27" t="str">
        <f t="shared" si="3"/>
        <v>0</v>
      </c>
      <c r="I45" s="27" t="str">
        <f t="shared" si="4"/>
        <v>0</v>
      </c>
      <c r="J45" s="27" t="str">
        <f t="shared" si="5"/>
        <v>0</v>
      </c>
      <c r="K45" s="27" t="str">
        <f t="shared" si="6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0"/>
        <v>0</v>
      </c>
      <c r="F46" s="27" t="str">
        <f t="shared" si="1"/>
        <v>0</v>
      </c>
      <c r="G46" s="27" t="str">
        <f t="shared" si="2"/>
        <v>0</v>
      </c>
      <c r="H46" s="27" t="str">
        <f t="shared" si="3"/>
        <v>0</v>
      </c>
      <c r="I46" s="27" t="str">
        <f t="shared" si="4"/>
        <v>0</v>
      </c>
      <c r="J46" s="27" t="str">
        <f t="shared" si="5"/>
        <v>0</v>
      </c>
      <c r="K46" s="27" t="str">
        <f t="shared" si="6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0"/>
        <v>0</v>
      </c>
      <c r="F47" s="27" t="str">
        <f t="shared" si="1"/>
        <v>0</v>
      </c>
      <c r="G47" s="27" t="str">
        <f t="shared" si="2"/>
        <v>0</v>
      </c>
      <c r="H47" s="27" t="str">
        <f t="shared" si="3"/>
        <v>0</v>
      </c>
      <c r="I47" s="27" t="str">
        <f t="shared" si="4"/>
        <v>0</v>
      </c>
      <c r="J47" s="27" t="str">
        <f t="shared" si="5"/>
        <v>0</v>
      </c>
      <c r="K47" s="27" t="str">
        <f t="shared" si="6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0"/>
        <v>0</v>
      </c>
      <c r="F48" s="27" t="str">
        <f t="shared" si="1"/>
        <v>0</v>
      </c>
      <c r="G48" s="27" t="str">
        <f t="shared" si="2"/>
        <v>0</v>
      </c>
      <c r="H48" s="27" t="str">
        <f t="shared" si="3"/>
        <v>0</v>
      </c>
      <c r="I48" s="27" t="str">
        <f t="shared" si="4"/>
        <v>0</v>
      </c>
      <c r="J48" s="27" t="str">
        <f t="shared" si="5"/>
        <v>0</v>
      </c>
      <c r="K48" s="27" t="str">
        <f t="shared" si="6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0"/>
        <v>0</v>
      </c>
      <c r="F49" s="27" t="str">
        <f t="shared" si="1"/>
        <v>0</v>
      </c>
      <c r="G49" s="27" t="str">
        <f t="shared" si="2"/>
        <v>0</v>
      </c>
      <c r="H49" s="27" t="str">
        <f t="shared" si="3"/>
        <v>0</v>
      </c>
      <c r="I49" s="27" t="str">
        <f t="shared" si="4"/>
        <v>0</v>
      </c>
      <c r="J49" s="27" t="str">
        <f t="shared" si="5"/>
        <v>0</v>
      </c>
      <c r="K49" s="27" t="str">
        <f t="shared" si="6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0"/>
        <v>0</v>
      </c>
      <c r="F50" s="27" t="str">
        <f t="shared" si="1"/>
        <v>0</v>
      </c>
      <c r="G50" s="27" t="str">
        <f t="shared" si="2"/>
        <v>0</v>
      </c>
      <c r="H50" s="27" t="str">
        <f t="shared" si="3"/>
        <v>0</v>
      </c>
      <c r="I50" s="27" t="str">
        <f t="shared" si="4"/>
        <v>0</v>
      </c>
      <c r="J50" s="27" t="str">
        <f t="shared" si="5"/>
        <v>0</v>
      </c>
      <c r="K50" s="27" t="str">
        <f t="shared" si="6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0"/>
        <v>0</v>
      </c>
      <c r="F51" s="27" t="str">
        <f t="shared" si="1"/>
        <v>0</v>
      </c>
      <c r="G51" s="27" t="str">
        <f t="shared" si="2"/>
        <v>0</v>
      </c>
      <c r="H51" s="27" t="str">
        <f t="shared" si="3"/>
        <v>0</v>
      </c>
      <c r="I51" s="27" t="str">
        <f t="shared" si="4"/>
        <v>0</v>
      </c>
      <c r="J51" s="27" t="str">
        <f t="shared" si="5"/>
        <v>0</v>
      </c>
      <c r="K51" s="27" t="str">
        <f t="shared" si="6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0"/>
        <v>0</v>
      </c>
      <c r="F52" s="27" t="str">
        <f t="shared" si="1"/>
        <v>0</v>
      </c>
      <c r="G52" s="27" t="str">
        <f t="shared" si="2"/>
        <v>0</v>
      </c>
      <c r="H52" s="27" t="str">
        <f t="shared" si="3"/>
        <v>0</v>
      </c>
      <c r="I52" s="27" t="str">
        <f t="shared" si="4"/>
        <v>0</v>
      </c>
      <c r="J52" s="27" t="str">
        <f t="shared" si="5"/>
        <v>0</v>
      </c>
      <c r="K52" s="27" t="str">
        <f t="shared" si="6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0"/>
        <v>0</v>
      </c>
      <c r="F53" s="27" t="str">
        <f t="shared" si="1"/>
        <v>0</v>
      </c>
      <c r="G53" s="27" t="str">
        <f t="shared" si="2"/>
        <v>0</v>
      </c>
      <c r="H53" s="27" t="str">
        <f t="shared" si="3"/>
        <v>0</v>
      </c>
      <c r="I53" s="27" t="str">
        <f t="shared" si="4"/>
        <v>0</v>
      </c>
      <c r="J53" s="27" t="str">
        <f t="shared" si="5"/>
        <v>0</v>
      </c>
      <c r="K53" s="27" t="str">
        <f t="shared" si="6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0"/>
        <v>0</v>
      </c>
      <c r="F54" s="27" t="str">
        <f t="shared" si="1"/>
        <v>0</v>
      </c>
      <c r="G54" s="27" t="str">
        <f t="shared" si="2"/>
        <v>0</v>
      </c>
      <c r="H54" s="27" t="str">
        <f t="shared" si="3"/>
        <v>0</v>
      </c>
      <c r="I54" s="27" t="str">
        <f t="shared" si="4"/>
        <v>0</v>
      </c>
      <c r="J54" s="27" t="str">
        <f t="shared" si="5"/>
        <v>0</v>
      </c>
      <c r="K54" s="27" t="str">
        <f t="shared" si="6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0"/>
        <v>0</v>
      </c>
      <c r="F55" s="27" t="str">
        <f t="shared" si="1"/>
        <v>0</v>
      </c>
      <c r="G55" s="27" t="str">
        <f t="shared" si="2"/>
        <v>0</v>
      </c>
      <c r="H55" s="27" t="str">
        <f t="shared" si="3"/>
        <v>0</v>
      </c>
      <c r="I55" s="27" t="str">
        <f t="shared" si="4"/>
        <v>0</v>
      </c>
      <c r="J55" s="27" t="str">
        <f t="shared" si="5"/>
        <v>0</v>
      </c>
      <c r="K55" s="27" t="str">
        <f t="shared" si="6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0"/>
        <v>0</v>
      </c>
      <c r="F56" s="27" t="str">
        <f t="shared" si="1"/>
        <v>0</v>
      </c>
      <c r="G56" s="27" t="str">
        <f t="shared" si="2"/>
        <v>0</v>
      </c>
      <c r="H56" s="27" t="str">
        <f t="shared" si="3"/>
        <v>0</v>
      </c>
      <c r="I56" s="27" t="str">
        <f t="shared" si="4"/>
        <v>0</v>
      </c>
      <c r="J56" s="27" t="str">
        <f t="shared" si="5"/>
        <v>0</v>
      </c>
      <c r="K56" s="27" t="str">
        <f t="shared" si="6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0"/>
        <v>0</v>
      </c>
      <c r="F57" s="27" t="str">
        <f t="shared" si="1"/>
        <v>0</v>
      </c>
      <c r="G57" s="27" t="str">
        <f t="shared" si="2"/>
        <v>0</v>
      </c>
      <c r="H57" s="27" t="str">
        <f t="shared" si="3"/>
        <v>0</v>
      </c>
      <c r="I57" s="27" t="str">
        <f t="shared" si="4"/>
        <v>0</v>
      </c>
      <c r="J57" s="27" t="str">
        <f t="shared" si="5"/>
        <v>0</v>
      </c>
      <c r="K57" s="27" t="str">
        <f t="shared" si="6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0"/>
        <v>0</v>
      </c>
      <c r="F58" s="27" t="str">
        <f t="shared" si="1"/>
        <v>0</v>
      </c>
      <c r="G58" s="27" t="str">
        <f t="shared" si="2"/>
        <v>0</v>
      </c>
      <c r="H58" s="27" t="str">
        <f t="shared" si="3"/>
        <v>0</v>
      </c>
      <c r="I58" s="27" t="str">
        <f t="shared" si="4"/>
        <v>0</v>
      </c>
      <c r="J58" s="27" t="str">
        <f t="shared" si="5"/>
        <v>0</v>
      </c>
      <c r="K58" s="27" t="str">
        <f t="shared" si="6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0"/>
        <v>0</v>
      </c>
      <c r="F59" s="27" t="str">
        <f t="shared" si="1"/>
        <v>0</v>
      </c>
      <c r="G59" s="27" t="str">
        <f t="shared" si="2"/>
        <v>0</v>
      </c>
      <c r="H59" s="27" t="str">
        <f t="shared" si="3"/>
        <v>0</v>
      </c>
      <c r="I59" s="27" t="str">
        <f t="shared" si="4"/>
        <v>0</v>
      </c>
      <c r="J59" s="27" t="str">
        <f t="shared" si="5"/>
        <v>0</v>
      </c>
      <c r="K59" s="27" t="str">
        <f t="shared" si="6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0"/>
        <v>0</v>
      </c>
      <c r="F60" s="27" t="str">
        <f t="shared" si="1"/>
        <v>0</v>
      </c>
      <c r="G60" s="27" t="str">
        <f t="shared" si="2"/>
        <v>0</v>
      </c>
      <c r="H60" s="27" t="str">
        <f t="shared" si="3"/>
        <v>0</v>
      </c>
      <c r="I60" s="27" t="str">
        <f t="shared" si="4"/>
        <v>0</v>
      </c>
      <c r="J60" s="27" t="str">
        <f t="shared" si="5"/>
        <v>0</v>
      </c>
      <c r="K60" s="27" t="str">
        <f t="shared" si="6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0"/>
        <v>0</v>
      </c>
      <c r="F61" s="27" t="str">
        <f t="shared" si="1"/>
        <v>0</v>
      </c>
      <c r="G61" s="27" t="str">
        <f t="shared" si="2"/>
        <v>0</v>
      </c>
      <c r="H61" s="27" t="str">
        <f t="shared" si="3"/>
        <v>0</v>
      </c>
      <c r="I61" s="27" t="str">
        <f t="shared" si="4"/>
        <v>0</v>
      </c>
      <c r="J61" s="27" t="str">
        <f t="shared" si="5"/>
        <v>0</v>
      </c>
      <c r="K61" s="27" t="str">
        <f t="shared" si="6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0</v>
      </c>
      <c r="F62" s="27">
        <f t="shared" ref="F62:K62" si="7">SUM(F36:F61)</f>
        <v>36.06</v>
      </c>
      <c r="G62" s="27">
        <f t="shared" si="7"/>
        <v>31.200000000000003</v>
      </c>
      <c r="H62" s="27">
        <f t="shared" si="7"/>
        <v>0</v>
      </c>
      <c r="I62" s="27">
        <f t="shared" si="7"/>
        <v>10.32</v>
      </c>
      <c r="J62" s="27">
        <f t="shared" si="7"/>
        <v>55.940000000000005</v>
      </c>
      <c r="K62" s="27">
        <f t="shared" si="7"/>
        <v>1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A5:A6"/>
    <mergeCell ref="B5:B6"/>
    <mergeCell ref="C5:C6"/>
    <mergeCell ref="D5:D6"/>
    <mergeCell ref="E5:H5"/>
    <mergeCell ref="L11:R11"/>
    <mergeCell ref="I1:I2"/>
    <mergeCell ref="L1:M2"/>
    <mergeCell ref="N1:R2"/>
    <mergeCell ref="I5:K5"/>
    <mergeCell ref="L5:R6"/>
    <mergeCell ref="L7:R7"/>
    <mergeCell ref="L8:R8"/>
    <mergeCell ref="L9:R9"/>
    <mergeCell ref="L10:R10"/>
    <mergeCell ref="L3:M4"/>
    <mergeCell ref="N3:R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A1:H1"/>
    <mergeCell ref="A2:H2"/>
    <mergeCell ref="B3:H3"/>
    <mergeCell ref="J1:K2"/>
    <mergeCell ref="A4:H4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5D0E-911F-4DD8-A7C0-E606CEDD8192}">
  <sheetPr>
    <pageSetUpPr fitToPage="1"/>
  </sheetPr>
  <dimension ref="A1:R68"/>
  <sheetViews>
    <sheetView view="pageBreakPreview" zoomScale="55" zoomScaleNormal="25" zoomScaleSheetLayoutView="55" workbookViewId="0">
      <selection activeCell="G12" sqref="G12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88">
        <f>'228'!J1</f>
        <v>46204</v>
      </c>
      <c r="K1" s="89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90"/>
      <c r="K2" s="91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TT!C5</f>
        <v>RODOVIA TO-296 - TRECHO JAÚ DO TOCANTINS - SÃO SALVADOR DO TOCANTINS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4">
      <c r="A7" s="55" t="s">
        <v>43</v>
      </c>
      <c r="B7" s="55" t="s">
        <v>98</v>
      </c>
      <c r="C7" s="55">
        <v>0</v>
      </c>
      <c r="D7" s="55">
        <v>6.3</v>
      </c>
      <c r="E7" s="56" t="s">
        <v>97</v>
      </c>
      <c r="F7" s="56"/>
      <c r="G7" s="11"/>
      <c r="H7" s="11"/>
      <c r="I7" s="11" t="s">
        <v>97</v>
      </c>
      <c r="J7" s="11"/>
      <c r="K7" s="11"/>
      <c r="L7" s="97"/>
      <c r="M7" s="97"/>
      <c r="N7" s="97"/>
      <c r="O7" s="97"/>
      <c r="P7" s="97"/>
      <c r="Q7" s="97"/>
      <c r="R7" s="98"/>
    </row>
    <row r="8" spans="1:18" ht="41.4" customHeight="1" x14ac:dyDescent="0.4">
      <c r="A8" s="55"/>
      <c r="B8" s="55"/>
      <c r="C8" s="55">
        <v>6.3</v>
      </c>
      <c r="D8" s="55">
        <v>22.4</v>
      </c>
      <c r="E8" s="56" t="s">
        <v>97</v>
      </c>
      <c r="F8" s="56" t="s">
        <v>97</v>
      </c>
      <c r="G8" s="11"/>
      <c r="H8" s="11"/>
      <c r="I8" s="11" t="s">
        <v>97</v>
      </c>
      <c r="J8" s="11"/>
      <c r="K8" s="11"/>
      <c r="L8" s="97"/>
      <c r="M8" s="97"/>
      <c r="N8" s="97"/>
      <c r="O8" s="97"/>
      <c r="P8" s="97"/>
      <c r="Q8" s="97"/>
      <c r="R8" s="98"/>
    </row>
    <row r="9" spans="1:18" ht="41.4" customHeight="1" x14ac:dyDescent="0.4">
      <c r="A9" s="55"/>
      <c r="B9" s="55"/>
      <c r="C9" s="55"/>
      <c r="D9" s="55"/>
      <c r="E9" s="56"/>
      <c r="F9" s="56"/>
      <c r="G9" s="11"/>
      <c r="H9" s="11"/>
      <c r="I9" s="11"/>
      <c r="J9" s="11"/>
      <c r="K9" s="11"/>
      <c r="L9" s="97"/>
      <c r="M9" s="97"/>
      <c r="N9" s="97"/>
      <c r="O9" s="97"/>
      <c r="P9" s="97"/>
      <c r="Q9" s="97"/>
      <c r="R9" s="98"/>
    </row>
    <row r="10" spans="1:18" ht="41.4" customHeight="1" x14ac:dyDescent="0.4">
      <c r="A10" s="55" t="s">
        <v>46</v>
      </c>
      <c r="B10" s="55" t="s">
        <v>98</v>
      </c>
      <c r="C10" s="55">
        <v>0</v>
      </c>
      <c r="D10" s="55">
        <v>7.66</v>
      </c>
      <c r="E10" s="56" t="s">
        <v>97</v>
      </c>
      <c r="F10" s="56"/>
      <c r="G10" s="11"/>
      <c r="H10" s="11"/>
      <c r="I10" s="11" t="s">
        <v>97</v>
      </c>
      <c r="J10" s="11"/>
      <c r="K10" s="11"/>
      <c r="L10" s="97"/>
      <c r="M10" s="97"/>
      <c r="N10" s="97"/>
      <c r="O10" s="97"/>
      <c r="P10" s="97"/>
      <c r="Q10" s="97"/>
      <c r="R10" s="98"/>
    </row>
    <row r="11" spans="1:18" ht="41.4" customHeight="1" x14ac:dyDescent="0.4">
      <c r="A11" s="55" t="s">
        <v>48</v>
      </c>
      <c r="B11" s="55" t="s">
        <v>98</v>
      </c>
      <c r="C11" s="55">
        <v>0</v>
      </c>
      <c r="D11" s="62">
        <v>3.2</v>
      </c>
      <c r="E11" s="56" t="s">
        <v>97</v>
      </c>
      <c r="F11" s="56"/>
      <c r="G11" s="11"/>
      <c r="H11" s="11"/>
      <c r="I11" s="11" t="s">
        <v>97</v>
      </c>
      <c r="J11" s="11"/>
      <c r="K11" s="11"/>
      <c r="L11" s="97"/>
      <c r="M11" s="97"/>
      <c r="N11" s="97"/>
      <c r="O11" s="97"/>
      <c r="P11" s="97"/>
      <c r="Q11" s="97"/>
      <c r="R11" s="98"/>
    </row>
    <row r="12" spans="1:18" ht="41.4" customHeight="1" x14ac:dyDescent="0.4">
      <c r="A12" s="23"/>
      <c r="B12" s="11"/>
      <c r="C12" s="12">
        <f>D11</f>
        <v>3.2</v>
      </c>
      <c r="D12" s="12">
        <v>26</v>
      </c>
      <c r="E12" s="56" t="s">
        <v>97</v>
      </c>
      <c r="F12" s="56"/>
      <c r="G12" s="11"/>
      <c r="H12" s="11"/>
      <c r="I12" s="11" t="s">
        <v>97</v>
      </c>
      <c r="J12" s="11"/>
      <c r="K12" s="11"/>
      <c r="L12" s="97"/>
      <c r="M12" s="97"/>
      <c r="N12" s="97"/>
      <c r="O12" s="97"/>
      <c r="P12" s="97"/>
      <c r="Q12" s="97"/>
      <c r="R12" s="98"/>
    </row>
    <row r="13" spans="1:18" ht="41.4" customHeight="1" x14ac:dyDescent="0.4">
      <c r="A13" s="23"/>
      <c r="B13" s="11"/>
      <c r="C13" s="12">
        <f t="shared" ref="C13:C15" si="0">D12</f>
        <v>26</v>
      </c>
      <c r="D13" s="12">
        <v>27.7</v>
      </c>
      <c r="E13" s="56" t="s">
        <v>97</v>
      </c>
      <c r="F13" s="56"/>
      <c r="G13" s="11"/>
      <c r="H13" s="11"/>
      <c r="I13" s="11" t="s">
        <v>97</v>
      </c>
      <c r="J13" s="11"/>
      <c r="K13" s="11"/>
      <c r="L13" s="97"/>
      <c r="M13" s="97"/>
      <c r="N13" s="97"/>
      <c r="O13" s="97"/>
      <c r="P13" s="97"/>
      <c r="Q13" s="97"/>
      <c r="R13" s="98"/>
    </row>
    <row r="14" spans="1:18" ht="41.4" customHeight="1" x14ac:dyDescent="0.4">
      <c r="A14" s="23"/>
      <c r="B14" s="11"/>
      <c r="C14" s="12">
        <f t="shared" si="0"/>
        <v>27.7</v>
      </c>
      <c r="D14" s="12">
        <v>43.1</v>
      </c>
      <c r="E14" s="56"/>
      <c r="F14" s="56"/>
      <c r="G14" s="11"/>
      <c r="H14" s="11"/>
      <c r="I14" s="11" t="s">
        <v>97</v>
      </c>
      <c r="J14" s="11"/>
      <c r="K14" s="11"/>
      <c r="L14" s="97"/>
      <c r="M14" s="97"/>
      <c r="N14" s="97"/>
      <c r="O14" s="97"/>
      <c r="P14" s="97"/>
      <c r="Q14" s="97"/>
      <c r="R14" s="98"/>
    </row>
    <row r="15" spans="1:18" ht="41.4" customHeight="1" x14ac:dyDescent="0.4">
      <c r="A15" s="23"/>
      <c r="B15" s="11"/>
      <c r="C15" s="12">
        <f t="shared" si="0"/>
        <v>43.1</v>
      </c>
      <c r="D15" s="12">
        <v>51.63</v>
      </c>
      <c r="E15" s="56" t="s">
        <v>97</v>
      </c>
      <c r="F15" s="56"/>
      <c r="G15" s="11"/>
      <c r="H15" s="11"/>
      <c r="I15" s="11" t="s">
        <v>97</v>
      </c>
      <c r="J15" s="11"/>
      <c r="K15" s="11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23"/>
      <c r="B16" s="11"/>
      <c r="C16" s="12"/>
      <c r="D16" s="12"/>
      <c r="E16" s="11"/>
      <c r="F16" s="11"/>
      <c r="G16" s="11"/>
      <c r="H16" s="11"/>
      <c r="I16" s="11"/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/>
      <c r="D17" s="12"/>
      <c r="E17" s="11"/>
      <c r="F17" s="11"/>
      <c r="G17" s="11"/>
      <c r="H17" s="11"/>
      <c r="I17" s="11"/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/>
      <c r="D18" s="12"/>
      <c r="E18" s="11"/>
      <c r="F18" s="11"/>
      <c r="G18" s="11"/>
      <c r="H18" s="11"/>
      <c r="I18" s="11"/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>
        <f>IF(E7="X",(D7-C7),"0")</f>
        <v>6.3</v>
      </c>
      <c r="F36" s="27" t="str">
        <f>IF(F7="X",(D7-C7),"0")</f>
        <v>0</v>
      </c>
      <c r="G36" s="27" t="str">
        <f>IF(G7="X",(D7-C7),"0")</f>
        <v>0</v>
      </c>
      <c r="H36" s="27" t="str">
        <f>IF(H7="X",(D7-C7),"0")</f>
        <v>0</v>
      </c>
      <c r="I36" s="27">
        <f>IF(I7="X",(D7-C7),"0")</f>
        <v>6.3</v>
      </c>
      <c r="J36" s="27" t="str">
        <f>IF(J7="X",(D7-C7),"0")</f>
        <v>0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>
        <f t="shared" ref="E37:E61" si="1">IF(E8="X",(D8-C8),"0")</f>
        <v>16.099999999999998</v>
      </c>
      <c r="F37" s="27">
        <f t="shared" ref="F37:F61" si="2">IF(F8="X",(D8-C8),"0")</f>
        <v>16.099999999999998</v>
      </c>
      <c r="G37" s="27" t="str">
        <f t="shared" ref="G37:G61" si="3">IF(G8="X",(D8-C8),"0")</f>
        <v>0</v>
      </c>
      <c r="H37" s="27" t="str">
        <f t="shared" ref="H37:H61" si="4">IF(H8="X",(D8-C8),"0")</f>
        <v>0</v>
      </c>
      <c r="I37" s="27">
        <f t="shared" ref="I37:I61" si="5">IF(I8="X",(D8-C8),"0")</f>
        <v>16.099999999999998</v>
      </c>
      <c r="J37" s="27" t="str">
        <f t="shared" ref="J37:J61" si="6">IF(J8="X",(D8-C8),"0")</f>
        <v>0</v>
      </c>
      <c r="K37" s="27" t="str">
        <f t="shared" ref="K37:K61" si="7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 t="str">
        <f t="shared" si="1"/>
        <v>0</v>
      </c>
      <c r="F38" s="27" t="str">
        <f t="shared" si="2"/>
        <v>0</v>
      </c>
      <c r="G38" s="27" t="str">
        <f t="shared" si="3"/>
        <v>0</v>
      </c>
      <c r="H38" s="27" t="str">
        <f t="shared" si="4"/>
        <v>0</v>
      </c>
      <c r="I38" s="27" t="str">
        <f t="shared" si="5"/>
        <v>0</v>
      </c>
      <c r="J38" s="27" t="str">
        <f t="shared" si="6"/>
        <v>0</v>
      </c>
      <c r="K38" s="27" t="str">
        <f t="shared" si="7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>
        <f t="shared" si="1"/>
        <v>7.66</v>
      </c>
      <c r="F39" s="27" t="str">
        <f t="shared" si="2"/>
        <v>0</v>
      </c>
      <c r="G39" s="27" t="str">
        <f t="shared" si="3"/>
        <v>0</v>
      </c>
      <c r="H39" s="27" t="str">
        <f t="shared" si="4"/>
        <v>0</v>
      </c>
      <c r="I39" s="27">
        <f t="shared" si="5"/>
        <v>7.66</v>
      </c>
      <c r="J39" s="27" t="str">
        <f t="shared" si="6"/>
        <v>0</v>
      </c>
      <c r="K39" s="27" t="str">
        <f t="shared" si="7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>
        <f t="shared" si="1"/>
        <v>3.2</v>
      </c>
      <c r="F40" s="27" t="str">
        <f t="shared" si="2"/>
        <v>0</v>
      </c>
      <c r="G40" s="27" t="str">
        <f t="shared" si="3"/>
        <v>0</v>
      </c>
      <c r="H40" s="27" t="str">
        <f t="shared" si="4"/>
        <v>0</v>
      </c>
      <c r="I40" s="27">
        <f t="shared" si="5"/>
        <v>3.2</v>
      </c>
      <c r="J40" s="27" t="str">
        <f t="shared" si="6"/>
        <v>0</v>
      </c>
      <c r="K40" s="27" t="str">
        <f t="shared" si="7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>
        <f t="shared" si="1"/>
        <v>22.8</v>
      </c>
      <c r="F41" s="27" t="str">
        <f t="shared" si="2"/>
        <v>0</v>
      </c>
      <c r="G41" s="27" t="str">
        <f t="shared" si="3"/>
        <v>0</v>
      </c>
      <c r="H41" s="27" t="str">
        <f t="shared" si="4"/>
        <v>0</v>
      </c>
      <c r="I41" s="27">
        <f t="shared" si="5"/>
        <v>22.8</v>
      </c>
      <c r="J41" s="27" t="str">
        <f t="shared" si="6"/>
        <v>0</v>
      </c>
      <c r="K41" s="27" t="str">
        <f t="shared" si="7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>
        <f t="shared" si="1"/>
        <v>1.6999999999999993</v>
      </c>
      <c r="F42" s="27" t="str">
        <f t="shared" si="2"/>
        <v>0</v>
      </c>
      <c r="G42" s="27" t="str">
        <f t="shared" si="3"/>
        <v>0</v>
      </c>
      <c r="H42" s="27" t="str">
        <f t="shared" si="4"/>
        <v>0</v>
      </c>
      <c r="I42" s="27">
        <f t="shared" si="5"/>
        <v>1.6999999999999993</v>
      </c>
      <c r="J42" s="27" t="str">
        <f t="shared" si="6"/>
        <v>0</v>
      </c>
      <c r="K42" s="27" t="str">
        <f t="shared" si="7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si="1"/>
        <v>0</v>
      </c>
      <c r="F43" s="27" t="str">
        <f t="shared" si="2"/>
        <v>0</v>
      </c>
      <c r="G43" s="27" t="str">
        <f t="shared" si="3"/>
        <v>0</v>
      </c>
      <c r="H43" s="27" t="str">
        <f t="shared" si="4"/>
        <v>0</v>
      </c>
      <c r="I43" s="27">
        <f t="shared" si="5"/>
        <v>15.400000000000002</v>
      </c>
      <c r="J43" s="27" t="str">
        <f t="shared" si="6"/>
        <v>0</v>
      </c>
      <c r="K43" s="27" t="str">
        <f t="shared" si="7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>
        <f t="shared" si="1"/>
        <v>8.5300000000000011</v>
      </c>
      <c r="F44" s="27" t="str">
        <f t="shared" si="2"/>
        <v>0</v>
      </c>
      <c r="G44" s="27" t="str">
        <f t="shared" si="3"/>
        <v>0</v>
      </c>
      <c r="H44" s="27" t="str">
        <f t="shared" si="4"/>
        <v>0</v>
      </c>
      <c r="I44" s="27">
        <f t="shared" si="5"/>
        <v>8.5300000000000011</v>
      </c>
      <c r="J44" s="27" t="str">
        <f t="shared" si="6"/>
        <v>0</v>
      </c>
      <c r="K44" s="27" t="str">
        <f t="shared" si="7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 t="str">
        <f t="shared" si="1"/>
        <v>0</v>
      </c>
      <c r="F45" s="27" t="str">
        <f t="shared" si="2"/>
        <v>0</v>
      </c>
      <c r="G45" s="27" t="str">
        <f t="shared" si="3"/>
        <v>0</v>
      </c>
      <c r="H45" s="27" t="str">
        <f t="shared" si="4"/>
        <v>0</v>
      </c>
      <c r="I45" s="27" t="str">
        <f t="shared" si="5"/>
        <v>0</v>
      </c>
      <c r="J45" s="27" t="str">
        <f t="shared" si="6"/>
        <v>0</v>
      </c>
      <c r="K45" s="27" t="str">
        <f t="shared" si="7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1"/>
        <v>0</v>
      </c>
      <c r="F46" s="27" t="str">
        <f t="shared" si="2"/>
        <v>0</v>
      </c>
      <c r="G46" s="27" t="str">
        <f t="shared" si="3"/>
        <v>0</v>
      </c>
      <c r="H46" s="27" t="str">
        <f t="shared" si="4"/>
        <v>0</v>
      </c>
      <c r="I46" s="27" t="str">
        <f t="shared" si="5"/>
        <v>0</v>
      </c>
      <c r="J46" s="27" t="str">
        <f t="shared" si="6"/>
        <v>0</v>
      </c>
      <c r="K46" s="27" t="str">
        <f t="shared" si="7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1"/>
        <v>0</v>
      </c>
      <c r="F47" s="27" t="str">
        <f t="shared" si="2"/>
        <v>0</v>
      </c>
      <c r="G47" s="27" t="str">
        <f t="shared" si="3"/>
        <v>0</v>
      </c>
      <c r="H47" s="27" t="str">
        <f t="shared" si="4"/>
        <v>0</v>
      </c>
      <c r="I47" s="27" t="str">
        <f t="shared" si="5"/>
        <v>0</v>
      </c>
      <c r="J47" s="27" t="str">
        <f t="shared" si="6"/>
        <v>0</v>
      </c>
      <c r="K47" s="27" t="str">
        <f t="shared" si="7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1"/>
        <v>0</v>
      </c>
      <c r="F48" s="27" t="str">
        <f t="shared" si="2"/>
        <v>0</v>
      </c>
      <c r="G48" s="27" t="str">
        <f t="shared" si="3"/>
        <v>0</v>
      </c>
      <c r="H48" s="27" t="str">
        <f t="shared" si="4"/>
        <v>0</v>
      </c>
      <c r="I48" s="27" t="str">
        <f t="shared" si="5"/>
        <v>0</v>
      </c>
      <c r="J48" s="27" t="str">
        <f t="shared" si="6"/>
        <v>0</v>
      </c>
      <c r="K48" s="27" t="str">
        <f t="shared" si="7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1"/>
        <v>0</v>
      </c>
      <c r="F49" s="27" t="str">
        <f t="shared" si="2"/>
        <v>0</v>
      </c>
      <c r="G49" s="27" t="str">
        <f t="shared" si="3"/>
        <v>0</v>
      </c>
      <c r="H49" s="27" t="str">
        <f t="shared" si="4"/>
        <v>0</v>
      </c>
      <c r="I49" s="27" t="str">
        <f t="shared" si="5"/>
        <v>0</v>
      </c>
      <c r="J49" s="27" t="str">
        <f t="shared" si="6"/>
        <v>0</v>
      </c>
      <c r="K49" s="27" t="str">
        <f t="shared" si="7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1"/>
        <v>0</v>
      </c>
      <c r="F50" s="27" t="str">
        <f t="shared" si="2"/>
        <v>0</v>
      </c>
      <c r="G50" s="27" t="str">
        <f t="shared" si="3"/>
        <v>0</v>
      </c>
      <c r="H50" s="27" t="str">
        <f t="shared" si="4"/>
        <v>0</v>
      </c>
      <c r="I50" s="27" t="str">
        <f t="shared" si="5"/>
        <v>0</v>
      </c>
      <c r="J50" s="27" t="str">
        <f t="shared" si="6"/>
        <v>0</v>
      </c>
      <c r="K50" s="27" t="str">
        <f t="shared" si="7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1"/>
        <v>0</v>
      </c>
      <c r="F51" s="27" t="str">
        <f t="shared" si="2"/>
        <v>0</v>
      </c>
      <c r="G51" s="27" t="str">
        <f t="shared" si="3"/>
        <v>0</v>
      </c>
      <c r="H51" s="27" t="str">
        <f t="shared" si="4"/>
        <v>0</v>
      </c>
      <c r="I51" s="27" t="str">
        <f t="shared" si="5"/>
        <v>0</v>
      </c>
      <c r="J51" s="27" t="str">
        <f t="shared" si="6"/>
        <v>0</v>
      </c>
      <c r="K51" s="27" t="str">
        <f t="shared" si="7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1"/>
        <v>0</v>
      </c>
      <c r="F52" s="27" t="str">
        <f t="shared" si="2"/>
        <v>0</v>
      </c>
      <c r="G52" s="27" t="str">
        <f t="shared" si="3"/>
        <v>0</v>
      </c>
      <c r="H52" s="27" t="str">
        <f t="shared" si="4"/>
        <v>0</v>
      </c>
      <c r="I52" s="27" t="str">
        <f t="shared" si="5"/>
        <v>0</v>
      </c>
      <c r="J52" s="27" t="str">
        <f t="shared" si="6"/>
        <v>0</v>
      </c>
      <c r="K52" s="27" t="str">
        <f t="shared" si="7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1"/>
        <v>0</v>
      </c>
      <c r="F53" s="27" t="str">
        <f t="shared" si="2"/>
        <v>0</v>
      </c>
      <c r="G53" s="27" t="str">
        <f t="shared" si="3"/>
        <v>0</v>
      </c>
      <c r="H53" s="27" t="str">
        <f t="shared" si="4"/>
        <v>0</v>
      </c>
      <c r="I53" s="27" t="str">
        <f t="shared" si="5"/>
        <v>0</v>
      </c>
      <c r="J53" s="27" t="str">
        <f t="shared" si="6"/>
        <v>0</v>
      </c>
      <c r="K53" s="27" t="str">
        <f t="shared" si="7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1"/>
        <v>0</v>
      </c>
      <c r="F54" s="27" t="str">
        <f t="shared" si="2"/>
        <v>0</v>
      </c>
      <c r="G54" s="27" t="str">
        <f t="shared" si="3"/>
        <v>0</v>
      </c>
      <c r="H54" s="27" t="str">
        <f t="shared" si="4"/>
        <v>0</v>
      </c>
      <c r="I54" s="27" t="str">
        <f t="shared" si="5"/>
        <v>0</v>
      </c>
      <c r="J54" s="27" t="str">
        <f t="shared" si="6"/>
        <v>0</v>
      </c>
      <c r="K54" s="27" t="str">
        <f t="shared" si="7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1"/>
        <v>0</v>
      </c>
      <c r="F55" s="27" t="str">
        <f t="shared" si="2"/>
        <v>0</v>
      </c>
      <c r="G55" s="27" t="str">
        <f t="shared" si="3"/>
        <v>0</v>
      </c>
      <c r="H55" s="27" t="str">
        <f t="shared" si="4"/>
        <v>0</v>
      </c>
      <c r="I55" s="27" t="str">
        <f t="shared" si="5"/>
        <v>0</v>
      </c>
      <c r="J55" s="27" t="str">
        <f t="shared" si="6"/>
        <v>0</v>
      </c>
      <c r="K55" s="27" t="str">
        <f t="shared" si="7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1"/>
        <v>0</v>
      </c>
      <c r="F56" s="27" t="str">
        <f t="shared" si="2"/>
        <v>0</v>
      </c>
      <c r="G56" s="27" t="str">
        <f t="shared" si="3"/>
        <v>0</v>
      </c>
      <c r="H56" s="27" t="str">
        <f t="shared" si="4"/>
        <v>0</v>
      </c>
      <c r="I56" s="27" t="str">
        <f t="shared" si="5"/>
        <v>0</v>
      </c>
      <c r="J56" s="27" t="str">
        <f t="shared" si="6"/>
        <v>0</v>
      </c>
      <c r="K56" s="27" t="str">
        <f t="shared" si="7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1"/>
        <v>0</v>
      </c>
      <c r="F57" s="27" t="str">
        <f t="shared" si="2"/>
        <v>0</v>
      </c>
      <c r="G57" s="27" t="str">
        <f t="shared" si="3"/>
        <v>0</v>
      </c>
      <c r="H57" s="27" t="str">
        <f t="shared" si="4"/>
        <v>0</v>
      </c>
      <c r="I57" s="27" t="str">
        <f t="shared" si="5"/>
        <v>0</v>
      </c>
      <c r="J57" s="27" t="str">
        <f t="shared" si="6"/>
        <v>0</v>
      </c>
      <c r="K57" s="27" t="str">
        <f t="shared" si="7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1"/>
        <v>0</v>
      </c>
      <c r="F58" s="27" t="str">
        <f t="shared" si="2"/>
        <v>0</v>
      </c>
      <c r="G58" s="27" t="str">
        <f t="shared" si="3"/>
        <v>0</v>
      </c>
      <c r="H58" s="27" t="str">
        <f t="shared" si="4"/>
        <v>0</v>
      </c>
      <c r="I58" s="27" t="str">
        <f t="shared" si="5"/>
        <v>0</v>
      </c>
      <c r="J58" s="27" t="str">
        <f t="shared" si="6"/>
        <v>0</v>
      </c>
      <c r="K58" s="27" t="str">
        <f t="shared" si="7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1"/>
        <v>0</v>
      </c>
      <c r="F59" s="27" t="str">
        <f t="shared" si="2"/>
        <v>0</v>
      </c>
      <c r="G59" s="27" t="str">
        <f t="shared" si="3"/>
        <v>0</v>
      </c>
      <c r="H59" s="27" t="str">
        <f t="shared" si="4"/>
        <v>0</v>
      </c>
      <c r="I59" s="27" t="str">
        <f t="shared" si="5"/>
        <v>0</v>
      </c>
      <c r="J59" s="27" t="str">
        <f t="shared" si="6"/>
        <v>0</v>
      </c>
      <c r="K59" s="27" t="str">
        <f t="shared" si="7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1"/>
        <v>0</v>
      </c>
      <c r="F60" s="27" t="str">
        <f t="shared" si="2"/>
        <v>0</v>
      </c>
      <c r="G60" s="27" t="str">
        <f t="shared" si="3"/>
        <v>0</v>
      </c>
      <c r="H60" s="27" t="str">
        <f t="shared" si="4"/>
        <v>0</v>
      </c>
      <c r="I60" s="27" t="str">
        <f t="shared" si="5"/>
        <v>0</v>
      </c>
      <c r="J60" s="27" t="str">
        <f t="shared" si="6"/>
        <v>0</v>
      </c>
      <c r="K60" s="27" t="str">
        <f t="shared" si="7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1"/>
        <v>0</v>
      </c>
      <c r="F61" s="27" t="str">
        <f t="shared" si="2"/>
        <v>0</v>
      </c>
      <c r="G61" s="27" t="str">
        <f t="shared" si="3"/>
        <v>0</v>
      </c>
      <c r="H61" s="27" t="str">
        <f t="shared" si="4"/>
        <v>0</v>
      </c>
      <c r="I61" s="27" t="str">
        <f t="shared" si="5"/>
        <v>0</v>
      </c>
      <c r="J61" s="27" t="str">
        <f t="shared" si="6"/>
        <v>0</v>
      </c>
      <c r="K61" s="27" t="str">
        <f t="shared" si="7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66.290000000000006</v>
      </c>
      <c r="F62" s="27">
        <f t="shared" ref="F62:K62" si="8">SUM(F36:F61)</f>
        <v>16.099999999999998</v>
      </c>
      <c r="G62" s="27">
        <f t="shared" si="8"/>
        <v>0</v>
      </c>
      <c r="H62" s="27">
        <f t="shared" si="8"/>
        <v>0</v>
      </c>
      <c r="I62" s="27">
        <f t="shared" si="8"/>
        <v>81.690000000000012</v>
      </c>
      <c r="J62" s="27">
        <f t="shared" si="8"/>
        <v>0</v>
      </c>
      <c r="K62" s="27">
        <f t="shared" si="8"/>
        <v>0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2379-E5A5-400D-8D8D-0289BB05C1A8}">
  <sheetPr>
    <pageSetUpPr fitToPage="1"/>
  </sheetPr>
  <dimension ref="A1:R68"/>
  <sheetViews>
    <sheetView view="pageBreakPreview" zoomScale="40" zoomScaleNormal="40" zoomScaleSheetLayoutView="40" workbookViewId="0">
      <selection activeCell="F21" sqref="F21"/>
    </sheetView>
  </sheetViews>
  <sheetFormatPr defaultColWidth="8.88671875" defaultRowHeight="13.8" x14ac:dyDescent="0.25"/>
  <cols>
    <col min="1" max="1" width="38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88">
        <f>'228'!J1</f>
        <v>46204</v>
      </c>
      <c r="K1" s="89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90"/>
      <c r="K2" s="91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TT!C6</f>
        <v>RODOVIA TO-365 - TRECHO IPUEIRAS - SILVANÓPOLIS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12" t="s">
        <v>50</v>
      </c>
      <c r="B7" s="12" t="s">
        <v>96</v>
      </c>
      <c r="C7" s="12">
        <v>0</v>
      </c>
      <c r="D7" s="12">
        <v>3.3</v>
      </c>
      <c r="E7" s="12" t="s">
        <v>97</v>
      </c>
      <c r="F7" s="12"/>
      <c r="G7" s="12"/>
      <c r="H7" s="12"/>
      <c r="I7" s="12" t="s">
        <v>97</v>
      </c>
      <c r="J7" s="12"/>
      <c r="K7" s="12"/>
      <c r="L7" s="97"/>
      <c r="M7" s="97"/>
      <c r="N7" s="97"/>
      <c r="O7" s="97"/>
      <c r="P7" s="97"/>
      <c r="Q7" s="97"/>
      <c r="R7" s="98"/>
    </row>
    <row r="8" spans="1:18" ht="41.4" customHeight="1" x14ac:dyDescent="0.25">
      <c r="A8" s="12"/>
      <c r="B8" s="12"/>
      <c r="C8" s="12">
        <f t="shared" ref="C8:C16" si="0">D7</f>
        <v>3.3</v>
      </c>
      <c r="D8" s="12">
        <v>3.4</v>
      </c>
      <c r="E8" s="12" t="s">
        <v>97</v>
      </c>
      <c r="F8" s="12"/>
      <c r="G8" s="12"/>
      <c r="H8" s="12"/>
      <c r="I8" s="12" t="s">
        <v>97</v>
      </c>
      <c r="J8" s="12"/>
      <c r="K8" s="12"/>
      <c r="L8" s="97"/>
      <c r="M8" s="97"/>
      <c r="N8" s="97"/>
      <c r="O8" s="97"/>
      <c r="P8" s="97"/>
      <c r="Q8" s="97"/>
      <c r="R8" s="98"/>
    </row>
    <row r="9" spans="1:18" ht="41.4" customHeight="1" x14ac:dyDescent="0.25">
      <c r="A9" s="12"/>
      <c r="B9" s="12"/>
      <c r="C9" s="12">
        <f t="shared" si="0"/>
        <v>3.4</v>
      </c>
      <c r="D9" s="12">
        <v>3.9</v>
      </c>
      <c r="E9" s="12" t="s">
        <v>97</v>
      </c>
      <c r="F9" s="12"/>
      <c r="G9" s="12"/>
      <c r="H9" s="12"/>
      <c r="I9" s="12" t="s">
        <v>97</v>
      </c>
      <c r="J9" s="12"/>
      <c r="K9" s="12"/>
      <c r="L9" s="97"/>
      <c r="M9" s="97"/>
      <c r="N9" s="97"/>
      <c r="O9" s="97"/>
      <c r="P9" s="97"/>
      <c r="Q9" s="97"/>
      <c r="R9" s="98"/>
    </row>
    <row r="10" spans="1:18" ht="41.4" customHeight="1" x14ac:dyDescent="0.25">
      <c r="A10" s="12"/>
      <c r="B10" s="12"/>
      <c r="C10" s="12">
        <f t="shared" si="0"/>
        <v>3.9</v>
      </c>
      <c r="D10" s="12">
        <v>15.4</v>
      </c>
      <c r="E10" s="12" t="s">
        <v>97</v>
      </c>
      <c r="F10" s="12"/>
      <c r="G10" s="12"/>
      <c r="H10" s="12"/>
      <c r="I10" s="12" t="s">
        <v>97</v>
      </c>
      <c r="J10" s="12"/>
      <c r="K10" s="12"/>
      <c r="L10" s="97"/>
      <c r="M10" s="97"/>
      <c r="N10" s="97"/>
      <c r="O10" s="97"/>
      <c r="P10" s="97"/>
      <c r="Q10" s="97"/>
      <c r="R10" s="98"/>
    </row>
    <row r="11" spans="1:18" ht="41.4" customHeight="1" x14ac:dyDescent="0.25">
      <c r="A11" s="12"/>
      <c r="B11" s="12"/>
      <c r="C11" s="12">
        <f t="shared" si="0"/>
        <v>15.4</v>
      </c>
      <c r="D11" s="12">
        <v>15.9</v>
      </c>
      <c r="E11" s="12" t="s">
        <v>97</v>
      </c>
      <c r="F11" s="12"/>
      <c r="G11" s="12"/>
      <c r="H11" s="12"/>
      <c r="I11" s="12" t="s">
        <v>97</v>
      </c>
      <c r="J11" s="12"/>
      <c r="K11" s="12"/>
      <c r="L11" s="97"/>
      <c r="M11" s="97"/>
      <c r="N11" s="97"/>
      <c r="O11" s="97"/>
      <c r="P11" s="97"/>
      <c r="Q11" s="97"/>
      <c r="R11" s="98"/>
    </row>
    <row r="12" spans="1:18" ht="41.4" customHeight="1" x14ac:dyDescent="0.25">
      <c r="A12" s="12"/>
      <c r="B12" s="12"/>
      <c r="C12" s="12">
        <f t="shared" si="0"/>
        <v>15.9</v>
      </c>
      <c r="D12" s="12">
        <v>20.3</v>
      </c>
      <c r="E12" s="12" t="s">
        <v>97</v>
      </c>
      <c r="F12" s="12"/>
      <c r="G12" s="12"/>
      <c r="H12" s="12"/>
      <c r="I12" s="12" t="s">
        <v>97</v>
      </c>
      <c r="J12" s="12"/>
      <c r="K12" s="12"/>
      <c r="L12" s="97"/>
      <c r="M12" s="97"/>
      <c r="N12" s="97"/>
      <c r="O12" s="97"/>
      <c r="P12" s="97"/>
      <c r="Q12" s="97"/>
      <c r="R12" s="98"/>
    </row>
    <row r="13" spans="1:18" ht="41.4" customHeight="1" x14ac:dyDescent="0.25">
      <c r="A13" s="12"/>
      <c r="B13" s="12"/>
      <c r="C13" s="12">
        <f t="shared" si="0"/>
        <v>20.3</v>
      </c>
      <c r="D13" s="12">
        <v>20.7</v>
      </c>
      <c r="E13" s="12" t="s">
        <v>97</v>
      </c>
      <c r="F13" s="12"/>
      <c r="G13" s="12"/>
      <c r="H13" s="12"/>
      <c r="I13" s="12" t="s">
        <v>97</v>
      </c>
      <c r="J13" s="12"/>
      <c r="K13" s="12"/>
      <c r="L13" s="97"/>
      <c r="M13" s="97"/>
      <c r="N13" s="97"/>
      <c r="O13" s="97"/>
      <c r="P13" s="97"/>
      <c r="Q13" s="97"/>
      <c r="R13" s="98"/>
    </row>
    <row r="14" spans="1:18" ht="41.4" customHeight="1" x14ac:dyDescent="0.25">
      <c r="A14" s="12"/>
      <c r="B14" s="12"/>
      <c r="C14" s="12">
        <f t="shared" si="0"/>
        <v>20.7</v>
      </c>
      <c r="D14" s="12">
        <v>21.3</v>
      </c>
      <c r="E14" s="12" t="s">
        <v>97</v>
      </c>
      <c r="F14" s="12"/>
      <c r="G14" s="12"/>
      <c r="H14" s="12"/>
      <c r="I14" s="12" t="s">
        <v>97</v>
      </c>
      <c r="J14" s="12"/>
      <c r="K14" s="12"/>
      <c r="L14" s="97"/>
      <c r="M14" s="97"/>
      <c r="N14" s="97"/>
      <c r="O14" s="97"/>
      <c r="P14" s="97"/>
      <c r="Q14" s="97"/>
      <c r="R14" s="98"/>
    </row>
    <row r="15" spans="1:18" ht="41.4" customHeight="1" x14ac:dyDescent="0.25">
      <c r="A15" s="12"/>
      <c r="B15" s="12"/>
      <c r="C15" s="12">
        <f t="shared" si="0"/>
        <v>21.3</v>
      </c>
      <c r="D15" s="12">
        <v>28</v>
      </c>
      <c r="E15" s="12" t="s">
        <v>97</v>
      </c>
      <c r="F15" s="12"/>
      <c r="G15" s="12"/>
      <c r="H15" s="12"/>
      <c r="I15" s="12" t="s">
        <v>97</v>
      </c>
      <c r="J15" s="12"/>
      <c r="K15" s="12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12"/>
      <c r="B16" s="12"/>
      <c r="C16" s="12">
        <f t="shared" si="0"/>
        <v>28</v>
      </c>
      <c r="D16" s="12">
        <v>34.25</v>
      </c>
      <c r="E16" s="12" t="s">
        <v>97</v>
      </c>
      <c r="F16" s="12"/>
      <c r="G16" s="12"/>
      <c r="H16" s="12"/>
      <c r="I16" s="12" t="s">
        <v>97</v>
      </c>
      <c r="J16" s="12"/>
      <c r="K16" s="12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12" t="s">
        <v>52</v>
      </c>
      <c r="B18" s="12" t="s">
        <v>96</v>
      </c>
      <c r="C18" s="12">
        <v>0</v>
      </c>
      <c r="D18" s="12">
        <v>5.0999999999999996</v>
      </c>
      <c r="E18" s="12" t="s">
        <v>97</v>
      </c>
      <c r="F18" s="12"/>
      <c r="G18" s="12"/>
      <c r="H18" s="12"/>
      <c r="I18" s="12" t="s">
        <v>97</v>
      </c>
      <c r="J18" s="12"/>
      <c r="K18" s="12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12"/>
      <c r="B19" s="12"/>
      <c r="C19" s="12">
        <f t="shared" ref="C19:C20" si="1">D18</f>
        <v>5.0999999999999996</v>
      </c>
      <c r="D19" s="12">
        <v>5.4</v>
      </c>
      <c r="E19" s="12" t="s">
        <v>97</v>
      </c>
      <c r="F19" s="12"/>
      <c r="G19" s="12"/>
      <c r="H19" s="12"/>
      <c r="I19" s="12" t="s">
        <v>97</v>
      </c>
      <c r="J19" s="12"/>
      <c r="K19" s="12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12"/>
      <c r="B20" s="12"/>
      <c r="C20" s="12">
        <f t="shared" si="1"/>
        <v>5.4</v>
      </c>
      <c r="D20" s="12">
        <v>6.2</v>
      </c>
      <c r="E20" s="12" t="s">
        <v>97</v>
      </c>
      <c r="F20" s="12"/>
      <c r="G20" s="12"/>
      <c r="H20" s="12"/>
      <c r="I20" s="12" t="s">
        <v>97</v>
      </c>
      <c r="J20" s="12"/>
      <c r="K20" s="12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12" t="s">
        <v>54</v>
      </c>
      <c r="B22" s="12" t="s">
        <v>96</v>
      </c>
      <c r="C22" s="12">
        <v>0</v>
      </c>
      <c r="D22" s="12">
        <v>1.2</v>
      </c>
      <c r="E22" s="12" t="s">
        <v>97</v>
      </c>
      <c r="F22" s="12"/>
      <c r="G22" s="12"/>
      <c r="H22" s="12"/>
      <c r="I22" s="12" t="s">
        <v>97</v>
      </c>
      <c r="J22" s="12"/>
      <c r="K22" s="12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>
        <f t="shared" ref="C23" si="2">D22</f>
        <v>1.2</v>
      </c>
      <c r="D23" s="12">
        <v>5.33</v>
      </c>
      <c r="E23" s="11" t="s">
        <v>97</v>
      </c>
      <c r="F23" s="11"/>
      <c r="G23" s="11"/>
      <c r="H23" s="11"/>
      <c r="I23" s="11" t="s">
        <v>97</v>
      </c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>
        <f>IF(E7="X",(D7-C7),"0")</f>
        <v>3.3</v>
      </c>
      <c r="F36" s="27" t="str">
        <f>IF(F7="X",(D7-C7),"0")</f>
        <v>0</v>
      </c>
      <c r="G36" s="27" t="str">
        <f>IF(G7="X",(D7-C7),"0")</f>
        <v>0</v>
      </c>
      <c r="H36" s="27" t="str">
        <f>IF(H7="X",(D7-C7),"0")</f>
        <v>0</v>
      </c>
      <c r="I36" s="27">
        <f>IF(I7="X",(D7-C7),"0")</f>
        <v>3.3</v>
      </c>
      <c r="J36" s="27" t="str">
        <f>IF(J7="X",(D7-C7),"0")</f>
        <v>0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>
        <f t="shared" ref="E37:E61" si="3">IF(E8="X",(D8-C8),"0")</f>
        <v>0.10000000000000009</v>
      </c>
      <c r="F37" s="27" t="str">
        <f t="shared" ref="F37:F61" si="4">IF(F8="X",(D8-C8),"0")</f>
        <v>0</v>
      </c>
      <c r="G37" s="27" t="str">
        <f t="shared" ref="G37:G61" si="5">IF(G8="X",(D8-C8),"0")</f>
        <v>0</v>
      </c>
      <c r="H37" s="27" t="str">
        <f t="shared" ref="H37:H61" si="6">IF(H8="X",(D8-C8),"0")</f>
        <v>0</v>
      </c>
      <c r="I37" s="27">
        <f t="shared" ref="I37:I61" si="7">IF(I8="X",(D8-C8),"0")</f>
        <v>0.10000000000000009</v>
      </c>
      <c r="J37" s="27" t="str">
        <f t="shared" ref="J37:J61" si="8">IF(J8="X",(D8-C8),"0")</f>
        <v>0</v>
      </c>
      <c r="K37" s="27" t="str">
        <f t="shared" ref="K37:K61" si="9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>
        <f t="shared" si="3"/>
        <v>0.5</v>
      </c>
      <c r="F38" s="27" t="str">
        <f t="shared" si="4"/>
        <v>0</v>
      </c>
      <c r="G38" s="27" t="str">
        <f t="shared" si="5"/>
        <v>0</v>
      </c>
      <c r="H38" s="27" t="str">
        <f t="shared" si="6"/>
        <v>0</v>
      </c>
      <c r="I38" s="27">
        <f t="shared" si="7"/>
        <v>0.5</v>
      </c>
      <c r="J38" s="27" t="str">
        <f t="shared" si="8"/>
        <v>0</v>
      </c>
      <c r="K38" s="27" t="str">
        <f t="shared" si="9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>
        <f t="shared" si="3"/>
        <v>11.5</v>
      </c>
      <c r="F39" s="27" t="str">
        <f t="shared" ref="F39:F45" si="10">IF(F10="X",(D10-C10),"0")</f>
        <v>0</v>
      </c>
      <c r="G39" s="27" t="str">
        <f t="shared" ref="G39:G45" si="11">IF(G10="X",(D10-C10),"0")</f>
        <v>0</v>
      </c>
      <c r="H39" s="27" t="str">
        <f t="shared" si="6"/>
        <v>0</v>
      </c>
      <c r="I39" s="27">
        <f t="shared" si="7"/>
        <v>11.5</v>
      </c>
      <c r="J39" s="27" t="str">
        <f t="shared" si="8"/>
        <v>0</v>
      </c>
      <c r="K39" s="27" t="str">
        <f t="shared" si="9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>
        <f t="shared" si="3"/>
        <v>0.5</v>
      </c>
      <c r="F40" s="27" t="str">
        <f t="shared" si="10"/>
        <v>0</v>
      </c>
      <c r="G40" s="27" t="str">
        <f t="shared" si="11"/>
        <v>0</v>
      </c>
      <c r="H40" s="27" t="str">
        <f t="shared" si="6"/>
        <v>0</v>
      </c>
      <c r="I40" s="27">
        <f t="shared" si="7"/>
        <v>0.5</v>
      </c>
      <c r="J40" s="27" t="str">
        <f t="shared" si="8"/>
        <v>0</v>
      </c>
      <c r="K40" s="27" t="str">
        <f t="shared" si="9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>
        <f t="shared" si="3"/>
        <v>4.4000000000000004</v>
      </c>
      <c r="F41" s="27" t="str">
        <f t="shared" si="10"/>
        <v>0</v>
      </c>
      <c r="G41" s="27" t="str">
        <f t="shared" si="11"/>
        <v>0</v>
      </c>
      <c r="H41" s="27" t="str">
        <f t="shared" si="6"/>
        <v>0</v>
      </c>
      <c r="I41" s="27">
        <f t="shared" si="7"/>
        <v>4.4000000000000004</v>
      </c>
      <c r="J41" s="27" t="str">
        <f t="shared" si="8"/>
        <v>0</v>
      </c>
      <c r="K41" s="27" t="str">
        <f t="shared" si="9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>
        <f t="shared" si="3"/>
        <v>0.39999999999999858</v>
      </c>
      <c r="F42" s="27" t="str">
        <f t="shared" si="10"/>
        <v>0</v>
      </c>
      <c r="G42" s="27" t="str">
        <f t="shared" si="11"/>
        <v>0</v>
      </c>
      <c r="H42" s="27" t="str">
        <f t="shared" si="6"/>
        <v>0</v>
      </c>
      <c r="I42" s="27">
        <f t="shared" si="7"/>
        <v>0.39999999999999858</v>
      </c>
      <c r="J42" s="27" t="str">
        <f t="shared" si="8"/>
        <v>0</v>
      </c>
      <c r="K42" s="27" t="str">
        <f t="shared" si="9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>
        <f t="shared" si="3"/>
        <v>0.60000000000000142</v>
      </c>
      <c r="F43" s="27" t="str">
        <f t="shared" si="10"/>
        <v>0</v>
      </c>
      <c r="G43" s="27" t="str">
        <f t="shared" si="11"/>
        <v>0</v>
      </c>
      <c r="H43" s="27" t="str">
        <f t="shared" si="6"/>
        <v>0</v>
      </c>
      <c r="I43" s="27">
        <f t="shared" si="7"/>
        <v>0.60000000000000142</v>
      </c>
      <c r="J43" s="27" t="str">
        <f t="shared" si="8"/>
        <v>0</v>
      </c>
      <c r="K43" s="27" t="str">
        <f t="shared" si="9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>
        <f t="shared" si="3"/>
        <v>6.6999999999999993</v>
      </c>
      <c r="F44" s="27" t="str">
        <f t="shared" si="10"/>
        <v>0</v>
      </c>
      <c r="G44" s="27" t="str">
        <f t="shared" si="11"/>
        <v>0</v>
      </c>
      <c r="H44" s="27" t="str">
        <f t="shared" si="6"/>
        <v>0</v>
      </c>
      <c r="I44" s="27">
        <f t="shared" si="7"/>
        <v>6.6999999999999993</v>
      </c>
      <c r="J44" s="27" t="str">
        <f t="shared" si="8"/>
        <v>0</v>
      </c>
      <c r="K44" s="27" t="str">
        <f t="shared" si="9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>
        <f t="shared" si="3"/>
        <v>6.25</v>
      </c>
      <c r="F45" s="27" t="str">
        <f t="shared" si="10"/>
        <v>0</v>
      </c>
      <c r="G45" s="27" t="str">
        <f t="shared" si="11"/>
        <v>0</v>
      </c>
      <c r="H45" s="27" t="str">
        <f t="shared" si="6"/>
        <v>0</v>
      </c>
      <c r="I45" s="27">
        <f t="shared" si="7"/>
        <v>6.25</v>
      </c>
      <c r="J45" s="27" t="str">
        <f t="shared" si="8"/>
        <v>0</v>
      </c>
      <c r="K45" s="27" t="str">
        <f t="shared" si="9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3"/>
        <v>0</v>
      </c>
      <c r="F46" s="27" t="str">
        <f t="shared" si="4"/>
        <v>0</v>
      </c>
      <c r="G46" s="27" t="str">
        <f t="shared" si="5"/>
        <v>0</v>
      </c>
      <c r="H46" s="27" t="str">
        <f t="shared" si="6"/>
        <v>0</v>
      </c>
      <c r="I46" s="27" t="str">
        <f t="shared" si="7"/>
        <v>0</v>
      </c>
      <c r="J46" s="27" t="str">
        <f t="shared" si="8"/>
        <v>0</v>
      </c>
      <c r="K46" s="27" t="str">
        <f t="shared" si="9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>
        <f t="shared" si="3"/>
        <v>5.0999999999999996</v>
      </c>
      <c r="F47" s="27" t="str">
        <f t="shared" si="4"/>
        <v>0</v>
      </c>
      <c r="G47" s="27" t="str">
        <f t="shared" si="5"/>
        <v>0</v>
      </c>
      <c r="H47" s="27" t="str">
        <f t="shared" si="6"/>
        <v>0</v>
      </c>
      <c r="I47" s="27">
        <f t="shared" si="7"/>
        <v>5.0999999999999996</v>
      </c>
      <c r="J47" s="27" t="str">
        <f t="shared" si="8"/>
        <v>0</v>
      </c>
      <c r="K47" s="27" t="str">
        <f t="shared" si="9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>
        <f t="shared" si="3"/>
        <v>0.30000000000000071</v>
      </c>
      <c r="F48" s="27" t="str">
        <f t="shared" si="4"/>
        <v>0</v>
      </c>
      <c r="G48" s="27" t="str">
        <f t="shared" si="5"/>
        <v>0</v>
      </c>
      <c r="H48" s="27" t="str">
        <f t="shared" si="6"/>
        <v>0</v>
      </c>
      <c r="I48" s="27">
        <f t="shared" si="7"/>
        <v>0.30000000000000071</v>
      </c>
      <c r="J48" s="27" t="str">
        <f t="shared" si="8"/>
        <v>0</v>
      </c>
      <c r="K48" s="27" t="str">
        <f t="shared" si="9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>
        <f t="shared" si="3"/>
        <v>0.79999999999999982</v>
      </c>
      <c r="F49" s="27" t="str">
        <f t="shared" si="4"/>
        <v>0</v>
      </c>
      <c r="G49" s="27" t="str">
        <f t="shared" si="5"/>
        <v>0</v>
      </c>
      <c r="H49" s="27" t="str">
        <f t="shared" si="6"/>
        <v>0</v>
      </c>
      <c r="I49" s="27">
        <f t="shared" si="7"/>
        <v>0.79999999999999982</v>
      </c>
      <c r="J49" s="27" t="str">
        <f t="shared" si="8"/>
        <v>0</v>
      </c>
      <c r="K49" s="27" t="str">
        <f t="shared" si="9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3"/>
        <v>0</v>
      </c>
      <c r="F50" s="27" t="str">
        <f t="shared" si="4"/>
        <v>0</v>
      </c>
      <c r="G50" s="27" t="str">
        <f t="shared" si="5"/>
        <v>0</v>
      </c>
      <c r="H50" s="27" t="str">
        <f t="shared" si="6"/>
        <v>0</v>
      </c>
      <c r="I50" s="27" t="str">
        <f t="shared" si="7"/>
        <v>0</v>
      </c>
      <c r="J50" s="27" t="str">
        <f t="shared" si="8"/>
        <v>0</v>
      </c>
      <c r="K50" s="27" t="str">
        <f t="shared" si="9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>
        <f t="shared" si="3"/>
        <v>1.2</v>
      </c>
      <c r="F51" s="27" t="str">
        <f t="shared" si="4"/>
        <v>0</v>
      </c>
      <c r="G51" s="27" t="str">
        <f t="shared" si="5"/>
        <v>0</v>
      </c>
      <c r="H51" s="27" t="str">
        <f t="shared" si="6"/>
        <v>0</v>
      </c>
      <c r="I51" s="27">
        <f t="shared" si="7"/>
        <v>1.2</v>
      </c>
      <c r="J51" s="27" t="str">
        <f t="shared" si="8"/>
        <v>0</v>
      </c>
      <c r="K51" s="27" t="str">
        <f t="shared" si="9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>
        <f t="shared" si="3"/>
        <v>4.13</v>
      </c>
      <c r="F52" s="27" t="str">
        <f t="shared" si="4"/>
        <v>0</v>
      </c>
      <c r="G52" s="27" t="str">
        <f t="shared" si="5"/>
        <v>0</v>
      </c>
      <c r="H52" s="27" t="str">
        <f t="shared" si="6"/>
        <v>0</v>
      </c>
      <c r="I52" s="27">
        <f t="shared" si="7"/>
        <v>4.13</v>
      </c>
      <c r="J52" s="27" t="str">
        <f t="shared" si="8"/>
        <v>0</v>
      </c>
      <c r="K52" s="27" t="str">
        <f t="shared" si="9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3"/>
        <v>0</v>
      </c>
      <c r="F53" s="27" t="str">
        <f t="shared" si="4"/>
        <v>0</v>
      </c>
      <c r="G53" s="27" t="str">
        <f t="shared" si="5"/>
        <v>0</v>
      </c>
      <c r="H53" s="27" t="str">
        <f t="shared" si="6"/>
        <v>0</v>
      </c>
      <c r="I53" s="27" t="str">
        <f t="shared" si="7"/>
        <v>0</v>
      </c>
      <c r="J53" s="27" t="str">
        <f t="shared" si="8"/>
        <v>0</v>
      </c>
      <c r="K53" s="27" t="str">
        <f t="shared" si="9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3"/>
        <v>0</v>
      </c>
      <c r="F54" s="27" t="str">
        <f t="shared" si="4"/>
        <v>0</v>
      </c>
      <c r="G54" s="27" t="str">
        <f t="shared" si="5"/>
        <v>0</v>
      </c>
      <c r="H54" s="27" t="str">
        <f t="shared" si="6"/>
        <v>0</v>
      </c>
      <c r="I54" s="27" t="str">
        <f t="shared" si="7"/>
        <v>0</v>
      </c>
      <c r="J54" s="27" t="str">
        <f t="shared" si="8"/>
        <v>0</v>
      </c>
      <c r="K54" s="27" t="str">
        <f t="shared" si="9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3"/>
        <v>0</v>
      </c>
      <c r="F55" s="27" t="str">
        <f t="shared" si="4"/>
        <v>0</v>
      </c>
      <c r="G55" s="27" t="str">
        <f t="shared" si="5"/>
        <v>0</v>
      </c>
      <c r="H55" s="27" t="str">
        <f t="shared" si="6"/>
        <v>0</v>
      </c>
      <c r="I55" s="27" t="str">
        <f t="shared" si="7"/>
        <v>0</v>
      </c>
      <c r="J55" s="27" t="str">
        <f t="shared" si="8"/>
        <v>0</v>
      </c>
      <c r="K55" s="27" t="str">
        <f t="shared" si="9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3"/>
        <v>0</v>
      </c>
      <c r="F56" s="27" t="str">
        <f t="shared" si="4"/>
        <v>0</v>
      </c>
      <c r="G56" s="27" t="str">
        <f t="shared" si="5"/>
        <v>0</v>
      </c>
      <c r="H56" s="27" t="str">
        <f t="shared" si="6"/>
        <v>0</v>
      </c>
      <c r="I56" s="27" t="str">
        <f t="shared" si="7"/>
        <v>0</v>
      </c>
      <c r="J56" s="27" t="str">
        <f t="shared" si="8"/>
        <v>0</v>
      </c>
      <c r="K56" s="27" t="str">
        <f t="shared" si="9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3"/>
        <v>0</v>
      </c>
      <c r="F57" s="27" t="str">
        <f t="shared" si="4"/>
        <v>0</v>
      </c>
      <c r="G57" s="27" t="str">
        <f t="shared" si="5"/>
        <v>0</v>
      </c>
      <c r="H57" s="27" t="str">
        <f t="shared" si="6"/>
        <v>0</v>
      </c>
      <c r="I57" s="27" t="str">
        <f t="shared" si="7"/>
        <v>0</v>
      </c>
      <c r="J57" s="27" t="str">
        <f t="shared" si="8"/>
        <v>0</v>
      </c>
      <c r="K57" s="27" t="str">
        <f t="shared" si="9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3"/>
        <v>0</v>
      </c>
      <c r="F58" s="27" t="str">
        <f t="shared" si="4"/>
        <v>0</v>
      </c>
      <c r="G58" s="27" t="str">
        <f t="shared" si="5"/>
        <v>0</v>
      </c>
      <c r="H58" s="27" t="str">
        <f t="shared" si="6"/>
        <v>0</v>
      </c>
      <c r="I58" s="27" t="str">
        <f t="shared" si="7"/>
        <v>0</v>
      </c>
      <c r="J58" s="27" t="str">
        <f t="shared" si="8"/>
        <v>0</v>
      </c>
      <c r="K58" s="27" t="str">
        <f t="shared" si="9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3"/>
        <v>0</v>
      </c>
      <c r="F59" s="27" t="str">
        <f t="shared" si="4"/>
        <v>0</v>
      </c>
      <c r="G59" s="27" t="str">
        <f t="shared" si="5"/>
        <v>0</v>
      </c>
      <c r="H59" s="27" t="str">
        <f t="shared" si="6"/>
        <v>0</v>
      </c>
      <c r="I59" s="27" t="str">
        <f t="shared" si="7"/>
        <v>0</v>
      </c>
      <c r="J59" s="27" t="str">
        <f t="shared" si="8"/>
        <v>0</v>
      </c>
      <c r="K59" s="27" t="str">
        <f t="shared" si="9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3"/>
        <v>0</v>
      </c>
      <c r="F60" s="27" t="str">
        <f t="shared" si="4"/>
        <v>0</v>
      </c>
      <c r="G60" s="27" t="str">
        <f t="shared" si="5"/>
        <v>0</v>
      </c>
      <c r="H60" s="27" t="str">
        <f t="shared" si="6"/>
        <v>0</v>
      </c>
      <c r="I60" s="27" t="str">
        <f t="shared" si="7"/>
        <v>0</v>
      </c>
      <c r="J60" s="27" t="str">
        <f t="shared" si="8"/>
        <v>0</v>
      </c>
      <c r="K60" s="27" t="str">
        <f t="shared" si="9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3"/>
        <v>0</v>
      </c>
      <c r="F61" s="27" t="str">
        <f t="shared" si="4"/>
        <v>0</v>
      </c>
      <c r="G61" s="27" t="str">
        <f t="shared" si="5"/>
        <v>0</v>
      </c>
      <c r="H61" s="27" t="str">
        <f t="shared" si="6"/>
        <v>0</v>
      </c>
      <c r="I61" s="27" t="str">
        <f t="shared" si="7"/>
        <v>0</v>
      </c>
      <c r="J61" s="27" t="str">
        <f t="shared" si="8"/>
        <v>0</v>
      </c>
      <c r="K61" s="27" t="str">
        <f t="shared" si="9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45.780000000000008</v>
      </c>
      <c r="F62" s="27">
        <f t="shared" ref="F62:K62" si="12">SUM(F36:F61)</f>
        <v>0</v>
      </c>
      <c r="G62" s="27">
        <f t="shared" si="12"/>
        <v>0</v>
      </c>
      <c r="H62" s="27">
        <f t="shared" si="12"/>
        <v>0</v>
      </c>
      <c r="I62" s="27">
        <f t="shared" si="12"/>
        <v>45.780000000000008</v>
      </c>
      <c r="J62" s="27">
        <f t="shared" si="12"/>
        <v>0</v>
      </c>
      <c r="K62" s="27">
        <f t="shared" si="12"/>
        <v>0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0DCD-3245-4317-8DE9-87B7BBE0F899}">
  <sheetPr>
    <tabColor theme="2"/>
    <pageSetUpPr fitToPage="1"/>
  </sheetPr>
  <dimension ref="A1:R68"/>
  <sheetViews>
    <sheetView view="pageBreakPreview" zoomScale="40" zoomScaleNormal="40" zoomScaleSheetLayoutView="40" workbookViewId="0">
      <selection activeCell="F7" sqref="F7:F16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88">
        <f>'228'!J1</f>
        <v>46204</v>
      </c>
      <c r="K1" s="89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90"/>
      <c r="K2" s="91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TT!C7</f>
        <v>RODOVIA TO-373 - TRECHO ENTR. TO-365 (BALSA) - SÃO MIGUEL - LAGOA DO ROMÃO -ENTR. TO-280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23" t="s">
        <v>58</v>
      </c>
      <c r="B7" s="11" t="s">
        <v>96</v>
      </c>
      <c r="C7" s="12">
        <v>0</v>
      </c>
      <c r="D7" s="12">
        <v>25.93</v>
      </c>
      <c r="E7" s="11" t="s">
        <v>97</v>
      </c>
      <c r="F7" s="11"/>
      <c r="G7" s="11"/>
      <c r="H7" s="11"/>
      <c r="I7" s="11"/>
      <c r="J7" s="11"/>
      <c r="K7" s="11" t="s">
        <v>97</v>
      </c>
      <c r="L7" s="97"/>
      <c r="M7" s="97"/>
      <c r="N7" s="97"/>
      <c r="O7" s="97"/>
      <c r="P7" s="97"/>
      <c r="Q7" s="97"/>
      <c r="R7" s="98"/>
    </row>
    <row r="8" spans="1:18" ht="41.4" customHeight="1" x14ac:dyDescent="0.25">
      <c r="A8" s="23"/>
      <c r="B8" s="11"/>
      <c r="C8" s="12"/>
      <c r="D8" s="12"/>
      <c r="E8" s="11"/>
      <c r="F8" s="11"/>
      <c r="G8" s="11"/>
      <c r="H8" s="11"/>
      <c r="I8" s="11"/>
      <c r="J8" s="11"/>
      <c r="K8" s="11"/>
      <c r="L8" s="97"/>
      <c r="M8" s="97"/>
      <c r="N8" s="97"/>
      <c r="O8" s="97"/>
      <c r="P8" s="97"/>
      <c r="Q8" s="97"/>
      <c r="R8" s="98"/>
    </row>
    <row r="9" spans="1:18" ht="41.4" customHeight="1" x14ac:dyDescent="0.25">
      <c r="A9" s="23" t="s">
        <v>60</v>
      </c>
      <c r="B9" s="11" t="s">
        <v>96</v>
      </c>
      <c r="C9" s="12">
        <v>0</v>
      </c>
      <c r="D9" s="12">
        <v>39.1</v>
      </c>
      <c r="E9" s="11" t="s">
        <v>97</v>
      </c>
      <c r="F9" s="11"/>
      <c r="G9" s="11"/>
      <c r="H9" s="11"/>
      <c r="I9" s="11"/>
      <c r="J9" s="11"/>
      <c r="K9" s="11" t="s">
        <v>97</v>
      </c>
      <c r="L9" s="97"/>
      <c r="M9" s="97"/>
      <c r="N9" s="97"/>
      <c r="O9" s="97"/>
      <c r="P9" s="97"/>
      <c r="Q9" s="97"/>
      <c r="R9" s="98"/>
    </row>
    <row r="10" spans="1:18" ht="41.4" customHeight="1" x14ac:dyDescent="0.25">
      <c r="A10" s="23"/>
      <c r="B10" s="11"/>
      <c r="C10" s="12"/>
      <c r="D10" s="12"/>
      <c r="E10" s="11"/>
      <c r="F10" s="11"/>
      <c r="G10" s="11"/>
      <c r="H10" s="11"/>
      <c r="I10" s="11"/>
      <c r="J10" s="11"/>
      <c r="K10" s="11"/>
      <c r="L10" s="97"/>
      <c r="M10" s="97"/>
      <c r="N10" s="97"/>
      <c r="O10" s="97"/>
      <c r="P10" s="97"/>
      <c r="Q10" s="97"/>
      <c r="R10" s="98"/>
    </row>
    <row r="11" spans="1:18" ht="41.4" customHeight="1" x14ac:dyDescent="0.25">
      <c r="A11" s="23"/>
      <c r="B11" s="11"/>
      <c r="C11" s="12"/>
      <c r="D11" s="12"/>
      <c r="E11" s="11"/>
      <c r="F11" s="11"/>
      <c r="G11" s="11"/>
      <c r="H11" s="11"/>
      <c r="I11" s="11"/>
      <c r="J11" s="11"/>
      <c r="K11" s="11"/>
      <c r="L11" s="97"/>
      <c r="M11" s="97"/>
      <c r="N11" s="97"/>
      <c r="O11" s="97"/>
      <c r="P11" s="97"/>
      <c r="Q11" s="97"/>
      <c r="R11" s="98"/>
    </row>
    <row r="12" spans="1:18" ht="41.4" customHeight="1" x14ac:dyDescent="0.25">
      <c r="A12" s="23"/>
      <c r="B12" s="11"/>
      <c r="C12" s="12"/>
      <c r="D12" s="12"/>
      <c r="E12" s="11"/>
      <c r="F12" s="11"/>
      <c r="G12" s="11"/>
      <c r="H12" s="11"/>
      <c r="I12" s="11"/>
      <c r="J12" s="11"/>
      <c r="K12" s="11"/>
      <c r="L12" s="97"/>
      <c r="M12" s="97"/>
      <c r="N12" s="97"/>
      <c r="O12" s="97"/>
      <c r="P12" s="97"/>
      <c r="Q12" s="97"/>
      <c r="R12" s="98"/>
    </row>
    <row r="13" spans="1:18" ht="41.4" customHeight="1" x14ac:dyDescent="0.25">
      <c r="A13" s="23" t="s">
        <v>62</v>
      </c>
      <c r="B13" s="11" t="s">
        <v>96</v>
      </c>
      <c r="C13" s="12">
        <v>0</v>
      </c>
      <c r="D13" s="12">
        <v>1.55</v>
      </c>
      <c r="E13" s="11" t="s">
        <v>97</v>
      </c>
      <c r="F13" s="11"/>
      <c r="G13" s="11"/>
      <c r="H13" s="11"/>
      <c r="I13" s="11"/>
      <c r="J13" s="11"/>
      <c r="K13" s="11" t="s">
        <v>97</v>
      </c>
      <c r="L13" s="97"/>
      <c r="M13" s="97"/>
      <c r="N13" s="97"/>
      <c r="O13" s="97"/>
      <c r="P13" s="97"/>
      <c r="Q13" s="97"/>
      <c r="R13" s="98"/>
    </row>
    <row r="14" spans="1:18" ht="41.4" customHeight="1" x14ac:dyDescent="0.25">
      <c r="A14" s="23"/>
      <c r="B14" s="11"/>
      <c r="C14" s="12"/>
      <c r="D14" s="12"/>
      <c r="E14" s="11"/>
      <c r="F14" s="11"/>
      <c r="G14" s="11"/>
      <c r="H14" s="11"/>
      <c r="I14" s="11"/>
      <c r="J14" s="11"/>
      <c r="K14" s="11"/>
      <c r="L14" s="97"/>
      <c r="M14" s="97"/>
      <c r="N14" s="97"/>
      <c r="O14" s="97"/>
      <c r="P14" s="97"/>
      <c r="Q14" s="97"/>
      <c r="R14" s="98"/>
    </row>
    <row r="15" spans="1:18" ht="41.4" customHeight="1" x14ac:dyDescent="0.25">
      <c r="A15" s="23"/>
      <c r="B15" s="11"/>
      <c r="C15" s="12"/>
      <c r="D15" s="12"/>
      <c r="E15" s="11"/>
      <c r="F15" s="11"/>
      <c r="G15" s="11"/>
      <c r="H15" s="11"/>
      <c r="I15" s="11"/>
      <c r="J15" s="11"/>
      <c r="K15" s="11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23" t="s">
        <v>64</v>
      </c>
      <c r="B16" s="11" t="s">
        <v>96</v>
      </c>
      <c r="C16" s="12">
        <v>0</v>
      </c>
      <c r="D16" s="12">
        <v>20.95</v>
      </c>
      <c r="E16" s="11" t="s">
        <v>97</v>
      </c>
      <c r="F16" s="11"/>
      <c r="G16" s="11"/>
      <c r="H16" s="11"/>
      <c r="I16" s="11" t="s">
        <v>97</v>
      </c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/>
      <c r="D17" s="12"/>
      <c r="E17" s="11"/>
      <c r="F17" s="11"/>
      <c r="G17" s="11"/>
      <c r="H17" s="11"/>
      <c r="I17" s="11"/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/>
      <c r="D18" s="12"/>
      <c r="E18" s="11"/>
      <c r="F18" s="11"/>
      <c r="G18" s="11"/>
      <c r="H18" s="11"/>
      <c r="I18" s="11"/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>
        <f>IF(E7="X",(D7-C7),"0")</f>
        <v>25.93</v>
      </c>
      <c r="F36" s="27" t="str">
        <f>IF(F7="X",(D7-C7),"0")</f>
        <v>0</v>
      </c>
      <c r="G36" s="27" t="str">
        <f>IF(G7="X",(D7-C7),"0")</f>
        <v>0</v>
      </c>
      <c r="H36" s="27" t="str">
        <f>IF(H7="X",(D7-C7),"0")</f>
        <v>0</v>
      </c>
      <c r="I36" s="27" t="str">
        <f>IF(I7="X",(D7-C7),"0")</f>
        <v>0</v>
      </c>
      <c r="J36" s="27" t="str">
        <f>IF(J7="X",(D7-C7),"0")</f>
        <v>0</v>
      </c>
      <c r="K36" s="27">
        <f>IF(K7="X",(D7-C7),"0")</f>
        <v>25.93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 t="str">
        <f t="shared" ref="E37:E61" si="0">IF(E8="X",(D8-C8),"0")</f>
        <v>0</v>
      </c>
      <c r="F37" s="27" t="str">
        <f t="shared" ref="F37:F61" si="1">IF(F8="X",(D8-C8),"0")</f>
        <v>0</v>
      </c>
      <c r="G37" s="27" t="str">
        <f t="shared" ref="G37:G61" si="2">IF(G8="X",(D8-C8),"0")</f>
        <v>0</v>
      </c>
      <c r="H37" s="27" t="str">
        <f t="shared" ref="H37:H61" si="3">IF(H8="X",(D8-C8),"0")</f>
        <v>0</v>
      </c>
      <c r="I37" s="27" t="str">
        <f t="shared" ref="I37:I61" si="4">IF(I8="X",(D8-C8),"0")</f>
        <v>0</v>
      </c>
      <c r="J37" s="27" t="str">
        <f t="shared" ref="J37:J61" si="5">IF(J8="X",(D8-C8),"0")</f>
        <v>0</v>
      </c>
      <c r="K37" s="27" t="str">
        <f t="shared" ref="K37:K61" si="6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>
        <f t="shared" si="0"/>
        <v>39.1</v>
      </c>
      <c r="F38" s="27" t="str">
        <f t="shared" si="1"/>
        <v>0</v>
      </c>
      <c r="G38" s="27" t="str">
        <f t="shared" si="2"/>
        <v>0</v>
      </c>
      <c r="H38" s="27" t="str">
        <f t="shared" si="3"/>
        <v>0</v>
      </c>
      <c r="I38" s="27" t="str">
        <f t="shared" si="4"/>
        <v>0</v>
      </c>
      <c r="J38" s="27" t="str">
        <f t="shared" si="5"/>
        <v>0</v>
      </c>
      <c r="K38" s="27">
        <f t="shared" si="6"/>
        <v>39.1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 t="str">
        <f t="shared" si="0"/>
        <v>0</v>
      </c>
      <c r="F39" s="27" t="str">
        <f t="shared" si="1"/>
        <v>0</v>
      </c>
      <c r="G39" s="27" t="str">
        <f t="shared" si="2"/>
        <v>0</v>
      </c>
      <c r="H39" s="27" t="str">
        <f t="shared" si="3"/>
        <v>0</v>
      </c>
      <c r="I39" s="27" t="str">
        <f t="shared" si="4"/>
        <v>0</v>
      </c>
      <c r="J39" s="27" t="str">
        <f t="shared" si="5"/>
        <v>0</v>
      </c>
      <c r="K39" s="27" t="str">
        <f t="shared" si="6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 t="str">
        <f t="shared" si="0"/>
        <v>0</v>
      </c>
      <c r="F40" s="27" t="str">
        <f t="shared" si="1"/>
        <v>0</v>
      </c>
      <c r="G40" s="27" t="str">
        <f t="shared" si="2"/>
        <v>0</v>
      </c>
      <c r="H40" s="27" t="str">
        <f t="shared" si="3"/>
        <v>0</v>
      </c>
      <c r="I40" s="27" t="str">
        <f t="shared" si="4"/>
        <v>0</v>
      </c>
      <c r="J40" s="27" t="str">
        <f t="shared" si="5"/>
        <v>0</v>
      </c>
      <c r="K40" s="27" t="str">
        <f t="shared" si="6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 t="str">
        <f t="shared" si="0"/>
        <v>0</v>
      </c>
      <c r="F41" s="27" t="str">
        <f t="shared" si="1"/>
        <v>0</v>
      </c>
      <c r="G41" s="27" t="str">
        <f t="shared" si="2"/>
        <v>0</v>
      </c>
      <c r="H41" s="27" t="str">
        <f t="shared" si="3"/>
        <v>0</v>
      </c>
      <c r="I41" s="27" t="str">
        <f t="shared" si="4"/>
        <v>0</v>
      </c>
      <c r="J41" s="27" t="str">
        <f t="shared" si="5"/>
        <v>0</v>
      </c>
      <c r="K41" s="27" t="str">
        <f t="shared" si="6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>
        <f t="shared" si="0"/>
        <v>1.55</v>
      </c>
      <c r="F42" s="27" t="str">
        <f t="shared" si="1"/>
        <v>0</v>
      </c>
      <c r="G42" s="27" t="str">
        <f t="shared" si="2"/>
        <v>0</v>
      </c>
      <c r="H42" s="27" t="str">
        <f t="shared" si="3"/>
        <v>0</v>
      </c>
      <c r="I42" s="27" t="str">
        <f t="shared" si="4"/>
        <v>0</v>
      </c>
      <c r="J42" s="27" t="str">
        <f t="shared" si="5"/>
        <v>0</v>
      </c>
      <c r="K42" s="27">
        <f t="shared" si="6"/>
        <v>1.55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si="0"/>
        <v>0</v>
      </c>
      <c r="F43" s="27" t="str">
        <f t="shared" si="1"/>
        <v>0</v>
      </c>
      <c r="G43" s="27" t="str">
        <f t="shared" si="2"/>
        <v>0</v>
      </c>
      <c r="H43" s="27" t="str">
        <f t="shared" si="3"/>
        <v>0</v>
      </c>
      <c r="I43" s="27" t="str">
        <f t="shared" si="4"/>
        <v>0</v>
      </c>
      <c r="J43" s="27" t="str">
        <f t="shared" si="5"/>
        <v>0</v>
      </c>
      <c r="K43" s="27" t="str">
        <f t="shared" si="6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 t="str">
        <f t="shared" si="0"/>
        <v>0</v>
      </c>
      <c r="F44" s="27" t="str">
        <f t="shared" si="1"/>
        <v>0</v>
      </c>
      <c r="G44" s="27" t="str">
        <f t="shared" si="2"/>
        <v>0</v>
      </c>
      <c r="H44" s="27" t="str">
        <f t="shared" si="3"/>
        <v>0</v>
      </c>
      <c r="I44" s="27" t="str">
        <f t="shared" si="4"/>
        <v>0</v>
      </c>
      <c r="J44" s="27" t="str">
        <f t="shared" si="5"/>
        <v>0</v>
      </c>
      <c r="K44" s="27" t="str">
        <f t="shared" si="6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>
        <f t="shared" si="0"/>
        <v>20.95</v>
      </c>
      <c r="F45" s="27" t="str">
        <f t="shared" si="1"/>
        <v>0</v>
      </c>
      <c r="G45" s="27" t="str">
        <f t="shared" si="2"/>
        <v>0</v>
      </c>
      <c r="H45" s="27" t="str">
        <f t="shared" si="3"/>
        <v>0</v>
      </c>
      <c r="I45" s="27">
        <f t="shared" si="4"/>
        <v>20.95</v>
      </c>
      <c r="J45" s="27" t="str">
        <f t="shared" si="5"/>
        <v>0</v>
      </c>
      <c r="K45" s="27" t="str">
        <f t="shared" si="6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0"/>
        <v>0</v>
      </c>
      <c r="F46" s="27" t="str">
        <f t="shared" si="1"/>
        <v>0</v>
      </c>
      <c r="G46" s="27" t="str">
        <f t="shared" si="2"/>
        <v>0</v>
      </c>
      <c r="H46" s="27" t="str">
        <f t="shared" si="3"/>
        <v>0</v>
      </c>
      <c r="I46" s="27" t="str">
        <f t="shared" si="4"/>
        <v>0</v>
      </c>
      <c r="J46" s="27" t="str">
        <f t="shared" si="5"/>
        <v>0</v>
      </c>
      <c r="K46" s="27" t="str">
        <f t="shared" si="6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0"/>
        <v>0</v>
      </c>
      <c r="F47" s="27" t="str">
        <f t="shared" si="1"/>
        <v>0</v>
      </c>
      <c r="G47" s="27" t="str">
        <f t="shared" si="2"/>
        <v>0</v>
      </c>
      <c r="H47" s="27" t="str">
        <f t="shared" si="3"/>
        <v>0</v>
      </c>
      <c r="I47" s="27" t="str">
        <f t="shared" si="4"/>
        <v>0</v>
      </c>
      <c r="J47" s="27" t="str">
        <f t="shared" si="5"/>
        <v>0</v>
      </c>
      <c r="K47" s="27" t="str">
        <f t="shared" si="6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0"/>
        <v>0</v>
      </c>
      <c r="F48" s="27" t="str">
        <f t="shared" si="1"/>
        <v>0</v>
      </c>
      <c r="G48" s="27" t="str">
        <f t="shared" si="2"/>
        <v>0</v>
      </c>
      <c r="H48" s="27" t="str">
        <f t="shared" si="3"/>
        <v>0</v>
      </c>
      <c r="I48" s="27" t="str">
        <f t="shared" si="4"/>
        <v>0</v>
      </c>
      <c r="J48" s="27" t="str">
        <f t="shared" si="5"/>
        <v>0</v>
      </c>
      <c r="K48" s="27" t="str">
        <f t="shared" si="6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0"/>
        <v>0</v>
      </c>
      <c r="F49" s="27" t="str">
        <f t="shared" si="1"/>
        <v>0</v>
      </c>
      <c r="G49" s="27" t="str">
        <f t="shared" si="2"/>
        <v>0</v>
      </c>
      <c r="H49" s="27" t="str">
        <f t="shared" si="3"/>
        <v>0</v>
      </c>
      <c r="I49" s="27" t="str">
        <f t="shared" si="4"/>
        <v>0</v>
      </c>
      <c r="J49" s="27" t="str">
        <f t="shared" si="5"/>
        <v>0</v>
      </c>
      <c r="K49" s="27" t="str">
        <f t="shared" si="6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0"/>
        <v>0</v>
      </c>
      <c r="F50" s="27" t="str">
        <f t="shared" si="1"/>
        <v>0</v>
      </c>
      <c r="G50" s="27" t="str">
        <f t="shared" si="2"/>
        <v>0</v>
      </c>
      <c r="H50" s="27" t="str">
        <f t="shared" si="3"/>
        <v>0</v>
      </c>
      <c r="I50" s="27" t="str">
        <f t="shared" si="4"/>
        <v>0</v>
      </c>
      <c r="J50" s="27" t="str">
        <f t="shared" si="5"/>
        <v>0</v>
      </c>
      <c r="K50" s="27" t="str">
        <f t="shared" si="6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0"/>
        <v>0</v>
      </c>
      <c r="F51" s="27" t="str">
        <f t="shared" si="1"/>
        <v>0</v>
      </c>
      <c r="G51" s="27" t="str">
        <f t="shared" si="2"/>
        <v>0</v>
      </c>
      <c r="H51" s="27" t="str">
        <f t="shared" si="3"/>
        <v>0</v>
      </c>
      <c r="I51" s="27" t="str">
        <f t="shared" si="4"/>
        <v>0</v>
      </c>
      <c r="J51" s="27" t="str">
        <f t="shared" si="5"/>
        <v>0</v>
      </c>
      <c r="K51" s="27" t="str">
        <f t="shared" si="6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0"/>
        <v>0</v>
      </c>
      <c r="F52" s="27" t="str">
        <f t="shared" si="1"/>
        <v>0</v>
      </c>
      <c r="G52" s="27" t="str">
        <f t="shared" si="2"/>
        <v>0</v>
      </c>
      <c r="H52" s="27" t="str">
        <f t="shared" si="3"/>
        <v>0</v>
      </c>
      <c r="I52" s="27" t="str">
        <f t="shared" si="4"/>
        <v>0</v>
      </c>
      <c r="J52" s="27" t="str">
        <f t="shared" si="5"/>
        <v>0</v>
      </c>
      <c r="K52" s="27" t="str">
        <f t="shared" si="6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0"/>
        <v>0</v>
      </c>
      <c r="F53" s="27" t="str">
        <f t="shared" si="1"/>
        <v>0</v>
      </c>
      <c r="G53" s="27" t="str">
        <f t="shared" si="2"/>
        <v>0</v>
      </c>
      <c r="H53" s="27" t="str">
        <f t="shared" si="3"/>
        <v>0</v>
      </c>
      <c r="I53" s="27" t="str">
        <f t="shared" si="4"/>
        <v>0</v>
      </c>
      <c r="J53" s="27" t="str">
        <f t="shared" si="5"/>
        <v>0</v>
      </c>
      <c r="K53" s="27" t="str">
        <f t="shared" si="6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0"/>
        <v>0</v>
      </c>
      <c r="F54" s="27" t="str">
        <f t="shared" si="1"/>
        <v>0</v>
      </c>
      <c r="G54" s="27" t="str">
        <f t="shared" si="2"/>
        <v>0</v>
      </c>
      <c r="H54" s="27" t="str">
        <f t="shared" si="3"/>
        <v>0</v>
      </c>
      <c r="I54" s="27" t="str">
        <f t="shared" si="4"/>
        <v>0</v>
      </c>
      <c r="J54" s="27" t="str">
        <f t="shared" si="5"/>
        <v>0</v>
      </c>
      <c r="K54" s="27" t="str">
        <f t="shared" si="6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0"/>
        <v>0</v>
      </c>
      <c r="F55" s="27" t="str">
        <f t="shared" si="1"/>
        <v>0</v>
      </c>
      <c r="G55" s="27" t="str">
        <f t="shared" si="2"/>
        <v>0</v>
      </c>
      <c r="H55" s="27" t="str">
        <f t="shared" si="3"/>
        <v>0</v>
      </c>
      <c r="I55" s="27" t="str">
        <f t="shared" si="4"/>
        <v>0</v>
      </c>
      <c r="J55" s="27" t="str">
        <f t="shared" si="5"/>
        <v>0</v>
      </c>
      <c r="K55" s="27" t="str">
        <f t="shared" si="6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0"/>
        <v>0</v>
      </c>
      <c r="F56" s="27" t="str">
        <f t="shared" si="1"/>
        <v>0</v>
      </c>
      <c r="G56" s="27" t="str">
        <f t="shared" si="2"/>
        <v>0</v>
      </c>
      <c r="H56" s="27" t="str">
        <f t="shared" si="3"/>
        <v>0</v>
      </c>
      <c r="I56" s="27" t="str">
        <f t="shared" si="4"/>
        <v>0</v>
      </c>
      <c r="J56" s="27" t="str">
        <f t="shared" si="5"/>
        <v>0</v>
      </c>
      <c r="K56" s="27" t="str">
        <f t="shared" si="6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0"/>
        <v>0</v>
      </c>
      <c r="F57" s="27" t="str">
        <f t="shared" si="1"/>
        <v>0</v>
      </c>
      <c r="G57" s="27" t="str">
        <f t="shared" si="2"/>
        <v>0</v>
      </c>
      <c r="H57" s="27" t="str">
        <f t="shared" si="3"/>
        <v>0</v>
      </c>
      <c r="I57" s="27" t="str">
        <f t="shared" si="4"/>
        <v>0</v>
      </c>
      <c r="J57" s="27" t="str">
        <f t="shared" si="5"/>
        <v>0</v>
      </c>
      <c r="K57" s="27" t="str">
        <f t="shared" si="6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0"/>
        <v>0</v>
      </c>
      <c r="F58" s="27" t="str">
        <f t="shared" si="1"/>
        <v>0</v>
      </c>
      <c r="G58" s="27" t="str">
        <f t="shared" si="2"/>
        <v>0</v>
      </c>
      <c r="H58" s="27" t="str">
        <f t="shared" si="3"/>
        <v>0</v>
      </c>
      <c r="I58" s="27" t="str">
        <f t="shared" si="4"/>
        <v>0</v>
      </c>
      <c r="J58" s="27" t="str">
        <f t="shared" si="5"/>
        <v>0</v>
      </c>
      <c r="K58" s="27" t="str">
        <f t="shared" si="6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0"/>
        <v>0</v>
      </c>
      <c r="F59" s="27" t="str">
        <f t="shared" si="1"/>
        <v>0</v>
      </c>
      <c r="G59" s="27" t="str">
        <f t="shared" si="2"/>
        <v>0</v>
      </c>
      <c r="H59" s="27" t="str">
        <f t="shared" si="3"/>
        <v>0</v>
      </c>
      <c r="I59" s="27" t="str">
        <f t="shared" si="4"/>
        <v>0</v>
      </c>
      <c r="J59" s="27" t="str">
        <f t="shared" si="5"/>
        <v>0</v>
      </c>
      <c r="K59" s="27" t="str">
        <f t="shared" si="6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0"/>
        <v>0</v>
      </c>
      <c r="F60" s="27" t="str">
        <f t="shared" si="1"/>
        <v>0</v>
      </c>
      <c r="G60" s="27" t="str">
        <f t="shared" si="2"/>
        <v>0</v>
      </c>
      <c r="H60" s="27" t="str">
        <f t="shared" si="3"/>
        <v>0</v>
      </c>
      <c r="I60" s="27" t="str">
        <f t="shared" si="4"/>
        <v>0</v>
      </c>
      <c r="J60" s="27" t="str">
        <f t="shared" si="5"/>
        <v>0</v>
      </c>
      <c r="K60" s="27" t="str">
        <f t="shared" si="6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0"/>
        <v>0</v>
      </c>
      <c r="F61" s="27" t="str">
        <f t="shared" si="1"/>
        <v>0</v>
      </c>
      <c r="G61" s="27" t="str">
        <f t="shared" si="2"/>
        <v>0</v>
      </c>
      <c r="H61" s="27" t="str">
        <f t="shared" si="3"/>
        <v>0</v>
      </c>
      <c r="I61" s="27" t="str">
        <f t="shared" si="4"/>
        <v>0</v>
      </c>
      <c r="J61" s="27" t="str">
        <f t="shared" si="5"/>
        <v>0</v>
      </c>
      <c r="K61" s="27" t="str">
        <f t="shared" si="6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87.53</v>
      </c>
      <c r="F62" s="27">
        <f t="shared" ref="F62:K62" si="7">SUM(F36:F61)</f>
        <v>0</v>
      </c>
      <c r="G62" s="27">
        <f t="shared" si="7"/>
        <v>0</v>
      </c>
      <c r="H62" s="27">
        <f t="shared" si="7"/>
        <v>0</v>
      </c>
      <c r="I62" s="27">
        <f t="shared" si="7"/>
        <v>20.95</v>
      </c>
      <c r="J62" s="27">
        <f t="shared" si="7"/>
        <v>0</v>
      </c>
      <c r="K62" s="27">
        <f t="shared" si="7"/>
        <v>66.58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honeticPr fontId="15" type="noConversion"/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F7DB-1C8A-4F1C-BBE8-BE4C78FBFBA2}">
  <sheetPr>
    <pageSetUpPr fitToPage="1"/>
  </sheetPr>
  <dimension ref="A1:R68"/>
  <sheetViews>
    <sheetView view="pageBreakPreview" zoomScale="55" zoomScaleNormal="25" zoomScaleSheetLayoutView="55" workbookViewId="0">
      <selection activeCell="F29" sqref="F29:F30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88">
        <f>'228'!J1</f>
        <v>46204</v>
      </c>
      <c r="K1" s="89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90"/>
      <c r="K2" s="91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TT!C8</f>
        <v>RODOVIA TO-458 - TRECHO ENTR. TO-365 (IPUEIRAS) - ENTR. BR-010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12" t="s">
        <v>70</v>
      </c>
      <c r="B7" s="12" t="s">
        <v>96</v>
      </c>
      <c r="C7" s="12">
        <v>0</v>
      </c>
      <c r="D7" s="12">
        <f>C8</f>
        <v>0.3</v>
      </c>
      <c r="E7" s="12"/>
      <c r="F7" s="12" t="s">
        <v>97</v>
      </c>
      <c r="G7" s="12"/>
      <c r="H7" s="12"/>
      <c r="I7" s="12" t="s">
        <v>97</v>
      </c>
      <c r="J7" s="12"/>
      <c r="K7" s="12"/>
      <c r="L7" s="130"/>
      <c r="M7" s="131"/>
      <c r="N7" s="131"/>
      <c r="O7" s="131"/>
      <c r="P7" s="131"/>
      <c r="Q7" s="131"/>
      <c r="R7" s="132"/>
    </row>
    <row r="8" spans="1:18" ht="41.4" customHeight="1" x14ac:dyDescent="0.25">
      <c r="A8" s="12"/>
      <c r="B8" s="12"/>
      <c r="C8" s="12">
        <v>0.3</v>
      </c>
      <c r="D8" s="12">
        <f t="shared" ref="D8:D9" si="0">C9</f>
        <v>1.4</v>
      </c>
      <c r="E8" s="12"/>
      <c r="F8" s="12" t="s">
        <v>97</v>
      </c>
      <c r="G8" s="12"/>
      <c r="H8" s="12"/>
      <c r="I8" s="12" t="s">
        <v>97</v>
      </c>
      <c r="J8" s="12"/>
      <c r="K8" s="12"/>
      <c r="L8" s="130"/>
      <c r="M8" s="131"/>
      <c r="N8" s="131"/>
      <c r="O8" s="131"/>
      <c r="P8" s="131"/>
      <c r="Q8" s="131"/>
      <c r="R8" s="132"/>
    </row>
    <row r="9" spans="1:18" ht="41.4" customHeight="1" x14ac:dyDescent="0.25">
      <c r="A9" s="12"/>
      <c r="B9" s="12"/>
      <c r="C9" s="12">
        <v>1.4</v>
      </c>
      <c r="D9" s="12">
        <f t="shared" si="0"/>
        <v>2.1</v>
      </c>
      <c r="E9" s="12"/>
      <c r="F9" s="12"/>
      <c r="G9" s="12" t="s">
        <v>97</v>
      </c>
      <c r="H9" s="12"/>
      <c r="I9" s="12" t="s">
        <v>97</v>
      </c>
      <c r="J9" s="12"/>
      <c r="K9" s="12"/>
      <c r="L9" s="130"/>
      <c r="M9" s="131"/>
      <c r="N9" s="131"/>
      <c r="O9" s="131"/>
      <c r="P9" s="131"/>
      <c r="Q9" s="131"/>
      <c r="R9" s="132"/>
    </row>
    <row r="10" spans="1:18" ht="41.4" customHeight="1" x14ac:dyDescent="0.25">
      <c r="A10" s="12"/>
      <c r="B10" s="12"/>
      <c r="C10" s="12">
        <v>2.1</v>
      </c>
      <c r="D10" s="12">
        <v>3</v>
      </c>
      <c r="E10" s="12"/>
      <c r="F10" s="12" t="s">
        <v>97</v>
      </c>
      <c r="G10" s="12"/>
      <c r="H10" s="12"/>
      <c r="I10" s="12" t="s">
        <v>97</v>
      </c>
      <c r="J10" s="12"/>
      <c r="K10" s="12"/>
      <c r="L10" s="130"/>
      <c r="M10" s="131"/>
      <c r="N10" s="131"/>
      <c r="O10" s="131"/>
      <c r="P10" s="131"/>
      <c r="Q10" s="131"/>
      <c r="R10" s="132"/>
    </row>
    <row r="11" spans="1:18" ht="41.4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0"/>
      <c r="M11" s="131"/>
      <c r="N11" s="131"/>
      <c r="O11" s="131"/>
      <c r="P11" s="131"/>
      <c r="Q11" s="131"/>
      <c r="R11" s="132"/>
    </row>
    <row r="12" spans="1:18" ht="41.4" customHeight="1" x14ac:dyDescent="0.25">
      <c r="A12" s="12" t="s">
        <v>68</v>
      </c>
      <c r="B12" s="12" t="s">
        <v>96</v>
      </c>
      <c r="C12" s="12">
        <v>0</v>
      </c>
      <c r="D12" s="12">
        <v>2.7</v>
      </c>
      <c r="E12" s="12"/>
      <c r="F12" s="12" t="s">
        <v>97</v>
      </c>
      <c r="G12" s="12"/>
      <c r="H12" s="12"/>
      <c r="I12" s="12" t="s">
        <v>97</v>
      </c>
      <c r="J12" s="12"/>
      <c r="K12" s="12"/>
      <c r="L12" s="130"/>
      <c r="M12" s="131"/>
      <c r="N12" s="131"/>
      <c r="O12" s="131"/>
      <c r="P12" s="131"/>
      <c r="Q12" s="131"/>
      <c r="R12" s="132"/>
    </row>
    <row r="13" spans="1:18" ht="41.4" customHeight="1" x14ac:dyDescent="0.25">
      <c r="A13" s="12"/>
      <c r="B13" s="12"/>
      <c r="C13" s="12">
        <f>D12</f>
        <v>2.7</v>
      </c>
      <c r="D13" s="12">
        <v>3.2</v>
      </c>
      <c r="E13" s="12"/>
      <c r="F13" s="12" t="s">
        <v>97</v>
      </c>
      <c r="G13" s="12"/>
      <c r="H13" s="12"/>
      <c r="I13" s="12" t="s">
        <v>97</v>
      </c>
      <c r="J13" s="12"/>
      <c r="K13" s="12"/>
      <c r="L13" s="130"/>
      <c r="M13" s="131"/>
      <c r="N13" s="131"/>
      <c r="O13" s="131"/>
      <c r="P13" s="131"/>
      <c r="Q13" s="131"/>
      <c r="R13" s="132"/>
    </row>
    <row r="14" spans="1:18" ht="41.4" customHeight="1" x14ac:dyDescent="0.25">
      <c r="A14" s="12"/>
      <c r="B14" s="12"/>
      <c r="C14" s="12">
        <f t="shared" ref="C14:C16" si="1">D13</f>
        <v>3.2</v>
      </c>
      <c r="D14" s="12">
        <v>4.9000000000000004</v>
      </c>
      <c r="E14" s="12"/>
      <c r="F14" s="12" t="s">
        <v>97</v>
      </c>
      <c r="G14" s="12"/>
      <c r="H14" s="12"/>
      <c r="I14" s="12" t="s">
        <v>97</v>
      </c>
      <c r="J14" s="12"/>
      <c r="K14" s="12"/>
      <c r="L14" s="130"/>
      <c r="M14" s="131"/>
      <c r="N14" s="131"/>
      <c r="O14" s="131"/>
      <c r="P14" s="131"/>
      <c r="Q14" s="131"/>
      <c r="R14" s="132"/>
    </row>
    <row r="15" spans="1:18" ht="41.4" customHeight="1" x14ac:dyDescent="0.25">
      <c r="A15" s="12"/>
      <c r="B15" s="12"/>
      <c r="C15" s="12">
        <f t="shared" si="1"/>
        <v>4.9000000000000004</v>
      </c>
      <c r="D15" s="12">
        <v>5.0999999999999996</v>
      </c>
      <c r="E15" s="12"/>
      <c r="F15" s="12" t="s">
        <v>97</v>
      </c>
      <c r="G15" s="12"/>
      <c r="H15" s="12"/>
      <c r="I15" s="12" t="s">
        <v>97</v>
      </c>
      <c r="J15" s="12"/>
      <c r="K15" s="12"/>
      <c r="L15" s="130"/>
      <c r="M15" s="131"/>
      <c r="N15" s="131"/>
      <c r="O15" s="131"/>
      <c r="P15" s="131"/>
      <c r="Q15" s="131"/>
      <c r="R15" s="132"/>
    </row>
    <row r="16" spans="1:18" ht="41.4" customHeight="1" x14ac:dyDescent="0.25">
      <c r="A16" s="12"/>
      <c r="B16" s="12"/>
      <c r="C16" s="12">
        <f t="shared" si="1"/>
        <v>5.0999999999999996</v>
      </c>
      <c r="D16" s="12">
        <f t="shared" ref="D16:D24" si="2">C17</f>
        <v>6.6</v>
      </c>
      <c r="E16" s="12"/>
      <c r="F16" s="12"/>
      <c r="G16" s="12" t="s">
        <v>97</v>
      </c>
      <c r="H16" s="12"/>
      <c r="I16" s="12" t="s">
        <v>97</v>
      </c>
      <c r="J16" s="12"/>
      <c r="K16" s="12"/>
      <c r="L16" s="130"/>
      <c r="M16" s="131"/>
      <c r="N16" s="131"/>
      <c r="O16" s="131"/>
      <c r="P16" s="131"/>
      <c r="Q16" s="131"/>
      <c r="R16" s="132"/>
    </row>
    <row r="17" spans="1:18" ht="41.4" customHeight="1" x14ac:dyDescent="0.25">
      <c r="A17" s="12"/>
      <c r="B17" s="12"/>
      <c r="C17" s="12">
        <v>6.6</v>
      </c>
      <c r="D17" s="12">
        <f t="shared" si="2"/>
        <v>6.9</v>
      </c>
      <c r="E17" s="12"/>
      <c r="F17" s="12" t="s">
        <v>97</v>
      </c>
      <c r="G17" s="12"/>
      <c r="H17" s="12"/>
      <c r="I17" s="12" t="s">
        <v>97</v>
      </c>
      <c r="J17" s="12"/>
      <c r="K17" s="12"/>
      <c r="L17" s="130"/>
      <c r="M17" s="131"/>
      <c r="N17" s="131"/>
      <c r="O17" s="131"/>
      <c r="P17" s="131"/>
      <c r="Q17" s="131"/>
      <c r="R17" s="132"/>
    </row>
    <row r="18" spans="1:18" ht="41.4" customHeight="1" x14ac:dyDescent="0.25">
      <c r="A18" s="12"/>
      <c r="B18" s="12"/>
      <c r="C18" s="12">
        <v>6.9</v>
      </c>
      <c r="D18" s="12">
        <f t="shared" si="2"/>
        <v>9.8000000000000007</v>
      </c>
      <c r="E18" s="12"/>
      <c r="F18" s="12"/>
      <c r="G18" s="12" t="s">
        <v>97</v>
      </c>
      <c r="H18" s="12"/>
      <c r="I18" s="12" t="s">
        <v>97</v>
      </c>
      <c r="J18" s="12"/>
      <c r="K18" s="12"/>
      <c r="L18" s="130"/>
      <c r="M18" s="131"/>
      <c r="N18" s="131"/>
      <c r="O18" s="131"/>
      <c r="P18" s="131"/>
      <c r="Q18" s="131"/>
      <c r="R18" s="132"/>
    </row>
    <row r="19" spans="1:18" ht="41.4" customHeight="1" x14ac:dyDescent="0.25">
      <c r="A19" s="12"/>
      <c r="B19" s="12"/>
      <c r="C19" s="12">
        <v>9.8000000000000007</v>
      </c>
      <c r="D19" s="12">
        <f t="shared" si="2"/>
        <v>9.9</v>
      </c>
      <c r="E19" s="12"/>
      <c r="F19" s="12"/>
      <c r="G19" s="12" t="s">
        <v>97</v>
      </c>
      <c r="H19" s="12"/>
      <c r="I19" s="12" t="s">
        <v>97</v>
      </c>
      <c r="J19" s="12"/>
      <c r="K19" s="12"/>
      <c r="L19" s="130"/>
      <c r="M19" s="131"/>
      <c r="N19" s="131"/>
      <c r="O19" s="131"/>
      <c r="P19" s="131"/>
      <c r="Q19" s="131"/>
      <c r="R19" s="132"/>
    </row>
    <row r="20" spans="1:18" ht="41.4" customHeight="1" x14ac:dyDescent="0.25">
      <c r="A20" s="12"/>
      <c r="B20" s="12"/>
      <c r="C20" s="12">
        <v>9.9</v>
      </c>
      <c r="D20" s="12">
        <f t="shared" si="2"/>
        <v>10.9</v>
      </c>
      <c r="E20" s="12"/>
      <c r="F20" s="12" t="s">
        <v>97</v>
      </c>
      <c r="G20" s="12"/>
      <c r="H20" s="12"/>
      <c r="I20" s="12" t="s">
        <v>97</v>
      </c>
      <c r="J20" s="12"/>
      <c r="K20" s="12"/>
      <c r="L20" s="130"/>
      <c r="M20" s="131"/>
      <c r="N20" s="131"/>
      <c r="O20" s="131"/>
      <c r="P20" s="131"/>
      <c r="Q20" s="131"/>
      <c r="R20" s="132"/>
    </row>
    <row r="21" spans="1:18" ht="41.4" customHeight="1" x14ac:dyDescent="0.25">
      <c r="A21" s="12"/>
      <c r="B21" s="12"/>
      <c r="C21" s="12">
        <v>10.9</v>
      </c>
      <c r="D21" s="12">
        <v>16.3</v>
      </c>
      <c r="E21" s="12"/>
      <c r="F21" s="12"/>
      <c r="G21" s="12" t="s">
        <v>97</v>
      </c>
      <c r="H21" s="12"/>
      <c r="I21" s="12" t="s">
        <v>97</v>
      </c>
      <c r="J21" s="12"/>
      <c r="K21" s="12"/>
      <c r="L21" s="130"/>
      <c r="M21" s="131"/>
      <c r="N21" s="131"/>
      <c r="O21" s="131"/>
      <c r="P21" s="131"/>
      <c r="Q21" s="131"/>
      <c r="R21" s="132"/>
    </row>
    <row r="22" spans="1:18" ht="41.4" customHeight="1" x14ac:dyDescent="0.25">
      <c r="A22" s="12"/>
      <c r="B22" s="12"/>
      <c r="C22" s="12">
        <v>16.2</v>
      </c>
      <c r="D22" s="12">
        <v>16.399999999999999</v>
      </c>
      <c r="E22" s="12"/>
      <c r="F22" s="12" t="s">
        <v>97</v>
      </c>
      <c r="G22" s="12"/>
      <c r="H22" s="12"/>
      <c r="I22" s="12" t="s">
        <v>97</v>
      </c>
      <c r="J22" s="12"/>
      <c r="K22" s="12"/>
      <c r="L22" s="130"/>
      <c r="M22" s="131"/>
      <c r="N22" s="131"/>
      <c r="O22" s="131"/>
      <c r="P22" s="131"/>
      <c r="Q22" s="131"/>
      <c r="R22" s="132"/>
    </row>
    <row r="23" spans="1:18" ht="41.4" customHeight="1" x14ac:dyDescent="0.25">
      <c r="A23" s="12"/>
      <c r="B23" s="12"/>
      <c r="C23" s="12">
        <v>16.399999999999999</v>
      </c>
      <c r="D23" s="12">
        <v>21.46</v>
      </c>
      <c r="E23" s="12"/>
      <c r="F23" s="12" t="s">
        <v>97</v>
      </c>
      <c r="G23" s="12"/>
      <c r="H23" s="12"/>
      <c r="I23" s="12" t="s">
        <v>97</v>
      </c>
      <c r="J23" s="12"/>
      <c r="K23" s="12"/>
      <c r="L23" s="130"/>
      <c r="M23" s="131"/>
      <c r="N23" s="131"/>
      <c r="O23" s="131"/>
      <c r="P23" s="131"/>
      <c r="Q23" s="131"/>
      <c r="R23" s="132"/>
    </row>
    <row r="24" spans="1:18" ht="41.4" customHeight="1" x14ac:dyDescent="0.25">
      <c r="A24" s="12"/>
      <c r="B24" s="12"/>
      <c r="C24" s="12">
        <v>21.6</v>
      </c>
      <c r="D24" s="12">
        <f t="shared" si="2"/>
        <v>21.7</v>
      </c>
      <c r="E24" s="12"/>
      <c r="F24" s="12"/>
      <c r="G24" s="12" t="s">
        <v>97</v>
      </c>
      <c r="H24" s="12"/>
      <c r="I24" s="12" t="s">
        <v>97</v>
      </c>
      <c r="J24" s="12"/>
      <c r="K24" s="12"/>
      <c r="L24" s="130"/>
      <c r="M24" s="131"/>
      <c r="N24" s="131"/>
      <c r="O24" s="131"/>
      <c r="P24" s="131"/>
      <c r="Q24" s="131"/>
      <c r="R24" s="132"/>
    </row>
    <row r="25" spans="1:18" ht="41.4" customHeight="1" x14ac:dyDescent="0.25">
      <c r="A25" s="12"/>
      <c r="B25" s="12"/>
      <c r="C25" s="12">
        <v>21.7</v>
      </c>
      <c r="D25" s="12">
        <v>22</v>
      </c>
      <c r="E25" s="12"/>
      <c r="F25" s="12"/>
      <c r="G25" s="12" t="s">
        <v>97</v>
      </c>
      <c r="H25" s="12"/>
      <c r="I25" s="12" t="s">
        <v>97</v>
      </c>
      <c r="J25" s="12"/>
      <c r="K25" s="12"/>
      <c r="L25" s="130"/>
      <c r="M25" s="131"/>
      <c r="N25" s="131"/>
      <c r="O25" s="131"/>
      <c r="P25" s="131"/>
      <c r="Q25" s="131"/>
      <c r="R25" s="132"/>
    </row>
    <row r="26" spans="1:18" ht="41.4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0"/>
      <c r="M26" s="131"/>
      <c r="N26" s="131"/>
      <c r="O26" s="131"/>
      <c r="P26" s="131"/>
      <c r="Q26" s="131"/>
      <c r="R26" s="132"/>
    </row>
    <row r="27" spans="1:18" ht="41.4" customHeight="1" x14ac:dyDescent="0.25">
      <c r="A27" s="12" t="s">
        <v>66</v>
      </c>
      <c r="B27" s="12" t="s">
        <v>96</v>
      </c>
      <c r="C27" s="12">
        <v>0</v>
      </c>
      <c r="D27" s="12">
        <v>6.2</v>
      </c>
      <c r="E27" s="12"/>
      <c r="F27" s="12" t="s">
        <v>97</v>
      </c>
      <c r="G27" s="12"/>
      <c r="H27" s="12"/>
      <c r="I27" s="12" t="s">
        <v>97</v>
      </c>
      <c r="J27" s="12"/>
      <c r="K27" s="12"/>
      <c r="L27" s="130"/>
      <c r="M27" s="131"/>
      <c r="N27" s="131"/>
      <c r="O27" s="131"/>
      <c r="P27" s="131"/>
      <c r="Q27" s="131"/>
      <c r="R27" s="132"/>
    </row>
    <row r="28" spans="1:18" ht="41.4" customHeight="1" x14ac:dyDescent="0.25">
      <c r="A28" s="12"/>
      <c r="B28" s="12"/>
      <c r="C28" s="12">
        <f t="shared" ref="C28:C31" si="3">D27</f>
        <v>6.2</v>
      </c>
      <c r="D28" s="12">
        <v>6.3</v>
      </c>
      <c r="E28" s="12"/>
      <c r="F28" s="12" t="s">
        <v>97</v>
      </c>
      <c r="G28" s="12"/>
      <c r="H28" s="12"/>
      <c r="I28" s="12"/>
      <c r="J28" s="12"/>
      <c r="K28" s="12"/>
      <c r="L28" s="130"/>
      <c r="M28" s="131"/>
      <c r="N28" s="131"/>
      <c r="O28" s="131"/>
      <c r="P28" s="131"/>
      <c r="Q28" s="131"/>
      <c r="R28" s="132"/>
    </row>
    <row r="29" spans="1:18" ht="41.4" customHeight="1" x14ac:dyDescent="0.25">
      <c r="A29" s="12"/>
      <c r="B29" s="12"/>
      <c r="C29" s="12">
        <f t="shared" si="3"/>
        <v>6.3</v>
      </c>
      <c r="D29" s="12">
        <v>8.4</v>
      </c>
      <c r="E29" s="12"/>
      <c r="F29" s="12"/>
      <c r="G29" s="12" t="s">
        <v>97</v>
      </c>
      <c r="H29" s="12"/>
      <c r="I29" s="12" t="s">
        <v>97</v>
      </c>
      <c r="J29" s="12"/>
      <c r="K29" s="12"/>
      <c r="L29" s="130"/>
      <c r="M29" s="131"/>
      <c r="N29" s="131"/>
      <c r="O29" s="131"/>
      <c r="P29" s="131"/>
      <c r="Q29" s="131"/>
      <c r="R29" s="132"/>
    </row>
    <row r="30" spans="1:18" ht="41.4" customHeight="1" x14ac:dyDescent="0.25">
      <c r="A30" s="12"/>
      <c r="B30" s="12"/>
      <c r="C30" s="12">
        <f t="shared" si="3"/>
        <v>8.4</v>
      </c>
      <c r="D30" s="12">
        <v>8.5</v>
      </c>
      <c r="E30" s="12"/>
      <c r="F30" s="12"/>
      <c r="G30" s="12" t="s">
        <v>97</v>
      </c>
      <c r="H30" s="12"/>
      <c r="I30" s="12" t="s">
        <v>97</v>
      </c>
      <c r="J30" s="12"/>
      <c r="K30" s="12"/>
      <c r="L30" s="130"/>
      <c r="M30" s="131"/>
      <c r="N30" s="131"/>
      <c r="O30" s="131"/>
      <c r="P30" s="131"/>
      <c r="Q30" s="131"/>
      <c r="R30" s="132"/>
    </row>
    <row r="31" spans="1:18" ht="41.4" customHeight="1" x14ac:dyDescent="0.25">
      <c r="A31" s="12"/>
      <c r="B31" s="12"/>
      <c r="C31" s="12">
        <f t="shared" si="3"/>
        <v>8.5</v>
      </c>
      <c r="D31" s="12">
        <v>9.48</v>
      </c>
      <c r="E31" s="12"/>
      <c r="F31" s="12" t="s">
        <v>97</v>
      </c>
      <c r="G31" s="12"/>
      <c r="H31" s="12"/>
      <c r="I31" s="12" t="s">
        <v>97</v>
      </c>
      <c r="J31" s="12"/>
      <c r="K31" s="12"/>
      <c r="L31" s="130"/>
      <c r="M31" s="131"/>
      <c r="N31" s="131"/>
      <c r="O31" s="131"/>
      <c r="P31" s="131"/>
      <c r="Q31" s="131"/>
      <c r="R31" s="132"/>
    </row>
    <row r="32" spans="1:18" ht="41.4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30"/>
      <c r="M32" s="131"/>
      <c r="N32" s="131"/>
      <c r="O32" s="131"/>
      <c r="P32" s="131"/>
      <c r="Q32" s="131"/>
      <c r="R32" s="132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130"/>
      <c r="M33" s="131"/>
      <c r="N33" s="131"/>
      <c r="O33" s="131"/>
      <c r="P33" s="131"/>
      <c r="Q33" s="131"/>
      <c r="R33" s="132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 t="str">
        <f>IF(E7="X",(D7-C7),"0")</f>
        <v>0</v>
      </c>
      <c r="F36" s="27">
        <f>IF(F7="X",(D7-C7),"0")</f>
        <v>0.3</v>
      </c>
      <c r="G36" s="27" t="str">
        <f>IF(G7="X",(D7-C7),"0")</f>
        <v>0</v>
      </c>
      <c r="H36" s="27" t="str">
        <f>IF(H7="X",(D7-C7),"0")</f>
        <v>0</v>
      </c>
      <c r="I36" s="27">
        <f>IF(I7="X",(D7-C7),"0")</f>
        <v>0.3</v>
      </c>
      <c r="J36" s="27" t="str">
        <f>IF(J7="X",(D7-C7),"0")</f>
        <v>0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 t="str">
        <f t="shared" ref="E37:E61" si="4">IF(E8="X",(D8-C8),"0")</f>
        <v>0</v>
      </c>
      <c r="F37" s="27">
        <f t="shared" ref="F37:F61" si="5">IF(F8="X",(D8-C8),"0")</f>
        <v>1.0999999999999999</v>
      </c>
      <c r="G37" s="27" t="str">
        <f t="shared" ref="G37:G61" si="6">IF(G8="X",(D8-C8),"0")</f>
        <v>0</v>
      </c>
      <c r="H37" s="27" t="str">
        <f t="shared" ref="H37:H61" si="7">IF(H8="X",(D8-C8),"0")</f>
        <v>0</v>
      </c>
      <c r="I37" s="27">
        <f t="shared" ref="I37:I61" si="8">IF(I8="X",(D8-C8),"0")</f>
        <v>1.0999999999999999</v>
      </c>
      <c r="J37" s="27" t="str">
        <f t="shared" ref="J37:J61" si="9">IF(J8="X",(D8-C8),"0")</f>
        <v>0</v>
      </c>
      <c r="K37" s="27" t="str">
        <f t="shared" ref="K37:K61" si="10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 t="str">
        <f t="shared" si="4"/>
        <v>0</v>
      </c>
      <c r="F38" s="27" t="str">
        <f t="shared" si="5"/>
        <v>0</v>
      </c>
      <c r="G38" s="27">
        <f t="shared" si="6"/>
        <v>0.70000000000000018</v>
      </c>
      <c r="H38" s="27" t="str">
        <f t="shared" si="7"/>
        <v>0</v>
      </c>
      <c r="I38" s="27">
        <f t="shared" si="8"/>
        <v>0.70000000000000018</v>
      </c>
      <c r="J38" s="27" t="str">
        <f t="shared" si="9"/>
        <v>0</v>
      </c>
      <c r="K38" s="27" t="str">
        <f t="shared" si="10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 t="str">
        <f t="shared" si="4"/>
        <v>0</v>
      </c>
      <c r="F39" s="27">
        <f t="shared" si="5"/>
        <v>0.89999999999999991</v>
      </c>
      <c r="G39" s="27" t="str">
        <f t="shared" si="6"/>
        <v>0</v>
      </c>
      <c r="H39" s="27" t="str">
        <f t="shared" si="7"/>
        <v>0</v>
      </c>
      <c r="I39" s="27">
        <f t="shared" si="8"/>
        <v>0.89999999999999991</v>
      </c>
      <c r="J39" s="27" t="str">
        <f t="shared" si="9"/>
        <v>0</v>
      </c>
      <c r="K39" s="27" t="str">
        <f t="shared" si="10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 t="str">
        <f t="shared" si="4"/>
        <v>0</v>
      </c>
      <c r="F40" s="27" t="str">
        <f t="shared" si="5"/>
        <v>0</v>
      </c>
      <c r="G40" s="27" t="str">
        <f t="shared" si="6"/>
        <v>0</v>
      </c>
      <c r="H40" s="27" t="str">
        <f t="shared" si="7"/>
        <v>0</v>
      </c>
      <c r="I40" s="27" t="str">
        <f t="shared" si="8"/>
        <v>0</v>
      </c>
      <c r="J40" s="27" t="str">
        <f t="shared" si="9"/>
        <v>0</v>
      </c>
      <c r="K40" s="27" t="str">
        <f t="shared" si="10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 t="str">
        <f t="shared" si="4"/>
        <v>0</v>
      </c>
      <c r="F41" s="27">
        <f t="shared" si="5"/>
        <v>2.7</v>
      </c>
      <c r="G41" s="27" t="str">
        <f t="shared" si="6"/>
        <v>0</v>
      </c>
      <c r="H41" s="27" t="str">
        <f t="shared" si="7"/>
        <v>0</v>
      </c>
      <c r="I41" s="27">
        <f t="shared" si="8"/>
        <v>2.7</v>
      </c>
      <c r="J41" s="27" t="str">
        <f t="shared" si="9"/>
        <v>0</v>
      </c>
      <c r="K41" s="27" t="str">
        <f t="shared" si="10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 t="str">
        <f t="shared" si="4"/>
        <v>0</v>
      </c>
      <c r="F42" s="27">
        <f t="shared" si="5"/>
        <v>0.5</v>
      </c>
      <c r="G42" s="27" t="str">
        <f t="shared" si="6"/>
        <v>0</v>
      </c>
      <c r="H42" s="27" t="str">
        <f t="shared" si="7"/>
        <v>0</v>
      </c>
      <c r="I42" s="27">
        <f t="shared" si="8"/>
        <v>0.5</v>
      </c>
      <c r="J42" s="27" t="str">
        <f t="shared" si="9"/>
        <v>0</v>
      </c>
      <c r="K42" s="27" t="str">
        <f t="shared" si="10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si="4"/>
        <v>0</v>
      </c>
      <c r="F43" s="27">
        <f t="shared" si="5"/>
        <v>1.7000000000000002</v>
      </c>
      <c r="G43" s="27" t="str">
        <f t="shared" si="6"/>
        <v>0</v>
      </c>
      <c r="H43" s="27" t="str">
        <f t="shared" si="7"/>
        <v>0</v>
      </c>
      <c r="I43" s="27">
        <f t="shared" si="8"/>
        <v>1.7000000000000002</v>
      </c>
      <c r="J43" s="27" t="str">
        <f t="shared" si="9"/>
        <v>0</v>
      </c>
      <c r="K43" s="27" t="str">
        <f t="shared" si="10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 t="str">
        <f t="shared" si="4"/>
        <v>0</v>
      </c>
      <c r="F44" s="27">
        <f t="shared" si="5"/>
        <v>0.19999999999999929</v>
      </c>
      <c r="G44" s="27" t="str">
        <f t="shared" si="6"/>
        <v>0</v>
      </c>
      <c r="H44" s="27" t="str">
        <f t="shared" si="7"/>
        <v>0</v>
      </c>
      <c r="I44" s="27">
        <f t="shared" si="8"/>
        <v>0.19999999999999929</v>
      </c>
      <c r="J44" s="27" t="str">
        <f t="shared" si="9"/>
        <v>0</v>
      </c>
      <c r="K44" s="27" t="str">
        <f t="shared" si="10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 t="str">
        <f t="shared" si="4"/>
        <v>0</v>
      </c>
      <c r="F45" s="27" t="str">
        <f t="shared" si="5"/>
        <v>0</v>
      </c>
      <c r="G45" s="27">
        <f t="shared" si="6"/>
        <v>1.5</v>
      </c>
      <c r="H45" s="27" t="str">
        <f t="shared" si="7"/>
        <v>0</v>
      </c>
      <c r="I45" s="27">
        <f t="shared" si="8"/>
        <v>1.5</v>
      </c>
      <c r="J45" s="27" t="str">
        <f t="shared" si="9"/>
        <v>0</v>
      </c>
      <c r="K45" s="27" t="str">
        <f t="shared" si="10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4"/>
        <v>0</v>
      </c>
      <c r="F46" s="27">
        <f t="shared" si="5"/>
        <v>0.30000000000000071</v>
      </c>
      <c r="G46" s="27" t="str">
        <f t="shared" si="6"/>
        <v>0</v>
      </c>
      <c r="H46" s="27" t="str">
        <f t="shared" si="7"/>
        <v>0</v>
      </c>
      <c r="I46" s="27">
        <f t="shared" si="8"/>
        <v>0.30000000000000071</v>
      </c>
      <c r="J46" s="27" t="str">
        <f t="shared" si="9"/>
        <v>0</v>
      </c>
      <c r="K46" s="27" t="str">
        <f t="shared" si="10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4"/>
        <v>0</v>
      </c>
      <c r="F47" s="27" t="str">
        <f t="shared" si="5"/>
        <v>0</v>
      </c>
      <c r="G47" s="27">
        <f t="shared" si="6"/>
        <v>2.9000000000000004</v>
      </c>
      <c r="H47" s="27" t="str">
        <f t="shared" si="7"/>
        <v>0</v>
      </c>
      <c r="I47" s="27">
        <f t="shared" si="8"/>
        <v>2.9000000000000004</v>
      </c>
      <c r="J47" s="27" t="str">
        <f t="shared" si="9"/>
        <v>0</v>
      </c>
      <c r="K47" s="27" t="str">
        <f t="shared" si="10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4"/>
        <v>0</v>
      </c>
      <c r="F48" s="27" t="str">
        <f t="shared" si="5"/>
        <v>0</v>
      </c>
      <c r="G48" s="27">
        <f t="shared" si="6"/>
        <v>9.9999999999999645E-2</v>
      </c>
      <c r="H48" s="27" t="str">
        <f t="shared" si="7"/>
        <v>0</v>
      </c>
      <c r="I48" s="27">
        <f t="shared" si="8"/>
        <v>9.9999999999999645E-2</v>
      </c>
      <c r="J48" s="27" t="str">
        <f t="shared" si="9"/>
        <v>0</v>
      </c>
      <c r="K48" s="27" t="str">
        <f t="shared" si="10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4"/>
        <v>0</v>
      </c>
      <c r="F49" s="27">
        <f t="shared" si="5"/>
        <v>1</v>
      </c>
      <c r="G49" s="27" t="str">
        <f t="shared" si="6"/>
        <v>0</v>
      </c>
      <c r="H49" s="27" t="str">
        <f t="shared" si="7"/>
        <v>0</v>
      </c>
      <c r="I49" s="27">
        <f t="shared" si="8"/>
        <v>1</v>
      </c>
      <c r="J49" s="27" t="str">
        <f t="shared" si="9"/>
        <v>0</v>
      </c>
      <c r="K49" s="27" t="str">
        <f t="shared" si="10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4"/>
        <v>0</v>
      </c>
      <c r="F50" s="27" t="str">
        <f>IF(F21="X",(D21-C21),"0")</f>
        <v>0</v>
      </c>
      <c r="G50" s="27">
        <f>IF(G21="X",(D21-C21),"0")</f>
        <v>5.4</v>
      </c>
      <c r="H50" s="27" t="str">
        <f t="shared" si="7"/>
        <v>0</v>
      </c>
      <c r="I50" s="27">
        <f t="shared" si="8"/>
        <v>5.4</v>
      </c>
      <c r="J50" s="27" t="str">
        <f t="shared" si="9"/>
        <v>0</v>
      </c>
      <c r="K50" s="27" t="str">
        <f t="shared" si="10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4"/>
        <v>0</v>
      </c>
      <c r="F51" s="27">
        <f>IF(F22="X",(D22-C22),"0")</f>
        <v>0.19999999999999929</v>
      </c>
      <c r="G51" s="27" t="str">
        <f>IF(G22="X",(D22-C22),"0")</f>
        <v>0</v>
      </c>
      <c r="H51" s="27" t="str">
        <f t="shared" si="7"/>
        <v>0</v>
      </c>
      <c r="I51" s="27">
        <f t="shared" si="8"/>
        <v>0.19999999999999929</v>
      </c>
      <c r="J51" s="27" t="str">
        <f t="shared" si="9"/>
        <v>0</v>
      </c>
      <c r="K51" s="27" t="str">
        <f t="shared" si="10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4"/>
        <v>0</v>
      </c>
      <c r="F52" s="27">
        <f t="shared" si="5"/>
        <v>5.0600000000000023</v>
      </c>
      <c r="G52" s="27" t="str">
        <f t="shared" si="6"/>
        <v>0</v>
      </c>
      <c r="H52" s="27" t="str">
        <f t="shared" si="7"/>
        <v>0</v>
      </c>
      <c r="I52" s="27">
        <f t="shared" si="8"/>
        <v>5.0600000000000023</v>
      </c>
      <c r="J52" s="27" t="str">
        <f t="shared" si="9"/>
        <v>0</v>
      </c>
      <c r="K52" s="27" t="str">
        <f t="shared" si="10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4"/>
        <v>0</v>
      </c>
      <c r="F53" s="27" t="str">
        <f t="shared" si="5"/>
        <v>0</v>
      </c>
      <c r="G53" s="27">
        <f t="shared" si="6"/>
        <v>9.9999999999997868E-2</v>
      </c>
      <c r="H53" s="27" t="str">
        <f t="shared" si="7"/>
        <v>0</v>
      </c>
      <c r="I53" s="27">
        <f t="shared" si="8"/>
        <v>9.9999999999997868E-2</v>
      </c>
      <c r="J53" s="27" t="str">
        <f t="shared" si="9"/>
        <v>0</v>
      </c>
      <c r="K53" s="27" t="str">
        <f t="shared" si="10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4"/>
        <v>0</v>
      </c>
      <c r="F54" s="27" t="str">
        <f t="shared" si="5"/>
        <v>0</v>
      </c>
      <c r="G54" s="27">
        <f t="shared" si="6"/>
        <v>0.30000000000000071</v>
      </c>
      <c r="H54" s="27" t="str">
        <f t="shared" si="7"/>
        <v>0</v>
      </c>
      <c r="I54" s="27">
        <f t="shared" si="8"/>
        <v>0.30000000000000071</v>
      </c>
      <c r="J54" s="27" t="str">
        <f t="shared" si="9"/>
        <v>0</v>
      </c>
      <c r="K54" s="27" t="str">
        <f t="shared" si="10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4"/>
        <v>0</v>
      </c>
      <c r="F55" s="27" t="str">
        <f t="shared" si="5"/>
        <v>0</v>
      </c>
      <c r="G55" s="27" t="str">
        <f t="shared" si="6"/>
        <v>0</v>
      </c>
      <c r="H55" s="27" t="str">
        <f t="shared" si="7"/>
        <v>0</v>
      </c>
      <c r="I55" s="27" t="str">
        <f t="shared" si="8"/>
        <v>0</v>
      </c>
      <c r="J55" s="27" t="str">
        <f t="shared" si="9"/>
        <v>0</v>
      </c>
      <c r="K55" s="27" t="str">
        <f t="shared" si="10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4"/>
        <v>0</v>
      </c>
      <c r="F56" s="27">
        <f t="shared" si="5"/>
        <v>6.2</v>
      </c>
      <c r="G56" s="27" t="str">
        <f t="shared" si="6"/>
        <v>0</v>
      </c>
      <c r="H56" s="27" t="str">
        <f t="shared" si="7"/>
        <v>0</v>
      </c>
      <c r="I56" s="27">
        <f t="shared" si="8"/>
        <v>6.2</v>
      </c>
      <c r="J56" s="27" t="str">
        <f t="shared" si="9"/>
        <v>0</v>
      </c>
      <c r="K56" s="27" t="str">
        <f t="shared" si="10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4"/>
        <v>0</v>
      </c>
      <c r="F57" s="27">
        <f t="shared" si="5"/>
        <v>9.9999999999999645E-2</v>
      </c>
      <c r="G57" s="27" t="str">
        <f t="shared" si="6"/>
        <v>0</v>
      </c>
      <c r="H57" s="27" t="str">
        <f t="shared" si="7"/>
        <v>0</v>
      </c>
      <c r="I57" s="27" t="str">
        <f t="shared" si="8"/>
        <v>0</v>
      </c>
      <c r="J57" s="27" t="str">
        <f t="shared" si="9"/>
        <v>0</v>
      </c>
      <c r="K57" s="27" t="str">
        <f t="shared" si="10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4"/>
        <v>0</v>
      </c>
      <c r="F58" s="27" t="str">
        <f t="shared" si="5"/>
        <v>0</v>
      </c>
      <c r="G58" s="27">
        <f t="shared" si="6"/>
        <v>2.1000000000000005</v>
      </c>
      <c r="H58" s="27" t="str">
        <f t="shared" si="7"/>
        <v>0</v>
      </c>
      <c r="I58" s="27">
        <f t="shared" si="8"/>
        <v>2.1000000000000005</v>
      </c>
      <c r="J58" s="27" t="str">
        <f t="shared" si="9"/>
        <v>0</v>
      </c>
      <c r="K58" s="27" t="str">
        <f t="shared" si="10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4"/>
        <v>0</v>
      </c>
      <c r="F59" s="27" t="str">
        <f t="shared" si="5"/>
        <v>0</v>
      </c>
      <c r="G59" s="27">
        <f t="shared" si="6"/>
        <v>9.9999999999999645E-2</v>
      </c>
      <c r="H59" s="27" t="str">
        <f t="shared" si="7"/>
        <v>0</v>
      </c>
      <c r="I59" s="27">
        <f t="shared" si="8"/>
        <v>9.9999999999999645E-2</v>
      </c>
      <c r="J59" s="27" t="str">
        <f t="shared" si="9"/>
        <v>0</v>
      </c>
      <c r="K59" s="27" t="str">
        <f t="shared" si="10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4"/>
        <v>0</v>
      </c>
      <c r="F60" s="27">
        <f t="shared" si="5"/>
        <v>0.98000000000000043</v>
      </c>
      <c r="G60" s="27" t="str">
        <f t="shared" si="6"/>
        <v>0</v>
      </c>
      <c r="H60" s="27" t="str">
        <f t="shared" si="7"/>
        <v>0</v>
      </c>
      <c r="I60" s="27">
        <f t="shared" si="8"/>
        <v>0.98000000000000043</v>
      </c>
      <c r="J60" s="27" t="str">
        <f t="shared" si="9"/>
        <v>0</v>
      </c>
      <c r="K60" s="27" t="str">
        <f t="shared" si="10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4"/>
        <v>0</v>
      </c>
      <c r="F61" s="27" t="str">
        <f t="shared" si="5"/>
        <v>0</v>
      </c>
      <c r="G61" s="27" t="str">
        <f t="shared" si="6"/>
        <v>0</v>
      </c>
      <c r="H61" s="27" t="str">
        <f t="shared" si="7"/>
        <v>0</v>
      </c>
      <c r="I61" s="27" t="str">
        <f t="shared" si="8"/>
        <v>0</v>
      </c>
      <c r="J61" s="27" t="str">
        <f t="shared" si="9"/>
        <v>0</v>
      </c>
      <c r="K61" s="27" t="str">
        <f t="shared" si="10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0</v>
      </c>
      <c r="F62" s="27">
        <f t="shared" ref="F62:K62" si="11">SUM(F36:F61)</f>
        <v>21.24</v>
      </c>
      <c r="G62" s="27">
        <f t="shared" si="11"/>
        <v>13.200000000000001</v>
      </c>
      <c r="H62" s="27">
        <f t="shared" si="11"/>
        <v>0</v>
      </c>
      <c r="I62" s="27">
        <f t="shared" si="11"/>
        <v>34.340000000000003</v>
      </c>
      <c r="J62" s="27">
        <f t="shared" si="11"/>
        <v>0</v>
      </c>
      <c r="K62" s="27">
        <f t="shared" si="11"/>
        <v>0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28:R28"/>
    <mergeCell ref="L29:R29"/>
    <mergeCell ref="L30:R30"/>
    <mergeCell ref="L25:R25"/>
    <mergeCell ref="L26:R26"/>
    <mergeCell ref="L27:R27"/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F49F-E9D8-4A70-BB28-DA92968C90F1}">
  <sheetPr>
    <pageSetUpPr fitToPage="1"/>
  </sheetPr>
  <dimension ref="A1:R82"/>
  <sheetViews>
    <sheetView view="pageBreakPreview" topLeftCell="A22" zoomScale="55" zoomScaleNormal="40" zoomScaleSheetLayoutView="55" workbookViewId="0">
      <selection activeCell="E25" sqref="E25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136">
        <f>'228'!J1</f>
        <v>46204</v>
      </c>
      <c r="K1" s="137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138"/>
      <c r="K2" s="139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TT!C10</f>
        <v>RODOVIA TO-482 - TRECHO: ENTR. TO-280 (SÃO VALÉRIO DE NATIVIDADE) / ENTR. TO-458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12" t="s">
        <v>74</v>
      </c>
      <c r="B7" s="12" t="s">
        <v>96</v>
      </c>
      <c r="C7" s="12">
        <v>0</v>
      </c>
      <c r="D7" s="12">
        <v>4</v>
      </c>
      <c r="E7" s="12" t="s">
        <v>97</v>
      </c>
      <c r="F7" s="12"/>
      <c r="G7" s="12"/>
      <c r="H7" s="12"/>
      <c r="I7" s="12" t="s">
        <v>97</v>
      </c>
      <c r="J7" s="12"/>
      <c r="K7" s="12"/>
      <c r="L7" s="133"/>
      <c r="M7" s="134"/>
      <c r="N7" s="134"/>
      <c r="O7" s="134"/>
      <c r="P7" s="134"/>
      <c r="Q7" s="134"/>
      <c r="R7" s="135"/>
    </row>
    <row r="8" spans="1:18" ht="41.4" customHeight="1" x14ac:dyDescent="0.25">
      <c r="A8" s="12"/>
      <c r="B8" s="12"/>
      <c r="C8" s="12">
        <f>D7</f>
        <v>4</v>
      </c>
      <c r="D8" s="12">
        <v>4.8</v>
      </c>
      <c r="E8" s="12" t="s">
        <v>97</v>
      </c>
      <c r="F8" s="12"/>
      <c r="G8" s="12"/>
      <c r="H8" s="12"/>
      <c r="I8" s="12" t="s">
        <v>97</v>
      </c>
      <c r="J8" s="12"/>
      <c r="K8" s="12"/>
      <c r="L8" s="133"/>
      <c r="M8" s="134"/>
      <c r="N8" s="134"/>
      <c r="O8" s="134"/>
      <c r="P8" s="134"/>
      <c r="Q8" s="134"/>
      <c r="R8" s="135"/>
    </row>
    <row r="9" spans="1:18" ht="41.4" customHeight="1" x14ac:dyDescent="0.25">
      <c r="A9" s="12"/>
      <c r="B9" s="12"/>
      <c r="C9" s="12">
        <f t="shared" ref="C9:C19" si="0">D8</f>
        <v>4.8</v>
      </c>
      <c r="D9" s="12">
        <v>7.4</v>
      </c>
      <c r="E9" s="12" t="s">
        <v>97</v>
      </c>
      <c r="F9" s="12"/>
      <c r="G9" s="12"/>
      <c r="H9" s="12"/>
      <c r="I9" s="12" t="s">
        <v>97</v>
      </c>
      <c r="J9" s="12"/>
      <c r="K9" s="12"/>
      <c r="L9" s="133"/>
      <c r="M9" s="134"/>
      <c r="N9" s="134"/>
      <c r="O9" s="134"/>
      <c r="P9" s="134"/>
      <c r="Q9" s="134"/>
      <c r="R9" s="135"/>
    </row>
    <row r="10" spans="1:18" ht="41.4" customHeight="1" x14ac:dyDescent="0.25">
      <c r="A10" s="12"/>
      <c r="B10" s="12"/>
      <c r="C10" s="12">
        <f t="shared" si="0"/>
        <v>7.4</v>
      </c>
      <c r="D10" s="12">
        <v>7.8</v>
      </c>
      <c r="E10" s="12" t="s">
        <v>97</v>
      </c>
      <c r="F10" s="12"/>
      <c r="G10" s="12"/>
      <c r="H10" s="12"/>
      <c r="I10" s="12" t="s">
        <v>97</v>
      </c>
      <c r="J10" s="12"/>
      <c r="K10" s="12"/>
      <c r="L10" s="133"/>
      <c r="M10" s="134"/>
      <c r="N10" s="134"/>
      <c r="O10" s="134"/>
      <c r="P10" s="134"/>
      <c r="Q10" s="134"/>
      <c r="R10" s="135"/>
    </row>
    <row r="11" spans="1:18" ht="41.4" customHeight="1" x14ac:dyDescent="0.25">
      <c r="A11" s="12"/>
      <c r="B11" s="12"/>
      <c r="C11" s="12">
        <f t="shared" si="0"/>
        <v>7.8</v>
      </c>
      <c r="D11" s="12">
        <v>8.3000000000000007</v>
      </c>
      <c r="E11" s="12" t="s">
        <v>97</v>
      </c>
      <c r="F11" s="12"/>
      <c r="G11" s="12"/>
      <c r="H11" s="12"/>
      <c r="I11" s="12" t="s">
        <v>97</v>
      </c>
      <c r="J11" s="12"/>
      <c r="K11" s="12"/>
      <c r="L11" s="133"/>
      <c r="M11" s="134"/>
      <c r="N11" s="134"/>
      <c r="O11" s="134"/>
      <c r="P11" s="134"/>
      <c r="Q11" s="134"/>
      <c r="R11" s="135"/>
    </row>
    <row r="12" spans="1:18" ht="41.4" customHeight="1" x14ac:dyDescent="0.25">
      <c r="A12" s="12"/>
      <c r="B12" s="12"/>
      <c r="C12" s="12">
        <f t="shared" si="0"/>
        <v>8.3000000000000007</v>
      </c>
      <c r="D12" s="12">
        <v>9.1999999999999993</v>
      </c>
      <c r="E12" s="12" t="s">
        <v>97</v>
      </c>
      <c r="F12" s="12"/>
      <c r="G12" s="12"/>
      <c r="H12" s="12"/>
      <c r="I12" s="12" t="s">
        <v>97</v>
      </c>
      <c r="J12" s="12"/>
      <c r="K12" s="12"/>
      <c r="L12" s="133"/>
      <c r="M12" s="134"/>
      <c r="N12" s="134"/>
      <c r="O12" s="134"/>
      <c r="P12" s="134"/>
      <c r="Q12" s="134"/>
      <c r="R12" s="135"/>
    </row>
    <row r="13" spans="1:18" ht="41.4" customHeight="1" x14ac:dyDescent="0.25">
      <c r="A13" s="12"/>
      <c r="B13" s="12"/>
      <c r="C13" s="12">
        <f t="shared" si="0"/>
        <v>9.1999999999999993</v>
      </c>
      <c r="D13" s="12">
        <v>9.4</v>
      </c>
      <c r="E13" s="12" t="s">
        <v>97</v>
      </c>
      <c r="F13" s="12"/>
      <c r="G13" s="12"/>
      <c r="H13" s="12"/>
      <c r="I13" s="12" t="s">
        <v>97</v>
      </c>
      <c r="J13" s="12"/>
      <c r="K13" s="12"/>
      <c r="L13" s="133"/>
      <c r="M13" s="134"/>
      <c r="N13" s="134"/>
      <c r="O13" s="134"/>
      <c r="P13" s="134"/>
      <c r="Q13" s="134"/>
      <c r="R13" s="135"/>
    </row>
    <row r="14" spans="1:18" ht="41.4" customHeight="1" x14ac:dyDescent="0.25">
      <c r="A14" s="12"/>
      <c r="B14" s="12"/>
      <c r="C14" s="12">
        <f t="shared" si="0"/>
        <v>9.4</v>
      </c>
      <c r="D14" s="12">
        <v>12.3</v>
      </c>
      <c r="E14" s="12" t="s">
        <v>97</v>
      </c>
      <c r="F14" s="12"/>
      <c r="G14" s="12"/>
      <c r="H14" s="12"/>
      <c r="I14" s="12" t="s">
        <v>97</v>
      </c>
      <c r="J14" s="12"/>
      <c r="K14" s="12"/>
      <c r="L14" s="133"/>
      <c r="M14" s="134"/>
      <c r="N14" s="134"/>
      <c r="O14" s="134"/>
      <c r="P14" s="134"/>
      <c r="Q14" s="134"/>
      <c r="R14" s="135"/>
    </row>
    <row r="15" spans="1:18" ht="41.4" customHeight="1" x14ac:dyDescent="0.25">
      <c r="A15" s="12"/>
      <c r="B15" s="12"/>
      <c r="C15" s="12">
        <f t="shared" si="0"/>
        <v>12.3</v>
      </c>
      <c r="D15" s="12">
        <v>14.2</v>
      </c>
      <c r="E15" s="12" t="s">
        <v>97</v>
      </c>
      <c r="F15" s="12"/>
      <c r="G15" s="12"/>
      <c r="H15" s="12"/>
      <c r="I15" s="12" t="s">
        <v>97</v>
      </c>
      <c r="J15" s="12"/>
      <c r="K15" s="12"/>
      <c r="L15" s="133"/>
      <c r="M15" s="134"/>
      <c r="N15" s="134"/>
      <c r="O15" s="134"/>
      <c r="P15" s="134"/>
      <c r="Q15" s="134"/>
      <c r="R15" s="135"/>
    </row>
    <row r="16" spans="1:18" ht="41.4" customHeight="1" x14ac:dyDescent="0.25">
      <c r="A16" s="12"/>
      <c r="B16" s="12"/>
      <c r="C16" s="12">
        <f t="shared" si="0"/>
        <v>14.2</v>
      </c>
      <c r="D16" s="12">
        <v>15.1</v>
      </c>
      <c r="E16" s="12" t="s">
        <v>97</v>
      </c>
      <c r="F16" s="12"/>
      <c r="G16" s="12"/>
      <c r="H16" s="12"/>
      <c r="I16" s="12" t="s">
        <v>97</v>
      </c>
      <c r="J16" s="12"/>
      <c r="K16" s="12"/>
      <c r="L16" s="133"/>
      <c r="M16" s="134"/>
      <c r="N16" s="134"/>
      <c r="O16" s="134"/>
      <c r="P16" s="134"/>
      <c r="Q16" s="134"/>
      <c r="R16" s="135"/>
    </row>
    <row r="17" spans="1:18" ht="41.4" customHeight="1" x14ac:dyDescent="0.25">
      <c r="A17" s="12"/>
      <c r="B17" s="12"/>
      <c r="C17" s="12">
        <f t="shared" si="0"/>
        <v>15.1</v>
      </c>
      <c r="D17" s="12">
        <v>18.2</v>
      </c>
      <c r="E17" s="12" t="s">
        <v>97</v>
      </c>
      <c r="F17" s="12"/>
      <c r="G17" s="12"/>
      <c r="H17" s="12"/>
      <c r="I17" s="12" t="s">
        <v>97</v>
      </c>
      <c r="J17" s="12"/>
      <c r="K17" s="12"/>
      <c r="L17" s="133"/>
      <c r="M17" s="134"/>
      <c r="N17" s="134"/>
      <c r="O17" s="134"/>
      <c r="P17" s="134"/>
      <c r="Q17" s="134"/>
      <c r="R17" s="135"/>
    </row>
    <row r="18" spans="1:18" ht="41.4" customHeight="1" x14ac:dyDescent="0.25">
      <c r="A18" s="12"/>
      <c r="B18" s="12"/>
      <c r="C18" s="12">
        <f t="shared" si="0"/>
        <v>18.2</v>
      </c>
      <c r="D18" s="12">
        <v>20.3</v>
      </c>
      <c r="E18" s="12" t="s">
        <v>97</v>
      </c>
      <c r="F18" s="12"/>
      <c r="G18" s="12"/>
      <c r="H18" s="12"/>
      <c r="I18" s="12" t="s">
        <v>97</v>
      </c>
      <c r="J18" s="12"/>
      <c r="K18" s="12"/>
      <c r="L18" s="133"/>
      <c r="M18" s="134"/>
      <c r="N18" s="134"/>
      <c r="O18" s="134"/>
      <c r="P18" s="134"/>
      <c r="Q18" s="134"/>
      <c r="R18" s="135"/>
    </row>
    <row r="19" spans="1:18" ht="41.4" customHeight="1" x14ac:dyDescent="0.25">
      <c r="A19" s="12"/>
      <c r="B19" s="12"/>
      <c r="C19" s="12">
        <f t="shared" si="0"/>
        <v>20.3</v>
      </c>
      <c r="D19" s="12">
        <v>21.7</v>
      </c>
      <c r="E19" s="12" t="s">
        <v>97</v>
      </c>
      <c r="F19" s="12"/>
      <c r="G19" s="12"/>
      <c r="H19" s="12"/>
      <c r="I19" s="12" t="s">
        <v>97</v>
      </c>
      <c r="J19" s="12"/>
      <c r="K19" s="12"/>
      <c r="L19" s="133"/>
      <c r="M19" s="134"/>
      <c r="N19" s="134"/>
      <c r="O19" s="134"/>
      <c r="P19" s="134"/>
      <c r="Q19" s="134"/>
      <c r="R19" s="135"/>
    </row>
    <row r="20" spans="1:18" ht="41.4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33"/>
      <c r="M20" s="134"/>
      <c r="N20" s="134"/>
      <c r="O20" s="134"/>
      <c r="P20" s="134"/>
      <c r="Q20" s="134"/>
      <c r="R20" s="135"/>
    </row>
    <row r="21" spans="1:18" ht="41.4" customHeight="1" x14ac:dyDescent="0.25">
      <c r="A21" s="12" t="s">
        <v>76</v>
      </c>
      <c r="B21" s="12" t="s">
        <v>96</v>
      </c>
      <c r="C21" s="12">
        <v>0</v>
      </c>
      <c r="D21" s="12">
        <v>0.8</v>
      </c>
      <c r="E21" s="12"/>
      <c r="F21" s="12"/>
      <c r="G21" s="12"/>
      <c r="H21" s="12"/>
      <c r="I21" s="12" t="s">
        <v>97</v>
      </c>
      <c r="J21" s="12"/>
      <c r="K21" s="12"/>
      <c r="L21" s="133"/>
      <c r="M21" s="134"/>
      <c r="N21" s="134"/>
      <c r="O21" s="134"/>
      <c r="P21" s="134"/>
      <c r="Q21" s="134"/>
      <c r="R21" s="135"/>
    </row>
    <row r="22" spans="1:18" ht="41.4" customHeight="1" x14ac:dyDescent="0.25">
      <c r="A22" s="12"/>
      <c r="B22" s="12"/>
      <c r="C22" s="12">
        <f t="shared" ref="C22:C30" si="1">D21</f>
        <v>0.8</v>
      </c>
      <c r="D22" s="12">
        <v>1.8</v>
      </c>
      <c r="E22" s="12" t="s">
        <v>97</v>
      </c>
      <c r="F22" s="12"/>
      <c r="G22" s="12"/>
      <c r="H22" s="12"/>
      <c r="I22" s="12" t="s">
        <v>97</v>
      </c>
      <c r="J22" s="12"/>
      <c r="K22" s="12"/>
      <c r="L22" s="133"/>
      <c r="M22" s="134"/>
      <c r="N22" s="134"/>
      <c r="O22" s="134"/>
      <c r="P22" s="134"/>
      <c r="Q22" s="134"/>
      <c r="R22" s="135"/>
    </row>
    <row r="23" spans="1:18" ht="41.4" customHeight="1" x14ac:dyDescent="0.25">
      <c r="A23" s="12"/>
      <c r="B23" s="12"/>
      <c r="C23" s="12">
        <f t="shared" si="1"/>
        <v>1.8</v>
      </c>
      <c r="D23" s="12">
        <v>3.1</v>
      </c>
      <c r="E23" s="12" t="s">
        <v>97</v>
      </c>
      <c r="F23" s="12"/>
      <c r="G23" s="12"/>
      <c r="H23" s="12"/>
      <c r="I23" s="12" t="s">
        <v>97</v>
      </c>
      <c r="J23" s="12"/>
      <c r="K23" s="12"/>
      <c r="L23" s="133"/>
      <c r="M23" s="134"/>
      <c r="N23" s="134"/>
      <c r="O23" s="134"/>
      <c r="P23" s="134"/>
      <c r="Q23" s="134"/>
      <c r="R23" s="135"/>
    </row>
    <row r="24" spans="1:18" ht="41.4" customHeight="1" x14ac:dyDescent="0.25">
      <c r="A24" s="12"/>
      <c r="B24" s="12"/>
      <c r="C24" s="12">
        <f t="shared" si="1"/>
        <v>3.1</v>
      </c>
      <c r="D24" s="12">
        <v>3.8</v>
      </c>
      <c r="E24" s="12" t="s">
        <v>97</v>
      </c>
      <c r="F24" s="12"/>
      <c r="G24" s="12"/>
      <c r="H24" s="12"/>
      <c r="I24" s="12" t="s">
        <v>97</v>
      </c>
      <c r="J24" s="12"/>
      <c r="K24" s="12"/>
      <c r="L24" s="133"/>
      <c r="M24" s="134"/>
      <c r="N24" s="134"/>
      <c r="O24" s="134"/>
      <c r="P24" s="134"/>
      <c r="Q24" s="134"/>
      <c r="R24" s="135"/>
    </row>
    <row r="25" spans="1:18" ht="41.4" customHeight="1" x14ac:dyDescent="0.25">
      <c r="A25" s="12"/>
      <c r="B25" s="12"/>
      <c r="C25" s="12">
        <f t="shared" si="1"/>
        <v>3.8</v>
      </c>
      <c r="D25" s="12">
        <v>13</v>
      </c>
      <c r="E25" s="12" t="s">
        <v>97</v>
      </c>
      <c r="F25" s="12"/>
      <c r="G25" s="12"/>
      <c r="H25" s="12"/>
      <c r="I25" s="12" t="s">
        <v>97</v>
      </c>
      <c r="J25" s="12"/>
      <c r="K25" s="12"/>
      <c r="L25" s="133"/>
      <c r="M25" s="134"/>
      <c r="N25" s="134"/>
      <c r="O25" s="134"/>
      <c r="P25" s="134"/>
      <c r="Q25" s="134"/>
      <c r="R25" s="135"/>
    </row>
    <row r="26" spans="1:18" ht="41.4" customHeight="1" x14ac:dyDescent="0.25">
      <c r="A26" s="12"/>
      <c r="B26" s="12"/>
      <c r="C26" s="12">
        <f t="shared" si="1"/>
        <v>13</v>
      </c>
      <c r="D26" s="12">
        <v>13.5</v>
      </c>
      <c r="E26" s="12" t="s">
        <v>97</v>
      </c>
      <c r="F26" s="12"/>
      <c r="G26" s="12"/>
      <c r="H26" s="12"/>
      <c r="I26" s="12" t="s">
        <v>97</v>
      </c>
      <c r="J26" s="12"/>
      <c r="K26" s="12"/>
      <c r="L26" s="133"/>
      <c r="M26" s="134"/>
      <c r="N26" s="134"/>
      <c r="O26" s="134"/>
      <c r="P26" s="134"/>
      <c r="Q26" s="134"/>
      <c r="R26" s="135"/>
    </row>
    <row r="27" spans="1:18" ht="41.4" customHeight="1" x14ac:dyDescent="0.25">
      <c r="A27" s="12"/>
      <c r="B27" s="12"/>
      <c r="C27" s="12">
        <f t="shared" si="1"/>
        <v>13.5</v>
      </c>
      <c r="D27" s="12">
        <v>13.6</v>
      </c>
      <c r="E27" s="12" t="s">
        <v>97</v>
      </c>
      <c r="F27" s="12"/>
      <c r="G27" s="12"/>
      <c r="H27" s="12"/>
      <c r="I27" s="12" t="s">
        <v>97</v>
      </c>
      <c r="J27" s="12"/>
      <c r="K27" s="12"/>
      <c r="L27" s="133"/>
      <c r="M27" s="134"/>
      <c r="N27" s="134"/>
      <c r="O27" s="134"/>
      <c r="P27" s="134"/>
      <c r="Q27" s="134"/>
      <c r="R27" s="135"/>
    </row>
    <row r="28" spans="1:18" ht="41.4" customHeight="1" x14ac:dyDescent="0.25">
      <c r="A28" s="12"/>
      <c r="B28" s="12"/>
      <c r="C28" s="12">
        <f t="shared" si="1"/>
        <v>13.6</v>
      </c>
      <c r="D28" s="12">
        <v>13.7</v>
      </c>
      <c r="E28" s="12" t="s">
        <v>97</v>
      </c>
      <c r="F28" s="12"/>
      <c r="G28" s="12"/>
      <c r="H28" s="12"/>
      <c r="I28" s="12" t="s">
        <v>97</v>
      </c>
      <c r="J28" s="12"/>
      <c r="K28" s="12"/>
      <c r="L28" s="133"/>
      <c r="M28" s="134"/>
      <c r="N28" s="134"/>
      <c r="O28" s="134"/>
      <c r="P28" s="134"/>
      <c r="Q28" s="134"/>
      <c r="R28" s="135"/>
    </row>
    <row r="29" spans="1:18" ht="41.4" customHeight="1" x14ac:dyDescent="0.25">
      <c r="A29" s="12"/>
      <c r="B29" s="12"/>
      <c r="C29" s="12">
        <f t="shared" si="1"/>
        <v>13.7</v>
      </c>
      <c r="D29" s="12">
        <v>14.4</v>
      </c>
      <c r="E29" s="12" t="s">
        <v>97</v>
      </c>
      <c r="F29" s="12"/>
      <c r="G29" s="12"/>
      <c r="H29" s="12"/>
      <c r="I29" s="12" t="s">
        <v>97</v>
      </c>
      <c r="J29" s="12"/>
      <c r="K29" s="12"/>
      <c r="L29" s="133"/>
      <c r="M29" s="134"/>
      <c r="N29" s="134"/>
      <c r="O29" s="134"/>
      <c r="P29" s="134"/>
      <c r="Q29" s="134"/>
      <c r="R29" s="135"/>
    </row>
    <row r="30" spans="1:18" ht="41.4" customHeight="1" x14ac:dyDescent="0.25">
      <c r="A30" s="12"/>
      <c r="B30" s="12"/>
      <c r="C30" s="12">
        <f t="shared" si="1"/>
        <v>14.4</v>
      </c>
      <c r="D30" s="12">
        <v>17.37</v>
      </c>
      <c r="E30" s="12" t="s">
        <v>97</v>
      </c>
      <c r="F30" s="12"/>
      <c r="G30" s="12"/>
      <c r="H30" s="12"/>
      <c r="I30" s="12" t="s">
        <v>97</v>
      </c>
      <c r="J30" s="12"/>
      <c r="K30" s="12"/>
      <c r="L30" s="133"/>
      <c r="M30" s="134"/>
      <c r="N30" s="134"/>
      <c r="O30" s="134"/>
      <c r="P30" s="134"/>
      <c r="Q30" s="134"/>
      <c r="R30" s="135"/>
    </row>
    <row r="31" spans="1:18" ht="41.4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33"/>
      <c r="M31" s="134"/>
      <c r="N31" s="134"/>
      <c r="O31" s="134"/>
      <c r="P31" s="134"/>
      <c r="Q31" s="134"/>
      <c r="R31" s="135"/>
    </row>
    <row r="32" spans="1:18" ht="41.4" customHeight="1" x14ac:dyDescent="0.25">
      <c r="A32" s="12" t="s">
        <v>78</v>
      </c>
      <c r="B32" s="12" t="s">
        <v>96</v>
      </c>
      <c r="C32" s="12">
        <v>0</v>
      </c>
      <c r="D32" s="12">
        <v>1</v>
      </c>
      <c r="E32" s="12" t="s">
        <v>97</v>
      </c>
      <c r="F32" s="12"/>
      <c r="G32" s="12"/>
      <c r="H32" s="12"/>
      <c r="I32" s="12" t="s">
        <v>97</v>
      </c>
      <c r="J32" s="12"/>
      <c r="K32" s="12"/>
      <c r="L32" s="133"/>
      <c r="M32" s="134"/>
      <c r="N32" s="134"/>
      <c r="O32" s="134"/>
      <c r="P32" s="134"/>
      <c r="Q32" s="134"/>
      <c r="R32" s="135"/>
    </row>
    <row r="33" spans="1:18" ht="41.4" customHeight="1" x14ac:dyDescent="0.25">
      <c r="A33" s="12"/>
      <c r="B33" s="12"/>
      <c r="C33" s="12">
        <f t="shared" ref="C33:C38" si="2">D32</f>
        <v>1</v>
      </c>
      <c r="D33" s="12">
        <v>1.5</v>
      </c>
      <c r="E33" s="12" t="s">
        <v>97</v>
      </c>
      <c r="F33" s="12"/>
      <c r="G33" s="12"/>
      <c r="H33" s="12"/>
      <c r="I33" s="12" t="s">
        <v>97</v>
      </c>
      <c r="J33" s="12"/>
      <c r="K33" s="12"/>
      <c r="L33" s="133"/>
      <c r="M33" s="134"/>
      <c r="N33" s="134"/>
      <c r="O33" s="134"/>
      <c r="P33" s="134"/>
      <c r="Q33" s="134"/>
      <c r="R33" s="135"/>
    </row>
    <row r="34" spans="1:18" ht="41.4" customHeight="1" x14ac:dyDescent="0.25">
      <c r="A34" s="12"/>
      <c r="B34" s="12"/>
      <c r="C34" s="12">
        <f t="shared" si="2"/>
        <v>1.5</v>
      </c>
      <c r="D34" s="12">
        <v>10.5</v>
      </c>
      <c r="E34" s="12" t="s">
        <v>97</v>
      </c>
      <c r="F34" s="12"/>
      <c r="G34" s="12"/>
      <c r="H34" s="12"/>
      <c r="I34" s="12" t="s">
        <v>97</v>
      </c>
      <c r="J34" s="12"/>
      <c r="K34" s="12"/>
      <c r="L34" s="133"/>
      <c r="M34" s="134"/>
      <c r="N34" s="134"/>
      <c r="O34" s="134"/>
      <c r="P34" s="134"/>
      <c r="Q34" s="134"/>
      <c r="R34" s="135"/>
    </row>
    <row r="35" spans="1:18" ht="41.4" customHeight="1" x14ac:dyDescent="0.25">
      <c r="A35" s="12"/>
      <c r="B35" s="12"/>
      <c r="C35" s="12">
        <f t="shared" si="2"/>
        <v>10.5</v>
      </c>
      <c r="D35" s="12">
        <v>16.600000000000001</v>
      </c>
      <c r="E35" s="12" t="s">
        <v>97</v>
      </c>
      <c r="F35" s="12"/>
      <c r="G35" s="12"/>
      <c r="H35" s="12"/>
      <c r="I35" s="12" t="s">
        <v>97</v>
      </c>
      <c r="J35" s="12"/>
      <c r="K35" s="12"/>
      <c r="L35" s="133"/>
      <c r="M35" s="134"/>
      <c r="N35" s="134"/>
      <c r="O35" s="134"/>
      <c r="P35" s="134"/>
      <c r="Q35" s="134"/>
      <c r="R35" s="135"/>
    </row>
    <row r="36" spans="1:18" ht="41.4" customHeight="1" x14ac:dyDescent="0.25">
      <c r="A36" s="12"/>
      <c r="B36" s="12"/>
      <c r="C36" s="12">
        <f t="shared" si="2"/>
        <v>16.600000000000001</v>
      </c>
      <c r="D36" s="12">
        <v>17.7</v>
      </c>
      <c r="E36" s="12" t="s">
        <v>97</v>
      </c>
      <c r="F36" s="12"/>
      <c r="G36" s="12"/>
      <c r="H36" s="12"/>
      <c r="I36" s="12" t="s">
        <v>97</v>
      </c>
      <c r="J36" s="12"/>
      <c r="K36" s="12"/>
      <c r="L36" s="133"/>
      <c r="M36" s="134"/>
      <c r="N36" s="134"/>
      <c r="O36" s="134"/>
      <c r="P36" s="134"/>
      <c r="Q36" s="134"/>
      <c r="R36" s="135"/>
    </row>
    <row r="37" spans="1:18" ht="41.4" customHeight="1" x14ac:dyDescent="0.25">
      <c r="A37" s="12"/>
      <c r="B37" s="12"/>
      <c r="C37" s="12">
        <f t="shared" si="2"/>
        <v>17.7</v>
      </c>
      <c r="D37" s="12">
        <v>33.4</v>
      </c>
      <c r="E37" s="12" t="s">
        <v>97</v>
      </c>
      <c r="F37" s="12"/>
      <c r="G37" s="12"/>
      <c r="H37" s="12"/>
      <c r="I37" s="12" t="s">
        <v>97</v>
      </c>
      <c r="J37" s="12"/>
      <c r="K37" s="12"/>
      <c r="L37" s="133"/>
      <c r="M37" s="134"/>
      <c r="N37" s="134"/>
      <c r="O37" s="134"/>
      <c r="P37" s="134"/>
      <c r="Q37" s="134"/>
      <c r="R37" s="135"/>
    </row>
    <row r="38" spans="1:18" ht="41.4" customHeight="1" x14ac:dyDescent="0.25">
      <c r="A38" s="9"/>
      <c r="B38" s="3"/>
      <c r="C38" s="12">
        <f t="shared" si="2"/>
        <v>33.4</v>
      </c>
      <c r="D38" s="12">
        <v>34.49</v>
      </c>
      <c r="E38" s="12" t="s">
        <v>97</v>
      </c>
      <c r="F38" s="12"/>
      <c r="G38" s="11"/>
      <c r="H38" s="11"/>
      <c r="I38" s="12" t="s">
        <v>97</v>
      </c>
      <c r="J38" s="11"/>
      <c r="K38" s="11"/>
      <c r="L38" s="133"/>
      <c r="M38" s="134"/>
      <c r="N38" s="134"/>
      <c r="O38" s="134"/>
      <c r="P38" s="134"/>
      <c r="Q38" s="134"/>
      <c r="R38" s="135"/>
    </row>
    <row r="39" spans="1:18" ht="41.4" customHeight="1" thickBot="1" x14ac:dyDescent="0.3">
      <c r="A39" s="10"/>
      <c r="B39" s="4"/>
      <c r="C39" s="13"/>
      <c r="D39" s="13"/>
      <c r="E39" s="14"/>
      <c r="F39" s="14"/>
      <c r="G39" s="14"/>
      <c r="H39" s="14"/>
      <c r="I39" s="14"/>
      <c r="J39" s="14"/>
      <c r="K39" s="14"/>
      <c r="L39" s="99"/>
      <c r="M39" s="99"/>
      <c r="N39" s="99"/>
      <c r="O39" s="99"/>
      <c r="P39" s="99"/>
      <c r="Q39" s="99"/>
      <c r="R39" s="100"/>
    </row>
    <row r="40" spans="1:18" ht="41.4" customHeight="1" x14ac:dyDescent="0.25">
      <c r="A40" s="24"/>
      <c r="B40" s="24"/>
      <c r="C40" s="25"/>
      <c r="D40" s="25"/>
      <c r="E40" s="26"/>
      <c r="F40" s="26"/>
      <c r="G40" s="26"/>
      <c r="H40" s="26"/>
      <c r="I40" s="26"/>
      <c r="J40" s="26"/>
      <c r="K40" s="26"/>
      <c r="L40" s="96"/>
      <c r="M40" s="96"/>
      <c r="N40" s="96"/>
      <c r="O40" s="96"/>
      <c r="P40" s="96"/>
      <c r="Q40" s="96"/>
      <c r="R40" s="96"/>
    </row>
    <row r="41" spans="1:18" ht="41.4" customHeight="1" x14ac:dyDescent="0.25">
      <c r="C41" s="27"/>
      <c r="D41" s="27"/>
      <c r="E41" s="27">
        <f t="shared" ref="E41" si="3">IF(E7="X",(D7-C7),"0")</f>
        <v>4</v>
      </c>
      <c r="F41" s="27" t="str">
        <f t="shared" ref="F41" si="4">IF(F7="X",(D7-C7),"0")</f>
        <v>0</v>
      </c>
      <c r="G41" s="27" t="str">
        <f t="shared" ref="G41" si="5">IF(G7="X",(D7-C7),"0")</f>
        <v>0</v>
      </c>
      <c r="H41" s="27" t="str">
        <f t="shared" ref="H41" si="6">IF(H7="X",(D7-C7),"0")</f>
        <v>0</v>
      </c>
      <c r="I41" s="27">
        <f t="shared" ref="I41" si="7">IF(I7="X",(D7-C7),"0")</f>
        <v>4</v>
      </c>
      <c r="J41" s="27" t="str">
        <f t="shared" ref="J41" si="8">IF(J7="X",(D7-C7),"0")</f>
        <v>0</v>
      </c>
      <c r="K41" s="27" t="str">
        <f t="shared" ref="K41" si="9">IF(K7="X",(D7-C7),"0")</f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>
        <f t="shared" ref="E42:E57" si="10">IF(E8="X",(D8-C8),"0")</f>
        <v>0.79999999999999982</v>
      </c>
      <c r="F42" s="27" t="str">
        <f t="shared" ref="F42:F57" si="11">IF(F8="X",(D8-C8),"0")</f>
        <v>0</v>
      </c>
      <c r="G42" s="27" t="str">
        <f t="shared" ref="G42:G57" si="12">IF(G8="X",(D8-C8),"0")</f>
        <v>0</v>
      </c>
      <c r="H42" s="27" t="str">
        <f t="shared" ref="H42:H57" si="13">IF(H8="X",(D8-C8),"0")</f>
        <v>0</v>
      </c>
      <c r="I42" s="27">
        <f t="shared" ref="I42:I57" si="14">IF(I8="X",(D8-C8),"0")</f>
        <v>0.79999999999999982</v>
      </c>
      <c r="J42" s="27" t="str">
        <f t="shared" ref="J42:J57" si="15">IF(J8="X",(D8-C8),"0")</f>
        <v>0</v>
      </c>
      <c r="K42" s="27" t="str">
        <f t="shared" ref="K42:K57" si="16">IF(K8="X",(D8-C8),"0")</f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>
        <f t="shared" si="10"/>
        <v>2.6000000000000005</v>
      </c>
      <c r="F43" s="27" t="str">
        <f t="shared" si="11"/>
        <v>0</v>
      </c>
      <c r="G43" s="27" t="str">
        <f t="shared" si="12"/>
        <v>0</v>
      </c>
      <c r="H43" s="27" t="str">
        <f t="shared" si="13"/>
        <v>0</v>
      </c>
      <c r="I43" s="27">
        <f t="shared" si="14"/>
        <v>2.6000000000000005</v>
      </c>
      <c r="J43" s="27" t="str">
        <f t="shared" si="15"/>
        <v>0</v>
      </c>
      <c r="K43" s="27" t="str">
        <f t="shared" si="16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>
        <f t="shared" si="10"/>
        <v>0.39999999999999947</v>
      </c>
      <c r="F44" s="27" t="str">
        <f t="shared" si="11"/>
        <v>0</v>
      </c>
      <c r="G44" s="27" t="str">
        <f t="shared" si="12"/>
        <v>0</v>
      </c>
      <c r="H44" s="27" t="str">
        <f t="shared" si="13"/>
        <v>0</v>
      </c>
      <c r="I44" s="27">
        <f t="shared" si="14"/>
        <v>0.39999999999999947</v>
      </c>
      <c r="J44" s="27" t="str">
        <f t="shared" si="15"/>
        <v>0</v>
      </c>
      <c r="K44" s="27" t="str">
        <f t="shared" si="16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>
        <f t="shared" si="10"/>
        <v>0.50000000000000089</v>
      </c>
      <c r="F45" s="27" t="str">
        <f t="shared" si="11"/>
        <v>0</v>
      </c>
      <c r="G45" s="27" t="str">
        <f t="shared" si="12"/>
        <v>0</v>
      </c>
      <c r="H45" s="27" t="str">
        <f t="shared" si="13"/>
        <v>0</v>
      </c>
      <c r="I45" s="27">
        <f t="shared" si="14"/>
        <v>0.50000000000000089</v>
      </c>
      <c r="J45" s="27" t="str">
        <f t="shared" si="15"/>
        <v>0</v>
      </c>
      <c r="K45" s="27" t="str">
        <f t="shared" si="16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>
        <f t="shared" si="10"/>
        <v>0.89999999999999858</v>
      </c>
      <c r="F46" s="27" t="str">
        <f t="shared" si="11"/>
        <v>0</v>
      </c>
      <c r="G46" s="27" t="str">
        <f t="shared" si="12"/>
        <v>0</v>
      </c>
      <c r="H46" s="27" t="str">
        <f t="shared" si="13"/>
        <v>0</v>
      </c>
      <c r="I46" s="27">
        <f t="shared" si="14"/>
        <v>0.89999999999999858</v>
      </c>
      <c r="J46" s="27" t="str">
        <f t="shared" si="15"/>
        <v>0</v>
      </c>
      <c r="K46" s="27" t="str">
        <f t="shared" si="16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>
        <f t="shared" si="10"/>
        <v>0.20000000000000107</v>
      </c>
      <c r="F47" s="27" t="str">
        <f t="shared" si="11"/>
        <v>0</v>
      </c>
      <c r="G47" s="27" t="str">
        <f t="shared" si="12"/>
        <v>0</v>
      </c>
      <c r="H47" s="27" t="str">
        <f t="shared" si="13"/>
        <v>0</v>
      </c>
      <c r="I47" s="27">
        <f t="shared" si="14"/>
        <v>0.20000000000000107</v>
      </c>
      <c r="J47" s="27" t="str">
        <f t="shared" si="15"/>
        <v>0</v>
      </c>
      <c r="K47" s="27" t="str">
        <f t="shared" si="16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>
        <f t="shared" si="10"/>
        <v>2.9000000000000004</v>
      </c>
      <c r="F48" s="27" t="str">
        <f t="shared" si="11"/>
        <v>0</v>
      </c>
      <c r="G48" s="27" t="str">
        <f t="shared" si="12"/>
        <v>0</v>
      </c>
      <c r="H48" s="27" t="str">
        <f t="shared" si="13"/>
        <v>0</v>
      </c>
      <c r="I48" s="27">
        <f t="shared" si="14"/>
        <v>2.9000000000000004</v>
      </c>
      <c r="J48" s="27" t="str">
        <f t="shared" si="15"/>
        <v>0</v>
      </c>
      <c r="K48" s="27" t="str">
        <f t="shared" si="16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>
        <f t="shared" si="10"/>
        <v>1.8999999999999986</v>
      </c>
      <c r="F49" s="27" t="str">
        <f t="shared" si="11"/>
        <v>0</v>
      </c>
      <c r="G49" s="27" t="str">
        <f t="shared" si="12"/>
        <v>0</v>
      </c>
      <c r="H49" s="27" t="str">
        <f t="shared" si="13"/>
        <v>0</v>
      </c>
      <c r="I49" s="27">
        <f t="shared" si="14"/>
        <v>1.8999999999999986</v>
      </c>
      <c r="J49" s="27" t="str">
        <f t="shared" si="15"/>
        <v>0</v>
      </c>
      <c r="K49" s="27" t="str">
        <f t="shared" si="16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>
        <f t="shared" si="10"/>
        <v>0.90000000000000036</v>
      </c>
      <c r="F50" s="27" t="str">
        <f t="shared" si="11"/>
        <v>0</v>
      </c>
      <c r="G50" s="27" t="str">
        <f t="shared" si="12"/>
        <v>0</v>
      </c>
      <c r="H50" s="27" t="str">
        <f t="shared" si="13"/>
        <v>0</v>
      </c>
      <c r="I50" s="27">
        <f t="shared" si="14"/>
        <v>0.90000000000000036</v>
      </c>
      <c r="J50" s="27" t="str">
        <f t="shared" si="15"/>
        <v>0</v>
      </c>
      <c r="K50" s="27" t="str">
        <f t="shared" si="16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>
        <f t="shared" si="10"/>
        <v>3.0999999999999996</v>
      </c>
      <c r="F51" s="27" t="str">
        <f t="shared" si="11"/>
        <v>0</v>
      </c>
      <c r="G51" s="27" t="str">
        <f t="shared" si="12"/>
        <v>0</v>
      </c>
      <c r="H51" s="27" t="str">
        <f t="shared" si="13"/>
        <v>0</v>
      </c>
      <c r="I51" s="27">
        <f t="shared" si="14"/>
        <v>3.0999999999999996</v>
      </c>
      <c r="J51" s="27" t="str">
        <f t="shared" si="15"/>
        <v>0</v>
      </c>
      <c r="K51" s="27" t="str">
        <f t="shared" si="16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>
        <f t="shared" si="10"/>
        <v>2.1000000000000014</v>
      </c>
      <c r="F52" s="27" t="str">
        <f t="shared" si="11"/>
        <v>0</v>
      </c>
      <c r="G52" s="27" t="str">
        <f t="shared" si="12"/>
        <v>0</v>
      </c>
      <c r="H52" s="27" t="str">
        <f t="shared" si="13"/>
        <v>0</v>
      </c>
      <c r="I52" s="27">
        <f t="shared" si="14"/>
        <v>2.1000000000000014</v>
      </c>
      <c r="J52" s="27" t="str">
        <f t="shared" si="15"/>
        <v>0</v>
      </c>
      <c r="K52" s="27" t="str">
        <f t="shared" si="16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>
        <f t="shared" si="10"/>
        <v>1.3999999999999986</v>
      </c>
      <c r="F53" s="27" t="str">
        <f t="shared" si="11"/>
        <v>0</v>
      </c>
      <c r="G53" s="27" t="str">
        <f t="shared" si="12"/>
        <v>0</v>
      </c>
      <c r="H53" s="27" t="str">
        <f t="shared" si="13"/>
        <v>0</v>
      </c>
      <c r="I53" s="27">
        <f t="shared" si="14"/>
        <v>1.3999999999999986</v>
      </c>
      <c r="J53" s="27" t="str">
        <f t="shared" si="15"/>
        <v>0</v>
      </c>
      <c r="K53" s="27" t="str">
        <f t="shared" si="16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10"/>
        <v>0</v>
      </c>
      <c r="F54" s="27" t="str">
        <f t="shared" si="11"/>
        <v>0</v>
      </c>
      <c r="G54" s="27" t="str">
        <f t="shared" si="12"/>
        <v>0</v>
      </c>
      <c r="H54" s="27" t="str">
        <f t="shared" si="13"/>
        <v>0</v>
      </c>
      <c r="I54" s="27" t="str">
        <f t="shared" si="14"/>
        <v>0</v>
      </c>
      <c r="J54" s="27" t="str">
        <f t="shared" si="15"/>
        <v>0</v>
      </c>
      <c r="K54" s="27" t="str">
        <f t="shared" si="16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10"/>
        <v>0</v>
      </c>
      <c r="F55" s="27" t="str">
        <f t="shared" si="11"/>
        <v>0</v>
      </c>
      <c r="G55" s="27" t="str">
        <f t="shared" si="12"/>
        <v>0</v>
      </c>
      <c r="H55" s="27" t="str">
        <f t="shared" si="13"/>
        <v>0</v>
      </c>
      <c r="I55" s="27">
        <f t="shared" si="14"/>
        <v>0.8</v>
      </c>
      <c r="J55" s="27" t="str">
        <f t="shared" si="15"/>
        <v>0</v>
      </c>
      <c r="K55" s="27" t="str">
        <f t="shared" si="16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>
        <f t="shared" si="10"/>
        <v>1</v>
      </c>
      <c r="F56" s="27" t="str">
        <f t="shared" si="11"/>
        <v>0</v>
      </c>
      <c r="G56" s="27" t="str">
        <f t="shared" si="12"/>
        <v>0</v>
      </c>
      <c r="H56" s="27" t="str">
        <f t="shared" si="13"/>
        <v>0</v>
      </c>
      <c r="I56" s="27">
        <f t="shared" si="14"/>
        <v>1</v>
      </c>
      <c r="J56" s="27" t="str">
        <f t="shared" si="15"/>
        <v>0</v>
      </c>
      <c r="K56" s="27" t="str">
        <f t="shared" si="16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>
        <f t="shared" si="10"/>
        <v>1.3</v>
      </c>
      <c r="F57" s="27" t="str">
        <f t="shared" si="11"/>
        <v>0</v>
      </c>
      <c r="G57" s="27" t="str">
        <f t="shared" si="12"/>
        <v>0</v>
      </c>
      <c r="H57" s="27" t="str">
        <f t="shared" si="13"/>
        <v>0</v>
      </c>
      <c r="I57" s="27">
        <f t="shared" si="14"/>
        <v>1.3</v>
      </c>
      <c r="J57" s="27" t="str">
        <f t="shared" si="15"/>
        <v>0</v>
      </c>
      <c r="K57" s="27" t="str">
        <f t="shared" si="16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>
        <f t="shared" ref="E58:E74" si="17">IF(E24="X",(D24-C24),"0")</f>
        <v>0.69999999999999973</v>
      </c>
      <c r="F58" s="27" t="str">
        <f t="shared" ref="F58:F74" si="18">IF(F24="X",(D24-C24),"0")</f>
        <v>0</v>
      </c>
      <c r="G58" s="27" t="str">
        <f t="shared" ref="G58:G74" si="19">IF(G24="X",(D24-C24),"0")</f>
        <v>0</v>
      </c>
      <c r="H58" s="27" t="str">
        <f t="shared" ref="H58:H74" si="20">IF(H24="X",(D24-C24),"0")</f>
        <v>0</v>
      </c>
      <c r="I58" s="27">
        <f t="shared" ref="I58:I74" si="21">IF(I24="X",(D24-C24),"0")</f>
        <v>0.69999999999999973</v>
      </c>
      <c r="J58" s="27" t="str">
        <f t="shared" ref="J58:J74" si="22">IF(J24="X",(D24-C24),"0")</f>
        <v>0</v>
      </c>
      <c r="K58" s="27" t="str">
        <f t="shared" ref="K58:K74" si="23">IF(K24="X",(D24-C24),"0")</f>
        <v>0</v>
      </c>
      <c r="L58" s="28"/>
      <c r="M58" s="28"/>
      <c r="N58" s="28"/>
      <c r="O58" s="28"/>
      <c r="P58" s="28"/>
      <c r="Q58" s="28"/>
      <c r="R58" s="28"/>
    </row>
    <row r="59" spans="3:18" ht="41.4" customHeight="1" x14ac:dyDescent="0.25">
      <c r="C59" s="27"/>
      <c r="D59" s="27"/>
      <c r="E59" s="27">
        <f t="shared" si="17"/>
        <v>9.1999999999999993</v>
      </c>
      <c r="F59" s="27" t="str">
        <f t="shared" si="18"/>
        <v>0</v>
      </c>
      <c r="G59" s="27" t="str">
        <f t="shared" si="19"/>
        <v>0</v>
      </c>
      <c r="H59" s="27" t="str">
        <f t="shared" si="20"/>
        <v>0</v>
      </c>
      <c r="I59" s="27">
        <f t="shared" si="21"/>
        <v>9.1999999999999993</v>
      </c>
      <c r="J59" s="27" t="str">
        <f t="shared" si="22"/>
        <v>0</v>
      </c>
      <c r="K59" s="27" t="str">
        <f t="shared" si="23"/>
        <v>0</v>
      </c>
      <c r="L59" s="28"/>
      <c r="M59" s="28"/>
      <c r="N59" s="28"/>
      <c r="O59" s="28"/>
      <c r="P59" s="28"/>
      <c r="Q59" s="28"/>
      <c r="R59" s="28"/>
    </row>
    <row r="60" spans="3:18" ht="41.4" customHeight="1" x14ac:dyDescent="0.25">
      <c r="C60" s="27"/>
      <c r="D60" s="27"/>
      <c r="E60" s="27">
        <f t="shared" si="17"/>
        <v>0.5</v>
      </c>
      <c r="F60" s="27" t="str">
        <f t="shared" si="18"/>
        <v>0</v>
      </c>
      <c r="G60" s="27" t="str">
        <f t="shared" si="19"/>
        <v>0</v>
      </c>
      <c r="H60" s="27" t="str">
        <f t="shared" si="20"/>
        <v>0</v>
      </c>
      <c r="I60" s="27">
        <f t="shared" si="21"/>
        <v>0.5</v>
      </c>
      <c r="J60" s="27" t="str">
        <f t="shared" si="22"/>
        <v>0</v>
      </c>
      <c r="K60" s="27" t="str">
        <f t="shared" si="23"/>
        <v>0</v>
      </c>
      <c r="L60" s="28"/>
      <c r="M60" s="28"/>
      <c r="N60" s="28"/>
      <c r="O60" s="28"/>
      <c r="P60" s="28"/>
      <c r="Q60" s="28"/>
      <c r="R60" s="28"/>
    </row>
    <row r="61" spans="3:18" ht="41.4" customHeight="1" x14ac:dyDescent="0.25">
      <c r="C61" s="27"/>
      <c r="D61" s="27"/>
      <c r="E61" s="27">
        <f t="shared" si="17"/>
        <v>9.9999999999999645E-2</v>
      </c>
      <c r="F61" s="27" t="str">
        <f t="shared" si="18"/>
        <v>0</v>
      </c>
      <c r="G61" s="27" t="str">
        <f t="shared" si="19"/>
        <v>0</v>
      </c>
      <c r="H61" s="27" t="str">
        <f t="shared" si="20"/>
        <v>0</v>
      </c>
      <c r="I61" s="27">
        <f t="shared" si="21"/>
        <v>9.9999999999999645E-2</v>
      </c>
      <c r="J61" s="27" t="str">
        <f t="shared" si="22"/>
        <v>0</v>
      </c>
      <c r="K61" s="27" t="str">
        <f t="shared" si="23"/>
        <v>0</v>
      </c>
      <c r="L61" s="28"/>
      <c r="M61" s="28"/>
      <c r="N61" s="28"/>
      <c r="O61" s="28"/>
      <c r="P61" s="28"/>
      <c r="Q61" s="28"/>
      <c r="R61" s="28"/>
    </row>
    <row r="62" spans="3:18" ht="41.4" customHeight="1" x14ac:dyDescent="0.25">
      <c r="C62" s="27"/>
      <c r="D62" s="27"/>
      <c r="E62" s="27">
        <f t="shared" si="17"/>
        <v>9.9999999999999645E-2</v>
      </c>
      <c r="F62" s="27" t="str">
        <f t="shared" si="18"/>
        <v>0</v>
      </c>
      <c r="G62" s="27" t="str">
        <f t="shared" si="19"/>
        <v>0</v>
      </c>
      <c r="H62" s="27" t="str">
        <f t="shared" si="20"/>
        <v>0</v>
      </c>
      <c r="I62" s="27">
        <f t="shared" si="21"/>
        <v>9.9999999999999645E-2</v>
      </c>
      <c r="J62" s="27" t="str">
        <f t="shared" si="22"/>
        <v>0</v>
      </c>
      <c r="K62" s="27" t="str">
        <f t="shared" si="23"/>
        <v>0</v>
      </c>
      <c r="L62" s="28"/>
      <c r="M62" s="28"/>
      <c r="N62" s="28"/>
      <c r="O62" s="28"/>
      <c r="P62" s="28"/>
      <c r="Q62" s="28"/>
      <c r="R62" s="28"/>
    </row>
    <row r="63" spans="3:18" ht="41.4" customHeight="1" x14ac:dyDescent="0.25">
      <c r="C63" s="27"/>
      <c r="D63" s="27"/>
      <c r="E63" s="27">
        <f t="shared" si="17"/>
        <v>0.70000000000000107</v>
      </c>
      <c r="F63" s="27" t="str">
        <f t="shared" si="18"/>
        <v>0</v>
      </c>
      <c r="G63" s="27" t="str">
        <f t="shared" si="19"/>
        <v>0</v>
      </c>
      <c r="H63" s="27" t="str">
        <f t="shared" si="20"/>
        <v>0</v>
      </c>
      <c r="I63" s="27">
        <f t="shared" si="21"/>
        <v>0.70000000000000107</v>
      </c>
      <c r="J63" s="27" t="str">
        <f t="shared" si="22"/>
        <v>0</v>
      </c>
      <c r="K63" s="27" t="str">
        <f t="shared" si="23"/>
        <v>0</v>
      </c>
      <c r="L63" s="28"/>
      <c r="M63" s="28"/>
      <c r="N63" s="28"/>
      <c r="O63" s="28"/>
      <c r="P63" s="28"/>
      <c r="Q63" s="28"/>
      <c r="R63" s="28"/>
    </row>
    <row r="64" spans="3:18" ht="41.4" customHeight="1" x14ac:dyDescent="0.25">
      <c r="C64" s="27"/>
      <c r="D64" s="27"/>
      <c r="E64" s="27">
        <f t="shared" si="17"/>
        <v>2.9700000000000006</v>
      </c>
      <c r="F64" s="27" t="str">
        <f t="shared" si="18"/>
        <v>0</v>
      </c>
      <c r="G64" s="27" t="str">
        <f t="shared" si="19"/>
        <v>0</v>
      </c>
      <c r="H64" s="27" t="str">
        <f t="shared" si="20"/>
        <v>0</v>
      </c>
      <c r="I64" s="27">
        <f t="shared" si="21"/>
        <v>2.9700000000000006</v>
      </c>
      <c r="J64" s="27" t="str">
        <f t="shared" si="22"/>
        <v>0</v>
      </c>
      <c r="K64" s="27" t="str">
        <f t="shared" si="23"/>
        <v>0</v>
      </c>
      <c r="L64" s="28"/>
      <c r="M64" s="28"/>
      <c r="N64" s="28"/>
      <c r="O64" s="28"/>
      <c r="P64" s="28"/>
      <c r="Q64" s="28"/>
      <c r="R64" s="28"/>
    </row>
    <row r="65" spans="3:18" ht="41.4" customHeight="1" x14ac:dyDescent="0.25">
      <c r="C65" s="27"/>
      <c r="D65" s="27"/>
      <c r="E65" s="27" t="str">
        <f t="shared" si="17"/>
        <v>0</v>
      </c>
      <c r="F65" s="27" t="str">
        <f t="shared" si="18"/>
        <v>0</v>
      </c>
      <c r="G65" s="27" t="str">
        <f t="shared" si="19"/>
        <v>0</v>
      </c>
      <c r="H65" s="27" t="str">
        <f t="shared" si="20"/>
        <v>0</v>
      </c>
      <c r="I65" s="27" t="str">
        <f t="shared" si="21"/>
        <v>0</v>
      </c>
      <c r="J65" s="27" t="str">
        <f t="shared" si="22"/>
        <v>0</v>
      </c>
      <c r="K65" s="27" t="str">
        <f t="shared" si="23"/>
        <v>0</v>
      </c>
      <c r="L65" s="28"/>
      <c r="M65" s="28"/>
      <c r="N65" s="28"/>
      <c r="O65" s="28"/>
      <c r="P65" s="28"/>
      <c r="Q65" s="28"/>
      <c r="R65" s="28"/>
    </row>
    <row r="66" spans="3:18" ht="41.4" customHeight="1" x14ac:dyDescent="0.25">
      <c r="C66" s="27"/>
      <c r="D66" s="27"/>
      <c r="E66" s="27">
        <f t="shared" si="17"/>
        <v>1</v>
      </c>
      <c r="F66" s="27" t="str">
        <f t="shared" si="18"/>
        <v>0</v>
      </c>
      <c r="G66" s="27" t="str">
        <f t="shared" si="19"/>
        <v>0</v>
      </c>
      <c r="H66" s="27" t="str">
        <f t="shared" si="20"/>
        <v>0</v>
      </c>
      <c r="I66" s="27">
        <f t="shared" si="21"/>
        <v>1</v>
      </c>
      <c r="J66" s="27" t="str">
        <f t="shared" si="22"/>
        <v>0</v>
      </c>
      <c r="K66" s="27" t="str">
        <f t="shared" si="23"/>
        <v>0</v>
      </c>
      <c r="L66" s="28"/>
      <c r="M66" s="28"/>
      <c r="N66" s="28"/>
      <c r="O66" s="28"/>
      <c r="P66" s="28"/>
      <c r="Q66" s="28"/>
      <c r="R66" s="28"/>
    </row>
    <row r="67" spans="3:18" ht="41.4" customHeight="1" x14ac:dyDescent="0.25">
      <c r="C67" s="27"/>
      <c r="D67" s="27"/>
      <c r="E67" s="27">
        <f t="shared" si="17"/>
        <v>0.5</v>
      </c>
      <c r="F67" s="27" t="str">
        <f t="shared" si="18"/>
        <v>0</v>
      </c>
      <c r="G67" s="27" t="str">
        <f t="shared" si="19"/>
        <v>0</v>
      </c>
      <c r="H67" s="27" t="str">
        <f t="shared" si="20"/>
        <v>0</v>
      </c>
      <c r="I67" s="27">
        <f t="shared" si="21"/>
        <v>0.5</v>
      </c>
      <c r="J67" s="27" t="str">
        <f t="shared" si="22"/>
        <v>0</v>
      </c>
      <c r="K67" s="27" t="str">
        <f t="shared" si="23"/>
        <v>0</v>
      </c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>
        <f t="shared" si="17"/>
        <v>9</v>
      </c>
      <c r="F68" s="27" t="str">
        <f t="shared" si="18"/>
        <v>0</v>
      </c>
      <c r="G68" s="27" t="str">
        <f t="shared" si="19"/>
        <v>0</v>
      </c>
      <c r="H68" s="27" t="str">
        <f t="shared" si="20"/>
        <v>0</v>
      </c>
      <c r="I68" s="27">
        <f t="shared" si="21"/>
        <v>9</v>
      </c>
      <c r="J68" s="27" t="str">
        <f t="shared" si="22"/>
        <v>0</v>
      </c>
      <c r="K68" s="27" t="str">
        <f t="shared" si="23"/>
        <v>0</v>
      </c>
      <c r="L68" s="95"/>
      <c r="M68" s="95"/>
      <c r="N68" s="95"/>
      <c r="O68" s="95"/>
      <c r="P68" s="95"/>
      <c r="Q68" s="95"/>
      <c r="R68" s="95"/>
    </row>
    <row r="69" spans="3:18" ht="41.4" customHeight="1" x14ac:dyDescent="0.25">
      <c r="C69" s="27"/>
      <c r="D69" s="27"/>
      <c r="E69" s="27">
        <f t="shared" si="17"/>
        <v>6.1000000000000014</v>
      </c>
      <c r="F69" s="27" t="str">
        <f t="shared" si="18"/>
        <v>0</v>
      </c>
      <c r="G69" s="27" t="str">
        <f t="shared" si="19"/>
        <v>0</v>
      </c>
      <c r="H69" s="27" t="str">
        <f t="shared" si="20"/>
        <v>0</v>
      </c>
      <c r="I69" s="27">
        <f t="shared" si="21"/>
        <v>6.1000000000000014</v>
      </c>
      <c r="J69" s="27" t="str">
        <f t="shared" si="22"/>
        <v>0</v>
      </c>
      <c r="K69" s="27" t="str">
        <f t="shared" si="23"/>
        <v>0</v>
      </c>
      <c r="L69" s="95"/>
      <c r="M69" s="95"/>
      <c r="N69" s="95"/>
      <c r="O69" s="95"/>
      <c r="P69" s="95"/>
      <c r="Q69" s="95"/>
      <c r="R69" s="95"/>
    </row>
    <row r="70" spans="3:18" ht="41.4" customHeight="1" x14ac:dyDescent="0.25">
      <c r="C70" s="27"/>
      <c r="D70" s="27"/>
      <c r="E70" s="27">
        <f t="shared" si="17"/>
        <v>1.0999999999999979</v>
      </c>
      <c r="F70" s="27" t="str">
        <f t="shared" si="18"/>
        <v>0</v>
      </c>
      <c r="G70" s="27" t="str">
        <f t="shared" si="19"/>
        <v>0</v>
      </c>
      <c r="H70" s="27" t="str">
        <f t="shared" si="20"/>
        <v>0</v>
      </c>
      <c r="I70" s="27">
        <f t="shared" si="21"/>
        <v>1.0999999999999979</v>
      </c>
      <c r="J70" s="27" t="str">
        <f t="shared" si="22"/>
        <v>0</v>
      </c>
      <c r="K70" s="27" t="str">
        <f t="shared" si="23"/>
        <v>0</v>
      </c>
      <c r="L70" s="95"/>
      <c r="M70" s="95"/>
      <c r="N70" s="95"/>
      <c r="O70" s="95"/>
      <c r="P70" s="95"/>
      <c r="Q70" s="95"/>
      <c r="R70" s="95"/>
    </row>
    <row r="71" spans="3:18" ht="41.4" customHeight="1" x14ac:dyDescent="0.25">
      <c r="C71" s="27"/>
      <c r="D71" s="27"/>
      <c r="E71" s="27">
        <f t="shared" si="17"/>
        <v>15.7</v>
      </c>
      <c r="F71" s="27" t="str">
        <f t="shared" si="18"/>
        <v>0</v>
      </c>
      <c r="G71" s="27" t="str">
        <f t="shared" si="19"/>
        <v>0</v>
      </c>
      <c r="H71" s="27" t="str">
        <f t="shared" si="20"/>
        <v>0</v>
      </c>
      <c r="I71" s="27">
        <f t="shared" si="21"/>
        <v>15.7</v>
      </c>
      <c r="J71" s="27" t="str">
        <f t="shared" si="22"/>
        <v>0</v>
      </c>
      <c r="K71" s="27" t="str">
        <f t="shared" si="23"/>
        <v>0</v>
      </c>
      <c r="L71" s="95"/>
      <c r="M71" s="95"/>
      <c r="N71" s="95"/>
      <c r="O71" s="95"/>
      <c r="P71" s="95"/>
      <c r="Q71" s="95"/>
      <c r="R71" s="95"/>
    </row>
    <row r="72" spans="3:18" ht="41.4" customHeight="1" x14ac:dyDescent="0.25">
      <c r="C72" s="27"/>
      <c r="D72" s="27"/>
      <c r="E72" s="27">
        <f>IF(E38="X",(D38-C38),"0")</f>
        <v>1.0900000000000034</v>
      </c>
      <c r="F72" s="27" t="str">
        <f t="shared" si="18"/>
        <v>0</v>
      </c>
      <c r="G72" s="27" t="str">
        <f t="shared" si="19"/>
        <v>0</v>
      </c>
      <c r="H72" s="27" t="str">
        <f t="shared" si="20"/>
        <v>0</v>
      </c>
      <c r="I72" s="27">
        <f t="shared" si="21"/>
        <v>1.0900000000000034</v>
      </c>
      <c r="J72" s="27" t="str">
        <f t="shared" si="22"/>
        <v>0</v>
      </c>
      <c r="K72" s="27" t="str">
        <f t="shared" si="23"/>
        <v>0</v>
      </c>
      <c r="L72" s="95"/>
      <c r="M72" s="95"/>
      <c r="N72" s="95"/>
      <c r="O72" s="95"/>
      <c r="P72" s="95"/>
      <c r="Q72" s="95"/>
      <c r="R72" s="95"/>
    </row>
    <row r="73" spans="3:18" ht="41.4" customHeight="1" x14ac:dyDescent="0.25">
      <c r="C73" s="27"/>
      <c r="D73" s="27"/>
      <c r="E73" s="27" t="str">
        <f t="shared" si="17"/>
        <v>0</v>
      </c>
      <c r="F73" s="27" t="str">
        <f t="shared" si="18"/>
        <v>0</v>
      </c>
      <c r="G73" s="27" t="str">
        <f t="shared" si="19"/>
        <v>0</v>
      </c>
      <c r="H73" s="27" t="str">
        <f t="shared" si="20"/>
        <v>0</v>
      </c>
      <c r="I73" s="27" t="str">
        <f t="shared" si="21"/>
        <v>0</v>
      </c>
      <c r="J73" s="27" t="str">
        <f t="shared" si="22"/>
        <v>0</v>
      </c>
      <c r="K73" s="27" t="str">
        <f t="shared" si="23"/>
        <v>0</v>
      </c>
      <c r="L73" s="95"/>
      <c r="M73" s="95"/>
      <c r="N73" s="95"/>
      <c r="O73" s="95"/>
      <c r="P73" s="95"/>
      <c r="Q73" s="95"/>
      <c r="R73" s="95"/>
    </row>
    <row r="74" spans="3:18" ht="41.4" customHeight="1" x14ac:dyDescent="0.25">
      <c r="C74" s="27"/>
      <c r="D74" s="27"/>
      <c r="E74" s="27" t="str">
        <f t="shared" si="17"/>
        <v>0</v>
      </c>
      <c r="F74" s="27" t="str">
        <f t="shared" si="18"/>
        <v>0</v>
      </c>
      <c r="G74" s="27" t="str">
        <f t="shared" si="19"/>
        <v>0</v>
      </c>
      <c r="H74" s="27" t="str">
        <f t="shared" si="20"/>
        <v>0</v>
      </c>
      <c r="I74" s="27" t="str">
        <f t="shared" si="21"/>
        <v>0</v>
      </c>
      <c r="J74" s="27" t="str">
        <f t="shared" si="22"/>
        <v>0</v>
      </c>
      <c r="K74" s="27" t="str">
        <f t="shared" si="23"/>
        <v>0</v>
      </c>
      <c r="L74" s="95"/>
      <c r="M74" s="95"/>
      <c r="N74" s="95"/>
      <c r="O74" s="95"/>
      <c r="P74" s="95"/>
      <c r="Q74" s="95"/>
      <c r="R74" s="95"/>
    </row>
    <row r="75" spans="3:18" ht="41.4" customHeight="1" x14ac:dyDescent="0.25">
      <c r="C75" s="27"/>
      <c r="D75" s="27"/>
      <c r="E75" s="27"/>
      <c r="F75" s="27"/>
      <c r="G75" s="27"/>
      <c r="H75" s="27"/>
      <c r="I75" s="27"/>
      <c r="J75" s="27"/>
      <c r="K75" s="27"/>
      <c r="L75" s="95"/>
      <c r="M75" s="95"/>
      <c r="N75" s="95"/>
      <c r="O75" s="95"/>
      <c r="P75" s="95"/>
      <c r="Q75" s="95"/>
      <c r="R75" s="95"/>
    </row>
    <row r="76" spans="3:18" ht="41.4" customHeight="1" x14ac:dyDescent="0.25">
      <c r="C76" s="27"/>
      <c r="D76" s="27"/>
      <c r="E76" s="27">
        <f>SUM(E41:E75)</f>
        <v>72.760000000000005</v>
      </c>
      <c r="F76" s="27">
        <f t="shared" ref="F76:K76" si="24">SUM(F41:F75)</f>
        <v>0</v>
      </c>
      <c r="G76" s="27">
        <f t="shared" si="24"/>
        <v>0</v>
      </c>
      <c r="H76" s="27">
        <f t="shared" si="24"/>
        <v>0</v>
      </c>
      <c r="I76" s="27">
        <f t="shared" si="24"/>
        <v>73.560000000000016</v>
      </c>
      <c r="J76" s="27">
        <f t="shared" si="24"/>
        <v>0</v>
      </c>
      <c r="K76" s="27">
        <f t="shared" si="24"/>
        <v>0</v>
      </c>
      <c r="L76" s="95"/>
      <c r="M76" s="95"/>
      <c r="N76" s="95"/>
      <c r="O76" s="95"/>
      <c r="P76" s="95"/>
      <c r="Q76" s="95"/>
      <c r="R76" s="95"/>
    </row>
    <row r="77" spans="3:18" ht="41.4" customHeight="1" x14ac:dyDescent="0.25">
      <c r="C77" s="27"/>
      <c r="D77" s="27"/>
      <c r="E77" s="27"/>
      <c r="F77" s="28"/>
      <c r="G77" s="28"/>
      <c r="H77" s="28"/>
      <c r="I77" s="28"/>
      <c r="J77" s="28"/>
      <c r="K77" s="28"/>
      <c r="L77" s="95"/>
      <c r="M77" s="95"/>
      <c r="N77" s="95"/>
      <c r="O77" s="95"/>
      <c r="P77" s="95"/>
      <c r="Q77" s="95"/>
      <c r="R77" s="95"/>
    </row>
    <row r="78" spans="3:18" ht="41.4" customHeight="1" x14ac:dyDescent="0.25">
      <c r="C78" s="27"/>
      <c r="D78" s="27"/>
      <c r="E78" s="27"/>
      <c r="F78" s="28"/>
      <c r="G78" s="28"/>
      <c r="H78" s="28"/>
      <c r="I78" s="28"/>
      <c r="J78" s="28"/>
      <c r="K78" s="28"/>
      <c r="L78" s="95"/>
      <c r="M78" s="95"/>
      <c r="N78" s="95"/>
      <c r="O78" s="95"/>
      <c r="P78" s="95"/>
      <c r="Q78" s="95"/>
      <c r="R78" s="95"/>
    </row>
    <row r="79" spans="3:18" ht="41.4" customHeight="1" x14ac:dyDescent="0.25">
      <c r="C79" s="27"/>
      <c r="D79" s="27"/>
      <c r="E79" s="27"/>
      <c r="F79" s="28"/>
      <c r="G79" s="28"/>
      <c r="H79" s="28"/>
      <c r="I79" s="28"/>
      <c r="J79" s="28"/>
      <c r="K79" s="28"/>
      <c r="L79" s="95"/>
      <c r="M79" s="95"/>
      <c r="N79" s="95"/>
      <c r="O79" s="95"/>
      <c r="P79" s="95"/>
      <c r="Q79" s="95"/>
      <c r="R79" s="95"/>
    </row>
    <row r="80" spans="3:18" ht="41.4" customHeight="1" x14ac:dyDescent="0.25">
      <c r="C80" s="27"/>
      <c r="D80" s="27"/>
      <c r="E80" s="27"/>
      <c r="F80" s="28"/>
      <c r="G80" s="28"/>
      <c r="H80" s="28"/>
      <c r="I80" s="28"/>
      <c r="J80" s="28"/>
      <c r="K80" s="28"/>
      <c r="L80" s="95"/>
      <c r="M80" s="95"/>
      <c r="N80" s="95"/>
      <c r="O80" s="95"/>
      <c r="P80" s="95"/>
      <c r="Q80" s="95"/>
      <c r="R80" s="95"/>
    </row>
    <row r="81" spans="3:18" ht="41.4" customHeight="1" x14ac:dyDescent="0.25">
      <c r="C81" s="27"/>
      <c r="D81" s="27"/>
      <c r="E81" s="27"/>
      <c r="F81" s="28"/>
      <c r="G81" s="28"/>
      <c r="H81" s="28"/>
      <c r="I81" s="28"/>
      <c r="J81" s="28"/>
      <c r="K81" s="28"/>
      <c r="L81" s="95"/>
      <c r="M81" s="95"/>
      <c r="N81" s="95"/>
      <c r="O81" s="95"/>
      <c r="P81" s="95"/>
      <c r="Q81" s="95"/>
      <c r="R81" s="95"/>
    </row>
    <row r="82" spans="3:18" ht="41.4" customHeight="1" x14ac:dyDescent="0.25">
      <c r="C82" s="27"/>
      <c r="D82" s="27"/>
      <c r="E82" s="27"/>
      <c r="F82" s="28"/>
      <c r="G82" s="28"/>
      <c r="H82" s="28"/>
      <c r="I82" s="28"/>
      <c r="J82" s="28"/>
      <c r="K82" s="28"/>
      <c r="L82" s="95"/>
      <c r="M82" s="95"/>
      <c r="N82" s="95"/>
      <c r="O82" s="95"/>
      <c r="P82" s="95"/>
      <c r="Q82" s="95"/>
      <c r="R82" s="95"/>
    </row>
  </sheetData>
  <mergeCells count="84">
    <mergeCell ref="L33:R33"/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41:R41"/>
    <mergeCell ref="L25:R25"/>
    <mergeCell ref="L26:R26"/>
    <mergeCell ref="L27:R27"/>
    <mergeCell ref="L28:R28"/>
    <mergeCell ref="L34:R34"/>
    <mergeCell ref="L35:R35"/>
    <mergeCell ref="L36:R36"/>
    <mergeCell ref="L37:R37"/>
    <mergeCell ref="L38:R38"/>
    <mergeCell ref="L39:R39"/>
    <mergeCell ref="L40:R40"/>
    <mergeCell ref="L29:R29"/>
    <mergeCell ref="L30:R30"/>
    <mergeCell ref="L31:R31"/>
    <mergeCell ref="L32:R32"/>
    <mergeCell ref="L53:R53"/>
    <mergeCell ref="L42:R42"/>
    <mergeCell ref="L43:R43"/>
    <mergeCell ref="L44:R44"/>
    <mergeCell ref="L45:R45"/>
    <mergeCell ref="L46:R46"/>
    <mergeCell ref="L47:R47"/>
    <mergeCell ref="L48:R48"/>
    <mergeCell ref="L49:R49"/>
    <mergeCell ref="L50:R50"/>
    <mergeCell ref="L51:R51"/>
    <mergeCell ref="L52:R52"/>
    <mergeCell ref="L74:R74"/>
    <mergeCell ref="L54:R54"/>
    <mergeCell ref="L55:R55"/>
    <mergeCell ref="L56:R56"/>
    <mergeCell ref="L57:R57"/>
    <mergeCell ref="L67:R67"/>
    <mergeCell ref="L68:R68"/>
    <mergeCell ref="L69:R69"/>
    <mergeCell ref="L70:R70"/>
    <mergeCell ref="L71:R71"/>
    <mergeCell ref="L72:R72"/>
    <mergeCell ref="L73:R73"/>
    <mergeCell ref="L81:R81"/>
    <mergeCell ref="L82:R82"/>
    <mergeCell ref="L75:R75"/>
    <mergeCell ref="L76:R76"/>
    <mergeCell ref="L77:R77"/>
    <mergeCell ref="L78:R78"/>
    <mergeCell ref="L79:R79"/>
    <mergeCell ref="L80:R80"/>
  </mergeCells>
  <pageMargins left="0.51181102362204722" right="0.51181102362204722" top="0.78740157480314965" bottom="0.78740157480314965" header="0.31496062992125984" footer="0.31496062992125984"/>
  <pageSetup paperSize="9" scale="28" orientation="landscape" horizontalDpi="1200" verticalDpi="1200" r:id="rId1"/>
  <colBreaks count="1" manualBreakCount="1">
    <brk id="1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20C2-0BEE-42EC-874B-75FED1CDDE14}">
  <sheetPr>
    <tabColor theme="2"/>
    <pageSetUpPr fitToPage="1"/>
  </sheetPr>
  <dimension ref="A1:R68"/>
  <sheetViews>
    <sheetView view="pageBreakPreview" zoomScale="55" zoomScaleNormal="40" zoomScaleSheetLayoutView="55" workbookViewId="0">
      <selection activeCell="G7" sqref="G7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136">
        <f>'228'!J1</f>
        <v>46204</v>
      </c>
      <c r="K1" s="137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138"/>
      <c r="K2" s="139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TT!C9</f>
        <v>RODOVIA TO-479 - TRECHO PEIXE - POVOADO LAGOA DO ROMÃO (ENTR. TO-373)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23" t="s">
        <v>72</v>
      </c>
      <c r="B7" s="11" t="s">
        <v>98</v>
      </c>
      <c r="C7" s="12">
        <v>0</v>
      </c>
      <c r="D7" s="12">
        <v>26.04</v>
      </c>
      <c r="E7" s="11" t="s">
        <v>97</v>
      </c>
      <c r="F7" s="11"/>
      <c r="G7" s="11"/>
      <c r="H7" s="11"/>
      <c r="I7" s="11" t="s">
        <v>97</v>
      </c>
      <c r="J7" s="11"/>
      <c r="K7" s="11"/>
      <c r="L7" s="97"/>
      <c r="M7" s="97"/>
      <c r="N7" s="97"/>
      <c r="O7" s="97"/>
      <c r="P7" s="97"/>
      <c r="Q7" s="97"/>
      <c r="R7" s="98"/>
    </row>
    <row r="8" spans="1:18" ht="41.4" customHeight="1" x14ac:dyDescent="0.25">
      <c r="A8" s="23"/>
      <c r="B8" s="11"/>
      <c r="C8" s="12"/>
      <c r="D8" s="12"/>
      <c r="E8" s="11"/>
      <c r="F8" s="11"/>
      <c r="G8" s="11"/>
      <c r="H8" s="11"/>
      <c r="I8" s="11"/>
      <c r="J8" s="11"/>
      <c r="K8" s="11"/>
      <c r="L8" s="97"/>
      <c r="M8" s="97"/>
      <c r="N8" s="97"/>
      <c r="O8" s="97"/>
      <c r="P8" s="97"/>
      <c r="Q8" s="97"/>
      <c r="R8" s="98"/>
    </row>
    <row r="9" spans="1:18" ht="41.4" customHeight="1" x14ac:dyDescent="0.25">
      <c r="A9" s="23"/>
      <c r="B9" s="11"/>
      <c r="C9" s="12"/>
      <c r="D9" s="12"/>
      <c r="E9" s="11"/>
      <c r="F9" s="11"/>
      <c r="G9" s="11"/>
      <c r="H9" s="11"/>
      <c r="I9" s="11"/>
      <c r="J9" s="11"/>
      <c r="K9" s="11"/>
      <c r="L9" s="97"/>
      <c r="M9" s="97"/>
      <c r="N9" s="97"/>
      <c r="O9" s="97"/>
      <c r="P9" s="97"/>
      <c r="Q9" s="97"/>
      <c r="R9" s="98"/>
    </row>
    <row r="10" spans="1:18" ht="41.4" customHeight="1" x14ac:dyDescent="0.25">
      <c r="A10" s="23"/>
      <c r="B10" s="11"/>
      <c r="C10" s="12"/>
      <c r="D10" s="12"/>
      <c r="E10" s="11"/>
      <c r="F10" s="11"/>
      <c r="G10" s="11"/>
      <c r="H10" s="11"/>
      <c r="I10" s="11"/>
      <c r="J10" s="11"/>
      <c r="K10" s="11"/>
      <c r="L10" s="97"/>
      <c r="M10" s="97"/>
      <c r="N10" s="97"/>
      <c r="O10" s="97"/>
      <c r="P10" s="97"/>
      <c r="Q10" s="97"/>
      <c r="R10" s="98"/>
    </row>
    <row r="11" spans="1:18" ht="41.4" customHeight="1" x14ac:dyDescent="0.25">
      <c r="A11" s="23"/>
      <c r="B11" s="11"/>
      <c r="C11" s="12"/>
      <c r="D11" s="12"/>
      <c r="E11" s="11"/>
      <c r="F11" s="11"/>
      <c r="G11" s="11"/>
      <c r="H11" s="11"/>
      <c r="I11" s="11"/>
      <c r="J11" s="11"/>
      <c r="K11" s="11"/>
      <c r="L11" s="97"/>
      <c r="M11" s="97"/>
      <c r="N11" s="97"/>
      <c r="O11" s="97"/>
      <c r="P11" s="97"/>
      <c r="Q11" s="97"/>
      <c r="R11" s="98"/>
    </row>
    <row r="12" spans="1:18" ht="41.4" customHeight="1" x14ac:dyDescent="0.25">
      <c r="A12" s="23"/>
      <c r="B12" s="11"/>
      <c r="C12" s="12"/>
      <c r="D12" s="12"/>
      <c r="E12" s="11"/>
      <c r="F12" s="11"/>
      <c r="G12" s="11"/>
      <c r="H12" s="11"/>
      <c r="I12" s="11"/>
      <c r="J12" s="11"/>
      <c r="K12" s="11"/>
      <c r="L12" s="97"/>
      <c r="M12" s="97"/>
      <c r="N12" s="97"/>
      <c r="O12" s="97"/>
      <c r="P12" s="97"/>
      <c r="Q12" s="97"/>
      <c r="R12" s="98"/>
    </row>
    <row r="13" spans="1:18" ht="41.4" customHeight="1" x14ac:dyDescent="0.25">
      <c r="A13" s="23"/>
      <c r="B13" s="11"/>
      <c r="C13" s="12"/>
      <c r="D13" s="12"/>
      <c r="E13" s="11"/>
      <c r="F13" s="11"/>
      <c r="G13" s="11"/>
      <c r="H13" s="11"/>
      <c r="I13" s="11"/>
      <c r="J13" s="11"/>
      <c r="K13" s="11"/>
      <c r="L13" s="97"/>
      <c r="M13" s="97"/>
      <c r="N13" s="97"/>
      <c r="O13" s="97"/>
      <c r="P13" s="97"/>
      <c r="Q13" s="97"/>
      <c r="R13" s="98"/>
    </row>
    <row r="14" spans="1:18" ht="41.4" customHeight="1" x14ac:dyDescent="0.25">
      <c r="A14" s="23"/>
      <c r="B14" s="11"/>
      <c r="C14" s="12"/>
      <c r="D14" s="12"/>
      <c r="E14" s="11"/>
      <c r="F14" s="11"/>
      <c r="G14" s="11"/>
      <c r="H14" s="11"/>
      <c r="I14" s="11"/>
      <c r="J14" s="11"/>
      <c r="K14" s="11"/>
      <c r="L14" s="97"/>
      <c r="M14" s="97"/>
      <c r="N14" s="97"/>
      <c r="O14" s="97"/>
      <c r="P14" s="97"/>
      <c r="Q14" s="97"/>
      <c r="R14" s="98"/>
    </row>
    <row r="15" spans="1:18" ht="41.4" customHeight="1" x14ac:dyDescent="0.25">
      <c r="A15" s="23"/>
      <c r="B15" s="11"/>
      <c r="C15" s="12"/>
      <c r="D15" s="12"/>
      <c r="E15" s="11"/>
      <c r="F15" s="11"/>
      <c r="G15" s="11"/>
      <c r="H15" s="11"/>
      <c r="I15" s="11"/>
      <c r="J15" s="11"/>
      <c r="K15" s="11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23"/>
      <c r="B16" s="11"/>
      <c r="C16" s="12"/>
      <c r="D16" s="12"/>
      <c r="E16" s="11"/>
      <c r="F16" s="11"/>
      <c r="G16" s="11"/>
      <c r="H16" s="11"/>
      <c r="I16" s="11"/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/>
      <c r="D17" s="12"/>
      <c r="E17" s="11"/>
      <c r="F17" s="11"/>
      <c r="G17" s="11"/>
      <c r="H17" s="11"/>
      <c r="I17" s="11"/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/>
      <c r="D18" s="12"/>
      <c r="E18" s="11"/>
      <c r="F18" s="11"/>
      <c r="G18" s="11"/>
      <c r="H18" s="11"/>
      <c r="I18" s="11"/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>
        <f>IF(E7="X",(D7-C7),"0")</f>
        <v>26.04</v>
      </c>
      <c r="F36" s="27" t="str">
        <f>IF(F7="X",(D7-C7),"0")</f>
        <v>0</v>
      </c>
      <c r="G36" s="27" t="str">
        <f>IF(G7="X",(D7-C7),"0")</f>
        <v>0</v>
      </c>
      <c r="H36" s="27" t="str">
        <f>IF(H7="X",(D7-C7),"0")</f>
        <v>0</v>
      </c>
      <c r="I36" s="27">
        <f>IF(I7="X",(D7-C7),"0")</f>
        <v>26.04</v>
      </c>
      <c r="J36" s="27" t="str">
        <f>IF(J7="X",(D7-C7),"0")</f>
        <v>0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 t="str">
        <f t="shared" ref="E37:E61" si="0">IF(E8="X",(D8-C8),"0")</f>
        <v>0</v>
      </c>
      <c r="F37" s="27" t="str">
        <f t="shared" ref="F37:F61" si="1">IF(F8="X",(D8-C8),"0")</f>
        <v>0</v>
      </c>
      <c r="G37" s="27" t="str">
        <f t="shared" ref="G37:G61" si="2">IF(G8="X",(D8-C8),"0")</f>
        <v>0</v>
      </c>
      <c r="H37" s="27" t="str">
        <f t="shared" ref="H37:H61" si="3">IF(H8="X",(D8-C8),"0")</f>
        <v>0</v>
      </c>
      <c r="I37" s="27" t="str">
        <f t="shared" ref="I37:I61" si="4">IF(I8="X",(D8-C8),"0")</f>
        <v>0</v>
      </c>
      <c r="J37" s="27" t="str">
        <f t="shared" ref="J37:J61" si="5">IF(J8="X",(D8-C8),"0")</f>
        <v>0</v>
      </c>
      <c r="K37" s="27" t="str">
        <f t="shared" ref="K37:K61" si="6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 t="str">
        <f t="shared" si="0"/>
        <v>0</v>
      </c>
      <c r="F38" s="27" t="str">
        <f t="shared" si="1"/>
        <v>0</v>
      </c>
      <c r="G38" s="27" t="str">
        <f t="shared" si="2"/>
        <v>0</v>
      </c>
      <c r="H38" s="27" t="str">
        <f t="shared" si="3"/>
        <v>0</v>
      </c>
      <c r="I38" s="27" t="str">
        <f t="shared" si="4"/>
        <v>0</v>
      </c>
      <c r="J38" s="27" t="str">
        <f t="shared" si="5"/>
        <v>0</v>
      </c>
      <c r="K38" s="27" t="str">
        <f t="shared" si="6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 t="str">
        <f t="shared" si="0"/>
        <v>0</v>
      </c>
      <c r="F39" s="27" t="str">
        <f t="shared" si="1"/>
        <v>0</v>
      </c>
      <c r="G39" s="27" t="str">
        <f t="shared" si="2"/>
        <v>0</v>
      </c>
      <c r="H39" s="27" t="str">
        <f t="shared" si="3"/>
        <v>0</v>
      </c>
      <c r="I39" s="27" t="str">
        <f t="shared" si="4"/>
        <v>0</v>
      </c>
      <c r="J39" s="27" t="str">
        <f t="shared" si="5"/>
        <v>0</v>
      </c>
      <c r="K39" s="27" t="str">
        <f t="shared" si="6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 t="str">
        <f t="shared" si="0"/>
        <v>0</v>
      </c>
      <c r="F40" s="27" t="str">
        <f t="shared" si="1"/>
        <v>0</v>
      </c>
      <c r="G40" s="27" t="str">
        <f t="shared" si="2"/>
        <v>0</v>
      </c>
      <c r="H40" s="27" t="str">
        <f t="shared" si="3"/>
        <v>0</v>
      </c>
      <c r="I40" s="27" t="str">
        <f t="shared" si="4"/>
        <v>0</v>
      </c>
      <c r="J40" s="27" t="str">
        <f t="shared" si="5"/>
        <v>0</v>
      </c>
      <c r="K40" s="27" t="str">
        <f t="shared" si="6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 t="str">
        <f t="shared" si="0"/>
        <v>0</v>
      </c>
      <c r="F41" s="27" t="str">
        <f t="shared" si="1"/>
        <v>0</v>
      </c>
      <c r="G41" s="27" t="str">
        <f t="shared" si="2"/>
        <v>0</v>
      </c>
      <c r="H41" s="27" t="str">
        <f t="shared" si="3"/>
        <v>0</v>
      </c>
      <c r="I41" s="27" t="str">
        <f t="shared" si="4"/>
        <v>0</v>
      </c>
      <c r="J41" s="27" t="str">
        <f t="shared" si="5"/>
        <v>0</v>
      </c>
      <c r="K41" s="27" t="str">
        <f t="shared" si="6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 t="str">
        <f t="shared" si="0"/>
        <v>0</v>
      </c>
      <c r="F42" s="27" t="str">
        <f t="shared" si="1"/>
        <v>0</v>
      </c>
      <c r="G42" s="27" t="str">
        <f t="shared" si="2"/>
        <v>0</v>
      </c>
      <c r="H42" s="27" t="str">
        <f t="shared" si="3"/>
        <v>0</v>
      </c>
      <c r="I42" s="27" t="str">
        <f t="shared" si="4"/>
        <v>0</v>
      </c>
      <c r="J42" s="27" t="str">
        <f t="shared" si="5"/>
        <v>0</v>
      </c>
      <c r="K42" s="27" t="str">
        <f t="shared" si="6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si="0"/>
        <v>0</v>
      </c>
      <c r="F43" s="27" t="str">
        <f t="shared" si="1"/>
        <v>0</v>
      </c>
      <c r="G43" s="27" t="str">
        <f t="shared" si="2"/>
        <v>0</v>
      </c>
      <c r="H43" s="27" t="str">
        <f t="shared" si="3"/>
        <v>0</v>
      </c>
      <c r="I43" s="27" t="str">
        <f t="shared" si="4"/>
        <v>0</v>
      </c>
      <c r="J43" s="27" t="str">
        <f t="shared" si="5"/>
        <v>0</v>
      </c>
      <c r="K43" s="27" t="str">
        <f t="shared" si="6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 t="str">
        <f t="shared" si="0"/>
        <v>0</v>
      </c>
      <c r="F44" s="27" t="str">
        <f t="shared" si="1"/>
        <v>0</v>
      </c>
      <c r="G44" s="27" t="str">
        <f t="shared" si="2"/>
        <v>0</v>
      </c>
      <c r="H44" s="27" t="str">
        <f t="shared" si="3"/>
        <v>0</v>
      </c>
      <c r="I44" s="27" t="str">
        <f t="shared" si="4"/>
        <v>0</v>
      </c>
      <c r="J44" s="27" t="str">
        <f t="shared" si="5"/>
        <v>0</v>
      </c>
      <c r="K44" s="27" t="str">
        <f t="shared" si="6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 t="str">
        <f t="shared" si="0"/>
        <v>0</v>
      </c>
      <c r="F45" s="27" t="str">
        <f t="shared" si="1"/>
        <v>0</v>
      </c>
      <c r="G45" s="27" t="str">
        <f t="shared" si="2"/>
        <v>0</v>
      </c>
      <c r="H45" s="27" t="str">
        <f t="shared" si="3"/>
        <v>0</v>
      </c>
      <c r="I45" s="27" t="str">
        <f t="shared" si="4"/>
        <v>0</v>
      </c>
      <c r="J45" s="27" t="str">
        <f t="shared" si="5"/>
        <v>0</v>
      </c>
      <c r="K45" s="27" t="str">
        <f t="shared" si="6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0"/>
        <v>0</v>
      </c>
      <c r="F46" s="27" t="str">
        <f t="shared" si="1"/>
        <v>0</v>
      </c>
      <c r="G46" s="27" t="str">
        <f t="shared" si="2"/>
        <v>0</v>
      </c>
      <c r="H46" s="27" t="str">
        <f t="shared" si="3"/>
        <v>0</v>
      </c>
      <c r="I46" s="27" t="str">
        <f t="shared" si="4"/>
        <v>0</v>
      </c>
      <c r="J46" s="27" t="str">
        <f t="shared" si="5"/>
        <v>0</v>
      </c>
      <c r="K46" s="27" t="str">
        <f t="shared" si="6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0"/>
        <v>0</v>
      </c>
      <c r="F47" s="27" t="str">
        <f t="shared" si="1"/>
        <v>0</v>
      </c>
      <c r="G47" s="27" t="str">
        <f t="shared" si="2"/>
        <v>0</v>
      </c>
      <c r="H47" s="27" t="str">
        <f t="shared" si="3"/>
        <v>0</v>
      </c>
      <c r="I47" s="27" t="str">
        <f t="shared" si="4"/>
        <v>0</v>
      </c>
      <c r="J47" s="27" t="str">
        <f t="shared" si="5"/>
        <v>0</v>
      </c>
      <c r="K47" s="27" t="str">
        <f t="shared" si="6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0"/>
        <v>0</v>
      </c>
      <c r="F48" s="27" t="str">
        <f t="shared" si="1"/>
        <v>0</v>
      </c>
      <c r="G48" s="27" t="str">
        <f t="shared" si="2"/>
        <v>0</v>
      </c>
      <c r="H48" s="27" t="str">
        <f t="shared" si="3"/>
        <v>0</v>
      </c>
      <c r="I48" s="27" t="str">
        <f t="shared" si="4"/>
        <v>0</v>
      </c>
      <c r="J48" s="27" t="str">
        <f t="shared" si="5"/>
        <v>0</v>
      </c>
      <c r="K48" s="27" t="str">
        <f t="shared" si="6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0"/>
        <v>0</v>
      </c>
      <c r="F49" s="27" t="str">
        <f t="shared" si="1"/>
        <v>0</v>
      </c>
      <c r="G49" s="27" t="str">
        <f t="shared" si="2"/>
        <v>0</v>
      </c>
      <c r="H49" s="27" t="str">
        <f t="shared" si="3"/>
        <v>0</v>
      </c>
      <c r="I49" s="27" t="str">
        <f t="shared" si="4"/>
        <v>0</v>
      </c>
      <c r="J49" s="27" t="str">
        <f t="shared" si="5"/>
        <v>0</v>
      </c>
      <c r="K49" s="27" t="str">
        <f t="shared" si="6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0"/>
        <v>0</v>
      </c>
      <c r="F50" s="27" t="str">
        <f t="shared" si="1"/>
        <v>0</v>
      </c>
      <c r="G50" s="27" t="str">
        <f t="shared" si="2"/>
        <v>0</v>
      </c>
      <c r="H50" s="27" t="str">
        <f t="shared" si="3"/>
        <v>0</v>
      </c>
      <c r="I50" s="27" t="str">
        <f t="shared" si="4"/>
        <v>0</v>
      </c>
      <c r="J50" s="27" t="str">
        <f t="shared" si="5"/>
        <v>0</v>
      </c>
      <c r="K50" s="27" t="str">
        <f t="shared" si="6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0"/>
        <v>0</v>
      </c>
      <c r="F51" s="27" t="str">
        <f t="shared" si="1"/>
        <v>0</v>
      </c>
      <c r="G51" s="27" t="str">
        <f t="shared" si="2"/>
        <v>0</v>
      </c>
      <c r="H51" s="27" t="str">
        <f t="shared" si="3"/>
        <v>0</v>
      </c>
      <c r="I51" s="27" t="str">
        <f t="shared" si="4"/>
        <v>0</v>
      </c>
      <c r="J51" s="27" t="str">
        <f t="shared" si="5"/>
        <v>0</v>
      </c>
      <c r="K51" s="27" t="str">
        <f t="shared" si="6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0"/>
        <v>0</v>
      </c>
      <c r="F52" s="27" t="str">
        <f t="shared" si="1"/>
        <v>0</v>
      </c>
      <c r="G52" s="27" t="str">
        <f t="shared" si="2"/>
        <v>0</v>
      </c>
      <c r="H52" s="27" t="str">
        <f t="shared" si="3"/>
        <v>0</v>
      </c>
      <c r="I52" s="27" t="str">
        <f t="shared" si="4"/>
        <v>0</v>
      </c>
      <c r="J52" s="27" t="str">
        <f t="shared" si="5"/>
        <v>0</v>
      </c>
      <c r="K52" s="27" t="str">
        <f t="shared" si="6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0"/>
        <v>0</v>
      </c>
      <c r="F53" s="27" t="str">
        <f t="shared" si="1"/>
        <v>0</v>
      </c>
      <c r="G53" s="27" t="str">
        <f t="shared" si="2"/>
        <v>0</v>
      </c>
      <c r="H53" s="27" t="str">
        <f t="shared" si="3"/>
        <v>0</v>
      </c>
      <c r="I53" s="27" t="str">
        <f t="shared" si="4"/>
        <v>0</v>
      </c>
      <c r="J53" s="27" t="str">
        <f t="shared" si="5"/>
        <v>0</v>
      </c>
      <c r="K53" s="27" t="str">
        <f t="shared" si="6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0"/>
        <v>0</v>
      </c>
      <c r="F54" s="27" t="str">
        <f t="shared" si="1"/>
        <v>0</v>
      </c>
      <c r="G54" s="27" t="str">
        <f t="shared" si="2"/>
        <v>0</v>
      </c>
      <c r="H54" s="27" t="str">
        <f t="shared" si="3"/>
        <v>0</v>
      </c>
      <c r="I54" s="27" t="str">
        <f t="shared" si="4"/>
        <v>0</v>
      </c>
      <c r="J54" s="27" t="str">
        <f t="shared" si="5"/>
        <v>0</v>
      </c>
      <c r="K54" s="27" t="str">
        <f t="shared" si="6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0"/>
        <v>0</v>
      </c>
      <c r="F55" s="27" t="str">
        <f t="shared" si="1"/>
        <v>0</v>
      </c>
      <c r="G55" s="27" t="str">
        <f t="shared" si="2"/>
        <v>0</v>
      </c>
      <c r="H55" s="27" t="str">
        <f t="shared" si="3"/>
        <v>0</v>
      </c>
      <c r="I55" s="27" t="str">
        <f t="shared" si="4"/>
        <v>0</v>
      </c>
      <c r="J55" s="27" t="str">
        <f t="shared" si="5"/>
        <v>0</v>
      </c>
      <c r="K55" s="27" t="str">
        <f t="shared" si="6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0"/>
        <v>0</v>
      </c>
      <c r="F56" s="27" t="str">
        <f t="shared" si="1"/>
        <v>0</v>
      </c>
      <c r="G56" s="27" t="str">
        <f t="shared" si="2"/>
        <v>0</v>
      </c>
      <c r="H56" s="27" t="str">
        <f t="shared" si="3"/>
        <v>0</v>
      </c>
      <c r="I56" s="27" t="str">
        <f t="shared" si="4"/>
        <v>0</v>
      </c>
      <c r="J56" s="27" t="str">
        <f t="shared" si="5"/>
        <v>0</v>
      </c>
      <c r="K56" s="27" t="str">
        <f t="shared" si="6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0"/>
        <v>0</v>
      </c>
      <c r="F57" s="27" t="str">
        <f t="shared" si="1"/>
        <v>0</v>
      </c>
      <c r="G57" s="27" t="str">
        <f t="shared" si="2"/>
        <v>0</v>
      </c>
      <c r="H57" s="27" t="str">
        <f t="shared" si="3"/>
        <v>0</v>
      </c>
      <c r="I57" s="27" t="str">
        <f t="shared" si="4"/>
        <v>0</v>
      </c>
      <c r="J57" s="27" t="str">
        <f t="shared" si="5"/>
        <v>0</v>
      </c>
      <c r="K57" s="27" t="str">
        <f t="shared" si="6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0"/>
        <v>0</v>
      </c>
      <c r="F58" s="27" t="str">
        <f t="shared" si="1"/>
        <v>0</v>
      </c>
      <c r="G58" s="27" t="str">
        <f t="shared" si="2"/>
        <v>0</v>
      </c>
      <c r="H58" s="27" t="str">
        <f t="shared" si="3"/>
        <v>0</v>
      </c>
      <c r="I58" s="27" t="str">
        <f t="shared" si="4"/>
        <v>0</v>
      </c>
      <c r="J58" s="27" t="str">
        <f t="shared" si="5"/>
        <v>0</v>
      </c>
      <c r="K58" s="27" t="str">
        <f t="shared" si="6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0"/>
        <v>0</v>
      </c>
      <c r="F59" s="27" t="str">
        <f t="shared" si="1"/>
        <v>0</v>
      </c>
      <c r="G59" s="27" t="str">
        <f t="shared" si="2"/>
        <v>0</v>
      </c>
      <c r="H59" s="27" t="str">
        <f t="shared" si="3"/>
        <v>0</v>
      </c>
      <c r="I59" s="27" t="str">
        <f t="shared" si="4"/>
        <v>0</v>
      </c>
      <c r="J59" s="27" t="str">
        <f t="shared" si="5"/>
        <v>0</v>
      </c>
      <c r="K59" s="27" t="str">
        <f t="shared" si="6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0"/>
        <v>0</v>
      </c>
      <c r="F60" s="27" t="str">
        <f t="shared" si="1"/>
        <v>0</v>
      </c>
      <c r="G60" s="27" t="str">
        <f t="shared" si="2"/>
        <v>0</v>
      </c>
      <c r="H60" s="27" t="str">
        <f t="shared" si="3"/>
        <v>0</v>
      </c>
      <c r="I60" s="27" t="str">
        <f t="shared" si="4"/>
        <v>0</v>
      </c>
      <c r="J60" s="27" t="str">
        <f t="shared" si="5"/>
        <v>0</v>
      </c>
      <c r="K60" s="27" t="str">
        <f t="shared" si="6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0"/>
        <v>0</v>
      </c>
      <c r="F61" s="27" t="str">
        <f t="shared" si="1"/>
        <v>0</v>
      </c>
      <c r="G61" s="27" t="str">
        <f t="shared" si="2"/>
        <v>0</v>
      </c>
      <c r="H61" s="27" t="str">
        <f t="shared" si="3"/>
        <v>0</v>
      </c>
      <c r="I61" s="27" t="str">
        <f t="shared" si="4"/>
        <v>0</v>
      </c>
      <c r="J61" s="27" t="str">
        <f t="shared" si="5"/>
        <v>0</v>
      </c>
      <c r="K61" s="27" t="str">
        <f t="shared" si="6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26.04</v>
      </c>
      <c r="F62" s="27">
        <f t="shared" ref="F62:K62" si="7">SUM(F36:F61)</f>
        <v>0</v>
      </c>
      <c r="G62" s="27">
        <f t="shared" si="7"/>
        <v>0</v>
      </c>
      <c r="H62" s="27">
        <f t="shared" si="7"/>
        <v>0</v>
      </c>
      <c r="I62" s="27">
        <f t="shared" si="7"/>
        <v>26.04</v>
      </c>
      <c r="J62" s="27">
        <f t="shared" si="7"/>
        <v>0</v>
      </c>
      <c r="K62" s="27">
        <f t="shared" si="7"/>
        <v>0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2CAC-7F14-4C17-B59B-74B09AB7E93B}">
  <sheetPr>
    <pageSetUpPr fitToPage="1"/>
  </sheetPr>
  <dimension ref="A1:R68"/>
  <sheetViews>
    <sheetView view="pageBreakPreview" zoomScale="55" zoomScaleNormal="25" zoomScaleSheetLayoutView="55" workbookViewId="0">
      <selection activeCell="F21" sqref="F21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88">
        <f>'228'!J1</f>
        <v>46204</v>
      </c>
      <c r="K1" s="89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90"/>
      <c r="K2" s="91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TT!C11</f>
        <v>RODOVIA TO-486 - TRECHO SANTA ROSA DO TOCANTINS - ENTR. TO-280 (NATIVIDADE)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23" t="s">
        <v>80</v>
      </c>
      <c r="B7" s="11" t="s">
        <v>98</v>
      </c>
      <c r="C7" s="12">
        <v>0</v>
      </c>
      <c r="D7" s="12">
        <v>0.6</v>
      </c>
      <c r="E7" s="11" t="s">
        <v>97</v>
      </c>
      <c r="F7" s="11"/>
      <c r="G7" s="11"/>
      <c r="H7" s="11"/>
      <c r="I7" s="11" t="s">
        <v>97</v>
      </c>
      <c r="J7" s="11"/>
      <c r="K7" s="11"/>
      <c r="L7" s="97"/>
      <c r="M7" s="97"/>
      <c r="N7" s="97"/>
      <c r="O7" s="97"/>
      <c r="P7" s="97"/>
      <c r="Q7" s="97"/>
      <c r="R7" s="98"/>
    </row>
    <row r="8" spans="1:18" ht="41.4" customHeight="1" x14ac:dyDescent="0.25">
      <c r="A8" s="23"/>
      <c r="B8" s="11"/>
      <c r="C8" s="12">
        <f>D7</f>
        <v>0.6</v>
      </c>
      <c r="D8" s="12">
        <v>1</v>
      </c>
      <c r="E8" s="11" t="s">
        <v>97</v>
      </c>
      <c r="F8" s="11"/>
      <c r="G8" s="11"/>
      <c r="H8" s="11"/>
      <c r="I8" s="11" t="s">
        <v>97</v>
      </c>
      <c r="J8" s="11"/>
      <c r="K8" s="11"/>
      <c r="L8" s="97"/>
      <c r="M8" s="97"/>
      <c r="N8" s="97"/>
      <c r="O8" s="97"/>
      <c r="P8" s="97"/>
      <c r="Q8" s="97"/>
      <c r="R8" s="98"/>
    </row>
    <row r="9" spans="1:18" ht="41.4" customHeight="1" x14ac:dyDescent="0.25">
      <c r="A9" s="23"/>
      <c r="B9" s="11"/>
      <c r="C9" s="12">
        <f t="shared" ref="C9:C18" si="0">D8</f>
        <v>1</v>
      </c>
      <c r="D9" s="12">
        <v>1.5</v>
      </c>
      <c r="E9" s="11" t="s">
        <v>97</v>
      </c>
      <c r="F9" s="11"/>
      <c r="G9" s="11"/>
      <c r="H9" s="11"/>
      <c r="I9" s="11" t="s">
        <v>97</v>
      </c>
      <c r="J9" s="11"/>
      <c r="K9" s="11"/>
      <c r="L9" s="97"/>
      <c r="M9" s="97"/>
      <c r="N9" s="97"/>
      <c r="O9" s="97"/>
      <c r="P9" s="97"/>
      <c r="Q9" s="97"/>
      <c r="R9" s="98"/>
    </row>
    <row r="10" spans="1:18" ht="41.4" customHeight="1" x14ac:dyDescent="0.25">
      <c r="A10" s="23"/>
      <c r="B10" s="11"/>
      <c r="C10" s="12">
        <f t="shared" si="0"/>
        <v>1.5</v>
      </c>
      <c r="D10" s="12">
        <v>1.8</v>
      </c>
      <c r="E10" s="11" t="s">
        <v>97</v>
      </c>
      <c r="F10" s="11"/>
      <c r="G10" s="11"/>
      <c r="H10" s="11"/>
      <c r="I10" s="11" t="s">
        <v>97</v>
      </c>
      <c r="J10" s="11"/>
      <c r="K10" s="11"/>
      <c r="L10" s="97"/>
      <c r="M10" s="97"/>
      <c r="N10" s="97"/>
      <c r="O10" s="97"/>
      <c r="P10" s="97"/>
      <c r="Q10" s="97"/>
      <c r="R10" s="98"/>
    </row>
    <row r="11" spans="1:18" ht="41.4" customHeight="1" x14ac:dyDescent="0.25">
      <c r="A11" s="23"/>
      <c r="B11" s="11"/>
      <c r="C11" s="12">
        <f t="shared" si="0"/>
        <v>1.8</v>
      </c>
      <c r="D11" s="12">
        <v>3.7</v>
      </c>
      <c r="E11" s="11" t="s">
        <v>97</v>
      </c>
      <c r="F11" s="11"/>
      <c r="G11" s="11"/>
      <c r="H11" s="11"/>
      <c r="I11" s="11" t="s">
        <v>97</v>
      </c>
      <c r="J11" s="11"/>
      <c r="K11" s="11"/>
      <c r="L11" s="97"/>
      <c r="M11" s="97"/>
      <c r="N11" s="97"/>
      <c r="O11" s="97"/>
      <c r="P11" s="97"/>
      <c r="Q11" s="97"/>
      <c r="R11" s="98"/>
    </row>
    <row r="12" spans="1:18" ht="41.4" customHeight="1" x14ac:dyDescent="0.25">
      <c r="A12" s="23"/>
      <c r="B12" s="11"/>
      <c r="C12" s="12">
        <f t="shared" si="0"/>
        <v>3.7</v>
      </c>
      <c r="D12" s="12">
        <v>6.4</v>
      </c>
      <c r="E12" s="11" t="s">
        <v>97</v>
      </c>
      <c r="F12" s="11"/>
      <c r="G12" s="11"/>
      <c r="H12" s="11"/>
      <c r="I12" s="11" t="s">
        <v>97</v>
      </c>
      <c r="J12" s="11"/>
      <c r="K12" s="11"/>
      <c r="L12" s="97"/>
      <c r="M12" s="97"/>
      <c r="N12" s="97"/>
      <c r="O12" s="97"/>
      <c r="P12" s="97"/>
      <c r="Q12" s="97"/>
      <c r="R12" s="98"/>
    </row>
    <row r="13" spans="1:18" ht="41.4" customHeight="1" x14ac:dyDescent="0.25">
      <c r="A13" s="23"/>
      <c r="B13" s="11"/>
      <c r="C13" s="12">
        <f t="shared" si="0"/>
        <v>6.4</v>
      </c>
      <c r="D13" s="12">
        <v>15.7</v>
      </c>
      <c r="E13" s="11" t="s">
        <v>97</v>
      </c>
      <c r="F13" s="11"/>
      <c r="G13" s="11"/>
      <c r="H13" s="11"/>
      <c r="I13" s="11" t="s">
        <v>97</v>
      </c>
      <c r="J13" s="11"/>
      <c r="K13" s="11"/>
      <c r="L13" s="97"/>
      <c r="M13" s="97"/>
      <c r="N13" s="97"/>
      <c r="O13" s="97"/>
      <c r="P13" s="97"/>
      <c r="Q13" s="97"/>
      <c r="R13" s="98"/>
    </row>
    <row r="14" spans="1:18" ht="41.4" customHeight="1" x14ac:dyDescent="0.25">
      <c r="A14" s="23"/>
      <c r="B14" s="11"/>
      <c r="C14" s="12">
        <f t="shared" si="0"/>
        <v>15.7</v>
      </c>
      <c r="D14" s="12">
        <v>15.3</v>
      </c>
      <c r="E14" s="11" t="s">
        <v>97</v>
      </c>
      <c r="F14" s="11"/>
      <c r="G14" s="11"/>
      <c r="H14" s="11"/>
      <c r="I14" s="11" t="s">
        <v>97</v>
      </c>
      <c r="J14" s="11"/>
      <c r="K14" s="11"/>
      <c r="L14" s="97"/>
      <c r="M14" s="97"/>
      <c r="N14" s="97"/>
      <c r="O14" s="97"/>
      <c r="P14" s="97"/>
      <c r="Q14" s="97"/>
      <c r="R14" s="98"/>
    </row>
    <row r="15" spans="1:18" ht="41.4" customHeight="1" x14ac:dyDescent="0.25">
      <c r="A15" s="23"/>
      <c r="B15" s="11"/>
      <c r="C15" s="12">
        <f t="shared" si="0"/>
        <v>15.3</v>
      </c>
      <c r="D15" s="12">
        <v>15.6</v>
      </c>
      <c r="E15" s="11" t="s">
        <v>97</v>
      </c>
      <c r="F15" s="11"/>
      <c r="G15" s="11"/>
      <c r="H15" s="11"/>
      <c r="I15" s="11" t="s">
        <v>97</v>
      </c>
      <c r="J15" s="11"/>
      <c r="K15" s="11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23"/>
      <c r="B16" s="11"/>
      <c r="C16" s="12">
        <f t="shared" si="0"/>
        <v>15.6</v>
      </c>
      <c r="D16" s="12">
        <v>61.3</v>
      </c>
      <c r="E16" s="11" t="s">
        <v>97</v>
      </c>
      <c r="F16" s="11"/>
      <c r="G16" s="11" t="s">
        <v>97</v>
      </c>
      <c r="H16" s="11"/>
      <c r="I16" s="11" t="s">
        <v>97</v>
      </c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>
        <f t="shared" si="0"/>
        <v>61.3</v>
      </c>
      <c r="D17" s="12">
        <v>62.3</v>
      </c>
      <c r="E17" s="11" t="s">
        <v>97</v>
      </c>
      <c r="F17" s="11"/>
      <c r="G17" s="11"/>
      <c r="H17" s="11"/>
      <c r="I17" s="11" t="s">
        <v>97</v>
      </c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>
        <f t="shared" si="0"/>
        <v>62.3</v>
      </c>
      <c r="D18" s="12">
        <v>63.93</v>
      </c>
      <c r="E18" s="11" t="s">
        <v>97</v>
      </c>
      <c r="F18" s="11"/>
      <c r="G18" s="11"/>
      <c r="H18" s="11"/>
      <c r="I18" s="11" t="s">
        <v>97</v>
      </c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>
        <f>IF(E7="X",(D7-C7),"0")</f>
        <v>0.6</v>
      </c>
      <c r="F36" s="27" t="str">
        <f>IF(F7="X",(D7-C7),"0")</f>
        <v>0</v>
      </c>
      <c r="G36" s="27" t="str">
        <f>IF(G7="X",(D7-C7),"0")</f>
        <v>0</v>
      </c>
      <c r="H36" s="27" t="str">
        <f>IF(H7="X",(D7-C7),"0")</f>
        <v>0</v>
      </c>
      <c r="I36" s="27">
        <f>IF(I7="X",(D7-C7),"0")</f>
        <v>0.6</v>
      </c>
      <c r="J36" s="27" t="str">
        <f>IF(J7="X",(D7-C7),"0")</f>
        <v>0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>
        <f t="shared" ref="E37:E61" si="1">IF(E8="X",(D8-C8),"0")</f>
        <v>0.4</v>
      </c>
      <c r="F37" s="27" t="str">
        <f t="shared" ref="F37:F61" si="2">IF(F8="X",(D8-C8),"0")</f>
        <v>0</v>
      </c>
      <c r="G37" s="27" t="str">
        <f t="shared" ref="G37:G61" si="3">IF(G8="X",(D8-C8),"0")</f>
        <v>0</v>
      </c>
      <c r="H37" s="27" t="str">
        <f t="shared" ref="H37:H61" si="4">IF(H8="X",(D8-C8),"0")</f>
        <v>0</v>
      </c>
      <c r="I37" s="27">
        <f t="shared" ref="I37:I61" si="5">IF(I8="X",(D8-C8),"0")</f>
        <v>0.4</v>
      </c>
      <c r="J37" s="27" t="str">
        <f t="shared" ref="J37:J61" si="6">IF(J8="X",(D8-C8),"0")</f>
        <v>0</v>
      </c>
      <c r="K37" s="27" t="str">
        <f t="shared" ref="K37:K61" si="7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>
        <f t="shared" si="1"/>
        <v>0.5</v>
      </c>
      <c r="F38" s="27" t="str">
        <f t="shared" si="2"/>
        <v>0</v>
      </c>
      <c r="G38" s="27" t="str">
        <f t="shared" si="3"/>
        <v>0</v>
      </c>
      <c r="H38" s="27" t="str">
        <f t="shared" si="4"/>
        <v>0</v>
      </c>
      <c r="I38" s="27">
        <f t="shared" si="5"/>
        <v>0.5</v>
      </c>
      <c r="J38" s="27" t="str">
        <f t="shared" si="6"/>
        <v>0</v>
      </c>
      <c r="K38" s="27" t="str">
        <f t="shared" si="7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>
        <f t="shared" si="1"/>
        <v>0.30000000000000004</v>
      </c>
      <c r="F39" s="27" t="str">
        <f t="shared" si="2"/>
        <v>0</v>
      </c>
      <c r="G39" s="27" t="str">
        <f t="shared" si="3"/>
        <v>0</v>
      </c>
      <c r="H39" s="27" t="str">
        <f t="shared" si="4"/>
        <v>0</v>
      </c>
      <c r="I39" s="27">
        <f t="shared" si="5"/>
        <v>0.30000000000000004</v>
      </c>
      <c r="J39" s="27" t="str">
        <f t="shared" si="6"/>
        <v>0</v>
      </c>
      <c r="K39" s="27" t="str">
        <f t="shared" si="7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>
        <f t="shared" si="1"/>
        <v>1.9000000000000001</v>
      </c>
      <c r="F40" s="27" t="str">
        <f t="shared" si="2"/>
        <v>0</v>
      </c>
      <c r="G40" s="27" t="str">
        <f t="shared" si="3"/>
        <v>0</v>
      </c>
      <c r="H40" s="27" t="str">
        <f t="shared" si="4"/>
        <v>0</v>
      </c>
      <c r="I40" s="27">
        <f t="shared" si="5"/>
        <v>1.9000000000000001</v>
      </c>
      <c r="J40" s="27" t="str">
        <f t="shared" si="6"/>
        <v>0</v>
      </c>
      <c r="K40" s="27" t="str">
        <f t="shared" si="7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>
        <f t="shared" si="1"/>
        <v>2.7</v>
      </c>
      <c r="F41" s="27" t="str">
        <f t="shared" si="2"/>
        <v>0</v>
      </c>
      <c r="G41" s="27" t="str">
        <f t="shared" si="3"/>
        <v>0</v>
      </c>
      <c r="H41" s="27" t="str">
        <f t="shared" si="4"/>
        <v>0</v>
      </c>
      <c r="I41" s="27">
        <f t="shared" si="5"/>
        <v>2.7</v>
      </c>
      <c r="J41" s="27" t="str">
        <f t="shared" si="6"/>
        <v>0</v>
      </c>
      <c r="K41" s="27" t="str">
        <f t="shared" si="7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>
        <f t="shared" si="1"/>
        <v>9.2999999999999989</v>
      </c>
      <c r="F42" s="27" t="str">
        <f t="shared" si="2"/>
        <v>0</v>
      </c>
      <c r="G42" s="27" t="str">
        <f t="shared" si="3"/>
        <v>0</v>
      </c>
      <c r="H42" s="27" t="str">
        <f t="shared" si="4"/>
        <v>0</v>
      </c>
      <c r="I42" s="27">
        <f t="shared" si="5"/>
        <v>9.2999999999999989</v>
      </c>
      <c r="J42" s="27" t="str">
        <f t="shared" si="6"/>
        <v>0</v>
      </c>
      <c r="K42" s="27" t="str">
        <f t="shared" si="7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>
        <f t="shared" si="1"/>
        <v>-0.39999999999999858</v>
      </c>
      <c r="F43" s="27" t="str">
        <f t="shared" si="2"/>
        <v>0</v>
      </c>
      <c r="G43" s="27" t="str">
        <f t="shared" si="3"/>
        <v>0</v>
      </c>
      <c r="H43" s="27" t="str">
        <f t="shared" si="4"/>
        <v>0</v>
      </c>
      <c r="I43" s="27">
        <f t="shared" si="5"/>
        <v>-0.39999999999999858</v>
      </c>
      <c r="J43" s="27" t="str">
        <f t="shared" si="6"/>
        <v>0</v>
      </c>
      <c r="K43" s="27" t="str">
        <f t="shared" si="7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>
        <f t="shared" si="1"/>
        <v>0.29999999999999893</v>
      </c>
      <c r="F44" s="27" t="str">
        <f t="shared" si="2"/>
        <v>0</v>
      </c>
      <c r="G44" s="27" t="str">
        <f t="shared" si="3"/>
        <v>0</v>
      </c>
      <c r="H44" s="27" t="str">
        <f t="shared" si="4"/>
        <v>0</v>
      </c>
      <c r="I44" s="27">
        <f t="shared" si="5"/>
        <v>0.29999999999999893</v>
      </c>
      <c r="J44" s="27" t="str">
        <f t="shared" si="6"/>
        <v>0</v>
      </c>
      <c r="K44" s="27" t="str">
        <f t="shared" si="7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>
        <f t="shared" si="1"/>
        <v>45.699999999999996</v>
      </c>
      <c r="F45" s="27" t="str">
        <f t="shared" si="2"/>
        <v>0</v>
      </c>
      <c r="G45" s="27">
        <f t="shared" si="3"/>
        <v>45.699999999999996</v>
      </c>
      <c r="H45" s="27" t="str">
        <f t="shared" si="4"/>
        <v>0</v>
      </c>
      <c r="I45" s="27">
        <f t="shared" si="5"/>
        <v>45.699999999999996</v>
      </c>
      <c r="J45" s="27" t="str">
        <f t="shared" si="6"/>
        <v>0</v>
      </c>
      <c r="K45" s="27" t="str">
        <f t="shared" si="7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>
        <f t="shared" si="1"/>
        <v>1</v>
      </c>
      <c r="F46" s="27" t="str">
        <f t="shared" si="2"/>
        <v>0</v>
      </c>
      <c r="G46" s="27" t="str">
        <f t="shared" si="3"/>
        <v>0</v>
      </c>
      <c r="H46" s="27" t="str">
        <f t="shared" si="4"/>
        <v>0</v>
      </c>
      <c r="I46" s="27">
        <f t="shared" si="5"/>
        <v>1</v>
      </c>
      <c r="J46" s="27" t="str">
        <f t="shared" si="6"/>
        <v>0</v>
      </c>
      <c r="K46" s="27" t="str">
        <f t="shared" si="7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>
        <f t="shared" si="1"/>
        <v>1.6300000000000026</v>
      </c>
      <c r="F47" s="27" t="str">
        <f t="shared" si="2"/>
        <v>0</v>
      </c>
      <c r="G47" s="27" t="str">
        <f t="shared" si="3"/>
        <v>0</v>
      </c>
      <c r="H47" s="27" t="str">
        <f t="shared" si="4"/>
        <v>0</v>
      </c>
      <c r="I47" s="27">
        <f t="shared" si="5"/>
        <v>1.6300000000000026</v>
      </c>
      <c r="J47" s="27" t="str">
        <f t="shared" si="6"/>
        <v>0</v>
      </c>
      <c r="K47" s="27" t="str">
        <f t="shared" si="7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1"/>
        <v>0</v>
      </c>
      <c r="F48" s="27" t="str">
        <f t="shared" si="2"/>
        <v>0</v>
      </c>
      <c r="G48" s="27" t="str">
        <f t="shared" si="3"/>
        <v>0</v>
      </c>
      <c r="H48" s="27" t="str">
        <f t="shared" si="4"/>
        <v>0</v>
      </c>
      <c r="I48" s="27" t="str">
        <f t="shared" si="5"/>
        <v>0</v>
      </c>
      <c r="J48" s="27" t="str">
        <f t="shared" si="6"/>
        <v>0</v>
      </c>
      <c r="K48" s="27" t="str">
        <f t="shared" si="7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1"/>
        <v>0</v>
      </c>
      <c r="F49" s="27" t="str">
        <f t="shared" si="2"/>
        <v>0</v>
      </c>
      <c r="G49" s="27" t="str">
        <f t="shared" si="3"/>
        <v>0</v>
      </c>
      <c r="H49" s="27" t="str">
        <f t="shared" si="4"/>
        <v>0</v>
      </c>
      <c r="I49" s="27" t="str">
        <f t="shared" si="5"/>
        <v>0</v>
      </c>
      <c r="J49" s="27" t="str">
        <f t="shared" si="6"/>
        <v>0</v>
      </c>
      <c r="K49" s="27" t="str">
        <f t="shared" si="7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1"/>
        <v>0</v>
      </c>
      <c r="F50" s="27" t="str">
        <f t="shared" si="2"/>
        <v>0</v>
      </c>
      <c r="G50" s="27" t="str">
        <f t="shared" si="3"/>
        <v>0</v>
      </c>
      <c r="H50" s="27" t="str">
        <f t="shared" si="4"/>
        <v>0</v>
      </c>
      <c r="I50" s="27" t="str">
        <f t="shared" si="5"/>
        <v>0</v>
      </c>
      <c r="J50" s="27" t="str">
        <f t="shared" si="6"/>
        <v>0</v>
      </c>
      <c r="K50" s="27" t="str">
        <f t="shared" si="7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1"/>
        <v>0</v>
      </c>
      <c r="F51" s="27" t="str">
        <f t="shared" si="2"/>
        <v>0</v>
      </c>
      <c r="G51" s="27" t="str">
        <f t="shared" si="3"/>
        <v>0</v>
      </c>
      <c r="H51" s="27" t="str">
        <f t="shared" si="4"/>
        <v>0</v>
      </c>
      <c r="I51" s="27" t="str">
        <f t="shared" si="5"/>
        <v>0</v>
      </c>
      <c r="J51" s="27" t="str">
        <f t="shared" si="6"/>
        <v>0</v>
      </c>
      <c r="K51" s="27" t="str">
        <f t="shared" si="7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1"/>
        <v>0</v>
      </c>
      <c r="F52" s="27" t="str">
        <f t="shared" si="2"/>
        <v>0</v>
      </c>
      <c r="G52" s="27" t="str">
        <f t="shared" si="3"/>
        <v>0</v>
      </c>
      <c r="H52" s="27" t="str">
        <f t="shared" si="4"/>
        <v>0</v>
      </c>
      <c r="I52" s="27" t="str">
        <f t="shared" si="5"/>
        <v>0</v>
      </c>
      <c r="J52" s="27" t="str">
        <f t="shared" si="6"/>
        <v>0</v>
      </c>
      <c r="K52" s="27" t="str">
        <f t="shared" si="7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1"/>
        <v>0</v>
      </c>
      <c r="F53" s="27" t="str">
        <f t="shared" si="2"/>
        <v>0</v>
      </c>
      <c r="G53" s="27" t="str">
        <f t="shared" si="3"/>
        <v>0</v>
      </c>
      <c r="H53" s="27" t="str">
        <f t="shared" si="4"/>
        <v>0</v>
      </c>
      <c r="I53" s="27" t="str">
        <f t="shared" si="5"/>
        <v>0</v>
      </c>
      <c r="J53" s="27" t="str">
        <f t="shared" si="6"/>
        <v>0</v>
      </c>
      <c r="K53" s="27" t="str">
        <f t="shared" si="7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1"/>
        <v>0</v>
      </c>
      <c r="F54" s="27" t="str">
        <f t="shared" si="2"/>
        <v>0</v>
      </c>
      <c r="G54" s="27" t="str">
        <f t="shared" si="3"/>
        <v>0</v>
      </c>
      <c r="H54" s="27" t="str">
        <f t="shared" si="4"/>
        <v>0</v>
      </c>
      <c r="I54" s="27" t="str">
        <f t="shared" si="5"/>
        <v>0</v>
      </c>
      <c r="J54" s="27" t="str">
        <f t="shared" si="6"/>
        <v>0</v>
      </c>
      <c r="K54" s="27" t="str">
        <f t="shared" si="7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1"/>
        <v>0</v>
      </c>
      <c r="F55" s="27" t="str">
        <f t="shared" si="2"/>
        <v>0</v>
      </c>
      <c r="G55" s="27" t="str">
        <f t="shared" si="3"/>
        <v>0</v>
      </c>
      <c r="H55" s="27" t="str">
        <f t="shared" si="4"/>
        <v>0</v>
      </c>
      <c r="I55" s="27" t="str">
        <f t="shared" si="5"/>
        <v>0</v>
      </c>
      <c r="J55" s="27" t="str">
        <f t="shared" si="6"/>
        <v>0</v>
      </c>
      <c r="K55" s="27" t="str">
        <f t="shared" si="7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1"/>
        <v>0</v>
      </c>
      <c r="F56" s="27" t="str">
        <f t="shared" si="2"/>
        <v>0</v>
      </c>
      <c r="G56" s="27" t="str">
        <f t="shared" si="3"/>
        <v>0</v>
      </c>
      <c r="H56" s="27" t="str">
        <f t="shared" si="4"/>
        <v>0</v>
      </c>
      <c r="I56" s="27" t="str">
        <f t="shared" si="5"/>
        <v>0</v>
      </c>
      <c r="J56" s="27" t="str">
        <f t="shared" si="6"/>
        <v>0</v>
      </c>
      <c r="K56" s="27" t="str">
        <f t="shared" si="7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1"/>
        <v>0</v>
      </c>
      <c r="F57" s="27" t="str">
        <f t="shared" si="2"/>
        <v>0</v>
      </c>
      <c r="G57" s="27" t="str">
        <f t="shared" si="3"/>
        <v>0</v>
      </c>
      <c r="H57" s="27" t="str">
        <f t="shared" si="4"/>
        <v>0</v>
      </c>
      <c r="I57" s="27" t="str">
        <f t="shared" si="5"/>
        <v>0</v>
      </c>
      <c r="J57" s="27" t="str">
        <f t="shared" si="6"/>
        <v>0</v>
      </c>
      <c r="K57" s="27" t="str">
        <f t="shared" si="7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1"/>
        <v>0</v>
      </c>
      <c r="F58" s="27" t="str">
        <f t="shared" si="2"/>
        <v>0</v>
      </c>
      <c r="G58" s="27" t="str">
        <f t="shared" si="3"/>
        <v>0</v>
      </c>
      <c r="H58" s="27" t="str">
        <f t="shared" si="4"/>
        <v>0</v>
      </c>
      <c r="I58" s="27" t="str">
        <f t="shared" si="5"/>
        <v>0</v>
      </c>
      <c r="J58" s="27" t="str">
        <f t="shared" si="6"/>
        <v>0</v>
      </c>
      <c r="K58" s="27" t="str">
        <f t="shared" si="7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1"/>
        <v>0</v>
      </c>
      <c r="F59" s="27" t="str">
        <f t="shared" si="2"/>
        <v>0</v>
      </c>
      <c r="G59" s="27" t="str">
        <f t="shared" si="3"/>
        <v>0</v>
      </c>
      <c r="H59" s="27" t="str">
        <f t="shared" si="4"/>
        <v>0</v>
      </c>
      <c r="I59" s="27" t="str">
        <f t="shared" si="5"/>
        <v>0</v>
      </c>
      <c r="J59" s="27" t="str">
        <f t="shared" si="6"/>
        <v>0</v>
      </c>
      <c r="K59" s="27" t="str">
        <f t="shared" si="7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1"/>
        <v>0</v>
      </c>
      <c r="F60" s="27" t="str">
        <f t="shared" si="2"/>
        <v>0</v>
      </c>
      <c r="G60" s="27" t="str">
        <f t="shared" si="3"/>
        <v>0</v>
      </c>
      <c r="H60" s="27" t="str">
        <f t="shared" si="4"/>
        <v>0</v>
      </c>
      <c r="I60" s="27" t="str">
        <f t="shared" si="5"/>
        <v>0</v>
      </c>
      <c r="J60" s="27" t="str">
        <f t="shared" si="6"/>
        <v>0</v>
      </c>
      <c r="K60" s="27" t="str">
        <f t="shared" si="7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1"/>
        <v>0</v>
      </c>
      <c r="F61" s="27" t="str">
        <f t="shared" si="2"/>
        <v>0</v>
      </c>
      <c r="G61" s="27" t="str">
        <f t="shared" si="3"/>
        <v>0</v>
      </c>
      <c r="H61" s="27" t="str">
        <f t="shared" si="4"/>
        <v>0</v>
      </c>
      <c r="I61" s="27" t="str">
        <f t="shared" si="5"/>
        <v>0</v>
      </c>
      <c r="J61" s="27" t="str">
        <f t="shared" si="6"/>
        <v>0</v>
      </c>
      <c r="K61" s="27" t="str">
        <f t="shared" si="7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63.93</v>
      </c>
      <c r="F62" s="27">
        <f t="shared" ref="F62:K62" si="8">SUM(F36:F61)</f>
        <v>0</v>
      </c>
      <c r="G62" s="27">
        <f t="shared" si="8"/>
        <v>45.699999999999996</v>
      </c>
      <c r="H62" s="27">
        <f t="shared" si="8"/>
        <v>0</v>
      </c>
      <c r="I62" s="27">
        <f t="shared" si="8"/>
        <v>63.93</v>
      </c>
      <c r="J62" s="27">
        <f t="shared" si="8"/>
        <v>0</v>
      </c>
      <c r="K62" s="27">
        <f t="shared" si="8"/>
        <v>0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F3C7-25F9-426D-A324-B741F1C7C2E1}">
  <sheetPr>
    <pageSetUpPr fitToPage="1"/>
  </sheetPr>
  <dimension ref="A1:R68"/>
  <sheetViews>
    <sheetView view="pageBreakPreview" zoomScale="55" zoomScaleNormal="40" zoomScaleSheetLayoutView="55" workbookViewId="0">
      <selection activeCell="G9" sqref="G9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136">
        <f>'228'!J1</f>
        <v>46204</v>
      </c>
      <c r="K1" s="137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138"/>
      <c r="K2" s="139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TT!C12</f>
        <v>RODOVIA TO-490 - TRECHO SÃO VALÉRIO DE NATIVIDADE - ENTR. BR-242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23" t="s">
        <v>84</v>
      </c>
      <c r="B7" s="11" t="s">
        <v>96</v>
      </c>
      <c r="C7" s="12">
        <v>0</v>
      </c>
      <c r="D7" s="12">
        <v>46.3</v>
      </c>
      <c r="E7" s="11"/>
      <c r="F7" s="11"/>
      <c r="G7" s="11" t="s">
        <v>97</v>
      </c>
      <c r="H7" s="11"/>
      <c r="I7" s="11"/>
      <c r="J7" s="11" t="s">
        <v>97</v>
      </c>
      <c r="K7" s="11"/>
      <c r="L7" s="97"/>
      <c r="M7" s="97"/>
      <c r="N7" s="97"/>
      <c r="O7" s="97"/>
      <c r="P7" s="97"/>
      <c r="Q7" s="97"/>
      <c r="R7" s="98"/>
    </row>
    <row r="8" spans="1:18" ht="41.4" customHeight="1" x14ac:dyDescent="0.25">
      <c r="A8" s="23"/>
      <c r="B8" s="11"/>
      <c r="C8" s="12"/>
      <c r="D8" s="12"/>
      <c r="E8" s="11"/>
      <c r="F8" s="11"/>
      <c r="G8" s="11"/>
      <c r="H8" s="11"/>
      <c r="I8" s="11"/>
      <c r="J8" s="11"/>
      <c r="K8" s="11"/>
      <c r="L8" s="97"/>
      <c r="M8" s="97"/>
      <c r="N8" s="97"/>
      <c r="O8" s="97"/>
      <c r="P8" s="97"/>
      <c r="Q8" s="97"/>
      <c r="R8" s="98"/>
    </row>
    <row r="9" spans="1:18" ht="41.4" customHeight="1" x14ac:dyDescent="0.25">
      <c r="A9" s="23" t="s">
        <v>82</v>
      </c>
      <c r="B9" s="11" t="s">
        <v>96</v>
      </c>
      <c r="C9" s="12">
        <v>0</v>
      </c>
      <c r="D9" s="12">
        <v>34.700000000000003</v>
      </c>
      <c r="E9" s="11"/>
      <c r="F9" s="11"/>
      <c r="G9" s="11" t="s">
        <v>97</v>
      </c>
      <c r="H9" s="11"/>
      <c r="I9" s="11"/>
      <c r="J9" s="11" t="s">
        <v>97</v>
      </c>
      <c r="K9" s="11"/>
      <c r="L9" s="97"/>
      <c r="M9" s="97"/>
      <c r="N9" s="97"/>
      <c r="O9" s="97"/>
      <c r="P9" s="97"/>
      <c r="Q9" s="97"/>
      <c r="R9" s="98"/>
    </row>
    <row r="10" spans="1:18" ht="41.4" customHeight="1" x14ac:dyDescent="0.25">
      <c r="A10" s="23"/>
      <c r="B10" s="11"/>
      <c r="C10" s="12"/>
      <c r="D10" s="12"/>
      <c r="E10" s="11"/>
      <c r="F10" s="11"/>
      <c r="G10" s="11"/>
      <c r="H10" s="11"/>
      <c r="I10" s="11"/>
      <c r="J10" s="11"/>
      <c r="K10" s="11"/>
      <c r="L10" s="97"/>
      <c r="M10" s="97"/>
      <c r="N10" s="97"/>
      <c r="O10" s="97"/>
      <c r="P10" s="97"/>
      <c r="Q10" s="97"/>
      <c r="R10" s="98"/>
    </row>
    <row r="11" spans="1:18" ht="41.4" customHeight="1" x14ac:dyDescent="0.25">
      <c r="A11" s="23"/>
      <c r="B11" s="11"/>
      <c r="C11" s="12"/>
      <c r="D11" s="12"/>
      <c r="E11" s="11"/>
      <c r="F11" s="11"/>
      <c r="G11" s="11"/>
      <c r="H11" s="11"/>
      <c r="I11" s="11"/>
      <c r="J11" s="11"/>
      <c r="K11" s="11"/>
      <c r="L11" s="97"/>
      <c r="M11" s="97"/>
      <c r="N11" s="97"/>
      <c r="O11" s="97"/>
      <c r="P11" s="97"/>
      <c r="Q11" s="97"/>
      <c r="R11" s="98"/>
    </row>
    <row r="12" spans="1:18" ht="41.4" customHeight="1" x14ac:dyDescent="0.25">
      <c r="A12" s="23"/>
      <c r="B12" s="11"/>
      <c r="C12" s="12"/>
      <c r="D12" s="12"/>
      <c r="E12" s="11"/>
      <c r="F12" s="11"/>
      <c r="G12" s="11"/>
      <c r="H12" s="11"/>
      <c r="I12" s="11"/>
      <c r="J12" s="11"/>
      <c r="K12" s="11"/>
      <c r="L12" s="97"/>
      <c r="M12" s="97"/>
      <c r="N12" s="97"/>
      <c r="O12" s="97"/>
      <c r="P12" s="97"/>
      <c r="Q12" s="97"/>
      <c r="R12" s="98"/>
    </row>
    <row r="13" spans="1:18" ht="41.4" customHeight="1" x14ac:dyDescent="0.25">
      <c r="A13" s="23"/>
      <c r="B13" s="11"/>
      <c r="C13" s="12"/>
      <c r="D13" s="12"/>
      <c r="E13" s="11"/>
      <c r="F13" s="11"/>
      <c r="G13" s="11"/>
      <c r="H13" s="11"/>
      <c r="I13" s="11"/>
      <c r="J13" s="11"/>
      <c r="K13" s="11"/>
      <c r="L13" s="97"/>
      <c r="M13" s="97"/>
      <c r="N13" s="97"/>
      <c r="O13" s="97"/>
      <c r="P13" s="97"/>
      <c r="Q13" s="97"/>
      <c r="R13" s="98"/>
    </row>
    <row r="14" spans="1:18" ht="41.4" customHeight="1" x14ac:dyDescent="0.25">
      <c r="A14" s="23"/>
      <c r="B14" s="11"/>
      <c r="C14" s="12"/>
      <c r="D14" s="12"/>
      <c r="E14" s="11"/>
      <c r="F14" s="11"/>
      <c r="G14" s="11"/>
      <c r="H14" s="11"/>
      <c r="I14" s="11"/>
      <c r="J14" s="11"/>
      <c r="K14" s="11"/>
      <c r="L14" s="97"/>
      <c r="M14" s="97"/>
      <c r="N14" s="97"/>
      <c r="O14" s="97"/>
      <c r="P14" s="97"/>
      <c r="Q14" s="97"/>
      <c r="R14" s="98"/>
    </row>
    <row r="15" spans="1:18" ht="41.4" customHeight="1" x14ac:dyDescent="0.25">
      <c r="A15" s="23"/>
      <c r="B15" s="11"/>
      <c r="C15" s="12"/>
      <c r="D15" s="12"/>
      <c r="E15" s="11"/>
      <c r="F15" s="11"/>
      <c r="G15" s="11"/>
      <c r="H15" s="11"/>
      <c r="I15" s="11"/>
      <c r="J15" s="11"/>
      <c r="K15" s="11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23"/>
      <c r="B16" s="11"/>
      <c r="C16" s="12"/>
      <c r="D16" s="12"/>
      <c r="E16" s="11"/>
      <c r="F16" s="11"/>
      <c r="G16" s="11"/>
      <c r="H16" s="11"/>
      <c r="I16" s="11"/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/>
      <c r="D17" s="12"/>
      <c r="E17" s="11"/>
      <c r="F17" s="11"/>
      <c r="G17" s="11"/>
      <c r="H17" s="11"/>
      <c r="I17" s="11"/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/>
      <c r="D18" s="12"/>
      <c r="E18" s="11"/>
      <c r="F18" s="11"/>
      <c r="G18" s="11"/>
      <c r="H18" s="11"/>
      <c r="I18" s="11"/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 t="str">
        <f>IF(E7="X",(D7-C7),"0")</f>
        <v>0</v>
      </c>
      <c r="F36" s="27" t="str">
        <f>IF(F7="X",(D7-C7),"0")</f>
        <v>0</v>
      </c>
      <c r="G36" s="27">
        <f>IF(G7="X",(D7-C7),"0")</f>
        <v>46.3</v>
      </c>
      <c r="H36" s="27" t="str">
        <f>IF(H7="X",(D7-C7),"0")</f>
        <v>0</v>
      </c>
      <c r="I36" s="27" t="str">
        <f>IF(I7="X",(D7-C7),"0")</f>
        <v>0</v>
      </c>
      <c r="J36" s="27">
        <f>IF(J7="X",(D7-C7),"0")</f>
        <v>46.3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 t="str">
        <f t="shared" ref="E37:E41" si="0">IF(E8="X",(D8-C8),"0")</f>
        <v>0</v>
      </c>
      <c r="F37" s="27" t="str">
        <f t="shared" ref="F37:F41" si="1">IF(F8="X",(D8-C8),"0")</f>
        <v>0</v>
      </c>
      <c r="G37" s="27" t="str">
        <f t="shared" ref="G37:G41" si="2">IF(G8="X",(D8-C8),"0")</f>
        <v>0</v>
      </c>
      <c r="H37" s="27" t="str">
        <f t="shared" ref="H37:H41" si="3">IF(H8="X",(D8-C8),"0")</f>
        <v>0</v>
      </c>
      <c r="I37" s="27" t="str">
        <f t="shared" ref="I37:I41" si="4">IF(I8="X",(D8-C8),"0")</f>
        <v>0</v>
      </c>
      <c r="J37" s="27" t="str">
        <f t="shared" ref="J37:J41" si="5">IF(J8="X",(D8-C8),"0")</f>
        <v>0</v>
      </c>
      <c r="K37" s="27" t="str">
        <f t="shared" ref="K37:K41" si="6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 t="str">
        <f>IF(E9="X",(D9-C9),"0")</f>
        <v>0</v>
      </c>
      <c r="F38" s="27" t="str">
        <f t="shared" si="1"/>
        <v>0</v>
      </c>
      <c r="G38" s="27">
        <f t="shared" si="2"/>
        <v>34.700000000000003</v>
      </c>
      <c r="H38" s="27" t="str">
        <f t="shared" si="3"/>
        <v>0</v>
      </c>
      <c r="I38" s="27" t="str">
        <f t="shared" si="4"/>
        <v>0</v>
      </c>
      <c r="J38" s="27">
        <f t="shared" si="5"/>
        <v>34.700000000000003</v>
      </c>
      <c r="K38" s="27" t="str">
        <f t="shared" si="6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 t="str">
        <f t="shared" si="0"/>
        <v>0</v>
      </c>
      <c r="F39" s="27" t="str">
        <f t="shared" si="1"/>
        <v>0</v>
      </c>
      <c r="G39" s="27" t="str">
        <f t="shared" si="2"/>
        <v>0</v>
      </c>
      <c r="H39" s="27" t="str">
        <f t="shared" si="3"/>
        <v>0</v>
      </c>
      <c r="I39" s="27" t="str">
        <f t="shared" si="4"/>
        <v>0</v>
      </c>
      <c r="J39" s="27" t="str">
        <f t="shared" si="5"/>
        <v>0</v>
      </c>
      <c r="K39" s="27" t="str">
        <f t="shared" si="6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 t="str">
        <f t="shared" si="0"/>
        <v>0</v>
      </c>
      <c r="F40" s="27" t="str">
        <f t="shared" si="1"/>
        <v>0</v>
      </c>
      <c r="G40" s="27" t="str">
        <f t="shared" si="2"/>
        <v>0</v>
      </c>
      <c r="H40" s="27" t="str">
        <f t="shared" si="3"/>
        <v>0</v>
      </c>
      <c r="I40" s="27" t="str">
        <f t="shared" si="4"/>
        <v>0</v>
      </c>
      <c r="J40" s="27" t="str">
        <f t="shared" si="5"/>
        <v>0</v>
      </c>
      <c r="K40" s="27" t="str">
        <f t="shared" si="6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 t="str">
        <f t="shared" si="0"/>
        <v>0</v>
      </c>
      <c r="F41" s="27" t="str">
        <f t="shared" si="1"/>
        <v>0</v>
      </c>
      <c r="G41" s="27" t="str">
        <f t="shared" si="2"/>
        <v>0</v>
      </c>
      <c r="H41" s="27" t="str">
        <f t="shared" si="3"/>
        <v>0</v>
      </c>
      <c r="I41" s="27" t="str">
        <f t="shared" si="4"/>
        <v>0</v>
      </c>
      <c r="J41" s="27" t="str">
        <f t="shared" si="5"/>
        <v>0</v>
      </c>
      <c r="K41" s="27" t="str">
        <f t="shared" si="6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 t="str">
        <f t="shared" ref="E42" si="7">IF(E13="X",(D13-C13),"0")</f>
        <v>0</v>
      </c>
      <c r="F42" s="27" t="str">
        <f t="shared" ref="F42" si="8">IF(F13="X",(D13-C13),"0")</f>
        <v>0</v>
      </c>
      <c r="G42" s="27" t="str">
        <f t="shared" ref="G42" si="9">IF(G13="X",(D13-C13),"0")</f>
        <v>0</v>
      </c>
      <c r="H42" s="27" t="str">
        <f t="shared" ref="H42" si="10">IF(H13="X",(D13-C13),"0")</f>
        <v>0</v>
      </c>
      <c r="I42" s="27" t="str">
        <f t="shared" ref="I42" si="11">IF(I13="X",(D13-C13),"0")</f>
        <v>0</v>
      </c>
      <c r="J42" s="27" t="str">
        <f t="shared" ref="J42" si="12">IF(J13="X",(D13-C13),"0")</f>
        <v>0</v>
      </c>
      <c r="K42" s="27" t="str">
        <f t="shared" ref="K42" si="13">IF(K13="X",(D13-C13),"0")</f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ref="E43:E61" si="14">IF(E14="X",(D14-C14),"0")</f>
        <v>0</v>
      </c>
      <c r="F43" s="27" t="str">
        <f t="shared" ref="F43:F61" si="15">IF(F14="X",(D14-C14),"0")</f>
        <v>0</v>
      </c>
      <c r="G43" s="27" t="str">
        <f t="shared" ref="G43:G61" si="16">IF(G14="X",(D14-C14),"0")</f>
        <v>0</v>
      </c>
      <c r="H43" s="27" t="str">
        <f t="shared" ref="H43:H61" si="17">IF(H14="X",(D14-C14),"0")</f>
        <v>0</v>
      </c>
      <c r="I43" s="27" t="str">
        <f t="shared" ref="I43:I61" si="18">IF(I14="X",(D14-C14),"0")</f>
        <v>0</v>
      </c>
      <c r="J43" s="27" t="str">
        <f t="shared" ref="J43:J61" si="19">IF(J14="X",(D14-C14),"0")</f>
        <v>0</v>
      </c>
      <c r="K43" s="27" t="str">
        <f t="shared" ref="K43:K61" si="20">IF(K14="X",(D14-C14),"0")</f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 t="str">
        <f t="shared" si="14"/>
        <v>0</v>
      </c>
      <c r="F44" s="27" t="str">
        <f t="shared" si="15"/>
        <v>0</v>
      </c>
      <c r="G44" s="27" t="str">
        <f t="shared" si="16"/>
        <v>0</v>
      </c>
      <c r="H44" s="27" t="str">
        <f t="shared" si="17"/>
        <v>0</v>
      </c>
      <c r="I44" s="27" t="str">
        <f t="shared" si="18"/>
        <v>0</v>
      </c>
      <c r="J44" s="27" t="str">
        <f t="shared" si="19"/>
        <v>0</v>
      </c>
      <c r="K44" s="27" t="str">
        <f t="shared" si="20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 t="str">
        <f t="shared" si="14"/>
        <v>0</v>
      </c>
      <c r="F45" s="27" t="str">
        <f t="shared" si="15"/>
        <v>0</v>
      </c>
      <c r="G45" s="27" t="str">
        <f t="shared" si="16"/>
        <v>0</v>
      </c>
      <c r="H45" s="27" t="str">
        <f t="shared" si="17"/>
        <v>0</v>
      </c>
      <c r="I45" s="27" t="str">
        <f t="shared" si="18"/>
        <v>0</v>
      </c>
      <c r="J45" s="27" t="str">
        <f t="shared" si="19"/>
        <v>0</v>
      </c>
      <c r="K45" s="27" t="str">
        <f t="shared" si="20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14"/>
        <v>0</v>
      </c>
      <c r="F46" s="27" t="str">
        <f t="shared" si="15"/>
        <v>0</v>
      </c>
      <c r="G46" s="27" t="str">
        <f t="shared" si="16"/>
        <v>0</v>
      </c>
      <c r="H46" s="27" t="str">
        <f t="shared" si="17"/>
        <v>0</v>
      </c>
      <c r="I46" s="27" t="str">
        <f t="shared" si="18"/>
        <v>0</v>
      </c>
      <c r="J46" s="27" t="str">
        <f t="shared" si="19"/>
        <v>0</v>
      </c>
      <c r="K46" s="27" t="str">
        <f t="shared" si="20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14"/>
        <v>0</v>
      </c>
      <c r="F47" s="27" t="str">
        <f t="shared" si="15"/>
        <v>0</v>
      </c>
      <c r="G47" s="27" t="str">
        <f t="shared" si="16"/>
        <v>0</v>
      </c>
      <c r="H47" s="27" t="str">
        <f t="shared" si="17"/>
        <v>0</v>
      </c>
      <c r="I47" s="27" t="str">
        <f t="shared" si="18"/>
        <v>0</v>
      </c>
      <c r="J47" s="27" t="str">
        <f t="shared" si="19"/>
        <v>0</v>
      </c>
      <c r="K47" s="27" t="str">
        <f t="shared" si="20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14"/>
        <v>0</v>
      </c>
      <c r="F48" s="27" t="str">
        <f t="shared" si="15"/>
        <v>0</v>
      </c>
      <c r="G48" s="27" t="str">
        <f t="shared" si="16"/>
        <v>0</v>
      </c>
      <c r="H48" s="27" t="str">
        <f t="shared" si="17"/>
        <v>0</v>
      </c>
      <c r="I48" s="27" t="str">
        <f t="shared" si="18"/>
        <v>0</v>
      </c>
      <c r="J48" s="27" t="str">
        <f t="shared" si="19"/>
        <v>0</v>
      </c>
      <c r="K48" s="27" t="str">
        <f t="shared" si="20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14"/>
        <v>0</v>
      </c>
      <c r="F49" s="27" t="str">
        <f t="shared" si="15"/>
        <v>0</v>
      </c>
      <c r="G49" s="27" t="str">
        <f t="shared" si="16"/>
        <v>0</v>
      </c>
      <c r="H49" s="27" t="str">
        <f t="shared" si="17"/>
        <v>0</v>
      </c>
      <c r="I49" s="27" t="str">
        <f t="shared" si="18"/>
        <v>0</v>
      </c>
      <c r="J49" s="27" t="str">
        <f t="shared" si="19"/>
        <v>0</v>
      </c>
      <c r="K49" s="27" t="str">
        <f t="shared" si="20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14"/>
        <v>0</v>
      </c>
      <c r="F50" s="27" t="str">
        <f t="shared" si="15"/>
        <v>0</v>
      </c>
      <c r="G50" s="27" t="str">
        <f t="shared" si="16"/>
        <v>0</v>
      </c>
      <c r="H50" s="27" t="str">
        <f t="shared" si="17"/>
        <v>0</v>
      </c>
      <c r="I50" s="27" t="str">
        <f t="shared" si="18"/>
        <v>0</v>
      </c>
      <c r="J50" s="27" t="str">
        <f t="shared" si="19"/>
        <v>0</v>
      </c>
      <c r="K50" s="27" t="str">
        <f t="shared" si="20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14"/>
        <v>0</v>
      </c>
      <c r="F51" s="27" t="str">
        <f t="shared" si="15"/>
        <v>0</v>
      </c>
      <c r="G51" s="27" t="str">
        <f t="shared" si="16"/>
        <v>0</v>
      </c>
      <c r="H51" s="27" t="str">
        <f t="shared" si="17"/>
        <v>0</v>
      </c>
      <c r="I51" s="27" t="str">
        <f t="shared" si="18"/>
        <v>0</v>
      </c>
      <c r="J51" s="27" t="str">
        <f t="shared" si="19"/>
        <v>0</v>
      </c>
      <c r="K51" s="27" t="str">
        <f t="shared" si="20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14"/>
        <v>0</v>
      </c>
      <c r="F52" s="27" t="str">
        <f t="shared" si="15"/>
        <v>0</v>
      </c>
      <c r="G52" s="27" t="str">
        <f t="shared" si="16"/>
        <v>0</v>
      </c>
      <c r="H52" s="27" t="str">
        <f t="shared" si="17"/>
        <v>0</v>
      </c>
      <c r="I52" s="27" t="str">
        <f t="shared" si="18"/>
        <v>0</v>
      </c>
      <c r="J52" s="27" t="str">
        <f t="shared" si="19"/>
        <v>0</v>
      </c>
      <c r="K52" s="27" t="str">
        <f t="shared" si="20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14"/>
        <v>0</v>
      </c>
      <c r="F53" s="27" t="str">
        <f t="shared" si="15"/>
        <v>0</v>
      </c>
      <c r="G53" s="27" t="str">
        <f t="shared" si="16"/>
        <v>0</v>
      </c>
      <c r="H53" s="27" t="str">
        <f t="shared" si="17"/>
        <v>0</v>
      </c>
      <c r="I53" s="27" t="str">
        <f t="shared" si="18"/>
        <v>0</v>
      </c>
      <c r="J53" s="27" t="str">
        <f t="shared" si="19"/>
        <v>0</v>
      </c>
      <c r="K53" s="27" t="str">
        <f t="shared" si="20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14"/>
        <v>0</v>
      </c>
      <c r="F54" s="27" t="str">
        <f t="shared" si="15"/>
        <v>0</v>
      </c>
      <c r="G54" s="27" t="str">
        <f t="shared" si="16"/>
        <v>0</v>
      </c>
      <c r="H54" s="27" t="str">
        <f t="shared" si="17"/>
        <v>0</v>
      </c>
      <c r="I54" s="27" t="str">
        <f t="shared" si="18"/>
        <v>0</v>
      </c>
      <c r="J54" s="27" t="str">
        <f t="shared" si="19"/>
        <v>0</v>
      </c>
      <c r="K54" s="27" t="str">
        <f t="shared" si="20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14"/>
        <v>0</v>
      </c>
      <c r="F55" s="27" t="str">
        <f t="shared" si="15"/>
        <v>0</v>
      </c>
      <c r="G55" s="27" t="str">
        <f t="shared" si="16"/>
        <v>0</v>
      </c>
      <c r="H55" s="27" t="str">
        <f t="shared" si="17"/>
        <v>0</v>
      </c>
      <c r="I55" s="27" t="str">
        <f t="shared" si="18"/>
        <v>0</v>
      </c>
      <c r="J55" s="27" t="str">
        <f t="shared" si="19"/>
        <v>0</v>
      </c>
      <c r="K55" s="27" t="str">
        <f t="shared" si="20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14"/>
        <v>0</v>
      </c>
      <c r="F56" s="27" t="str">
        <f t="shared" si="15"/>
        <v>0</v>
      </c>
      <c r="G56" s="27" t="str">
        <f t="shared" si="16"/>
        <v>0</v>
      </c>
      <c r="H56" s="27" t="str">
        <f t="shared" si="17"/>
        <v>0</v>
      </c>
      <c r="I56" s="27" t="str">
        <f t="shared" si="18"/>
        <v>0</v>
      </c>
      <c r="J56" s="27" t="str">
        <f t="shared" si="19"/>
        <v>0</v>
      </c>
      <c r="K56" s="27" t="str">
        <f t="shared" si="20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14"/>
        <v>0</v>
      </c>
      <c r="F57" s="27" t="str">
        <f t="shared" si="15"/>
        <v>0</v>
      </c>
      <c r="G57" s="27" t="str">
        <f t="shared" si="16"/>
        <v>0</v>
      </c>
      <c r="H57" s="27" t="str">
        <f t="shared" si="17"/>
        <v>0</v>
      </c>
      <c r="I57" s="27" t="str">
        <f t="shared" si="18"/>
        <v>0</v>
      </c>
      <c r="J57" s="27" t="str">
        <f t="shared" si="19"/>
        <v>0</v>
      </c>
      <c r="K57" s="27" t="str">
        <f t="shared" si="20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14"/>
        <v>0</v>
      </c>
      <c r="F58" s="27" t="str">
        <f t="shared" si="15"/>
        <v>0</v>
      </c>
      <c r="G58" s="27" t="str">
        <f t="shared" si="16"/>
        <v>0</v>
      </c>
      <c r="H58" s="27" t="str">
        <f t="shared" si="17"/>
        <v>0</v>
      </c>
      <c r="I58" s="27" t="str">
        <f t="shared" si="18"/>
        <v>0</v>
      </c>
      <c r="J58" s="27" t="str">
        <f t="shared" si="19"/>
        <v>0</v>
      </c>
      <c r="K58" s="27" t="str">
        <f t="shared" si="20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14"/>
        <v>0</v>
      </c>
      <c r="F59" s="27" t="str">
        <f t="shared" si="15"/>
        <v>0</v>
      </c>
      <c r="G59" s="27" t="str">
        <f t="shared" si="16"/>
        <v>0</v>
      </c>
      <c r="H59" s="27" t="str">
        <f t="shared" si="17"/>
        <v>0</v>
      </c>
      <c r="I59" s="27" t="str">
        <f t="shared" si="18"/>
        <v>0</v>
      </c>
      <c r="J59" s="27" t="str">
        <f t="shared" si="19"/>
        <v>0</v>
      </c>
      <c r="K59" s="27" t="str">
        <f t="shared" si="20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14"/>
        <v>0</v>
      </c>
      <c r="F60" s="27" t="str">
        <f t="shared" si="15"/>
        <v>0</v>
      </c>
      <c r="G60" s="27" t="str">
        <f t="shared" si="16"/>
        <v>0</v>
      </c>
      <c r="H60" s="27" t="str">
        <f t="shared" si="17"/>
        <v>0</v>
      </c>
      <c r="I60" s="27" t="str">
        <f t="shared" si="18"/>
        <v>0</v>
      </c>
      <c r="J60" s="27" t="str">
        <f t="shared" si="19"/>
        <v>0</v>
      </c>
      <c r="K60" s="27" t="str">
        <f t="shared" si="20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14"/>
        <v>0</v>
      </c>
      <c r="F61" s="27" t="str">
        <f t="shared" si="15"/>
        <v>0</v>
      </c>
      <c r="G61" s="27" t="str">
        <f t="shared" si="16"/>
        <v>0</v>
      </c>
      <c r="H61" s="27" t="str">
        <f t="shared" si="17"/>
        <v>0</v>
      </c>
      <c r="I61" s="27" t="str">
        <f t="shared" si="18"/>
        <v>0</v>
      </c>
      <c r="J61" s="27" t="str">
        <f t="shared" si="19"/>
        <v>0</v>
      </c>
      <c r="K61" s="27" t="str">
        <f t="shared" si="20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0</v>
      </c>
      <c r="F62" s="27">
        <f>SUM(F36:F61)</f>
        <v>0</v>
      </c>
      <c r="G62" s="27">
        <f t="shared" ref="G62:K62" si="21">SUM(G36:G61)</f>
        <v>81</v>
      </c>
      <c r="H62" s="27">
        <f t="shared" si="21"/>
        <v>0</v>
      </c>
      <c r="I62" s="27">
        <f t="shared" si="21"/>
        <v>0</v>
      </c>
      <c r="J62" s="27">
        <f t="shared" si="21"/>
        <v>81</v>
      </c>
      <c r="K62" s="27">
        <f t="shared" si="21"/>
        <v>0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C293-9A49-4051-B31F-ED7C3D747EBE}">
  <sheetPr>
    <pageSetUpPr fitToPage="1"/>
  </sheetPr>
  <dimension ref="A1:R68"/>
  <sheetViews>
    <sheetView view="pageBreakPreview" zoomScale="55" zoomScaleNormal="25" zoomScaleSheetLayoutView="55" workbookViewId="0">
      <selection activeCell="F7" sqref="F7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136">
        <f>'228'!J1</f>
        <v>46204</v>
      </c>
      <c r="K1" s="137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138"/>
      <c r="K2" s="139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TT!C13</f>
        <v>RODOVIA TO-491 - TRECHO ENTR. BR-242 - ENTR. TO-296 (POVOADO RETIRO)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23" t="s">
        <v>86</v>
      </c>
      <c r="B7" s="11" t="s">
        <v>98</v>
      </c>
      <c r="C7" s="12">
        <v>0</v>
      </c>
      <c r="D7" s="12">
        <v>36.5</v>
      </c>
      <c r="E7" s="11" t="s">
        <v>97</v>
      </c>
      <c r="F7" s="11"/>
      <c r="G7" s="11"/>
      <c r="H7" s="11"/>
      <c r="I7" s="11" t="s">
        <v>97</v>
      </c>
      <c r="J7" s="11"/>
      <c r="K7" s="11"/>
      <c r="L7" s="97"/>
      <c r="M7" s="97"/>
      <c r="N7" s="97"/>
      <c r="O7" s="97"/>
      <c r="P7" s="97"/>
      <c r="Q7" s="97"/>
      <c r="R7" s="98"/>
    </row>
    <row r="8" spans="1:18" ht="41.4" customHeight="1" x14ac:dyDescent="0.25">
      <c r="A8" s="23"/>
      <c r="B8" s="11"/>
      <c r="C8" s="12">
        <f>D7</f>
        <v>36.5</v>
      </c>
      <c r="D8" s="12">
        <v>42.4</v>
      </c>
      <c r="E8" s="11"/>
      <c r="F8" s="11" t="s">
        <v>97</v>
      </c>
      <c r="G8" s="11" t="s">
        <v>97</v>
      </c>
      <c r="H8" s="11"/>
      <c r="I8" s="11" t="s">
        <v>97</v>
      </c>
      <c r="J8" s="11"/>
      <c r="K8" s="11"/>
      <c r="L8" s="97"/>
      <c r="M8" s="97"/>
      <c r="N8" s="97"/>
      <c r="O8" s="97"/>
      <c r="P8" s="97"/>
      <c r="Q8" s="97"/>
      <c r="R8" s="98"/>
    </row>
    <row r="9" spans="1:18" ht="41.4" customHeight="1" x14ac:dyDescent="0.25">
      <c r="A9" s="23"/>
      <c r="B9" s="11"/>
      <c r="C9" s="12">
        <f t="shared" ref="C9" si="0">D8</f>
        <v>42.4</v>
      </c>
      <c r="D9" s="12">
        <v>60.31</v>
      </c>
      <c r="E9" s="11" t="s">
        <v>97</v>
      </c>
      <c r="F9" s="11"/>
      <c r="G9" s="11"/>
      <c r="H9" s="11"/>
      <c r="I9" s="11" t="s">
        <v>97</v>
      </c>
      <c r="J9" s="11"/>
      <c r="K9" s="11"/>
      <c r="L9" s="97"/>
      <c r="M9" s="97"/>
      <c r="N9" s="97"/>
      <c r="O9" s="97"/>
      <c r="P9" s="97"/>
      <c r="Q9" s="97"/>
      <c r="R9" s="98"/>
    </row>
    <row r="10" spans="1:18" ht="41.4" customHeight="1" x14ac:dyDescent="0.25">
      <c r="A10" s="23"/>
      <c r="B10" s="11"/>
      <c r="C10" s="12"/>
      <c r="D10" s="12"/>
      <c r="E10" s="11"/>
      <c r="F10" s="11"/>
      <c r="G10" s="11"/>
      <c r="H10" s="11"/>
      <c r="I10" s="11"/>
      <c r="J10" s="11"/>
      <c r="K10" s="11"/>
      <c r="L10" s="97"/>
      <c r="M10" s="97"/>
      <c r="N10" s="97"/>
      <c r="O10" s="97"/>
      <c r="P10" s="97"/>
      <c r="Q10" s="97"/>
      <c r="R10" s="98"/>
    </row>
    <row r="11" spans="1:18" ht="41.4" customHeight="1" x14ac:dyDescent="0.25">
      <c r="A11" s="23"/>
      <c r="B11" s="11"/>
      <c r="C11" s="12"/>
      <c r="D11" s="12"/>
      <c r="E11" s="11"/>
      <c r="F11" s="11"/>
      <c r="G11" s="11"/>
      <c r="H11" s="11"/>
      <c r="I11" s="11"/>
      <c r="J11" s="11"/>
      <c r="K11" s="11"/>
      <c r="L11" s="97"/>
      <c r="M11" s="97"/>
      <c r="N11" s="97"/>
      <c r="O11" s="97"/>
      <c r="P11" s="97"/>
      <c r="Q11" s="97"/>
      <c r="R11" s="98"/>
    </row>
    <row r="12" spans="1:18" ht="41.4" customHeight="1" x14ac:dyDescent="0.25">
      <c r="A12" s="23"/>
      <c r="B12" s="11"/>
      <c r="C12" s="12"/>
      <c r="D12" s="12"/>
      <c r="E12" s="11"/>
      <c r="F12" s="11"/>
      <c r="G12" s="11"/>
      <c r="H12" s="11"/>
      <c r="I12" s="11"/>
      <c r="J12" s="11"/>
      <c r="K12" s="11"/>
      <c r="L12" s="97"/>
      <c r="M12" s="97"/>
      <c r="N12" s="97"/>
      <c r="O12" s="97"/>
      <c r="P12" s="97"/>
      <c r="Q12" s="97"/>
      <c r="R12" s="98"/>
    </row>
    <row r="13" spans="1:18" ht="41.4" customHeight="1" x14ac:dyDescent="0.25">
      <c r="A13" s="23"/>
      <c r="B13" s="11"/>
      <c r="C13" s="12"/>
      <c r="D13" s="12"/>
      <c r="E13" s="11"/>
      <c r="F13" s="11"/>
      <c r="G13" s="11"/>
      <c r="H13" s="11"/>
      <c r="I13" s="11"/>
      <c r="J13" s="11"/>
      <c r="K13" s="11"/>
      <c r="L13" s="97"/>
      <c r="M13" s="97"/>
      <c r="N13" s="97"/>
      <c r="O13" s="97"/>
      <c r="P13" s="97"/>
      <c r="Q13" s="97"/>
      <c r="R13" s="98"/>
    </row>
    <row r="14" spans="1:18" ht="41.4" customHeight="1" x14ac:dyDescent="0.25">
      <c r="A14" s="23"/>
      <c r="B14" s="11"/>
      <c r="C14" s="12"/>
      <c r="D14" s="12"/>
      <c r="E14" s="11"/>
      <c r="F14" s="11"/>
      <c r="G14" s="11"/>
      <c r="H14" s="11"/>
      <c r="I14" s="11"/>
      <c r="J14" s="11"/>
      <c r="K14" s="11"/>
      <c r="L14" s="97"/>
      <c r="M14" s="97"/>
      <c r="N14" s="97"/>
      <c r="O14" s="97"/>
      <c r="P14" s="97"/>
      <c r="Q14" s="97"/>
      <c r="R14" s="98"/>
    </row>
    <row r="15" spans="1:18" ht="41.4" customHeight="1" x14ac:dyDescent="0.25">
      <c r="A15" s="23"/>
      <c r="B15" s="11"/>
      <c r="C15" s="12"/>
      <c r="D15" s="12"/>
      <c r="E15" s="11"/>
      <c r="F15" s="11"/>
      <c r="G15" s="11"/>
      <c r="H15" s="11"/>
      <c r="I15" s="11"/>
      <c r="J15" s="11"/>
      <c r="K15" s="11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23"/>
      <c r="B16" s="11"/>
      <c r="C16" s="12"/>
      <c r="D16" s="12"/>
      <c r="E16" s="11"/>
      <c r="F16" s="11"/>
      <c r="G16" s="11"/>
      <c r="H16" s="11"/>
      <c r="I16" s="11"/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/>
      <c r="D17" s="12"/>
      <c r="E17" s="11"/>
      <c r="F17" s="11"/>
      <c r="G17" s="11"/>
      <c r="H17" s="11"/>
      <c r="I17" s="11"/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/>
      <c r="D18" s="12"/>
      <c r="E18" s="11"/>
      <c r="F18" s="11"/>
      <c r="G18" s="11"/>
      <c r="H18" s="11"/>
      <c r="I18" s="11"/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>
        <f>IF(E7="X",(D7-C7),"0")</f>
        <v>36.5</v>
      </c>
      <c r="F36" s="27" t="str">
        <f>IF(F7="X",(D7-C7),"0")</f>
        <v>0</v>
      </c>
      <c r="G36" s="27" t="str">
        <f>IF(G7="X",(D7-C7),"0")</f>
        <v>0</v>
      </c>
      <c r="H36" s="27" t="str">
        <f>IF(H7="X",(D7-C7),"0")</f>
        <v>0</v>
      </c>
      <c r="I36" s="27">
        <f>IF(I7="X",(D7-C7),"0")</f>
        <v>36.5</v>
      </c>
      <c r="J36" s="27" t="str">
        <f>IF(J7="X",(D7-C7),"0")</f>
        <v>0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 t="str">
        <f t="shared" ref="E37:E61" si="1">IF(E8="X",(D8-C8),"0")</f>
        <v>0</v>
      </c>
      <c r="F37" s="27">
        <f t="shared" ref="F37:F61" si="2">IF(F8="X",(D8-C8),"0")</f>
        <v>5.8999999999999986</v>
      </c>
      <c r="G37" s="27">
        <f t="shared" ref="G37:G61" si="3">IF(G8="X",(D8-C8),"0")</f>
        <v>5.8999999999999986</v>
      </c>
      <c r="H37" s="27" t="str">
        <f t="shared" ref="H37:H61" si="4">IF(H8="X",(D8-C8),"0")</f>
        <v>0</v>
      </c>
      <c r="I37" s="27">
        <f t="shared" ref="I37:I61" si="5">IF(I8="X",(D8-C8),"0")</f>
        <v>5.8999999999999986</v>
      </c>
      <c r="J37" s="27" t="str">
        <f t="shared" ref="J37:J61" si="6">IF(J8="X",(D8-C8),"0")</f>
        <v>0</v>
      </c>
      <c r="K37" s="27" t="str">
        <f t="shared" ref="K37:K61" si="7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>
        <f t="shared" si="1"/>
        <v>17.910000000000004</v>
      </c>
      <c r="F38" s="27" t="str">
        <f t="shared" si="2"/>
        <v>0</v>
      </c>
      <c r="G38" s="27" t="str">
        <f t="shared" si="3"/>
        <v>0</v>
      </c>
      <c r="H38" s="27" t="str">
        <f t="shared" si="4"/>
        <v>0</v>
      </c>
      <c r="I38" s="27">
        <f t="shared" si="5"/>
        <v>17.910000000000004</v>
      </c>
      <c r="J38" s="27" t="str">
        <f t="shared" si="6"/>
        <v>0</v>
      </c>
      <c r="K38" s="27" t="str">
        <f t="shared" si="7"/>
        <v>0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 t="str">
        <f t="shared" si="1"/>
        <v>0</v>
      </c>
      <c r="F39" s="27" t="str">
        <f t="shared" si="2"/>
        <v>0</v>
      </c>
      <c r="G39" s="27" t="str">
        <f t="shared" si="3"/>
        <v>0</v>
      </c>
      <c r="H39" s="27" t="str">
        <f t="shared" si="4"/>
        <v>0</v>
      </c>
      <c r="I39" s="27" t="str">
        <f t="shared" si="5"/>
        <v>0</v>
      </c>
      <c r="J39" s="27" t="str">
        <f t="shared" si="6"/>
        <v>0</v>
      </c>
      <c r="K39" s="27" t="str">
        <f t="shared" si="7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 t="str">
        <f t="shared" si="1"/>
        <v>0</v>
      </c>
      <c r="F40" s="27" t="str">
        <f t="shared" si="2"/>
        <v>0</v>
      </c>
      <c r="G40" s="27" t="str">
        <f t="shared" si="3"/>
        <v>0</v>
      </c>
      <c r="H40" s="27" t="str">
        <f t="shared" si="4"/>
        <v>0</v>
      </c>
      <c r="I40" s="27" t="str">
        <f t="shared" si="5"/>
        <v>0</v>
      </c>
      <c r="J40" s="27" t="str">
        <f t="shared" si="6"/>
        <v>0</v>
      </c>
      <c r="K40" s="27" t="str">
        <f t="shared" si="7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 t="str">
        <f t="shared" si="1"/>
        <v>0</v>
      </c>
      <c r="F41" s="27" t="str">
        <f t="shared" si="2"/>
        <v>0</v>
      </c>
      <c r="G41" s="27" t="str">
        <f t="shared" si="3"/>
        <v>0</v>
      </c>
      <c r="H41" s="27" t="str">
        <f t="shared" si="4"/>
        <v>0</v>
      </c>
      <c r="I41" s="27" t="str">
        <f t="shared" si="5"/>
        <v>0</v>
      </c>
      <c r="J41" s="27" t="str">
        <f t="shared" si="6"/>
        <v>0</v>
      </c>
      <c r="K41" s="27" t="str">
        <f t="shared" si="7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 t="str">
        <f t="shared" si="1"/>
        <v>0</v>
      </c>
      <c r="F42" s="27" t="str">
        <f t="shared" si="2"/>
        <v>0</v>
      </c>
      <c r="G42" s="27" t="str">
        <f t="shared" si="3"/>
        <v>0</v>
      </c>
      <c r="H42" s="27" t="str">
        <f t="shared" si="4"/>
        <v>0</v>
      </c>
      <c r="I42" s="27" t="str">
        <f t="shared" si="5"/>
        <v>0</v>
      </c>
      <c r="J42" s="27" t="str">
        <f t="shared" si="6"/>
        <v>0</v>
      </c>
      <c r="K42" s="27" t="str">
        <f t="shared" si="7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si="1"/>
        <v>0</v>
      </c>
      <c r="F43" s="27" t="str">
        <f t="shared" si="2"/>
        <v>0</v>
      </c>
      <c r="G43" s="27" t="str">
        <f t="shared" si="3"/>
        <v>0</v>
      </c>
      <c r="H43" s="27" t="str">
        <f t="shared" si="4"/>
        <v>0</v>
      </c>
      <c r="I43" s="27" t="str">
        <f t="shared" si="5"/>
        <v>0</v>
      </c>
      <c r="J43" s="27" t="str">
        <f t="shared" si="6"/>
        <v>0</v>
      </c>
      <c r="K43" s="27" t="str">
        <f t="shared" si="7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 t="str">
        <f t="shared" si="1"/>
        <v>0</v>
      </c>
      <c r="F44" s="27" t="str">
        <f t="shared" si="2"/>
        <v>0</v>
      </c>
      <c r="G44" s="27" t="str">
        <f t="shared" si="3"/>
        <v>0</v>
      </c>
      <c r="H44" s="27" t="str">
        <f t="shared" si="4"/>
        <v>0</v>
      </c>
      <c r="I44" s="27" t="str">
        <f t="shared" si="5"/>
        <v>0</v>
      </c>
      <c r="J44" s="27" t="str">
        <f t="shared" si="6"/>
        <v>0</v>
      </c>
      <c r="K44" s="27" t="str">
        <f t="shared" si="7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 t="str">
        <f t="shared" si="1"/>
        <v>0</v>
      </c>
      <c r="F45" s="27" t="str">
        <f t="shared" si="2"/>
        <v>0</v>
      </c>
      <c r="G45" s="27" t="str">
        <f t="shared" si="3"/>
        <v>0</v>
      </c>
      <c r="H45" s="27" t="str">
        <f t="shared" si="4"/>
        <v>0</v>
      </c>
      <c r="I45" s="27" t="str">
        <f t="shared" si="5"/>
        <v>0</v>
      </c>
      <c r="J45" s="27" t="str">
        <f t="shared" si="6"/>
        <v>0</v>
      </c>
      <c r="K45" s="27" t="str">
        <f t="shared" si="7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1"/>
        <v>0</v>
      </c>
      <c r="F46" s="27" t="str">
        <f t="shared" si="2"/>
        <v>0</v>
      </c>
      <c r="G46" s="27" t="str">
        <f t="shared" si="3"/>
        <v>0</v>
      </c>
      <c r="H46" s="27" t="str">
        <f t="shared" si="4"/>
        <v>0</v>
      </c>
      <c r="I46" s="27" t="str">
        <f t="shared" si="5"/>
        <v>0</v>
      </c>
      <c r="J46" s="27" t="str">
        <f t="shared" si="6"/>
        <v>0</v>
      </c>
      <c r="K46" s="27" t="str">
        <f t="shared" si="7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1"/>
        <v>0</v>
      </c>
      <c r="F47" s="27" t="str">
        <f t="shared" si="2"/>
        <v>0</v>
      </c>
      <c r="G47" s="27" t="str">
        <f t="shared" si="3"/>
        <v>0</v>
      </c>
      <c r="H47" s="27" t="str">
        <f t="shared" si="4"/>
        <v>0</v>
      </c>
      <c r="I47" s="27" t="str">
        <f t="shared" si="5"/>
        <v>0</v>
      </c>
      <c r="J47" s="27" t="str">
        <f t="shared" si="6"/>
        <v>0</v>
      </c>
      <c r="K47" s="27" t="str">
        <f t="shared" si="7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1"/>
        <v>0</v>
      </c>
      <c r="F48" s="27" t="str">
        <f t="shared" si="2"/>
        <v>0</v>
      </c>
      <c r="G48" s="27" t="str">
        <f t="shared" si="3"/>
        <v>0</v>
      </c>
      <c r="H48" s="27" t="str">
        <f t="shared" si="4"/>
        <v>0</v>
      </c>
      <c r="I48" s="27" t="str">
        <f t="shared" si="5"/>
        <v>0</v>
      </c>
      <c r="J48" s="27" t="str">
        <f t="shared" si="6"/>
        <v>0</v>
      </c>
      <c r="K48" s="27" t="str">
        <f t="shared" si="7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1"/>
        <v>0</v>
      </c>
      <c r="F49" s="27" t="str">
        <f t="shared" si="2"/>
        <v>0</v>
      </c>
      <c r="G49" s="27" t="str">
        <f t="shared" si="3"/>
        <v>0</v>
      </c>
      <c r="H49" s="27" t="str">
        <f t="shared" si="4"/>
        <v>0</v>
      </c>
      <c r="I49" s="27" t="str">
        <f t="shared" si="5"/>
        <v>0</v>
      </c>
      <c r="J49" s="27" t="str">
        <f t="shared" si="6"/>
        <v>0</v>
      </c>
      <c r="K49" s="27" t="str">
        <f t="shared" si="7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1"/>
        <v>0</v>
      </c>
      <c r="F50" s="27" t="str">
        <f t="shared" si="2"/>
        <v>0</v>
      </c>
      <c r="G50" s="27" t="str">
        <f t="shared" si="3"/>
        <v>0</v>
      </c>
      <c r="H50" s="27" t="str">
        <f t="shared" si="4"/>
        <v>0</v>
      </c>
      <c r="I50" s="27" t="str">
        <f t="shared" si="5"/>
        <v>0</v>
      </c>
      <c r="J50" s="27" t="str">
        <f t="shared" si="6"/>
        <v>0</v>
      </c>
      <c r="K50" s="27" t="str">
        <f t="shared" si="7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1"/>
        <v>0</v>
      </c>
      <c r="F51" s="27" t="str">
        <f t="shared" si="2"/>
        <v>0</v>
      </c>
      <c r="G51" s="27" t="str">
        <f t="shared" si="3"/>
        <v>0</v>
      </c>
      <c r="H51" s="27" t="str">
        <f t="shared" si="4"/>
        <v>0</v>
      </c>
      <c r="I51" s="27" t="str">
        <f t="shared" si="5"/>
        <v>0</v>
      </c>
      <c r="J51" s="27" t="str">
        <f t="shared" si="6"/>
        <v>0</v>
      </c>
      <c r="K51" s="27" t="str">
        <f t="shared" si="7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1"/>
        <v>0</v>
      </c>
      <c r="F52" s="27" t="str">
        <f t="shared" si="2"/>
        <v>0</v>
      </c>
      <c r="G52" s="27" t="str">
        <f t="shared" si="3"/>
        <v>0</v>
      </c>
      <c r="H52" s="27" t="str">
        <f t="shared" si="4"/>
        <v>0</v>
      </c>
      <c r="I52" s="27" t="str">
        <f t="shared" si="5"/>
        <v>0</v>
      </c>
      <c r="J52" s="27" t="str">
        <f t="shared" si="6"/>
        <v>0</v>
      </c>
      <c r="K52" s="27" t="str">
        <f t="shared" si="7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1"/>
        <v>0</v>
      </c>
      <c r="F53" s="27" t="str">
        <f t="shared" si="2"/>
        <v>0</v>
      </c>
      <c r="G53" s="27" t="str">
        <f t="shared" si="3"/>
        <v>0</v>
      </c>
      <c r="H53" s="27" t="str">
        <f t="shared" si="4"/>
        <v>0</v>
      </c>
      <c r="I53" s="27" t="str">
        <f t="shared" si="5"/>
        <v>0</v>
      </c>
      <c r="J53" s="27" t="str">
        <f t="shared" si="6"/>
        <v>0</v>
      </c>
      <c r="K53" s="27" t="str">
        <f t="shared" si="7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1"/>
        <v>0</v>
      </c>
      <c r="F54" s="27" t="str">
        <f t="shared" si="2"/>
        <v>0</v>
      </c>
      <c r="G54" s="27" t="str">
        <f t="shared" si="3"/>
        <v>0</v>
      </c>
      <c r="H54" s="27" t="str">
        <f t="shared" si="4"/>
        <v>0</v>
      </c>
      <c r="I54" s="27" t="str">
        <f t="shared" si="5"/>
        <v>0</v>
      </c>
      <c r="J54" s="27" t="str">
        <f t="shared" si="6"/>
        <v>0</v>
      </c>
      <c r="K54" s="27" t="str">
        <f t="shared" si="7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1"/>
        <v>0</v>
      </c>
      <c r="F55" s="27" t="str">
        <f t="shared" si="2"/>
        <v>0</v>
      </c>
      <c r="G55" s="27" t="str">
        <f t="shared" si="3"/>
        <v>0</v>
      </c>
      <c r="H55" s="27" t="str">
        <f t="shared" si="4"/>
        <v>0</v>
      </c>
      <c r="I55" s="27" t="str">
        <f t="shared" si="5"/>
        <v>0</v>
      </c>
      <c r="J55" s="27" t="str">
        <f t="shared" si="6"/>
        <v>0</v>
      </c>
      <c r="K55" s="27" t="str">
        <f t="shared" si="7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1"/>
        <v>0</v>
      </c>
      <c r="F56" s="27" t="str">
        <f t="shared" si="2"/>
        <v>0</v>
      </c>
      <c r="G56" s="27" t="str">
        <f t="shared" si="3"/>
        <v>0</v>
      </c>
      <c r="H56" s="27" t="str">
        <f t="shared" si="4"/>
        <v>0</v>
      </c>
      <c r="I56" s="27" t="str">
        <f t="shared" si="5"/>
        <v>0</v>
      </c>
      <c r="J56" s="27" t="str">
        <f t="shared" si="6"/>
        <v>0</v>
      </c>
      <c r="K56" s="27" t="str">
        <f t="shared" si="7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1"/>
        <v>0</v>
      </c>
      <c r="F57" s="27" t="str">
        <f t="shared" si="2"/>
        <v>0</v>
      </c>
      <c r="G57" s="27" t="str">
        <f t="shared" si="3"/>
        <v>0</v>
      </c>
      <c r="H57" s="27" t="str">
        <f t="shared" si="4"/>
        <v>0</v>
      </c>
      <c r="I57" s="27" t="str">
        <f t="shared" si="5"/>
        <v>0</v>
      </c>
      <c r="J57" s="27" t="str">
        <f t="shared" si="6"/>
        <v>0</v>
      </c>
      <c r="K57" s="27" t="str">
        <f t="shared" si="7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1"/>
        <v>0</v>
      </c>
      <c r="F58" s="27" t="str">
        <f t="shared" si="2"/>
        <v>0</v>
      </c>
      <c r="G58" s="27" t="str">
        <f t="shared" si="3"/>
        <v>0</v>
      </c>
      <c r="H58" s="27" t="str">
        <f t="shared" si="4"/>
        <v>0</v>
      </c>
      <c r="I58" s="27" t="str">
        <f t="shared" si="5"/>
        <v>0</v>
      </c>
      <c r="J58" s="27" t="str">
        <f t="shared" si="6"/>
        <v>0</v>
      </c>
      <c r="K58" s="27" t="str">
        <f t="shared" si="7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1"/>
        <v>0</v>
      </c>
      <c r="F59" s="27" t="str">
        <f t="shared" si="2"/>
        <v>0</v>
      </c>
      <c r="G59" s="27" t="str">
        <f t="shared" si="3"/>
        <v>0</v>
      </c>
      <c r="H59" s="27" t="str">
        <f t="shared" si="4"/>
        <v>0</v>
      </c>
      <c r="I59" s="27" t="str">
        <f t="shared" si="5"/>
        <v>0</v>
      </c>
      <c r="J59" s="27" t="str">
        <f t="shared" si="6"/>
        <v>0</v>
      </c>
      <c r="K59" s="27" t="str">
        <f t="shared" si="7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1"/>
        <v>0</v>
      </c>
      <c r="F60" s="27" t="str">
        <f t="shared" si="2"/>
        <v>0</v>
      </c>
      <c r="G60" s="27" t="str">
        <f t="shared" si="3"/>
        <v>0</v>
      </c>
      <c r="H60" s="27" t="str">
        <f t="shared" si="4"/>
        <v>0</v>
      </c>
      <c r="I60" s="27" t="str">
        <f t="shared" si="5"/>
        <v>0</v>
      </c>
      <c r="J60" s="27" t="str">
        <f t="shared" si="6"/>
        <v>0</v>
      </c>
      <c r="K60" s="27" t="str">
        <f t="shared" si="7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1"/>
        <v>0</v>
      </c>
      <c r="F61" s="27" t="str">
        <f t="shared" si="2"/>
        <v>0</v>
      </c>
      <c r="G61" s="27" t="str">
        <f t="shared" si="3"/>
        <v>0</v>
      </c>
      <c r="H61" s="27" t="str">
        <f t="shared" si="4"/>
        <v>0</v>
      </c>
      <c r="I61" s="27" t="str">
        <f t="shared" si="5"/>
        <v>0</v>
      </c>
      <c r="J61" s="27" t="str">
        <f t="shared" si="6"/>
        <v>0</v>
      </c>
      <c r="K61" s="27" t="str">
        <f t="shared" si="7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54.410000000000004</v>
      </c>
      <c r="F62" s="27">
        <f t="shared" ref="F62:K62" si="8">SUM(F36:F61)</f>
        <v>5.8999999999999986</v>
      </c>
      <c r="G62" s="27">
        <f t="shared" si="8"/>
        <v>5.8999999999999986</v>
      </c>
      <c r="H62" s="27">
        <f t="shared" si="8"/>
        <v>0</v>
      </c>
      <c r="I62" s="27">
        <f t="shared" si="8"/>
        <v>60.31</v>
      </c>
      <c r="J62" s="27">
        <f t="shared" si="8"/>
        <v>0</v>
      </c>
      <c r="K62" s="27">
        <f t="shared" si="8"/>
        <v>0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E350-88B4-43E9-845D-953FA5E1E01D}">
  <sheetPr>
    <pageSetUpPr fitToPage="1"/>
  </sheetPr>
  <dimension ref="A1:R68"/>
  <sheetViews>
    <sheetView view="pageBreakPreview" zoomScale="55" zoomScaleNormal="40" zoomScaleSheetLayoutView="55" workbookViewId="0">
      <selection activeCell="G7" sqref="G7:G9"/>
    </sheetView>
  </sheetViews>
  <sheetFormatPr defaultColWidth="8.88671875" defaultRowHeight="13.8" x14ac:dyDescent="0.25"/>
  <cols>
    <col min="1" max="1" width="33.33203125" style="1" customWidth="1"/>
    <col min="2" max="2" width="17.109375" style="1" customWidth="1"/>
    <col min="3" max="4" width="13.44140625" style="1" customWidth="1"/>
    <col min="5" max="5" width="26.5546875" style="2" customWidth="1"/>
    <col min="6" max="6" width="30.109375" style="2" customWidth="1"/>
    <col min="7" max="7" width="26.5546875" style="2" customWidth="1"/>
    <col min="8" max="8" width="33.109375" style="2" customWidth="1"/>
    <col min="9" max="11" width="32" style="2" customWidth="1"/>
    <col min="12" max="14" width="14.44140625" style="1" customWidth="1"/>
    <col min="15" max="17" width="14.6640625" style="1" customWidth="1"/>
    <col min="18" max="18" width="37.44140625" style="1" customWidth="1"/>
    <col min="19" max="16384" width="8.88671875" style="1"/>
  </cols>
  <sheetData>
    <row r="1" spans="1:18" ht="19.2" customHeight="1" x14ac:dyDescent="0.3">
      <c r="A1" s="79" t="s">
        <v>0</v>
      </c>
      <c r="B1" s="80"/>
      <c r="C1" s="80"/>
      <c r="D1" s="80"/>
      <c r="E1" s="80"/>
      <c r="F1" s="80"/>
      <c r="G1" s="80"/>
      <c r="H1" s="81"/>
      <c r="I1" s="101" t="s">
        <v>3</v>
      </c>
      <c r="J1" s="136">
        <f>'228'!J1</f>
        <v>46204</v>
      </c>
      <c r="K1" s="137"/>
      <c r="L1" s="103" t="s">
        <v>4</v>
      </c>
      <c r="M1" s="103"/>
      <c r="N1" s="105" t="str">
        <f>'228'!N1</f>
        <v>ENG. THIAGO TORQUATO</v>
      </c>
      <c r="O1" s="105"/>
      <c r="P1" s="105"/>
      <c r="Q1" s="105"/>
      <c r="R1" s="106"/>
    </row>
    <row r="2" spans="1:18" ht="19.2" customHeight="1" x14ac:dyDescent="0.3">
      <c r="A2" s="82" t="s">
        <v>9</v>
      </c>
      <c r="B2" s="83"/>
      <c r="C2" s="83"/>
      <c r="D2" s="83"/>
      <c r="E2" s="83"/>
      <c r="F2" s="83"/>
      <c r="G2" s="83"/>
      <c r="H2" s="84"/>
      <c r="I2" s="102"/>
      <c r="J2" s="138"/>
      <c r="K2" s="139"/>
      <c r="L2" s="104"/>
      <c r="M2" s="104"/>
      <c r="N2" s="107"/>
      <c r="O2" s="108"/>
      <c r="P2" s="108"/>
      <c r="Q2" s="108"/>
      <c r="R2" s="109"/>
    </row>
    <row r="3" spans="1:18" ht="24.6" x14ac:dyDescent="0.4">
      <c r="A3" s="22" t="s">
        <v>21</v>
      </c>
      <c r="B3" s="85" t="str">
        <f>TT!C14</f>
        <v>RODOVIA TO-495 - TRECHO DIVISA TO-GO - LOURENÇO BORGES - ENTR. TO-296</v>
      </c>
      <c r="C3" s="86"/>
      <c r="D3" s="86"/>
      <c r="E3" s="86"/>
      <c r="F3" s="86"/>
      <c r="G3" s="86"/>
      <c r="H3" s="87"/>
      <c r="I3" s="33"/>
      <c r="J3" s="34"/>
      <c r="K3" s="34"/>
      <c r="L3" s="128" t="s">
        <v>94</v>
      </c>
      <c r="M3" s="128"/>
      <c r="N3" s="122">
        <v>12</v>
      </c>
      <c r="O3" s="123"/>
      <c r="P3" s="123"/>
      <c r="Q3" s="123"/>
      <c r="R3" s="124"/>
    </row>
    <row r="4" spans="1:18" ht="19.2" customHeight="1" x14ac:dyDescent="0.35">
      <c r="A4" s="92"/>
      <c r="B4" s="93"/>
      <c r="C4" s="93"/>
      <c r="D4" s="93"/>
      <c r="E4" s="93"/>
      <c r="F4" s="93"/>
      <c r="G4" s="93"/>
      <c r="H4" s="94"/>
      <c r="I4" s="35"/>
      <c r="J4" s="36"/>
      <c r="K4" s="36"/>
      <c r="L4" s="129"/>
      <c r="M4" s="129"/>
      <c r="N4" s="125"/>
      <c r="O4" s="126"/>
      <c r="P4" s="126"/>
      <c r="Q4" s="126"/>
      <c r="R4" s="127"/>
    </row>
    <row r="5" spans="1:18" s="5" customFormat="1" ht="54" customHeight="1" x14ac:dyDescent="0.3">
      <c r="A5" s="120" t="s">
        <v>1</v>
      </c>
      <c r="B5" s="110" t="s">
        <v>7</v>
      </c>
      <c r="C5" s="121" t="s">
        <v>5</v>
      </c>
      <c r="D5" s="121" t="s">
        <v>6</v>
      </c>
      <c r="E5" s="110" t="s">
        <v>10</v>
      </c>
      <c r="F5" s="110"/>
      <c r="G5" s="110"/>
      <c r="H5" s="110"/>
      <c r="I5" s="110" t="s">
        <v>11</v>
      </c>
      <c r="J5" s="110"/>
      <c r="K5" s="110"/>
      <c r="L5" s="110" t="s">
        <v>8</v>
      </c>
      <c r="M5" s="110"/>
      <c r="N5" s="110"/>
      <c r="O5" s="110"/>
      <c r="P5" s="110"/>
      <c r="Q5" s="110"/>
      <c r="R5" s="111"/>
    </row>
    <row r="6" spans="1:18" s="6" customFormat="1" ht="79.2" customHeight="1" x14ac:dyDescent="0.3">
      <c r="A6" s="120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" customHeight="1" x14ac:dyDescent="0.25">
      <c r="A7" s="23" t="s">
        <v>88</v>
      </c>
      <c r="B7" s="11" t="s">
        <v>98</v>
      </c>
      <c r="C7" s="12">
        <v>0</v>
      </c>
      <c r="D7" s="12">
        <v>16.27</v>
      </c>
      <c r="E7" s="11" t="s">
        <v>97</v>
      </c>
      <c r="F7" s="11"/>
      <c r="G7" s="11"/>
      <c r="H7" s="11"/>
      <c r="I7" s="11" t="s">
        <v>97</v>
      </c>
      <c r="J7" s="11"/>
      <c r="K7" s="11"/>
      <c r="L7" s="97"/>
      <c r="M7" s="97"/>
      <c r="N7" s="97"/>
      <c r="O7" s="97"/>
      <c r="P7" s="97"/>
      <c r="Q7" s="97"/>
      <c r="R7" s="98"/>
    </row>
    <row r="8" spans="1:18" ht="41.4" customHeight="1" x14ac:dyDescent="0.25">
      <c r="A8" s="23"/>
      <c r="B8" s="11"/>
      <c r="C8" s="12"/>
      <c r="D8" s="12"/>
      <c r="E8" s="11"/>
      <c r="F8" s="11"/>
      <c r="G8" s="11"/>
      <c r="H8" s="11"/>
      <c r="I8" s="11"/>
      <c r="J8" s="11"/>
      <c r="K8" s="11"/>
      <c r="L8" s="97"/>
      <c r="M8" s="97"/>
      <c r="N8" s="97"/>
      <c r="O8" s="97"/>
      <c r="P8" s="97"/>
      <c r="Q8" s="97"/>
      <c r="R8" s="98"/>
    </row>
    <row r="9" spans="1:18" ht="41.4" customHeight="1" x14ac:dyDescent="0.25">
      <c r="A9" s="23" t="s">
        <v>88</v>
      </c>
      <c r="B9" s="11" t="s">
        <v>98</v>
      </c>
      <c r="C9" s="12">
        <v>0</v>
      </c>
      <c r="D9" s="12">
        <v>5.4</v>
      </c>
      <c r="E9" s="11" t="s">
        <v>97</v>
      </c>
      <c r="F9" s="11"/>
      <c r="G9" s="11"/>
      <c r="H9" s="11"/>
      <c r="I9" s="11"/>
      <c r="J9" s="11"/>
      <c r="K9" s="11" t="s">
        <v>97</v>
      </c>
      <c r="L9" s="97"/>
      <c r="M9" s="97"/>
      <c r="N9" s="97"/>
      <c r="O9" s="97"/>
      <c r="P9" s="97"/>
      <c r="Q9" s="97"/>
      <c r="R9" s="98"/>
    </row>
    <row r="10" spans="1:18" ht="41.4" customHeight="1" x14ac:dyDescent="0.25">
      <c r="A10" s="23"/>
      <c r="B10" s="11"/>
      <c r="C10" s="12"/>
      <c r="D10" s="12"/>
      <c r="E10" s="11"/>
      <c r="F10" s="11"/>
      <c r="G10" s="11"/>
      <c r="H10" s="11"/>
      <c r="I10" s="11"/>
      <c r="J10" s="11"/>
      <c r="K10" s="11"/>
      <c r="L10" s="97"/>
      <c r="M10" s="97"/>
      <c r="N10" s="97"/>
      <c r="O10" s="97"/>
      <c r="P10" s="97"/>
      <c r="Q10" s="97"/>
      <c r="R10" s="98"/>
    </row>
    <row r="11" spans="1:18" ht="41.4" customHeight="1" x14ac:dyDescent="0.25">
      <c r="A11" s="23"/>
      <c r="B11" s="11"/>
      <c r="C11" s="12"/>
      <c r="D11" s="12"/>
      <c r="E11" s="11"/>
      <c r="F11" s="11"/>
      <c r="G11" s="11"/>
      <c r="H11" s="11"/>
      <c r="I11" s="11"/>
      <c r="J11" s="11"/>
      <c r="K11" s="11"/>
      <c r="L11" s="97"/>
      <c r="M11" s="97"/>
      <c r="N11" s="97"/>
      <c r="O11" s="97"/>
      <c r="P11" s="97"/>
      <c r="Q11" s="97"/>
      <c r="R11" s="98"/>
    </row>
    <row r="12" spans="1:18" ht="41.4" customHeight="1" x14ac:dyDescent="0.25">
      <c r="A12" s="23"/>
      <c r="B12" s="11"/>
      <c r="C12" s="12"/>
      <c r="D12" s="12"/>
      <c r="E12" s="11"/>
      <c r="F12" s="11"/>
      <c r="G12" s="11"/>
      <c r="H12" s="11"/>
      <c r="I12" s="11"/>
      <c r="J12" s="11"/>
      <c r="K12" s="11"/>
      <c r="L12" s="97"/>
      <c r="M12" s="97"/>
      <c r="N12" s="97"/>
      <c r="O12" s="97"/>
      <c r="P12" s="97"/>
      <c r="Q12" s="97"/>
      <c r="R12" s="98"/>
    </row>
    <row r="13" spans="1:18" ht="41.4" customHeight="1" x14ac:dyDescent="0.25">
      <c r="A13" s="23"/>
      <c r="B13" s="11"/>
      <c r="C13" s="12"/>
      <c r="D13" s="12"/>
      <c r="E13" s="11"/>
      <c r="F13" s="11"/>
      <c r="G13" s="11"/>
      <c r="H13" s="11"/>
      <c r="I13" s="11"/>
      <c r="J13" s="11"/>
      <c r="K13" s="11"/>
      <c r="L13" s="97"/>
      <c r="M13" s="97"/>
      <c r="N13" s="97"/>
      <c r="O13" s="97"/>
      <c r="P13" s="97"/>
      <c r="Q13" s="97"/>
      <c r="R13" s="98"/>
    </row>
    <row r="14" spans="1:18" ht="41.4" customHeight="1" x14ac:dyDescent="0.25">
      <c r="A14" s="23"/>
      <c r="B14" s="11"/>
      <c r="C14" s="12"/>
      <c r="D14" s="12"/>
      <c r="E14" s="11"/>
      <c r="F14" s="11"/>
      <c r="G14" s="11"/>
      <c r="H14" s="11"/>
      <c r="I14" s="11"/>
      <c r="J14" s="11"/>
      <c r="K14" s="11"/>
      <c r="L14" s="97"/>
      <c r="M14" s="97"/>
      <c r="N14" s="97"/>
      <c r="O14" s="97"/>
      <c r="P14" s="97"/>
      <c r="Q14" s="97"/>
      <c r="R14" s="98"/>
    </row>
    <row r="15" spans="1:18" ht="41.4" customHeight="1" x14ac:dyDescent="0.25">
      <c r="A15" s="23"/>
      <c r="B15" s="11"/>
      <c r="C15" s="12"/>
      <c r="D15" s="12"/>
      <c r="E15" s="11"/>
      <c r="F15" s="11"/>
      <c r="G15" s="11"/>
      <c r="H15" s="11"/>
      <c r="I15" s="11"/>
      <c r="J15" s="11"/>
      <c r="K15" s="11"/>
      <c r="L15" s="97"/>
      <c r="M15" s="97"/>
      <c r="N15" s="97"/>
      <c r="O15" s="97"/>
      <c r="P15" s="97"/>
      <c r="Q15" s="97"/>
      <c r="R15" s="98"/>
    </row>
    <row r="16" spans="1:18" ht="41.4" customHeight="1" x14ac:dyDescent="0.25">
      <c r="A16" s="23"/>
      <c r="B16" s="11"/>
      <c r="C16" s="12"/>
      <c r="D16" s="12"/>
      <c r="E16" s="11"/>
      <c r="F16" s="11"/>
      <c r="G16" s="11"/>
      <c r="H16" s="11"/>
      <c r="I16" s="11"/>
      <c r="J16" s="11"/>
      <c r="K16" s="11"/>
      <c r="L16" s="97"/>
      <c r="M16" s="97"/>
      <c r="N16" s="97"/>
      <c r="O16" s="97"/>
      <c r="P16" s="97"/>
      <c r="Q16" s="97"/>
      <c r="R16" s="98"/>
    </row>
    <row r="17" spans="1:18" ht="41.4" customHeight="1" x14ac:dyDescent="0.25">
      <c r="A17" s="23"/>
      <c r="B17" s="11"/>
      <c r="C17" s="12"/>
      <c r="D17" s="12"/>
      <c r="E17" s="11"/>
      <c r="F17" s="11"/>
      <c r="G17" s="11"/>
      <c r="H17" s="11"/>
      <c r="I17" s="11"/>
      <c r="J17" s="11"/>
      <c r="K17" s="11"/>
      <c r="L17" s="97"/>
      <c r="M17" s="97"/>
      <c r="N17" s="97"/>
      <c r="O17" s="97"/>
      <c r="P17" s="97"/>
      <c r="Q17" s="97"/>
      <c r="R17" s="98"/>
    </row>
    <row r="18" spans="1:18" ht="41.4" customHeight="1" x14ac:dyDescent="0.25">
      <c r="A18" s="9"/>
      <c r="B18" s="3"/>
      <c r="C18" s="12"/>
      <c r="D18" s="12"/>
      <c r="E18" s="11"/>
      <c r="F18" s="11"/>
      <c r="G18" s="11"/>
      <c r="H18" s="11"/>
      <c r="I18" s="11"/>
      <c r="J18" s="11"/>
      <c r="K18" s="11"/>
      <c r="L18" s="97"/>
      <c r="M18" s="97"/>
      <c r="N18" s="97"/>
      <c r="O18" s="97"/>
      <c r="P18" s="97"/>
      <c r="Q18" s="97"/>
      <c r="R18" s="98"/>
    </row>
    <row r="19" spans="1:18" ht="41.4" customHeight="1" x14ac:dyDescent="0.25">
      <c r="A19" s="9"/>
      <c r="B19" s="3"/>
      <c r="C19" s="12"/>
      <c r="D19" s="12"/>
      <c r="E19" s="11"/>
      <c r="F19" s="11"/>
      <c r="G19" s="11"/>
      <c r="H19" s="11"/>
      <c r="I19" s="11"/>
      <c r="J19" s="11"/>
      <c r="K19" s="11"/>
      <c r="L19" s="97"/>
      <c r="M19" s="97"/>
      <c r="N19" s="97"/>
      <c r="O19" s="97"/>
      <c r="P19" s="97"/>
      <c r="Q19" s="97"/>
      <c r="R19" s="98"/>
    </row>
    <row r="20" spans="1:18" ht="41.4" customHeight="1" x14ac:dyDescent="0.25">
      <c r="A20" s="9"/>
      <c r="B20" s="3"/>
      <c r="C20" s="12"/>
      <c r="D20" s="12"/>
      <c r="E20" s="11"/>
      <c r="F20" s="11"/>
      <c r="G20" s="11"/>
      <c r="H20" s="11"/>
      <c r="I20" s="11"/>
      <c r="J20" s="11"/>
      <c r="K20" s="11"/>
      <c r="L20" s="97"/>
      <c r="M20" s="97"/>
      <c r="N20" s="97"/>
      <c r="O20" s="97"/>
      <c r="P20" s="97"/>
      <c r="Q20" s="97"/>
      <c r="R20" s="98"/>
    </row>
    <row r="21" spans="1:18" ht="41.4" customHeight="1" x14ac:dyDescent="0.25">
      <c r="A21" s="9"/>
      <c r="B21" s="3"/>
      <c r="C21" s="12"/>
      <c r="D21" s="12"/>
      <c r="E21" s="11"/>
      <c r="F21" s="11"/>
      <c r="G21" s="11"/>
      <c r="H21" s="11"/>
      <c r="I21" s="11"/>
      <c r="J21" s="11"/>
      <c r="K21" s="11"/>
      <c r="L21" s="97"/>
      <c r="M21" s="97"/>
      <c r="N21" s="97"/>
      <c r="O21" s="97"/>
      <c r="P21" s="97"/>
      <c r="Q21" s="97"/>
      <c r="R21" s="98"/>
    </row>
    <row r="22" spans="1:18" ht="41.4" customHeight="1" x14ac:dyDescent="0.25">
      <c r="A22" s="9"/>
      <c r="B22" s="3"/>
      <c r="C22" s="12"/>
      <c r="D22" s="12"/>
      <c r="E22" s="11"/>
      <c r="F22" s="11"/>
      <c r="G22" s="11"/>
      <c r="H22" s="11"/>
      <c r="I22" s="11"/>
      <c r="J22" s="11"/>
      <c r="K22" s="11"/>
      <c r="L22" s="97"/>
      <c r="M22" s="97"/>
      <c r="N22" s="97"/>
      <c r="O22" s="97"/>
      <c r="P22" s="97"/>
      <c r="Q22" s="97"/>
      <c r="R22" s="98"/>
    </row>
    <row r="23" spans="1:18" ht="41.4" customHeight="1" x14ac:dyDescent="0.25">
      <c r="A23" s="9"/>
      <c r="B23" s="3"/>
      <c r="C23" s="12"/>
      <c r="D23" s="12"/>
      <c r="E23" s="11"/>
      <c r="F23" s="11"/>
      <c r="G23" s="11"/>
      <c r="H23" s="11"/>
      <c r="I23" s="11"/>
      <c r="J23" s="11"/>
      <c r="K23" s="11"/>
      <c r="L23" s="97"/>
      <c r="M23" s="97"/>
      <c r="N23" s="97"/>
      <c r="O23" s="97"/>
      <c r="P23" s="97"/>
      <c r="Q23" s="97"/>
      <c r="R23" s="98"/>
    </row>
    <row r="24" spans="1:18" ht="41.4" customHeight="1" x14ac:dyDescent="0.25">
      <c r="A24" s="9"/>
      <c r="B24" s="3"/>
      <c r="C24" s="12"/>
      <c r="D24" s="12"/>
      <c r="E24" s="11"/>
      <c r="F24" s="11"/>
      <c r="G24" s="11"/>
      <c r="H24" s="11"/>
      <c r="I24" s="11"/>
      <c r="J24" s="11"/>
      <c r="K24" s="11"/>
      <c r="L24" s="97"/>
      <c r="M24" s="97"/>
      <c r="N24" s="97"/>
      <c r="O24" s="97"/>
      <c r="P24" s="97"/>
      <c r="Q24" s="97"/>
      <c r="R24" s="98"/>
    </row>
    <row r="25" spans="1:18" ht="41.4" customHeight="1" x14ac:dyDescent="0.25">
      <c r="A25" s="9"/>
      <c r="B25" s="3"/>
      <c r="C25" s="12"/>
      <c r="D25" s="12"/>
      <c r="E25" s="11"/>
      <c r="F25" s="11"/>
      <c r="G25" s="11"/>
      <c r="H25" s="11"/>
      <c r="I25" s="11"/>
      <c r="J25" s="11"/>
      <c r="K25" s="11"/>
      <c r="L25" s="97"/>
      <c r="M25" s="97"/>
      <c r="N25" s="97"/>
      <c r="O25" s="97"/>
      <c r="P25" s="97"/>
      <c r="Q25" s="97"/>
      <c r="R25" s="98"/>
    </row>
    <row r="26" spans="1:18" ht="41.4" customHeight="1" x14ac:dyDescent="0.25">
      <c r="A26" s="9"/>
      <c r="B26" s="3"/>
      <c r="C26" s="12"/>
      <c r="D26" s="12"/>
      <c r="E26" s="11"/>
      <c r="F26" s="11"/>
      <c r="G26" s="11"/>
      <c r="H26" s="11"/>
      <c r="I26" s="11"/>
      <c r="J26" s="11"/>
      <c r="K26" s="11"/>
      <c r="L26" s="97"/>
      <c r="M26" s="97"/>
      <c r="N26" s="97"/>
      <c r="O26" s="97"/>
      <c r="P26" s="97"/>
      <c r="Q26" s="97"/>
      <c r="R26" s="98"/>
    </row>
    <row r="27" spans="1:18" ht="41.4" customHeight="1" x14ac:dyDescent="0.25">
      <c r="A27" s="9"/>
      <c r="B27" s="3"/>
      <c r="C27" s="12"/>
      <c r="D27" s="12"/>
      <c r="E27" s="11"/>
      <c r="F27" s="11"/>
      <c r="G27" s="11"/>
      <c r="H27" s="11"/>
      <c r="I27" s="11"/>
      <c r="J27" s="11"/>
      <c r="K27" s="11"/>
      <c r="L27" s="97"/>
      <c r="M27" s="97"/>
      <c r="N27" s="97"/>
      <c r="O27" s="97"/>
      <c r="P27" s="97"/>
      <c r="Q27" s="97"/>
      <c r="R27" s="98"/>
    </row>
    <row r="28" spans="1:18" ht="41.4" customHeight="1" x14ac:dyDescent="0.25">
      <c r="A28" s="9"/>
      <c r="B28" s="3"/>
      <c r="C28" s="12"/>
      <c r="D28" s="12"/>
      <c r="E28" s="11"/>
      <c r="F28" s="11"/>
      <c r="G28" s="11"/>
      <c r="H28" s="11"/>
      <c r="I28" s="11"/>
      <c r="J28" s="11"/>
      <c r="K28" s="11"/>
      <c r="L28" s="97"/>
      <c r="M28" s="97"/>
      <c r="N28" s="97"/>
      <c r="O28" s="97"/>
      <c r="P28" s="97"/>
      <c r="Q28" s="97"/>
      <c r="R28" s="98"/>
    </row>
    <row r="29" spans="1:18" ht="41.4" customHeight="1" x14ac:dyDescent="0.25">
      <c r="A29" s="9"/>
      <c r="B29" s="3"/>
      <c r="C29" s="12"/>
      <c r="D29" s="12"/>
      <c r="E29" s="11"/>
      <c r="F29" s="11"/>
      <c r="G29" s="11"/>
      <c r="H29" s="11"/>
      <c r="I29" s="11"/>
      <c r="J29" s="11"/>
      <c r="K29" s="11"/>
      <c r="L29" s="97"/>
      <c r="M29" s="97"/>
      <c r="N29" s="97"/>
      <c r="O29" s="97"/>
      <c r="P29" s="97"/>
      <c r="Q29" s="97"/>
      <c r="R29" s="98"/>
    </row>
    <row r="30" spans="1:18" ht="41.4" customHeight="1" x14ac:dyDescent="0.25">
      <c r="A30" s="9"/>
      <c r="B30" s="3"/>
      <c r="C30" s="12"/>
      <c r="D30" s="12"/>
      <c r="E30" s="11"/>
      <c r="F30" s="11"/>
      <c r="G30" s="11"/>
      <c r="H30" s="11"/>
      <c r="I30" s="11"/>
      <c r="J30" s="11"/>
      <c r="K30" s="11"/>
      <c r="L30" s="97"/>
      <c r="M30" s="97"/>
      <c r="N30" s="97"/>
      <c r="O30" s="97"/>
      <c r="P30" s="97"/>
      <c r="Q30" s="97"/>
      <c r="R30" s="98"/>
    </row>
    <row r="31" spans="1:18" ht="41.4" customHeight="1" x14ac:dyDescent="0.25">
      <c r="A31" s="9"/>
      <c r="B31" s="3"/>
      <c r="C31" s="12"/>
      <c r="D31" s="12"/>
      <c r="E31" s="11"/>
      <c r="F31" s="11"/>
      <c r="G31" s="11"/>
      <c r="H31" s="11"/>
      <c r="I31" s="11"/>
      <c r="J31" s="11"/>
      <c r="K31" s="11"/>
      <c r="L31" s="97"/>
      <c r="M31" s="97"/>
      <c r="N31" s="97"/>
      <c r="O31" s="97"/>
      <c r="P31" s="97"/>
      <c r="Q31" s="97"/>
      <c r="R31" s="98"/>
    </row>
    <row r="32" spans="1:18" ht="41.4" customHeight="1" x14ac:dyDescent="0.25">
      <c r="A32" s="9"/>
      <c r="B32" s="3"/>
      <c r="C32" s="12"/>
      <c r="D32" s="12"/>
      <c r="E32" s="11"/>
      <c r="F32" s="11"/>
      <c r="G32" s="11"/>
      <c r="H32" s="11"/>
      <c r="I32" s="11"/>
      <c r="J32" s="11"/>
      <c r="K32" s="11"/>
      <c r="L32" s="97"/>
      <c r="M32" s="97"/>
      <c r="N32" s="97"/>
      <c r="O32" s="97"/>
      <c r="P32" s="97"/>
      <c r="Q32" s="97"/>
      <c r="R32" s="98"/>
    </row>
    <row r="33" spans="1:18" ht="41.4" customHeight="1" x14ac:dyDescent="0.25">
      <c r="A33" s="9"/>
      <c r="B33" s="3"/>
      <c r="C33" s="12"/>
      <c r="D33" s="12"/>
      <c r="E33" s="11"/>
      <c r="F33" s="11"/>
      <c r="G33" s="11"/>
      <c r="H33" s="11"/>
      <c r="I33" s="11"/>
      <c r="J33" s="11"/>
      <c r="K33" s="11"/>
      <c r="L33" s="97"/>
      <c r="M33" s="97"/>
      <c r="N33" s="97"/>
      <c r="O33" s="97"/>
      <c r="P33" s="97"/>
      <c r="Q33" s="97"/>
      <c r="R33" s="98"/>
    </row>
    <row r="34" spans="1:18" ht="41.4" customHeight="1" thickBot="1" x14ac:dyDescent="0.3">
      <c r="A34" s="10"/>
      <c r="B34" s="4"/>
      <c r="C34" s="13"/>
      <c r="D34" s="13"/>
      <c r="E34" s="14"/>
      <c r="F34" s="14"/>
      <c r="G34" s="14"/>
      <c r="H34" s="14"/>
      <c r="I34" s="14"/>
      <c r="J34" s="14"/>
      <c r="K34" s="14"/>
      <c r="L34" s="99"/>
      <c r="M34" s="99"/>
      <c r="N34" s="99"/>
      <c r="O34" s="99"/>
      <c r="P34" s="99"/>
      <c r="Q34" s="99"/>
      <c r="R34" s="100"/>
    </row>
    <row r="35" spans="1:18" ht="41.4" customHeight="1" x14ac:dyDescent="0.25">
      <c r="A35" s="24"/>
      <c r="B35" s="24"/>
      <c r="C35" s="25"/>
      <c r="D35" s="25"/>
      <c r="E35" s="26"/>
      <c r="F35" s="26"/>
      <c r="G35" s="26"/>
      <c r="H35" s="26"/>
      <c r="I35" s="26"/>
      <c r="J35" s="26"/>
      <c r="K35" s="26"/>
      <c r="L35" s="96"/>
      <c r="M35" s="96"/>
      <c r="N35" s="96"/>
      <c r="O35" s="96"/>
      <c r="P35" s="96"/>
      <c r="Q35" s="96"/>
      <c r="R35" s="96"/>
    </row>
    <row r="36" spans="1:18" ht="41.4" customHeight="1" x14ac:dyDescent="0.25">
      <c r="C36" s="27"/>
      <c r="D36" s="27"/>
      <c r="E36" s="27">
        <f>IF(E7="X",(D7-C7),"0")</f>
        <v>16.27</v>
      </c>
      <c r="F36" s="27" t="str">
        <f>IF(F7="X",(D7-C7),"0")</f>
        <v>0</v>
      </c>
      <c r="G36" s="27" t="str">
        <f>IF(G7="X",(D7-C7),"0")</f>
        <v>0</v>
      </c>
      <c r="H36" s="27" t="str">
        <f>IF(H7="X",(D7-C7),"0")</f>
        <v>0</v>
      </c>
      <c r="I36" s="27">
        <f>IF(I7="X",(D7-C7),"0")</f>
        <v>16.27</v>
      </c>
      <c r="J36" s="27" t="str">
        <f>IF(J7="X",(D7-C7),"0")</f>
        <v>0</v>
      </c>
      <c r="K36" s="27" t="str">
        <f>IF(K7="X",(D7-C7),"0")</f>
        <v>0</v>
      </c>
      <c r="L36" s="95"/>
      <c r="M36" s="95"/>
      <c r="N36" s="95"/>
      <c r="O36" s="95"/>
      <c r="P36" s="95"/>
      <c r="Q36" s="95"/>
      <c r="R36" s="95"/>
    </row>
    <row r="37" spans="1:18" ht="41.4" customHeight="1" x14ac:dyDescent="0.25">
      <c r="C37" s="27"/>
      <c r="D37" s="27"/>
      <c r="E37" s="27" t="str">
        <f t="shared" ref="E37:E61" si="0">IF(E8="X",(D8-C8),"0")</f>
        <v>0</v>
      </c>
      <c r="F37" s="27" t="str">
        <f t="shared" ref="F37:F61" si="1">IF(F8="X",(D8-C8),"0")</f>
        <v>0</v>
      </c>
      <c r="G37" s="27" t="str">
        <f t="shared" ref="G37:G61" si="2">IF(G8="X",(D8-C8),"0")</f>
        <v>0</v>
      </c>
      <c r="H37" s="27" t="str">
        <f t="shared" ref="H37:H61" si="3">IF(H8="X",(D8-C8),"0")</f>
        <v>0</v>
      </c>
      <c r="I37" s="27" t="str">
        <f t="shared" ref="I37:I61" si="4">IF(I8="X",(D8-C8),"0")</f>
        <v>0</v>
      </c>
      <c r="J37" s="27" t="str">
        <f t="shared" ref="J37:J61" si="5">IF(J8="X",(D8-C8),"0")</f>
        <v>0</v>
      </c>
      <c r="K37" s="27" t="str">
        <f t="shared" ref="K37:K61" si="6">IF(K8="X",(D8-C8),"0")</f>
        <v>0</v>
      </c>
      <c r="L37" s="95"/>
      <c r="M37" s="95"/>
      <c r="N37" s="95"/>
      <c r="O37" s="95"/>
      <c r="P37" s="95"/>
      <c r="Q37" s="95"/>
      <c r="R37" s="95"/>
    </row>
    <row r="38" spans="1:18" ht="41.4" customHeight="1" x14ac:dyDescent="0.25">
      <c r="C38" s="27"/>
      <c r="D38" s="27"/>
      <c r="E38" s="27">
        <f t="shared" si="0"/>
        <v>5.4</v>
      </c>
      <c r="F38" s="27" t="str">
        <f t="shared" si="1"/>
        <v>0</v>
      </c>
      <c r="G38" s="27" t="str">
        <f t="shared" si="2"/>
        <v>0</v>
      </c>
      <c r="H38" s="27" t="str">
        <f t="shared" si="3"/>
        <v>0</v>
      </c>
      <c r="I38" s="27" t="str">
        <f t="shared" si="4"/>
        <v>0</v>
      </c>
      <c r="J38" s="27" t="str">
        <f t="shared" si="5"/>
        <v>0</v>
      </c>
      <c r="K38" s="27">
        <f t="shared" si="6"/>
        <v>5.4</v>
      </c>
      <c r="L38" s="95"/>
      <c r="M38" s="95"/>
      <c r="N38" s="95"/>
      <c r="O38" s="95"/>
      <c r="P38" s="95"/>
      <c r="Q38" s="95"/>
      <c r="R38" s="95"/>
    </row>
    <row r="39" spans="1:18" ht="41.4" customHeight="1" x14ac:dyDescent="0.25">
      <c r="C39" s="27"/>
      <c r="D39" s="27"/>
      <c r="E39" s="27" t="str">
        <f t="shared" si="0"/>
        <v>0</v>
      </c>
      <c r="F39" s="27" t="str">
        <f t="shared" si="1"/>
        <v>0</v>
      </c>
      <c r="G39" s="27" t="str">
        <f t="shared" si="2"/>
        <v>0</v>
      </c>
      <c r="H39" s="27" t="str">
        <f t="shared" si="3"/>
        <v>0</v>
      </c>
      <c r="I39" s="27" t="str">
        <f t="shared" si="4"/>
        <v>0</v>
      </c>
      <c r="J39" s="27" t="str">
        <f t="shared" si="5"/>
        <v>0</v>
      </c>
      <c r="K39" s="27" t="str">
        <f t="shared" si="6"/>
        <v>0</v>
      </c>
      <c r="L39" s="95"/>
      <c r="M39" s="95"/>
      <c r="N39" s="95"/>
      <c r="O39" s="95"/>
      <c r="P39" s="95"/>
      <c r="Q39" s="95"/>
      <c r="R39" s="95"/>
    </row>
    <row r="40" spans="1:18" ht="41.4" customHeight="1" x14ac:dyDescent="0.25">
      <c r="C40" s="27"/>
      <c r="D40" s="27"/>
      <c r="E40" s="27" t="str">
        <f t="shared" si="0"/>
        <v>0</v>
      </c>
      <c r="F40" s="27" t="str">
        <f t="shared" si="1"/>
        <v>0</v>
      </c>
      <c r="G40" s="27" t="str">
        <f t="shared" si="2"/>
        <v>0</v>
      </c>
      <c r="H40" s="27" t="str">
        <f t="shared" si="3"/>
        <v>0</v>
      </c>
      <c r="I40" s="27" t="str">
        <f t="shared" si="4"/>
        <v>0</v>
      </c>
      <c r="J40" s="27" t="str">
        <f t="shared" si="5"/>
        <v>0</v>
      </c>
      <c r="K40" s="27" t="str">
        <f t="shared" si="6"/>
        <v>0</v>
      </c>
      <c r="L40" s="95"/>
      <c r="M40" s="95"/>
      <c r="N40" s="95"/>
      <c r="O40" s="95"/>
      <c r="P40" s="95"/>
      <c r="Q40" s="95"/>
      <c r="R40" s="95"/>
    </row>
    <row r="41" spans="1:18" ht="41.4" customHeight="1" x14ac:dyDescent="0.25">
      <c r="C41" s="27"/>
      <c r="D41" s="27"/>
      <c r="E41" s="27" t="str">
        <f t="shared" si="0"/>
        <v>0</v>
      </c>
      <c r="F41" s="27" t="str">
        <f t="shared" si="1"/>
        <v>0</v>
      </c>
      <c r="G41" s="27" t="str">
        <f t="shared" si="2"/>
        <v>0</v>
      </c>
      <c r="H41" s="27" t="str">
        <f t="shared" si="3"/>
        <v>0</v>
      </c>
      <c r="I41" s="27" t="str">
        <f t="shared" si="4"/>
        <v>0</v>
      </c>
      <c r="J41" s="27" t="str">
        <f t="shared" si="5"/>
        <v>0</v>
      </c>
      <c r="K41" s="27" t="str">
        <f t="shared" si="6"/>
        <v>0</v>
      </c>
      <c r="L41" s="95"/>
      <c r="M41" s="95"/>
      <c r="N41" s="95"/>
      <c r="O41" s="95"/>
      <c r="P41" s="95"/>
      <c r="Q41" s="95"/>
      <c r="R41" s="95"/>
    </row>
    <row r="42" spans="1:18" ht="41.4" customHeight="1" x14ac:dyDescent="0.25">
      <c r="C42" s="27"/>
      <c r="D42" s="27"/>
      <c r="E42" s="27" t="str">
        <f t="shared" si="0"/>
        <v>0</v>
      </c>
      <c r="F42" s="27" t="str">
        <f t="shared" si="1"/>
        <v>0</v>
      </c>
      <c r="G42" s="27" t="str">
        <f t="shared" si="2"/>
        <v>0</v>
      </c>
      <c r="H42" s="27" t="str">
        <f t="shared" si="3"/>
        <v>0</v>
      </c>
      <c r="I42" s="27" t="str">
        <f t="shared" si="4"/>
        <v>0</v>
      </c>
      <c r="J42" s="27" t="str">
        <f t="shared" si="5"/>
        <v>0</v>
      </c>
      <c r="K42" s="27" t="str">
        <f t="shared" si="6"/>
        <v>0</v>
      </c>
      <c r="L42" s="95"/>
      <c r="M42" s="95"/>
      <c r="N42" s="95"/>
      <c r="O42" s="95"/>
      <c r="P42" s="95"/>
      <c r="Q42" s="95"/>
      <c r="R42" s="95"/>
    </row>
    <row r="43" spans="1:18" ht="41.4" customHeight="1" x14ac:dyDescent="0.25">
      <c r="C43" s="27"/>
      <c r="D43" s="27"/>
      <c r="E43" s="27" t="str">
        <f t="shared" si="0"/>
        <v>0</v>
      </c>
      <c r="F43" s="27" t="str">
        <f t="shared" si="1"/>
        <v>0</v>
      </c>
      <c r="G43" s="27" t="str">
        <f t="shared" si="2"/>
        <v>0</v>
      </c>
      <c r="H43" s="27" t="str">
        <f t="shared" si="3"/>
        <v>0</v>
      </c>
      <c r="I43" s="27" t="str">
        <f t="shared" si="4"/>
        <v>0</v>
      </c>
      <c r="J43" s="27" t="str">
        <f t="shared" si="5"/>
        <v>0</v>
      </c>
      <c r="K43" s="27" t="str">
        <f t="shared" si="6"/>
        <v>0</v>
      </c>
      <c r="L43" s="95"/>
      <c r="M43" s="95"/>
      <c r="N43" s="95"/>
      <c r="O43" s="95"/>
      <c r="P43" s="95"/>
      <c r="Q43" s="95"/>
      <c r="R43" s="95"/>
    </row>
    <row r="44" spans="1:18" ht="41.4" customHeight="1" x14ac:dyDescent="0.25">
      <c r="C44" s="27"/>
      <c r="D44" s="27"/>
      <c r="E44" s="27" t="str">
        <f t="shared" si="0"/>
        <v>0</v>
      </c>
      <c r="F44" s="27" t="str">
        <f t="shared" si="1"/>
        <v>0</v>
      </c>
      <c r="G44" s="27" t="str">
        <f t="shared" si="2"/>
        <v>0</v>
      </c>
      <c r="H44" s="27" t="str">
        <f t="shared" si="3"/>
        <v>0</v>
      </c>
      <c r="I44" s="27" t="str">
        <f t="shared" si="4"/>
        <v>0</v>
      </c>
      <c r="J44" s="27" t="str">
        <f t="shared" si="5"/>
        <v>0</v>
      </c>
      <c r="K44" s="27" t="str">
        <f t="shared" si="6"/>
        <v>0</v>
      </c>
      <c r="L44" s="95"/>
      <c r="M44" s="95"/>
      <c r="N44" s="95"/>
      <c r="O44" s="95"/>
      <c r="P44" s="95"/>
      <c r="Q44" s="95"/>
      <c r="R44" s="95"/>
    </row>
    <row r="45" spans="1:18" ht="41.4" customHeight="1" x14ac:dyDescent="0.25">
      <c r="C45" s="27"/>
      <c r="D45" s="27"/>
      <c r="E45" s="27" t="str">
        <f t="shared" si="0"/>
        <v>0</v>
      </c>
      <c r="F45" s="27" t="str">
        <f t="shared" si="1"/>
        <v>0</v>
      </c>
      <c r="G45" s="27" t="str">
        <f t="shared" si="2"/>
        <v>0</v>
      </c>
      <c r="H45" s="27" t="str">
        <f t="shared" si="3"/>
        <v>0</v>
      </c>
      <c r="I45" s="27" t="str">
        <f t="shared" si="4"/>
        <v>0</v>
      </c>
      <c r="J45" s="27" t="str">
        <f t="shared" si="5"/>
        <v>0</v>
      </c>
      <c r="K45" s="27" t="str">
        <f t="shared" si="6"/>
        <v>0</v>
      </c>
      <c r="L45" s="95"/>
      <c r="M45" s="95"/>
      <c r="N45" s="95"/>
      <c r="O45" s="95"/>
      <c r="P45" s="95"/>
      <c r="Q45" s="95"/>
      <c r="R45" s="95"/>
    </row>
    <row r="46" spans="1:18" ht="41.4" customHeight="1" x14ac:dyDescent="0.25">
      <c r="C46" s="27"/>
      <c r="D46" s="27"/>
      <c r="E46" s="27" t="str">
        <f t="shared" si="0"/>
        <v>0</v>
      </c>
      <c r="F46" s="27" t="str">
        <f t="shared" si="1"/>
        <v>0</v>
      </c>
      <c r="G46" s="27" t="str">
        <f t="shared" si="2"/>
        <v>0</v>
      </c>
      <c r="H46" s="27" t="str">
        <f t="shared" si="3"/>
        <v>0</v>
      </c>
      <c r="I46" s="27" t="str">
        <f t="shared" si="4"/>
        <v>0</v>
      </c>
      <c r="J46" s="27" t="str">
        <f t="shared" si="5"/>
        <v>0</v>
      </c>
      <c r="K46" s="27" t="str">
        <f t="shared" si="6"/>
        <v>0</v>
      </c>
      <c r="L46" s="95"/>
      <c r="M46" s="95"/>
      <c r="N46" s="95"/>
      <c r="O46" s="95"/>
      <c r="P46" s="95"/>
      <c r="Q46" s="95"/>
      <c r="R46" s="95"/>
    </row>
    <row r="47" spans="1:18" ht="41.4" customHeight="1" x14ac:dyDescent="0.25">
      <c r="C47" s="27"/>
      <c r="D47" s="27"/>
      <c r="E47" s="27" t="str">
        <f t="shared" si="0"/>
        <v>0</v>
      </c>
      <c r="F47" s="27" t="str">
        <f t="shared" si="1"/>
        <v>0</v>
      </c>
      <c r="G47" s="27" t="str">
        <f t="shared" si="2"/>
        <v>0</v>
      </c>
      <c r="H47" s="27" t="str">
        <f t="shared" si="3"/>
        <v>0</v>
      </c>
      <c r="I47" s="27" t="str">
        <f t="shared" si="4"/>
        <v>0</v>
      </c>
      <c r="J47" s="27" t="str">
        <f t="shared" si="5"/>
        <v>0</v>
      </c>
      <c r="K47" s="27" t="str">
        <f t="shared" si="6"/>
        <v>0</v>
      </c>
      <c r="L47" s="95"/>
      <c r="M47" s="95"/>
      <c r="N47" s="95"/>
      <c r="O47" s="95"/>
      <c r="P47" s="95"/>
      <c r="Q47" s="95"/>
      <c r="R47" s="95"/>
    </row>
    <row r="48" spans="1:18" ht="41.4" customHeight="1" x14ac:dyDescent="0.25">
      <c r="C48" s="27"/>
      <c r="D48" s="27"/>
      <c r="E48" s="27" t="str">
        <f t="shared" si="0"/>
        <v>0</v>
      </c>
      <c r="F48" s="27" t="str">
        <f t="shared" si="1"/>
        <v>0</v>
      </c>
      <c r="G48" s="27" t="str">
        <f t="shared" si="2"/>
        <v>0</v>
      </c>
      <c r="H48" s="27" t="str">
        <f t="shared" si="3"/>
        <v>0</v>
      </c>
      <c r="I48" s="27" t="str">
        <f t="shared" si="4"/>
        <v>0</v>
      </c>
      <c r="J48" s="27" t="str">
        <f t="shared" si="5"/>
        <v>0</v>
      </c>
      <c r="K48" s="27" t="str">
        <f t="shared" si="6"/>
        <v>0</v>
      </c>
      <c r="L48" s="95"/>
      <c r="M48" s="95"/>
      <c r="N48" s="95"/>
      <c r="O48" s="95"/>
      <c r="P48" s="95"/>
      <c r="Q48" s="95"/>
      <c r="R48" s="95"/>
    </row>
    <row r="49" spans="3:18" ht="41.4" customHeight="1" x14ac:dyDescent="0.25">
      <c r="C49" s="27"/>
      <c r="D49" s="27"/>
      <c r="E49" s="27" t="str">
        <f t="shared" si="0"/>
        <v>0</v>
      </c>
      <c r="F49" s="27" t="str">
        <f t="shared" si="1"/>
        <v>0</v>
      </c>
      <c r="G49" s="27" t="str">
        <f t="shared" si="2"/>
        <v>0</v>
      </c>
      <c r="H49" s="27" t="str">
        <f t="shared" si="3"/>
        <v>0</v>
      </c>
      <c r="I49" s="27" t="str">
        <f t="shared" si="4"/>
        <v>0</v>
      </c>
      <c r="J49" s="27" t="str">
        <f t="shared" si="5"/>
        <v>0</v>
      </c>
      <c r="K49" s="27" t="str">
        <f t="shared" si="6"/>
        <v>0</v>
      </c>
      <c r="L49" s="95"/>
      <c r="M49" s="95"/>
      <c r="N49" s="95"/>
      <c r="O49" s="95"/>
      <c r="P49" s="95"/>
      <c r="Q49" s="95"/>
      <c r="R49" s="95"/>
    </row>
    <row r="50" spans="3:18" ht="41.4" customHeight="1" x14ac:dyDescent="0.25">
      <c r="C50" s="27"/>
      <c r="D50" s="27"/>
      <c r="E50" s="27" t="str">
        <f t="shared" si="0"/>
        <v>0</v>
      </c>
      <c r="F50" s="27" t="str">
        <f t="shared" si="1"/>
        <v>0</v>
      </c>
      <c r="G50" s="27" t="str">
        <f t="shared" si="2"/>
        <v>0</v>
      </c>
      <c r="H50" s="27" t="str">
        <f t="shared" si="3"/>
        <v>0</v>
      </c>
      <c r="I50" s="27" t="str">
        <f t="shared" si="4"/>
        <v>0</v>
      </c>
      <c r="J50" s="27" t="str">
        <f t="shared" si="5"/>
        <v>0</v>
      </c>
      <c r="K50" s="27" t="str">
        <f t="shared" si="6"/>
        <v>0</v>
      </c>
      <c r="L50" s="95"/>
      <c r="M50" s="95"/>
      <c r="N50" s="95"/>
      <c r="O50" s="95"/>
      <c r="P50" s="95"/>
      <c r="Q50" s="95"/>
      <c r="R50" s="95"/>
    </row>
    <row r="51" spans="3:18" ht="41.4" customHeight="1" x14ac:dyDescent="0.25">
      <c r="C51" s="27"/>
      <c r="D51" s="27"/>
      <c r="E51" s="27" t="str">
        <f t="shared" si="0"/>
        <v>0</v>
      </c>
      <c r="F51" s="27" t="str">
        <f t="shared" si="1"/>
        <v>0</v>
      </c>
      <c r="G51" s="27" t="str">
        <f t="shared" si="2"/>
        <v>0</v>
      </c>
      <c r="H51" s="27" t="str">
        <f t="shared" si="3"/>
        <v>0</v>
      </c>
      <c r="I51" s="27" t="str">
        <f t="shared" si="4"/>
        <v>0</v>
      </c>
      <c r="J51" s="27" t="str">
        <f t="shared" si="5"/>
        <v>0</v>
      </c>
      <c r="K51" s="27" t="str">
        <f t="shared" si="6"/>
        <v>0</v>
      </c>
      <c r="L51" s="95"/>
      <c r="M51" s="95"/>
      <c r="N51" s="95"/>
      <c r="O51" s="95"/>
      <c r="P51" s="95"/>
      <c r="Q51" s="95"/>
      <c r="R51" s="95"/>
    </row>
    <row r="52" spans="3:18" ht="41.4" customHeight="1" x14ac:dyDescent="0.25">
      <c r="C52" s="27"/>
      <c r="D52" s="27"/>
      <c r="E52" s="27" t="str">
        <f t="shared" si="0"/>
        <v>0</v>
      </c>
      <c r="F52" s="27" t="str">
        <f t="shared" si="1"/>
        <v>0</v>
      </c>
      <c r="G52" s="27" t="str">
        <f t="shared" si="2"/>
        <v>0</v>
      </c>
      <c r="H52" s="27" t="str">
        <f t="shared" si="3"/>
        <v>0</v>
      </c>
      <c r="I52" s="27" t="str">
        <f t="shared" si="4"/>
        <v>0</v>
      </c>
      <c r="J52" s="27" t="str">
        <f t="shared" si="5"/>
        <v>0</v>
      </c>
      <c r="K52" s="27" t="str">
        <f t="shared" si="6"/>
        <v>0</v>
      </c>
      <c r="L52" s="95"/>
      <c r="M52" s="95"/>
      <c r="N52" s="95"/>
      <c r="O52" s="95"/>
      <c r="P52" s="95"/>
      <c r="Q52" s="95"/>
      <c r="R52" s="95"/>
    </row>
    <row r="53" spans="3:18" ht="41.4" customHeight="1" x14ac:dyDescent="0.25">
      <c r="C53" s="27"/>
      <c r="D53" s="27"/>
      <c r="E53" s="27" t="str">
        <f t="shared" si="0"/>
        <v>0</v>
      </c>
      <c r="F53" s="27" t="str">
        <f t="shared" si="1"/>
        <v>0</v>
      </c>
      <c r="G53" s="27" t="str">
        <f t="shared" si="2"/>
        <v>0</v>
      </c>
      <c r="H53" s="27" t="str">
        <f t="shared" si="3"/>
        <v>0</v>
      </c>
      <c r="I53" s="27" t="str">
        <f t="shared" si="4"/>
        <v>0</v>
      </c>
      <c r="J53" s="27" t="str">
        <f t="shared" si="5"/>
        <v>0</v>
      </c>
      <c r="K53" s="27" t="str">
        <f t="shared" si="6"/>
        <v>0</v>
      </c>
      <c r="L53" s="95"/>
      <c r="M53" s="95"/>
      <c r="N53" s="95"/>
      <c r="O53" s="95"/>
      <c r="P53" s="95"/>
      <c r="Q53" s="95"/>
      <c r="R53" s="95"/>
    </row>
    <row r="54" spans="3:18" ht="41.4" customHeight="1" x14ac:dyDescent="0.25">
      <c r="C54" s="27"/>
      <c r="D54" s="27"/>
      <c r="E54" s="27" t="str">
        <f t="shared" si="0"/>
        <v>0</v>
      </c>
      <c r="F54" s="27" t="str">
        <f t="shared" si="1"/>
        <v>0</v>
      </c>
      <c r="G54" s="27" t="str">
        <f t="shared" si="2"/>
        <v>0</v>
      </c>
      <c r="H54" s="27" t="str">
        <f t="shared" si="3"/>
        <v>0</v>
      </c>
      <c r="I54" s="27" t="str">
        <f t="shared" si="4"/>
        <v>0</v>
      </c>
      <c r="J54" s="27" t="str">
        <f t="shared" si="5"/>
        <v>0</v>
      </c>
      <c r="K54" s="27" t="str">
        <f t="shared" si="6"/>
        <v>0</v>
      </c>
      <c r="L54" s="95"/>
      <c r="M54" s="95"/>
      <c r="N54" s="95"/>
      <c r="O54" s="95"/>
      <c r="P54" s="95"/>
      <c r="Q54" s="95"/>
      <c r="R54" s="95"/>
    </row>
    <row r="55" spans="3:18" ht="41.4" customHeight="1" x14ac:dyDescent="0.25">
      <c r="C55" s="27"/>
      <c r="D55" s="27"/>
      <c r="E55" s="27" t="str">
        <f t="shared" si="0"/>
        <v>0</v>
      </c>
      <c r="F55" s="27" t="str">
        <f t="shared" si="1"/>
        <v>0</v>
      </c>
      <c r="G55" s="27" t="str">
        <f t="shared" si="2"/>
        <v>0</v>
      </c>
      <c r="H55" s="27" t="str">
        <f t="shared" si="3"/>
        <v>0</v>
      </c>
      <c r="I55" s="27" t="str">
        <f t="shared" si="4"/>
        <v>0</v>
      </c>
      <c r="J55" s="27" t="str">
        <f t="shared" si="5"/>
        <v>0</v>
      </c>
      <c r="K55" s="27" t="str">
        <f t="shared" si="6"/>
        <v>0</v>
      </c>
      <c r="L55" s="95"/>
      <c r="M55" s="95"/>
      <c r="N55" s="95"/>
      <c r="O55" s="95"/>
      <c r="P55" s="95"/>
      <c r="Q55" s="95"/>
      <c r="R55" s="95"/>
    </row>
    <row r="56" spans="3:18" ht="41.4" customHeight="1" x14ac:dyDescent="0.25">
      <c r="C56" s="27"/>
      <c r="D56" s="27"/>
      <c r="E56" s="27" t="str">
        <f t="shared" si="0"/>
        <v>0</v>
      </c>
      <c r="F56" s="27" t="str">
        <f t="shared" si="1"/>
        <v>0</v>
      </c>
      <c r="G56" s="27" t="str">
        <f t="shared" si="2"/>
        <v>0</v>
      </c>
      <c r="H56" s="27" t="str">
        <f t="shared" si="3"/>
        <v>0</v>
      </c>
      <c r="I56" s="27" t="str">
        <f t="shared" si="4"/>
        <v>0</v>
      </c>
      <c r="J56" s="27" t="str">
        <f t="shared" si="5"/>
        <v>0</v>
      </c>
      <c r="K56" s="27" t="str">
        <f t="shared" si="6"/>
        <v>0</v>
      </c>
      <c r="L56" s="95"/>
      <c r="M56" s="95"/>
      <c r="N56" s="95"/>
      <c r="O56" s="95"/>
      <c r="P56" s="95"/>
      <c r="Q56" s="95"/>
      <c r="R56" s="95"/>
    </row>
    <row r="57" spans="3:18" ht="41.4" customHeight="1" x14ac:dyDescent="0.25">
      <c r="C57" s="27"/>
      <c r="D57" s="27"/>
      <c r="E57" s="27" t="str">
        <f t="shared" si="0"/>
        <v>0</v>
      </c>
      <c r="F57" s="27" t="str">
        <f t="shared" si="1"/>
        <v>0</v>
      </c>
      <c r="G57" s="27" t="str">
        <f t="shared" si="2"/>
        <v>0</v>
      </c>
      <c r="H57" s="27" t="str">
        <f t="shared" si="3"/>
        <v>0</v>
      </c>
      <c r="I57" s="27" t="str">
        <f t="shared" si="4"/>
        <v>0</v>
      </c>
      <c r="J57" s="27" t="str">
        <f t="shared" si="5"/>
        <v>0</v>
      </c>
      <c r="K57" s="27" t="str">
        <f t="shared" si="6"/>
        <v>0</v>
      </c>
      <c r="L57" s="95"/>
      <c r="M57" s="95"/>
      <c r="N57" s="95"/>
      <c r="O57" s="95"/>
      <c r="P57" s="95"/>
      <c r="Q57" s="95"/>
      <c r="R57" s="95"/>
    </row>
    <row r="58" spans="3:18" ht="41.4" customHeight="1" x14ac:dyDescent="0.25">
      <c r="C58" s="27"/>
      <c r="D58" s="27"/>
      <c r="E58" s="27" t="str">
        <f t="shared" si="0"/>
        <v>0</v>
      </c>
      <c r="F58" s="27" t="str">
        <f t="shared" si="1"/>
        <v>0</v>
      </c>
      <c r="G58" s="27" t="str">
        <f t="shared" si="2"/>
        <v>0</v>
      </c>
      <c r="H58" s="27" t="str">
        <f t="shared" si="3"/>
        <v>0</v>
      </c>
      <c r="I58" s="27" t="str">
        <f t="shared" si="4"/>
        <v>0</v>
      </c>
      <c r="J58" s="27" t="str">
        <f t="shared" si="5"/>
        <v>0</v>
      </c>
      <c r="K58" s="27" t="str">
        <f t="shared" si="6"/>
        <v>0</v>
      </c>
      <c r="L58" s="95"/>
      <c r="M58" s="95"/>
      <c r="N58" s="95"/>
      <c r="O58" s="95"/>
      <c r="P58" s="95"/>
      <c r="Q58" s="95"/>
      <c r="R58" s="95"/>
    </row>
    <row r="59" spans="3:18" ht="41.4" customHeight="1" x14ac:dyDescent="0.25">
      <c r="C59" s="27"/>
      <c r="D59" s="27"/>
      <c r="E59" s="27" t="str">
        <f t="shared" si="0"/>
        <v>0</v>
      </c>
      <c r="F59" s="27" t="str">
        <f t="shared" si="1"/>
        <v>0</v>
      </c>
      <c r="G59" s="27" t="str">
        <f t="shared" si="2"/>
        <v>0</v>
      </c>
      <c r="H59" s="27" t="str">
        <f t="shared" si="3"/>
        <v>0</v>
      </c>
      <c r="I59" s="27" t="str">
        <f t="shared" si="4"/>
        <v>0</v>
      </c>
      <c r="J59" s="27" t="str">
        <f t="shared" si="5"/>
        <v>0</v>
      </c>
      <c r="K59" s="27" t="str">
        <f t="shared" si="6"/>
        <v>0</v>
      </c>
      <c r="L59" s="95"/>
      <c r="M59" s="95"/>
      <c r="N59" s="95"/>
      <c r="O59" s="95"/>
      <c r="P59" s="95"/>
      <c r="Q59" s="95"/>
      <c r="R59" s="95"/>
    </row>
    <row r="60" spans="3:18" ht="41.4" customHeight="1" x14ac:dyDescent="0.25">
      <c r="C60" s="27"/>
      <c r="D60" s="27"/>
      <c r="E60" s="27" t="str">
        <f t="shared" si="0"/>
        <v>0</v>
      </c>
      <c r="F60" s="27" t="str">
        <f t="shared" si="1"/>
        <v>0</v>
      </c>
      <c r="G60" s="27" t="str">
        <f t="shared" si="2"/>
        <v>0</v>
      </c>
      <c r="H60" s="27" t="str">
        <f t="shared" si="3"/>
        <v>0</v>
      </c>
      <c r="I60" s="27" t="str">
        <f t="shared" si="4"/>
        <v>0</v>
      </c>
      <c r="J60" s="27" t="str">
        <f t="shared" si="5"/>
        <v>0</v>
      </c>
      <c r="K60" s="27" t="str">
        <f t="shared" si="6"/>
        <v>0</v>
      </c>
      <c r="L60" s="95"/>
      <c r="M60" s="95"/>
      <c r="N60" s="95"/>
      <c r="O60" s="95"/>
      <c r="P60" s="95"/>
      <c r="Q60" s="95"/>
      <c r="R60" s="95"/>
    </row>
    <row r="61" spans="3:18" ht="41.4" customHeight="1" x14ac:dyDescent="0.25">
      <c r="C61" s="27"/>
      <c r="D61" s="27"/>
      <c r="E61" s="27" t="str">
        <f t="shared" si="0"/>
        <v>0</v>
      </c>
      <c r="F61" s="27" t="str">
        <f t="shared" si="1"/>
        <v>0</v>
      </c>
      <c r="G61" s="27" t="str">
        <f t="shared" si="2"/>
        <v>0</v>
      </c>
      <c r="H61" s="27" t="str">
        <f t="shared" si="3"/>
        <v>0</v>
      </c>
      <c r="I61" s="27" t="str">
        <f t="shared" si="4"/>
        <v>0</v>
      </c>
      <c r="J61" s="27" t="str">
        <f t="shared" si="5"/>
        <v>0</v>
      </c>
      <c r="K61" s="27" t="str">
        <f t="shared" si="6"/>
        <v>0</v>
      </c>
      <c r="L61" s="95"/>
      <c r="M61" s="95"/>
      <c r="N61" s="95"/>
      <c r="O61" s="95"/>
      <c r="P61" s="95"/>
      <c r="Q61" s="95"/>
      <c r="R61" s="95"/>
    </row>
    <row r="62" spans="3:18" ht="41.4" customHeight="1" x14ac:dyDescent="0.25">
      <c r="C62" s="27"/>
      <c r="D62" s="27"/>
      <c r="E62" s="27">
        <f>SUM(E36:E61)</f>
        <v>21.67</v>
      </c>
      <c r="F62" s="27">
        <f t="shared" ref="F62:K62" si="7">SUM(F36:F61)</f>
        <v>0</v>
      </c>
      <c r="G62" s="27">
        <f t="shared" si="7"/>
        <v>0</v>
      </c>
      <c r="H62" s="27">
        <f t="shared" si="7"/>
        <v>0</v>
      </c>
      <c r="I62" s="27">
        <f t="shared" si="7"/>
        <v>16.27</v>
      </c>
      <c r="J62" s="27">
        <f t="shared" si="7"/>
        <v>0</v>
      </c>
      <c r="K62" s="27">
        <f t="shared" si="7"/>
        <v>5.4</v>
      </c>
      <c r="L62" s="95"/>
      <c r="M62" s="95"/>
      <c r="N62" s="95"/>
      <c r="O62" s="95"/>
      <c r="P62" s="95"/>
      <c r="Q62" s="95"/>
      <c r="R62" s="95"/>
    </row>
    <row r="63" spans="3:18" ht="41.4" customHeight="1" x14ac:dyDescent="0.25">
      <c r="C63" s="27"/>
      <c r="D63" s="27"/>
      <c r="E63" s="27"/>
      <c r="F63" s="28"/>
      <c r="G63" s="28"/>
      <c r="H63" s="28"/>
      <c r="I63" s="28"/>
      <c r="J63" s="28"/>
      <c r="K63" s="28"/>
      <c r="L63" s="95"/>
      <c r="M63" s="95"/>
      <c r="N63" s="95"/>
      <c r="O63" s="95"/>
      <c r="P63" s="95"/>
      <c r="Q63" s="95"/>
      <c r="R63" s="95"/>
    </row>
    <row r="64" spans="3:18" ht="41.4" customHeight="1" x14ac:dyDescent="0.25">
      <c r="C64" s="27"/>
      <c r="D64" s="27"/>
      <c r="E64" s="27"/>
      <c r="F64" s="28"/>
      <c r="G64" s="28"/>
      <c r="H64" s="28"/>
      <c r="I64" s="28"/>
      <c r="J64" s="28"/>
      <c r="K64" s="28"/>
      <c r="L64" s="95"/>
      <c r="M64" s="95"/>
      <c r="N64" s="95"/>
      <c r="O64" s="95"/>
      <c r="P64" s="95"/>
      <c r="Q64" s="95"/>
      <c r="R64" s="95"/>
    </row>
    <row r="65" spans="3:18" ht="41.4" customHeight="1" x14ac:dyDescent="0.25">
      <c r="C65" s="27"/>
      <c r="D65" s="27"/>
      <c r="E65" s="27"/>
      <c r="F65" s="28"/>
      <c r="G65" s="28"/>
      <c r="H65" s="28"/>
      <c r="I65" s="28"/>
      <c r="J65" s="28"/>
      <c r="K65" s="28"/>
      <c r="L65" s="95"/>
      <c r="M65" s="95"/>
      <c r="N65" s="95"/>
      <c r="O65" s="95"/>
      <c r="P65" s="95"/>
      <c r="Q65" s="95"/>
      <c r="R65" s="95"/>
    </row>
    <row r="66" spans="3:18" ht="41.4" customHeight="1" x14ac:dyDescent="0.25">
      <c r="C66" s="27"/>
      <c r="D66" s="27"/>
      <c r="E66" s="27"/>
      <c r="F66" s="28"/>
      <c r="G66" s="28"/>
      <c r="H66" s="28"/>
      <c r="I66" s="28"/>
      <c r="J66" s="28"/>
      <c r="K66" s="28"/>
      <c r="L66" s="95"/>
      <c r="M66" s="95"/>
      <c r="N66" s="95"/>
      <c r="O66" s="95"/>
      <c r="P66" s="95"/>
      <c r="Q66" s="95"/>
      <c r="R66" s="95"/>
    </row>
    <row r="67" spans="3:18" ht="41.4" customHeight="1" x14ac:dyDescent="0.25">
      <c r="C67" s="27"/>
      <c r="D67" s="27"/>
      <c r="E67" s="27"/>
      <c r="F67" s="28"/>
      <c r="G67" s="28"/>
      <c r="H67" s="28"/>
      <c r="I67" s="28"/>
      <c r="J67" s="28"/>
      <c r="K67" s="28"/>
      <c r="L67" s="95"/>
      <c r="M67" s="95"/>
      <c r="N67" s="95"/>
      <c r="O67" s="95"/>
      <c r="P67" s="95"/>
      <c r="Q67" s="95"/>
      <c r="R67" s="95"/>
    </row>
    <row r="68" spans="3:18" ht="41.4" customHeight="1" x14ac:dyDescent="0.25">
      <c r="C68" s="27"/>
      <c r="D68" s="27"/>
      <c r="E68" s="27"/>
      <c r="F68" s="28"/>
      <c r="G68" s="28"/>
      <c r="H68" s="28"/>
      <c r="I68" s="28"/>
      <c r="J68" s="28"/>
      <c r="K68" s="28"/>
      <c r="L68" s="95"/>
      <c r="M68" s="95"/>
      <c r="N68" s="95"/>
      <c r="O68" s="95"/>
      <c r="P68" s="95"/>
      <c r="Q68" s="95"/>
      <c r="R68" s="95"/>
    </row>
  </sheetData>
  <mergeCells count="79">
    <mergeCell ref="L8:R8"/>
    <mergeCell ref="L9:R9"/>
    <mergeCell ref="L10:R10"/>
    <mergeCell ref="A1:H1"/>
    <mergeCell ref="I1:I2"/>
    <mergeCell ref="J1:K2"/>
    <mergeCell ref="L1:M2"/>
    <mergeCell ref="N1:R2"/>
    <mergeCell ref="A2:H2"/>
    <mergeCell ref="N3:R4"/>
    <mergeCell ref="I5:K5"/>
    <mergeCell ref="L5:R6"/>
    <mergeCell ref="L3:M4"/>
    <mergeCell ref="L7:R7"/>
    <mergeCell ref="B3:H3"/>
    <mergeCell ref="A4:H4"/>
    <mergeCell ref="A5:A6"/>
    <mergeCell ref="B5:B6"/>
    <mergeCell ref="C5:C6"/>
    <mergeCell ref="D5:D6"/>
    <mergeCell ref="E5:H5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12:R12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2" orientation="landscape" horizontalDpi="1200" verticalDpi="1200" r:id="rId1"/>
  <colBreaks count="1" manualBreakCount="1">
    <brk id="1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7DE7-BA91-4F87-9172-6B2880ECF8F8}">
  <dimension ref="B1:Z113"/>
  <sheetViews>
    <sheetView view="pageBreakPreview" topLeftCell="A2" zoomScale="55" zoomScaleNormal="40" zoomScaleSheetLayoutView="55" workbookViewId="0">
      <selection activeCell="E26" sqref="E26"/>
    </sheetView>
  </sheetViews>
  <sheetFormatPr defaultColWidth="8.88671875" defaultRowHeight="13.8" x14ac:dyDescent="0.25"/>
  <cols>
    <col min="1" max="1" width="8.88671875" style="1"/>
    <col min="2" max="2" width="27" style="1" bestFit="1" customWidth="1"/>
    <col min="3" max="3" width="124" style="1" bestFit="1" customWidth="1"/>
    <col min="4" max="4" width="26.5546875" style="1" customWidth="1"/>
    <col min="5" max="5" width="30.109375" style="1" customWidth="1"/>
    <col min="6" max="6" width="26.5546875" style="1" customWidth="1"/>
    <col min="7" max="7" width="34.109375" style="1" customWidth="1"/>
    <col min="8" max="10" width="32" style="1" customWidth="1"/>
    <col min="11" max="16384" width="8.88671875" style="1"/>
  </cols>
  <sheetData>
    <row r="1" spans="2:26" ht="35.4" hidden="1" customHeight="1" thickBot="1" x14ac:dyDescent="0.3">
      <c r="D1" s="140" t="s">
        <v>18</v>
      </c>
      <c r="E1" s="140"/>
      <c r="F1" s="140"/>
      <c r="G1" s="140"/>
      <c r="H1" s="140"/>
      <c r="I1" s="140"/>
      <c r="J1" s="140"/>
    </row>
    <row r="2" spans="2:26" ht="23.4" thickBot="1" x14ac:dyDescent="0.3">
      <c r="B2" s="146" t="s">
        <v>20</v>
      </c>
      <c r="C2" s="146" t="s">
        <v>19</v>
      </c>
      <c r="D2" s="141" t="s">
        <v>10</v>
      </c>
      <c r="E2" s="142"/>
      <c r="F2" s="142"/>
      <c r="G2" s="142"/>
      <c r="H2" s="143" t="s">
        <v>11</v>
      </c>
      <c r="I2" s="144"/>
      <c r="J2" s="145"/>
    </row>
    <row r="3" spans="2:26" ht="69" thickBot="1" x14ac:dyDescent="0.3">
      <c r="B3" s="147"/>
      <c r="C3" s="147"/>
      <c r="D3" s="17" t="s">
        <v>2</v>
      </c>
      <c r="E3" s="18" t="s">
        <v>15</v>
      </c>
      <c r="F3" s="18" t="s">
        <v>16</v>
      </c>
      <c r="G3" s="18" t="s">
        <v>17</v>
      </c>
      <c r="H3" s="19" t="s">
        <v>12</v>
      </c>
      <c r="I3" s="19" t="s">
        <v>13</v>
      </c>
      <c r="J3" s="20" t="s">
        <v>14</v>
      </c>
    </row>
    <row r="4" spans="2:26" ht="30" customHeight="1" x14ac:dyDescent="0.3">
      <c r="B4" s="64">
        <v>228</v>
      </c>
      <c r="C4" s="21" t="s">
        <v>22</v>
      </c>
      <c r="D4" s="48">
        <f>'228'!E62</f>
        <v>0</v>
      </c>
      <c r="E4" s="48">
        <f>'228'!F62</f>
        <v>36.06</v>
      </c>
      <c r="F4" s="48">
        <f>'228'!G62</f>
        <v>31.200000000000003</v>
      </c>
      <c r="G4" s="48">
        <f>'228'!H62</f>
        <v>0</v>
      </c>
      <c r="H4" s="48">
        <f>'228'!I62</f>
        <v>10.32</v>
      </c>
      <c r="I4" s="48">
        <f>'228'!J62</f>
        <v>55.940000000000005</v>
      </c>
      <c r="J4" s="49">
        <f>'228'!K62</f>
        <v>1</v>
      </c>
    </row>
    <row r="5" spans="2:26" ht="30" customHeight="1" x14ac:dyDescent="0.3">
      <c r="B5" s="63">
        <v>229</v>
      </c>
      <c r="C5" s="15" t="s">
        <v>23</v>
      </c>
      <c r="D5" s="50">
        <f>'229'!E62</f>
        <v>66.290000000000006</v>
      </c>
      <c r="E5" s="50">
        <f>'229'!F62</f>
        <v>16.099999999999998</v>
      </c>
      <c r="F5" s="50">
        <f>'229'!G62</f>
        <v>0</v>
      </c>
      <c r="G5" s="50">
        <f>'229'!H62</f>
        <v>0</v>
      </c>
      <c r="H5" s="50">
        <f>'229'!I62</f>
        <v>81.690000000000012</v>
      </c>
      <c r="I5" s="50">
        <f>'229'!J62</f>
        <v>0</v>
      </c>
      <c r="J5" s="51">
        <f>'229'!K62</f>
        <v>0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2:26" ht="30" customHeight="1" x14ac:dyDescent="0.3">
      <c r="B6" s="63">
        <v>231</v>
      </c>
      <c r="C6" s="15" t="s">
        <v>24</v>
      </c>
      <c r="D6" s="50">
        <f>'231'!E62</f>
        <v>45.780000000000008</v>
      </c>
      <c r="E6" s="50">
        <f>'231'!F62</f>
        <v>0</v>
      </c>
      <c r="F6" s="50">
        <f>'231'!G62</f>
        <v>0</v>
      </c>
      <c r="G6" s="50">
        <f>'231'!H62</f>
        <v>0</v>
      </c>
      <c r="H6" s="50">
        <f>'231'!I62</f>
        <v>45.780000000000008</v>
      </c>
      <c r="I6" s="50">
        <f>'231'!J62</f>
        <v>0</v>
      </c>
      <c r="J6" s="51">
        <f>'231'!K62</f>
        <v>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2:26" ht="30" customHeight="1" x14ac:dyDescent="0.3">
      <c r="B7" s="63">
        <v>232</v>
      </c>
      <c r="C7" s="65" t="s">
        <v>25</v>
      </c>
      <c r="D7" s="50">
        <f>'232'!E62</f>
        <v>87.53</v>
      </c>
      <c r="E7" s="50">
        <f>'232'!F62</f>
        <v>0</v>
      </c>
      <c r="F7" s="50">
        <f>'232'!G62</f>
        <v>0</v>
      </c>
      <c r="G7" s="50">
        <f>'232'!H62</f>
        <v>0</v>
      </c>
      <c r="H7" s="50">
        <f>'232'!I62</f>
        <v>20.95</v>
      </c>
      <c r="I7" s="50">
        <f>'232'!J62</f>
        <v>0</v>
      </c>
      <c r="J7" s="51">
        <f>'232'!K62</f>
        <v>66.58</v>
      </c>
    </row>
    <row r="8" spans="2:26" ht="30" customHeight="1" x14ac:dyDescent="0.25">
      <c r="B8" s="63">
        <v>236</v>
      </c>
      <c r="C8" s="66" t="s">
        <v>26</v>
      </c>
      <c r="D8" s="50">
        <f>'236'!E62</f>
        <v>0</v>
      </c>
      <c r="E8" s="50">
        <f>'236'!F62</f>
        <v>21.24</v>
      </c>
      <c r="F8" s="50">
        <f>'236'!G62</f>
        <v>13.200000000000001</v>
      </c>
      <c r="G8" s="50">
        <f>'236'!H62</f>
        <v>0</v>
      </c>
      <c r="H8" s="50">
        <f>'236'!I62</f>
        <v>34.340000000000003</v>
      </c>
      <c r="I8" s="50">
        <f>'236'!J62</f>
        <v>0</v>
      </c>
      <c r="J8" s="51">
        <f>'236'!K62</f>
        <v>0</v>
      </c>
    </row>
    <row r="9" spans="2:26" ht="30" customHeight="1" x14ac:dyDescent="0.25">
      <c r="B9" s="63">
        <v>237</v>
      </c>
      <c r="C9" s="66" t="s">
        <v>27</v>
      </c>
      <c r="D9" s="50">
        <f>'237'!E62</f>
        <v>26.04</v>
      </c>
      <c r="E9" s="50">
        <f>'237'!F62</f>
        <v>0</v>
      </c>
      <c r="F9" s="50">
        <f>'237'!G62</f>
        <v>0</v>
      </c>
      <c r="G9" s="50">
        <f>'237'!H62</f>
        <v>0</v>
      </c>
      <c r="H9" s="50">
        <f>'237'!I62</f>
        <v>26.04</v>
      </c>
      <c r="I9" s="50">
        <f>'237'!J62</f>
        <v>0</v>
      </c>
      <c r="J9" s="51">
        <f>'237'!K62</f>
        <v>0</v>
      </c>
    </row>
    <row r="10" spans="2:26" ht="30" customHeight="1" x14ac:dyDescent="0.25">
      <c r="B10" s="63">
        <v>238</v>
      </c>
      <c r="C10" s="66" t="s">
        <v>28</v>
      </c>
      <c r="D10" s="50">
        <f>'238'!E76</f>
        <v>72.760000000000005</v>
      </c>
      <c r="E10" s="50">
        <f>'238'!F76</f>
        <v>0</v>
      </c>
      <c r="F10" s="50">
        <f>'238'!G76</f>
        <v>0</v>
      </c>
      <c r="G10" s="50">
        <f>'238'!H76</f>
        <v>0</v>
      </c>
      <c r="H10" s="50">
        <f>'238'!I76</f>
        <v>73.560000000000016</v>
      </c>
      <c r="I10" s="50">
        <f>'238'!J76</f>
        <v>0</v>
      </c>
      <c r="J10" s="51">
        <f>'238'!K76</f>
        <v>0</v>
      </c>
    </row>
    <row r="11" spans="2:26" ht="30" customHeight="1" x14ac:dyDescent="0.25">
      <c r="B11" s="63">
        <v>239</v>
      </c>
      <c r="C11" s="16" t="s">
        <v>29</v>
      </c>
      <c r="D11" s="50">
        <f>'239'!E62</f>
        <v>63.93</v>
      </c>
      <c r="E11" s="50">
        <f>'239'!F62</f>
        <v>0</v>
      </c>
      <c r="F11" s="50">
        <f>'239'!G62</f>
        <v>45.699999999999996</v>
      </c>
      <c r="G11" s="50">
        <f>'239'!H62</f>
        <v>0</v>
      </c>
      <c r="H11" s="50">
        <f>'239'!I62</f>
        <v>63.93</v>
      </c>
      <c r="I11" s="50">
        <f>'239'!J62</f>
        <v>0</v>
      </c>
      <c r="J11" s="51">
        <f>'239'!K62</f>
        <v>0</v>
      </c>
    </row>
    <row r="12" spans="2:26" ht="30" customHeight="1" x14ac:dyDescent="0.25">
      <c r="B12" s="63">
        <v>240</v>
      </c>
      <c r="C12" s="66" t="s">
        <v>30</v>
      </c>
      <c r="D12" s="50">
        <f>'240'!E62</f>
        <v>0</v>
      </c>
      <c r="E12" s="50">
        <f>'240'!F62</f>
        <v>0</v>
      </c>
      <c r="F12" s="50">
        <f>'240'!G62</f>
        <v>81</v>
      </c>
      <c r="G12" s="50">
        <f>'240'!H62</f>
        <v>0</v>
      </c>
      <c r="H12" s="50">
        <f>'240'!I62</f>
        <v>0</v>
      </c>
      <c r="I12" s="50">
        <f>'240'!J62</f>
        <v>81</v>
      </c>
      <c r="J12" s="51">
        <f>'240'!K62</f>
        <v>0</v>
      </c>
    </row>
    <row r="13" spans="2:26" ht="30" customHeight="1" x14ac:dyDescent="0.25">
      <c r="B13" s="63">
        <v>241</v>
      </c>
      <c r="C13" s="16" t="s">
        <v>31</v>
      </c>
      <c r="D13" s="50">
        <f>'241'!E62</f>
        <v>54.410000000000004</v>
      </c>
      <c r="E13" s="50">
        <f>'241'!F62</f>
        <v>5.8999999999999986</v>
      </c>
      <c r="F13" s="50">
        <f>'241'!G62</f>
        <v>5.8999999999999986</v>
      </c>
      <c r="G13" s="50">
        <f>'241'!H62</f>
        <v>0</v>
      </c>
      <c r="H13" s="50">
        <f>'241'!I62</f>
        <v>60.31</v>
      </c>
      <c r="I13" s="50">
        <f>'241'!J62</f>
        <v>0</v>
      </c>
      <c r="J13" s="51">
        <f>'241'!K62</f>
        <v>0</v>
      </c>
    </row>
    <row r="14" spans="2:26" ht="30" customHeight="1" thickBot="1" x14ac:dyDescent="0.3">
      <c r="B14" s="77">
        <v>242</v>
      </c>
      <c r="C14" s="78" t="s">
        <v>32</v>
      </c>
      <c r="D14" s="52">
        <f>'242'!E62</f>
        <v>21.67</v>
      </c>
      <c r="E14" s="52">
        <f>'242'!F62</f>
        <v>0</v>
      </c>
      <c r="F14" s="52">
        <f>'242'!G62</f>
        <v>0</v>
      </c>
      <c r="G14" s="52">
        <f>'242'!H62</f>
        <v>0</v>
      </c>
      <c r="H14" s="52">
        <f>'242'!I62</f>
        <v>16.27</v>
      </c>
      <c r="I14" s="52">
        <f>'242'!J62</f>
        <v>0</v>
      </c>
      <c r="J14" s="53">
        <f>'242'!K62</f>
        <v>5.4</v>
      </c>
    </row>
    <row r="15" spans="2:26" ht="30" customHeight="1" x14ac:dyDescent="0.4">
      <c r="D15" s="54"/>
      <c r="E15" s="54"/>
      <c r="F15" s="54"/>
      <c r="G15" s="54"/>
      <c r="H15" s="54"/>
      <c r="I15" s="54"/>
      <c r="J15" s="54"/>
    </row>
    <row r="16" spans="2:26" ht="30" customHeight="1" x14ac:dyDescent="0.25">
      <c r="B16" s="110" t="s">
        <v>33</v>
      </c>
      <c r="C16" s="110"/>
      <c r="D16" s="29">
        <f>SUM(D4:D14)</f>
        <v>438.41000000000008</v>
      </c>
      <c r="E16" s="29">
        <f t="shared" ref="E16:J16" si="0">SUM(E4:E14)</f>
        <v>79.299999999999983</v>
      </c>
      <c r="F16" s="29">
        <f t="shared" si="0"/>
        <v>177</v>
      </c>
      <c r="G16" s="29">
        <f t="shared" si="0"/>
        <v>0</v>
      </c>
      <c r="H16" s="29">
        <f t="shared" si="0"/>
        <v>433.19</v>
      </c>
      <c r="I16" s="29">
        <f t="shared" si="0"/>
        <v>136.94</v>
      </c>
      <c r="J16" s="29">
        <f t="shared" si="0"/>
        <v>72.98</v>
      </c>
    </row>
    <row r="17" spans="2:10" ht="30" customHeight="1" x14ac:dyDescent="0.25">
      <c r="B17" s="110" t="s">
        <v>34</v>
      </c>
      <c r="C17" s="110"/>
      <c r="D17" s="30"/>
      <c r="E17" s="30"/>
      <c r="F17" s="30"/>
      <c r="G17" s="29">
        <f>SUM(D16:G16)</f>
        <v>694.71</v>
      </c>
      <c r="H17" s="30"/>
      <c r="I17" s="30"/>
      <c r="J17" s="30"/>
    </row>
    <row r="18" spans="2:10" ht="30" customHeight="1" x14ac:dyDescent="0.25">
      <c r="B18" s="110" t="s">
        <v>35</v>
      </c>
      <c r="C18" s="110"/>
      <c r="D18" s="30"/>
      <c r="E18" s="30"/>
      <c r="F18" s="30"/>
      <c r="G18" s="31">
        <f>G17/Trechos!F28</f>
        <v>1.2046741551552689</v>
      </c>
      <c r="H18" s="30"/>
      <c r="I18" s="30"/>
      <c r="J18" s="32"/>
    </row>
    <row r="19" spans="2:10" ht="30" customHeight="1" x14ac:dyDescent="0.4">
      <c r="D19" s="54"/>
      <c r="E19" s="54"/>
      <c r="F19" s="54"/>
      <c r="G19" s="54"/>
      <c r="H19" s="54"/>
      <c r="I19" s="54"/>
      <c r="J19" s="54"/>
    </row>
    <row r="20" spans="2:10" ht="30" customHeight="1" x14ac:dyDescent="0.4">
      <c r="D20" s="54"/>
      <c r="E20" s="54"/>
      <c r="F20" s="54"/>
      <c r="G20" s="54"/>
      <c r="H20" s="54"/>
      <c r="I20" s="54"/>
      <c r="J20" s="54"/>
    </row>
    <row r="21" spans="2:10" ht="30" customHeight="1" x14ac:dyDescent="0.4">
      <c r="D21" s="54"/>
      <c r="E21" s="54"/>
      <c r="F21" s="54"/>
      <c r="G21" s="54"/>
      <c r="H21" s="54"/>
      <c r="I21" s="54"/>
      <c r="J21" s="54"/>
    </row>
    <row r="22" spans="2:10" ht="30" customHeight="1" x14ac:dyDescent="0.4">
      <c r="D22" s="54"/>
      <c r="E22" s="54"/>
      <c r="F22" s="54"/>
      <c r="G22" s="54"/>
      <c r="H22" s="54"/>
      <c r="I22" s="54"/>
      <c r="J22" s="54"/>
    </row>
    <row r="23" spans="2:10" ht="30" customHeight="1" x14ac:dyDescent="0.4">
      <c r="D23" s="54"/>
      <c r="E23" s="54"/>
      <c r="F23" s="54"/>
      <c r="G23" s="54"/>
      <c r="H23" s="54"/>
      <c r="I23" s="54"/>
      <c r="J23" s="54"/>
    </row>
    <row r="24" spans="2:10" ht="30" customHeight="1" x14ac:dyDescent="0.4">
      <c r="D24" s="54"/>
      <c r="E24" s="54"/>
      <c r="F24" s="54"/>
      <c r="G24" s="54"/>
      <c r="H24" s="54"/>
      <c r="I24" s="54"/>
      <c r="J24" s="54"/>
    </row>
    <row r="25" spans="2:10" ht="30" customHeight="1" x14ac:dyDescent="0.4">
      <c r="D25" s="54"/>
      <c r="E25" s="54"/>
      <c r="F25" s="54"/>
      <c r="G25" s="54"/>
      <c r="H25" s="54"/>
      <c r="I25" s="54"/>
      <c r="J25" s="54"/>
    </row>
    <row r="26" spans="2:10" ht="30" customHeight="1" x14ac:dyDescent="0.4">
      <c r="D26" s="54"/>
      <c r="E26" s="54"/>
      <c r="F26" s="54"/>
      <c r="G26" s="54"/>
      <c r="H26" s="54"/>
      <c r="I26" s="54"/>
      <c r="J26" s="54"/>
    </row>
    <row r="27" spans="2:10" ht="30" customHeight="1" x14ac:dyDescent="0.4">
      <c r="D27" s="54"/>
      <c r="E27" s="54"/>
      <c r="F27" s="54"/>
      <c r="G27" s="54"/>
      <c r="H27" s="54"/>
      <c r="I27" s="54"/>
      <c r="J27" s="54"/>
    </row>
    <row r="28" spans="2:10" ht="30" customHeight="1" x14ac:dyDescent="0.4">
      <c r="D28" s="54"/>
      <c r="E28" s="54"/>
      <c r="F28" s="54"/>
      <c r="G28" s="54"/>
      <c r="H28" s="54"/>
      <c r="I28" s="54"/>
      <c r="J28" s="54"/>
    </row>
    <row r="29" spans="2:10" ht="30" customHeight="1" x14ac:dyDescent="0.4">
      <c r="D29" s="54"/>
      <c r="E29" s="54"/>
      <c r="F29" s="54"/>
      <c r="G29" s="54"/>
      <c r="H29" s="54"/>
      <c r="I29" s="54"/>
      <c r="J29" s="54"/>
    </row>
    <row r="30" spans="2:10" ht="30" customHeight="1" x14ac:dyDescent="0.4">
      <c r="D30" s="54"/>
      <c r="E30" s="54"/>
      <c r="F30" s="54"/>
      <c r="G30" s="54"/>
      <c r="H30" s="54"/>
      <c r="I30" s="54"/>
      <c r="J30" s="54"/>
    </row>
    <row r="31" spans="2:10" ht="30" customHeight="1" x14ac:dyDescent="0.4">
      <c r="D31" s="54"/>
      <c r="E31" s="54"/>
      <c r="F31" s="54"/>
      <c r="G31" s="54"/>
      <c r="H31" s="54"/>
      <c r="I31" s="54"/>
      <c r="J31" s="54"/>
    </row>
    <row r="32" spans="2:10" ht="30" customHeight="1" x14ac:dyDescent="0.4">
      <c r="D32" s="54"/>
      <c r="E32" s="54"/>
      <c r="F32" s="54"/>
      <c r="G32" s="54"/>
      <c r="H32" s="54"/>
      <c r="I32" s="54"/>
      <c r="J32" s="54"/>
    </row>
    <row r="33" spans="4:10" ht="30" customHeight="1" x14ac:dyDescent="0.4">
      <c r="D33" s="54"/>
      <c r="E33" s="54"/>
      <c r="F33" s="54"/>
      <c r="G33" s="54"/>
      <c r="H33" s="54"/>
      <c r="I33" s="54"/>
      <c r="J33" s="54"/>
    </row>
    <row r="34" spans="4:10" ht="30" customHeight="1" x14ac:dyDescent="0.4">
      <c r="D34" s="54"/>
      <c r="E34" s="54"/>
      <c r="F34" s="54"/>
      <c r="G34" s="54"/>
      <c r="H34" s="54"/>
      <c r="I34" s="54"/>
      <c r="J34" s="54"/>
    </row>
    <row r="35" spans="4:10" ht="30" customHeight="1" x14ac:dyDescent="0.4">
      <c r="D35" s="54"/>
      <c r="E35" s="54"/>
      <c r="F35" s="54"/>
      <c r="G35" s="54"/>
      <c r="H35" s="54"/>
      <c r="I35" s="54"/>
      <c r="J35" s="54"/>
    </row>
    <row r="36" spans="4:10" ht="30" customHeight="1" x14ac:dyDescent="0.4">
      <c r="D36" s="54"/>
      <c r="E36" s="54"/>
      <c r="F36" s="54"/>
      <c r="G36" s="54"/>
      <c r="H36" s="54"/>
      <c r="I36" s="54"/>
      <c r="J36" s="54"/>
    </row>
    <row r="37" spans="4:10" ht="30" customHeight="1" x14ac:dyDescent="0.4">
      <c r="D37" s="54"/>
      <c r="E37" s="54"/>
      <c r="F37" s="54"/>
      <c r="G37" s="54"/>
      <c r="H37" s="54"/>
      <c r="I37" s="54"/>
      <c r="J37" s="54"/>
    </row>
    <row r="38" spans="4:10" ht="30" customHeight="1" x14ac:dyDescent="0.4">
      <c r="D38" s="54"/>
      <c r="E38" s="54"/>
      <c r="F38" s="54"/>
      <c r="G38" s="54"/>
      <c r="H38" s="54"/>
      <c r="I38" s="54"/>
      <c r="J38" s="54"/>
    </row>
    <row r="39" spans="4:10" ht="30" customHeight="1" x14ac:dyDescent="0.4">
      <c r="D39" s="54"/>
      <c r="E39" s="54"/>
      <c r="F39" s="54"/>
      <c r="G39" s="54"/>
      <c r="H39" s="54"/>
      <c r="I39" s="54"/>
      <c r="J39" s="54"/>
    </row>
    <row r="40" spans="4:10" ht="30" customHeight="1" x14ac:dyDescent="0.4">
      <c r="D40" s="54"/>
      <c r="E40" s="54"/>
      <c r="F40" s="54"/>
      <c r="G40" s="54"/>
      <c r="H40" s="54"/>
      <c r="I40" s="54"/>
      <c r="J40" s="54"/>
    </row>
    <row r="41" spans="4:10" ht="30" customHeight="1" x14ac:dyDescent="0.4">
      <c r="D41" s="54"/>
      <c r="E41" s="54"/>
      <c r="F41" s="54"/>
      <c r="G41" s="54"/>
      <c r="H41" s="54"/>
      <c r="I41" s="54"/>
      <c r="J41" s="54"/>
    </row>
    <row r="42" spans="4:10" ht="30" customHeight="1" x14ac:dyDescent="0.4">
      <c r="D42" s="54"/>
      <c r="E42" s="54"/>
      <c r="F42" s="54"/>
      <c r="G42" s="54"/>
      <c r="H42" s="54"/>
      <c r="I42" s="54"/>
      <c r="J42" s="54"/>
    </row>
    <row r="43" spans="4:10" ht="30" customHeight="1" x14ac:dyDescent="0.4">
      <c r="D43" s="54"/>
      <c r="E43" s="54"/>
      <c r="F43" s="54"/>
      <c r="G43" s="54"/>
      <c r="H43" s="54"/>
      <c r="I43" s="54"/>
      <c r="J43" s="54"/>
    </row>
    <row r="44" spans="4:10" ht="30" customHeight="1" x14ac:dyDescent="0.4">
      <c r="D44" s="54"/>
      <c r="E44" s="54"/>
      <c r="F44" s="54"/>
      <c r="G44" s="54"/>
      <c r="H44" s="54"/>
      <c r="I44" s="54"/>
      <c r="J44" s="54"/>
    </row>
    <row r="45" spans="4:10" ht="30" customHeight="1" x14ac:dyDescent="0.4">
      <c r="D45" s="54"/>
      <c r="E45" s="54"/>
      <c r="F45" s="54"/>
      <c r="G45" s="54"/>
      <c r="H45" s="54"/>
      <c r="I45" s="54"/>
      <c r="J45" s="54"/>
    </row>
    <row r="46" spans="4:10" ht="30" customHeight="1" x14ac:dyDescent="0.4">
      <c r="D46" s="54"/>
      <c r="E46" s="54"/>
      <c r="F46" s="54"/>
      <c r="G46" s="54"/>
      <c r="H46" s="54"/>
      <c r="I46" s="54"/>
      <c r="J46" s="54"/>
    </row>
    <row r="47" spans="4:10" ht="30" customHeight="1" x14ac:dyDescent="0.4">
      <c r="D47" s="54"/>
      <c r="E47" s="54"/>
      <c r="F47" s="54"/>
      <c r="G47" s="54"/>
      <c r="H47" s="54"/>
      <c r="I47" s="54"/>
      <c r="J47" s="54"/>
    </row>
    <row r="48" spans="4:10" ht="30" customHeight="1" x14ac:dyDescent="0.4">
      <c r="D48" s="54"/>
      <c r="E48" s="54"/>
      <c r="F48" s="54"/>
      <c r="G48" s="54"/>
      <c r="H48" s="54"/>
      <c r="I48" s="54"/>
      <c r="J48" s="54"/>
    </row>
    <row r="49" spans="4:10" ht="30" customHeight="1" x14ac:dyDescent="0.4">
      <c r="D49" s="54"/>
      <c r="E49" s="54"/>
      <c r="F49" s="54"/>
      <c r="G49" s="54"/>
      <c r="H49" s="54"/>
      <c r="I49" s="54"/>
      <c r="J49" s="54"/>
    </row>
    <row r="50" spans="4:10" ht="30" customHeight="1" x14ac:dyDescent="0.4">
      <c r="D50" s="54"/>
      <c r="E50" s="54"/>
      <c r="F50" s="54"/>
      <c r="G50" s="54"/>
      <c r="H50" s="54"/>
      <c r="I50" s="54"/>
      <c r="J50" s="54"/>
    </row>
    <row r="51" spans="4:10" ht="30" customHeight="1" x14ac:dyDescent="0.4">
      <c r="D51" s="54"/>
      <c r="E51" s="54"/>
      <c r="F51" s="54"/>
      <c r="G51" s="54"/>
      <c r="H51" s="54"/>
      <c r="I51" s="54"/>
      <c r="J51" s="54"/>
    </row>
    <row r="52" spans="4:10" ht="30" customHeight="1" x14ac:dyDescent="0.4">
      <c r="D52" s="54"/>
      <c r="E52" s="54"/>
      <c r="F52" s="54"/>
      <c r="G52" s="54"/>
      <c r="H52" s="54"/>
      <c r="I52" s="54"/>
      <c r="J52" s="54"/>
    </row>
    <row r="53" spans="4:10" ht="30" customHeight="1" x14ac:dyDescent="0.4">
      <c r="D53" s="54"/>
      <c r="E53" s="54"/>
      <c r="F53" s="54"/>
      <c r="G53" s="54"/>
      <c r="H53" s="54"/>
      <c r="I53" s="54"/>
      <c r="J53" s="54"/>
    </row>
    <row r="54" spans="4:10" ht="30" customHeight="1" x14ac:dyDescent="0.4">
      <c r="D54" s="54"/>
      <c r="E54" s="54"/>
      <c r="F54" s="54"/>
      <c r="G54" s="54"/>
      <c r="H54" s="54"/>
      <c r="I54" s="54"/>
      <c r="J54" s="54"/>
    </row>
    <row r="55" spans="4:10" ht="30" customHeight="1" x14ac:dyDescent="0.4">
      <c r="D55" s="54"/>
      <c r="E55" s="54"/>
      <c r="F55" s="54"/>
      <c r="G55" s="54"/>
      <c r="H55" s="54"/>
      <c r="I55" s="54"/>
      <c r="J55" s="54"/>
    </row>
    <row r="56" spans="4:10" ht="30" customHeight="1" x14ac:dyDescent="0.4">
      <c r="D56" s="54"/>
      <c r="E56" s="54"/>
      <c r="F56" s="54"/>
      <c r="G56" s="54"/>
      <c r="H56" s="54"/>
      <c r="I56" s="54"/>
      <c r="J56" s="54"/>
    </row>
    <row r="57" spans="4:10" ht="30" customHeight="1" x14ac:dyDescent="0.4">
      <c r="D57" s="54"/>
      <c r="E57" s="54"/>
      <c r="F57" s="54"/>
      <c r="G57" s="54"/>
      <c r="H57" s="54"/>
      <c r="I57" s="54"/>
      <c r="J57" s="54"/>
    </row>
    <row r="58" spans="4:10" ht="30" customHeight="1" x14ac:dyDescent="0.4">
      <c r="D58" s="54"/>
      <c r="E58" s="54"/>
      <c r="F58" s="54"/>
      <c r="G58" s="54"/>
      <c r="H58" s="54"/>
      <c r="I58" s="54"/>
      <c r="J58" s="54"/>
    </row>
    <row r="59" spans="4:10" ht="30" customHeight="1" x14ac:dyDescent="0.4">
      <c r="D59" s="54"/>
      <c r="E59" s="54"/>
      <c r="F59" s="54"/>
      <c r="G59" s="54"/>
      <c r="H59" s="54"/>
      <c r="I59" s="54"/>
      <c r="J59" s="54"/>
    </row>
    <row r="60" spans="4:10" ht="30" customHeight="1" x14ac:dyDescent="0.4">
      <c r="D60" s="54"/>
      <c r="E60" s="54"/>
      <c r="F60" s="54"/>
      <c r="G60" s="54"/>
      <c r="H60" s="54"/>
      <c r="I60" s="54"/>
      <c r="J60" s="54"/>
    </row>
    <row r="61" spans="4:10" ht="30" customHeight="1" x14ac:dyDescent="0.4">
      <c r="D61" s="54"/>
      <c r="E61" s="54"/>
      <c r="F61" s="54"/>
      <c r="G61" s="54"/>
      <c r="H61" s="54"/>
      <c r="I61" s="54"/>
      <c r="J61" s="54"/>
    </row>
    <row r="62" spans="4:10" ht="30" customHeight="1" x14ac:dyDescent="0.4">
      <c r="D62" s="54"/>
      <c r="E62" s="54"/>
      <c r="F62" s="54"/>
      <c r="G62" s="54"/>
      <c r="H62" s="54"/>
      <c r="I62" s="54"/>
      <c r="J62" s="54"/>
    </row>
    <row r="63" spans="4:10" ht="30" customHeight="1" x14ac:dyDescent="0.4">
      <c r="D63" s="54"/>
      <c r="E63" s="54"/>
      <c r="F63" s="54"/>
      <c r="G63" s="54"/>
      <c r="H63" s="54"/>
      <c r="I63" s="54"/>
      <c r="J63" s="54"/>
    </row>
    <row r="64" spans="4:10" ht="30" customHeight="1" x14ac:dyDescent="0.4">
      <c r="D64" s="54"/>
      <c r="E64" s="54"/>
      <c r="F64" s="54"/>
      <c r="G64" s="54"/>
      <c r="H64" s="54"/>
      <c r="I64" s="54"/>
      <c r="J64" s="54"/>
    </row>
    <row r="65" spans="4:10" ht="30" customHeight="1" x14ac:dyDescent="0.4">
      <c r="D65" s="54"/>
      <c r="E65" s="54"/>
      <c r="F65" s="54"/>
      <c r="G65" s="54"/>
      <c r="H65" s="54"/>
      <c r="I65" s="54"/>
      <c r="J65" s="54"/>
    </row>
    <row r="66" spans="4:10" ht="30" customHeight="1" x14ac:dyDescent="0.4">
      <c r="D66" s="54"/>
      <c r="E66" s="54"/>
      <c r="F66" s="54"/>
      <c r="G66" s="54"/>
      <c r="H66" s="54"/>
      <c r="I66" s="54"/>
      <c r="J66" s="54"/>
    </row>
    <row r="67" spans="4:10" ht="30" customHeight="1" x14ac:dyDescent="0.4">
      <c r="D67" s="54"/>
      <c r="E67" s="54"/>
      <c r="F67" s="54"/>
      <c r="G67" s="54"/>
      <c r="H67" s="54"/>
      <c r="I67" s="54"/>
      <c r="J67" s="54"/>
    </row>
    <row r="68" spans="4:10" ht="30" customHeight="1" x14ac:dyDescent="0.4">
      <c r="D68" s="54"/>
      <c r="E68" s="54"/>
      <c r="F68" s="54"/>
      <c r="G68" s="54"/>
      <c r="H68" s="54"/>
      <c r="I68" s="54"/>
      <c r="J68" s="54"/>
    </row>
    <row r="69" spans="4:10" ht="30" customHeight="1" x14ac:dyDescent="0.4">
      <c r="D69" s="54"/>
      <c r="E69" s="54"/>
      <c r="F69" s="54"/>
      <c r="G69" s="54"/>
      <c r="H69" s="54"/>
      <c r="I69" s="54"/>
      <c r="J69" s="54"/>
    </row>
    <row r="70" spans="4:10" ht="30" customHeight="1" x14ac:dyDescent="0.4">
      <c r="D70" s="54"/>
      <c r="E70" s="54"/>
      <c r="F70" s="54"/>
      <c r="G70" s="54"/>
      <c r="H70" s="54"/>
      <c r="I70" s="54"/>
      <c r="J70" s="54"/>
    </row>
    <row r="71" spans="4:10" ht="30" customHeight="1" x14ac:dyDescent="0.4">
      <c r="D71" s="54"/>
      <c r="E71" s="54"/>
      <c r="F71" s="54"/>
      <c r="G71" s="54"/>
      <c r="H71" s="54"/>
      <c r="I71" s="54"/>
      <c r="J71" s="54"/>
    </row>
    <row r="72" spans="4:10" ht="30" customHeight="1" x14ac:dyDescent="0.4">
      <c r="D72" s="54"/>
      <c r="E72" s="54"/>
      <c r="F72" s="54"/>
      <c r="G72" s="54"/>
      <c r="H72" s="54"/>
      <c r="I72" s="54"/>
      <c r="J72" s="54"/>
    </row>
    <row r="73" spans="4:10" ht="30" customHeight="1" x14ac:dyDescent="0.4">
      <c r="D73" s="54"/>
      <c r="E73" s="54"/>
      <c r="F73" s="54"/>
      <c r="G73" s="54"/>
      <c r="H73" s="54"/>
      <c r="I73" s="54"/>
      <c r="J73" s="54"/>
    </row>
    <row r="74" spans="4:10" ht="30" customHeight="1" x14ac:dyDescent="0.4">
      <c r="D74" s="54"/>
      <c r="E74" s="54"/>
      <c r="F74" s="54"/>
      <c r="G74" s="54"/>
      <c r="H74" s="54"/>
      <c r="I74" s="54"/>
      <c r="J74" s="54"/>
    </row>
    <row r="75" spans="4:10" ht="30" customHeight="1" x14ac:dyDescent="0.4">
      <c r="D75" s="54"/>
      <c r="E75" s="54"/>
      <c r="F75" s="54"/>
      <c r="G75" s="54"/>
      <c r="H75" s="54"/>
      <c r="I75" s="54"/>
      <c r="J75" s="54"/>
    </row>
    <row r="76" spans="4:10" ht="30" customHeight="1" x14ac:dyDescent="0.4">
      <c r="D76" s="54"/>
      <c r="E76" s="54"/>
      <c r="F76" s="54"/>
      <c r="G76" s="54"/>
      <c r="H76" s="54"/>
      <c r="I76" s="54"/>
      <c r="J76" s="54"/>
    </row>
    <row r="77" spans="4:10" ht="30" customHeight="1" x14ac:dyDescent="0.4">
      <c r="D77" s="54"/>
      <c r="E77" s="54"/>
      <c r="F77" s="54"/>
      <c r="G77" s="54"/>
      <c r="H77" s="54"/>
      <c r="I77" s="54"/>
      <c r="J77" s="54"/>
    </row>
    <row r="78" spans="4:10" ht="30" customHeight="1" x14ac:dyDescent="0.4">
      <c r="D78" s="54"/>
      <c r="E78" s="54"/>
      <c r="F78" s="54"/>
      <c r="G78" s="54"/>
      <c r="H78" s="54"/>
      <c r="I78" s="54"/>
      <c r="J78" s="54"/>
    </row>
    <row r="79" spans="4:10" ht="30" customHeight="1" x14ac:dyDescent="0.4">
      <c r="D79" s="54"/>
      <c r="E79" s="54"/>
      <c r="F79" s="54"/>
      <c r="G79" s="54"/>
      <c r="H79" s="54"/>
      <c r="I79" s="54"/>
      <c r="J79" s="54"/>
    </row>
    <row r="80" spans="4:10" ht="30" customHeight="1" x14ac:dyDescent="0.4">
      <c r="D80" s="54"/>
      <c r="E80" s="54"/>
      <c r="F80" s="54"/>
      <c r="G80" s="54"/>
      <c r="H80" s="54"/>
      <c r="I80" s="54"/>
      <c r="J80" s="54"/>
    </row>
    <row r="81" spans="4:10" ht="30" customHeight="1" x14ac:dyDescent="0.4">
      <c r="D81" s="54"/>
      <c r="E81" s="54"/>
      <c r="F81" s="54"/>
      <c r="G81" s="54"/>
      <c r="H81" s="54"/>
      <c r="I81" s="54"/>
      <c r="J81" s="54"/>
    </row>
    <row r="82" spans="4:10" ht="30" customHeight="1" x14ac:dyDescent="0.4">
      <c r="D82" s="54"/>
      <c r="E82" s="54"/>
      <c r="F82" s="54"/>
      <c r="G82" s="54"/>
      <c r="H82" s="54"/>
      <c r="I82" s="54"/>
      <c r="J82" s="54"/>
    </row>
    <row r="83" spans="4:10" ht="30" customHeight="1" x14ac:dyDescent="0.4">
      <c r="D83" s="54"/>
      <c r="E83" s="54"/>
      <c r="F83" s="54"/>
      <c r="G83" s="54"/>
      <c r="H83" s="54"/>
      <c r="I83" s="54"/>
      <c r="J83" s="54"/>
    </row>
    <row r="84" spans="4:10" ht="30" customHeight="1" x14ac:dyDescent="0.4">
      <c r="D84" s="54"/>
      <c r="E84" s="54"/>
      <c r="F84" s="54"/>
      <c r="G84" s="54"/>
      <c r="H84" s="54"/>
      <c r="I84" s="54"/>
      <c r="J84" s="54"/>
    </row>
    <row r="85" spans="4:10" ht="30" customHeight="1" x14ac:dyDescent="0.4">
      <c r="D85" s="54"/>
      <c r="E85" s="54"/>
      <c r="F85" s="54"/>
      <c r="G85" s="54"/>
      <c r="H85" s="54"/>
      <c r="I85" s="54"/>
      <c r="J85" s="54"/>
    </row>
    <row r="86" spans="4:10" ht="30" customHeight="1" x14ac:dyDescent="0.4">
      <c r="D86" s="54"/>
      <c r="E86" s="54"/>
      <c r="F86" s="54"/>
      <c r="G86" s="54"/>
      <c r="H86" s="54"/>
      <c r="I86" s="54"/>
      <c r="J86" s="54"/>
    </row>
    <row r="87" spans="4:10" ht="30" customHeight="1" x14ac:dyDescent="0.4">
      <c r="D87" s="54"/>
      <c r="E87" s="54"/>
      <c r="F87" s="54"/>
      <c r="G87" s="54"/>
      <c r="H87" s="54"/>
      <c r="I87" s="54"/>
      <c r="J87" s="54"/>
    </row>
    <row r="88" spans="4:10" ht="30" customHeight="1" x14ac:dyDescent="0.4">
      <c r="D88" s="54"/>
      <c r="E88" s="54"/>
      <c r="F88" s="54"/>
      <c r="G88" s="54"/>
      <c r="H88" s="54"/>
      <c r="I88" s="54"/>
      <c r="J88" s="54"/>
    </row>
    <row r="89" spans="4:10" ht="30" customHeight="1" x14ac:dyDescent="0.4">
      <c r="D89" s="54"/>
      <c r="E89" s="54"/>
      <c r="F89" s="54"/>
      <c r="G89" s="54"/>
      <c r="H89" s="54"/>
      <c r="I89" s="54"/>
      <c r="J89" s="54"/>
    </row>
    <row r="90" spans="4:10" ht="30" customHeight="1" x14ac:dyDescent="0.4">
      <c r="D90" s="54"/>
      <c r="E90" s="54"/>
      <c r="F90" s="54"/>
      <c r="G90" s="54"/>
      <c r="H90" s="54"/>
      <c r="I90" s="54"/>
      <c r="J90" s="54"/>
    </row>
    <row r="91" spans="4:10" ht="30" customHeight="1" x14ac:dyDescent="0.4">
      <c r="D91" s="54"/>
      <c r="E91" s="54"/>
      <c r="F91" s="54"/>
      <c r="G91" s="54"/>
      <c r="H91" s="54"/>
      <c r="I91" s="54"/>
      <c r="J91" s="54"/>
    </row>
    <row r="92" spans="4:10" ht="30" customHeight="1" x14ac:dyDescent="0.4">
      <c r="D92" s="54"/>
      <c r="E92" s="54"/>
      <c r="F92" s="54"/>
      <c r="G92" s="54"/>
      <c r="H92" s="54"/>
      <c r="I92" s="54"/>
      <c r="J92" s="54"/>
    </row>
    <row r="93" spans="4:10" ht="30" customHeight="1" x14ac:dyDescent="0.4">
      <c r="D93" s="54"/>
      <c r="E93" s="54"/>
      <c r="F93" s="54"/>
      <c r="G93" s="54"/>
      <c r="H93" s="54"/>
      <c r="I93" s="54"/>
      <c r="J93" s="54"/>
    </row>
    <row r="94" spans="4:10" ht="30" customHeight="1" x14ac:dyDescent="0.4">
      <c r="D94" s="54"/>
      <c r="E94" s="54"/>
      <c r="F94" s="54"/>
      <c r="G94" s="54"/>
      <c r="H94" s="54"/>
      <c r="I94" s="54"/>
      <c r="J94" s="54"/>
    </row>
    <row r="95" spans="4:10" ht="30" customHeight="1" x14ac:dyDescent="0.4">
      <c r="D95" s="54"/>
      <c r="E95" s="54"/>
      <c r="F95" s="54"/>
      <c r="G95" s="54"/>
      <c r="H95" s="54"/>
      <c r="I95" s="54"/>
      <c r="J95" s="54"/>
    </row>
    <row r="96" spans="4:10" ht="30" customHeight="1" x14ac:dyDescent="0.4">
      <c r="D96" s="54"/>
      <c r="E96" s="54"/>
      <c r="F96" s="54"/>
      <c r="G96" s="54"/>
      <c r="H96" s="54"/>
      <c r="I96" s="54"/>
      <c r="J96" s="54"/>
    </row>
    <row r="97" spans="4:10" ht="30" customHeight="1" x14ac:dyDescent="0.4">
      <c r="D97" s="54"/>
      <c r="E97" s="54"/>
      <c r="F97" s="54"/>
      <c r="G97" s="54"/>
      <c r="H97" s="54"/>
      <c r="I97" s="54"/>
      <c r="J97" s="54"/>
    </row>
    <row r="98" spans="4:10" ht="30" customHeight="1" x14ac:dyDescent="0.4">
      <c r="D98" s="54"/>
      <c r="E98" s="54"/>
      <c r="F98" s="54"/>
      <c r="G98" s="54"/>
      <c r="H98" s="54"/>
      <c r="I98" s="54"/>
      <c r="J98" s="54"/>
    </row>
    <row r="99" spans="4:10" ht="30" customHeight="1" x14ac:dyDescent="0.4">
      <c r="D99" s="54"/>
      <c r="E99" s="54"/>
      <c r="F99" s="54"/>
      <c r="G99" s="54"/>
      <c r="H99" s="54"/>
      <c r="I99" s="54"/>
      <c r="J99" s="54"/>
    </row>
    <row r="100" spans="4:10" ht="30" customHeight="1" x14ac:dyDescent="0.25"/>
    <row r="101" spans="4:10" ht="30" customHeight="1" x14ac:dyDescent="0.25"/>
    <row r="102" spans="4:10" ht="30" customHeight="1" x14ac:dyDescent="0.25"/>
    <row r="103" spans="4:10" ht="30" customHeight="1" x14ac:dyDescent="0.25"/>
    <row r="104" spans="4:10" ht="30" customHeight="1" x14ac:dyDescent="0.25"/>
    <row r="105" spans="4:10" ht="30" customHeight="1" x14ac:dyDescent="0.25"/>
    <row r="106" spans="4:10" ht="30" customHeight="1" x14ac:dyDescent="0.25"/>
    <row r="107" spans="4:10" ht="30" customHeight="1" x14ac:dyDescent="0.25"/>
    <row r="108" spans="4:10" ht="30" customHeight="1" x14ac:dyDescent="0.25"/>
    <row r="109" spans="4:10" ht="30" customHeight="1" x14ac:dyDescent="0.25"/>
    <row r="110" spans="4:10" ht="30" customHeight="1" x14ac:dyDescent="0.25"/>
    <row r="111" spans="4:10" ht="30" customHeight="1" x14ac:dyDescent="0.25"/>
    <row r="112" spans="4:10" ht="30" customHeight="1" x14ac:dyDescent="0.25"/>
    <row r="113" s="1" customFormat="1" ht="30" customHeight="1" x14ac:dyDescent="0.25"/>
  </sheetData>
  <mergeCells count="8">
    <mergeCell ref="B16:C16"/>
    <mergeCell ref="B17:C17"/>
    <mergeCell ref="B18:C18"/>
    <mergeCell ref="D1:J1"/>
    <mergeCell ref="D2:G2"/>
    <mergeCell ref="H2:J2"/>
    <mergeCell ref="C2:C3"/>
    <mergeCell ref="B2:B3"/>
  </mergeCells>
  <pageMargins left="0.511811024" right="0.511811024" top="0.78740157499999996" bottom="0.78740157499999996" header="0.31496062000000002" footer="0.31496062000000002"/>
  <pageSetup paperSize="9" scale="43" orientation="portrait" horizontalDpi="1200" verticalDpi="1200" r:id="rId1"/>
  <colBreaks count="2" manualBreakCount="2">
    <brk id="3" max="17" man="1"/>
    <brk id="10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14</vt:i4>
      </vt:variant>
    </vt:vector>
  </HeadingPairs>
  <TitlesOfParts>
    <vt:vector size="27" baseType="lpstr">
      <vt:lpstr>Trechos</vt:lpstr>
      <vt:lpstr>228</vt:lpstr>
      <vt:lpstr>229</vt:lpstr>
      <vt:lpstr>231</vt:lpstr>
      <vt:lpstr>232</vt:lpstr>
      <vt:lpstr>236</vt:lpstr>
      <vt:lpstr>238</vt:lpstr>
      <vt:lpstr>237</vt:lpstr>
      <vt:lpstr>239</vt:lpstr>
      <vt:lpstr>240</vt:lpstr>
      <vt:lpstr>241</vt:lpstr>
      <vt:lpstr>242</vt:lpstr>
      <vt:lpstr>TT</vt:lpstr>
      <vt:lpstr>'228'!Area_de_impressao</vt:lpstr>
      <vt:lpstr>'229'!Area_de_impressao</vt:lpstr>
      <vt:lpstr>'231'!Area_de_impressao</vt:lpstr>
      <vt:lpstr>'232'!Area_de_impressao</vt:lpstr>
      <vt:lpstr>'236'!Area_de_impressao</vt:lpstr>
      <vt:lpstr>'237'!Area_de_impressao</vt:lpstr>
      <vt:lpstr>'238'!Area_de_impressao</vt:lpstr>
      <vt:lpstr>'239'!Area_de_impressao</vt:lpstr>
      <vt:lpstr>'240'!Area_de_impressao</vt:lpstr>
      <vt:lpstr>'241'!Area_de_impressao</vt:lpstr>
      <vt:lpstr>'242'!Area_de_impressao</vt:lpstr>
      <vt:lpstr>Trechos!Area_de_impressao</vt:lpstr>
      <vt:lpstr>TT!Area_de_impressao</vt:lpstr>
      <vt:lpstr>Trechos!Titulos_de_impressao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Thiago Borges Torquato</cp:lastModifiedBy>
  <cp:lastPrinted>2025-08-27T17:57:54Z</cp:lastPrinted>
  <dcterms:created xsi:type="dcterms:W3CDTF">2025-07-22T11:15:05Z</dcterms:created>
  <dcterms:modified xsi:type="dcterms:W3CDTF">2026-07-27T14:44:19Z</dcterms:modified>
</cp:coreProperties>
</file>