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UARIO\Desktop\AREA DE SERVIÇO JULHO\ARQUIVOS PRICILLA\FICHA DE INSPEÇÃO - JULHO\"/>
    </mc:Choice>
  </mc:AlternateContent>
  <xr:revisionPtr revIDLastSave="0" documentId="13_ncr:1_{25E0F594-A478-433A-933E-0CE3DDD997DF}" xr6:coauthVersionLast="47" xr6:coauthVersionMax="47" xr10:uidLastSave="{00000000-0000-0000-0000-000000000000}"/>
  <bookViews>
    <workbookView xWindow="-108" yWindow="-108" windowWidth="23256" windowHeight="12456" tabRatio="585" activeTab="2" xr2:uid="{B3ADFE79-E3C6-47F3-8176-221C62BDF425}"/>
  </bookViews>
  <sheets>
    <sheet name="Trechos" sheetId="33" r:id="rId1"/>
    <sheet name="207" sheetId="3" r:id="rId2"/>
    <sheet name="208" sheetId="23" r:id="rId3"/>
    <sheet name="211" sheetId="24" r:id="rId4"/>
    <sheet name="213" sheetId="25" r:id="rId5"/>
    <sheet name="214" sheetId="26" r:id="rId6"/>
    <sheet name="215" sheetId="27" r:id="rId7"/>
    <sheet name="216" sheetId="28" r:id="rId8"/>
    <sheet name="217" sheetId="29" r:id="rId9"/>
    <sheet name="221" sheetId="30" r:id="rId10"/>
    <sheet name="222" sheetId="31" r:id="rId11"/>
    <sheet name="223" sheetId="32" r:id="rId12"/>
    <sheet name="TT" sheetId="2" r:id="rId13"/>
  </sheets>
  <definedNames>
    <definedName name="_xlnm._FilterDatabase" localSheetId="0" hidden="1">Trechos!$A$2:$I$2</definedName>
    <definedName name="_xlnm.Print_Area" localSheetId="1">'207'!$A$1:$R$29</definedName>
    <definedName name="_xlnm.Print_Area" localSheetId="2">'208'!$A$1:$R$28</definedName>
    <definedName name="_xlnm.Print_Area" localSheetId="3">'211'!$A$1:$R$26</definedName>
    <definedName name="_xlnm.Print_Area" localSheetId="4">'213'!$A$1:$R$25</definedName>
    <definedName name="_xlnm.Print_Area" localSheetId="5">'214'!$A$1:$R$31</definedName>
    <definedName name="_xlnm.Print_Area" localSheetId="6">'215'!$A$1:$R$26</definedName>
    <definedName name="_xlnm.Print_Area" localSheetId="7">'216'!$A$1:$R$42</definedName>
    <definedName name="_xlnm.Print_Area" localSheetId="8">'217'!$A$1:$R$25</definedName>
    <definedName name="_xlnm.Print_Area" localSheetId="9">'221'!$A$1:$R$25</definedName>
    <definedName name="_xlnm.Print_Area" localSheetId="10">'222'!$A$1:$R$25</definedName>
    <definedName name="_xlnm.Print_Area" localSheetId="11">'223'!$A$1:$R$25</definedName>
    <definedName name="_xlnm.Print_Area" localSheetId="0">Trechos!$A$1:$G$17</definedName>
    <definedName name="_xlnm.Print_Area" localSheetId="12">TT!$A$1:$J$18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1" l="1"/>
  <c r="F37" i="23"/>
  <c r="N1" i="32"/>
  <c r="N1" i="31"/>
  <c r="N1" i="30"/>
  <c r="N1" i="29"/>
  <c r="N1" i="28"/>
  <c r="N1" i="27"/>
  <c r="N1" i="26"/>
  <c r="N1" i="25"/>
  <c r="N1" i="24"/>
  <c r="N1" i="23"/>
  <c r="J1" i="32"/>
  <c r="J1" i="31"/>
  <c r="J1" i="30"/>
  <c r="J1" i="29"/>
  <c r="J1" i="28"/>
  <c r="J1" i="27"/>
  <c r="J1" i="26"/>
  <c r="J1" i="25"/>
  <c r="J1" i="24"/>
  <c r="J1" i="23"/>
  <c r="C9" i="30"/>
  <c r="C10" i="30"/>
  <c r="C11" i="30"/>
  <c r="C8" i="30"/>
  <c r="E37" i="25"/>
  <c r="G37" i="25"/>
  <c r="H37" i="25"/>
  <c r="I37" i="25"/>
  <c r="E38" i="25"/>
  <c r="F38" i="25"/>
  <c r="G38" i="25"/>
  <c r="H38" i="25"/>
  <c r="I38" i="25"/>
  <c r="J38" i="25"/>
  <c r="K38" i="25"/>
  <c r="E39" i="25"/>
  <c r="F39" i="25"/>
  <c r="G39" i="25"/>
  <c r="H39" i="25"/>
  <c r="I39" i="25"/>
  <c r="J39" i="25"/>
  <c r="K39" i="25"/>
  <c r="E40" i="25"/>
  <c r="F40" i="25"/>
  <c r="G40" i="25"/>
  <c r="H40" i="25"/>
  <c r="I40" i="25"/>
  <c r="J40" i="25"/>
  <c r="K40" i="25"/>
  <c r="E41" i="25"/>
  <c r="F41" i="25"/>
  <c r="G41" i="25"/>
  <c r="H41" i="25"/>
  <c r="I41" i="25"/>
  <c r="J41" i="25"/>
  <c r="K41" i="25"/>
  <c r="E42" i="25"/>
  <c r="F42" i="25"/>
  <c r="G42" i="25"/>
  <c r="H42" i="25"/>
  <c r="I42" i="25"/>
  <c r="J42" i="25"/>
  <c r="K42" i="25"/>
  <c r="E43" i="25"/>
  <c r="F43" i="25"/>
  <c r="G43" i="25"/>
  <c r="H43" i="25"/>
  <c r="I43" i="25"/>
  <c r="J43" i="25"/>
  <c r="K43" i="25"/>
  <c r="E44" i="25"/>
  <c r="F44" i="25"/>
  <c r="G44" i="25"/>
  <c r="H44" i="25"/>
  <c r="I44" i="25"/>
  <c r="J44" i="25"/>
  <c r="K44" i="25"/>
  <c r="E45" i="25"/>
  <c r="F45" i="25"/>
  <c r="G45" i="25"/>
  <c r="H45" i="25"/>
  <c r="I45" i="25"/>
  <c r="J45" i="25"/>
  <c r="K45" i="25"/>
  <c r="E46" i="25"/>
  <c r="F46" i="25"/>
  <c r="G46" i="25"/>
  <c r="H46" i="25"/>
  <c r="I46" i="25"/>
  <c r="J46" i="25"/>
  <c r="K46" i="25"/>
  <c r="E47" i="25"/>
  <c r="F47" i="25"/>
  <c r="G47" i="25"/>
  <c r="H47" i="25"/>
  <c r="I47" i="25"/>
  <c r="J47" i="25"/>
  <c r="K47" i="25"/>
  <c r="E48" i="25"/>
  <c r="F48" i="25"/>
  <c r="G48" i="25"/>
  <c r="H48" i="25"/>
  <c r="I48" i="25"/>
  <c r="J48" i="25"/>
  <c r="K48" i="25"/>
  <c r="E49" i="25"/>
  <c r="F49" i="25"/>
  <c r="G49" i="25"/>
  <c r="H49" i="25"/>
  <c r="I49" i="25"/>
  <c r="J49" i="25"/>
  <c r="K49" i="25"/>
  <c r="E50" i="25"/>
  <c r="F50" i="25"/>
  <c r="G50" i="25"/>
  <c r="H50" i="25"/>
  <c r="I50" i="25"/>
  <c r="J50" i="25"/>
  <c r="K50" i="25"/>
  <c r="E51" i="25"/>
  <c r="F51" i="25"/>
  <c r="G51" i="25"/>
  <c r="H51" i="25"/>
  <c r="I51" i="25"/>
  <c r="J51" i="25"/>
  <c r="K51" i="25"/>
  <c r="E52" i="25"/>
  <c r="F52" i="25"/>
  <c r="G52" i="25"/>
  <c r="H52" i="25"/>
  <c r="I52" i="25"/>
  <c r="J52" i="25"/>
  <c r="K52" i="25"/>
  <c r="E53" i="25"/>
  <c r="F53" i="25"/>
  <c r="G53" i="25"/>
  <c r="H53" i="25"/>
  <c r="I53" i="25"/>
  <c r="J53" i="25"/>
  <c r="K53" i="25"/>
  <c r="E54" i="25"/>
  <c r="F54" i="25"/>
  <c r="G54" i="25"/>
  <c r="H54" i="25"/>
  <c r="I54" i="25"/>
  <c r="J54" i="25"/>
  <c r="K54" i="25"/>
  <c r="E55" i="25"/>
  <c r="F55" i="25"/>
  <c r="G55" i="25"/>
  <c r="H55" i="25"/>
  <c r="I55" i="25"/>
  <c r="J55" i="25"/>
  <c r="K55" i="25"/>
  <c r="E56" i="25"/>
  <c r="F56" i="25"/>
  <c r="G56" i="25"/>
  <c r="H56" i="25"/>
  <c r="I56" i="25"/>
  <c r="J56" i="25"/>
  <c r="K56" i="25"/>
  <c r="E57" i="25"/>
  <c r="F57" i="25"/>
  <c r="G57" i="25"/>
  <c r="H57" i="25"/>
  <c r="I57" i="25"/>
  <c r="J57" i="25"/>
  <c r="K57" i="25"/>
  <c r="E58" i="25"/>
  <c r="F58" i="25"/>
  <c r="G58" i="25"/>
  <c r="H58" i="25"/>
  <c r="I58" i="25"/>
  <c r="J58" i="25"/>
  <c r="K58" i="25"/>
  <c r="E59" i="25"/>
  <c r="F59" i="25"/>
  <c r="G59" i="25"/>
  <c r="H59" i="25"/>
  <c r="I59" i="25"/>
  <c r="J59" i="25"/>
  <c r="K59" i="25"/>
  <c r="E60" i="25"/>
  <c r="F60" i="25"/>
  <c r="G60" i="25"/>
  <c r="H60" i="25"/>
  <c r="I60" i="25"/>
  <c r="J60" i="25"/>
  <c r="K60" i="25"/>
  <c r="E61" i="25"/>
  <c r="F61" i="25"/>
  <c r="G61" i="25"/>
  <c r="H61" i="25"/>
  <c r="I61" i="25"/>
  <c r="J61" i="25"/>
  <c r="K61" i="25"/>
  <c r="C8" i="25"/>
  <c r="E37" i="24"/>
  <c r="F37" i="24"/>
  <c r="G37" i="24"/>
  <c r="H37" i="24"/>
  <c r="I37" i="24"/>
  <c r="J37" i="24"/>
  <c r="K37" i="24"/>
  <c r="E38" i="24"/>
  <c r="F38" i="24"/>
  <c r="G38" i="24"/>
  <c r="H38" i="24"/>
  <c r="I38" i="24"/>
  <c r="J38" i="24"/>
  <c r="K38" i="24"/>
  <c r="E39" i="24"/>
  <c r="F39" i="24"/>
  <c r="G39" i="24"/>
  <c r="H39" i="24"/>
  <c r="I39" i="24"/>
  <c r="J39" i="24"/>
  <c r="K39" i="24"/>
  <c r="E40" i="24"/>
  <c r="F40" i="24"/>
  <c r="G40" i="24"/>
  <c r="H40" i="24"/>
  <c r="I40" i="24"/>
  <c r="J40" i="24"/>
  <c r="K40" i="24"/>
  <c r="E41" i="24"/>
  <c r="F41" i="24"/>
  <c r="G41" i="24"/>
  <c r="H41" i="24"/>
  <c r="I41" i="24"/>
  <c r="J41" i="24"/>
  <c r="K41" i="24"/>
  <c r="E42" i="24"/>
  <c r="F42" i="24"/>
  <c r="G42" i="24"/>
  <c r="H42" i="24"/>
  <c r="I42" i="24"/>
  <c r="J42" i="24"/>
  <c r="K42" i="24"/>
  <c r="E43" i="24"/>
  <c r="F43" i="24"/>
  <c r="G43" i="24"/>
  <c r="H43" i="24"/>
  <c r="I43" i="24"/>
  <c r="J43" i="24"/>
  <c r="K43" i="24"/>
  <c r="E44" i="24"/>
  <c r="F44" i="24"/>
  <c r="G44" i="24"/>
  <c r="H44" i="24"/>
  <c r="I44" i="24"/>
  <c r="J44" i="24"/>
  <c r="K44" i="24"/>
  <c r="E45" i="24"/>
  <c r="F45" i="24"/>
  <c r="G45" i="24"/>
  <c r="H45" i="24"/>
  <c r="I45" i="24"/>
  <c r="J45" i="24"/>
  <c r="K45" i="24"/>
  <c r="E46" i="24"/>
  <c r="F46" i="24"/>
  <c r="G46" i="24"/>
  <c r="H46" i="24"/>
  <c r="I46" i="24"/>
  <c r="J46" i="24"/>
  <c r="K46" i="24"/>
  <c r="E47" i="24"/>
  <c r="F47" i="24"/>
  <c r="G47" i="24"/>
  <c r="H47" i="24"/>
  <c r="I47" i="24"/>
  <c r="J47" i="24"/>
  <c r="K47" i="24"/>
  <c r="E48" i="24"/>
  <c r="F48" i="24"/>
  <c r="G48" i="24"/>
  <c r="H48" i="24"/>
  <c r="I48" i="24"/>
  <c r="J48" i="24"/>
  <c r="K48" i="24"/>
  <c r="E49" i="24"/>
  <c r="F49" i="24"/>
  <c r="G49" i="24"/>
  <c r="H49" i="24"/>
  <c r="I49" i="24"/>
  <c r="J49" i="24"/>
  <c r="K49" i="24"/>
  <c r="E50" i="24"/>
  <c r="F50" i="24"/>
  <c r="G50" i="24"/>
  <c r="H50" i="24"/>
  <c r="I50" i="24"/>
  <c r="J50" i="24"/>
  <c r="K50" i="24"/>
  <c r="E51" i="24"/>
  <c r="F51" i="24"/>
  <c r="G51" i="24"/>
  <c r="H51" i="24"/>
  <c r="I51" i="24"/>
  <c r="J51" i="24"/>
  <c r="K51" i="24"/>
  <c r="E52" i="24"/>
  <c r="F52" i="24"/>
  <c r="G52" i="24"/>
  <c r="H52" i="24"/>
  <c r="I52" i="24"/>
  <c r="J52" i="24"/>
  <c r="K52" i="24"/>
  <c r="E53" i="24"/>
  <c r="F53" i="24"/>
  <c r="G53" i="24"/>
  <c r="H53" i="24"/>
  <c r="I53" i="24"/>
  <c r="J53" i="24"/>
  <c r="K53" i="24"/>
  <c r="E54" i="24"/>
  <c r="F54" i="24"/>
  <c r="G54" i="24"/>
  <c r="H54" i="24"/>
  <c r="I54" i="24"/>
  <c r="J54" i="24"/>
  <c r="K54" i="24"/>
  <c r="E55" i="24"/>
  <c r="F55" i="24"/>
  <c r="G55" i="24"/>
  <c r="H55" i="24"/>
  <c r="I55" i="24"/>
  <c r="J55" i="24"/>
  <c r="K55" i="24"/>
  <c r="E56" i="24"/>
  <c r="F56" i="24"/>
  <c r="G56" i="24"/>
  <c r="H56" i="24"/>
  <c r="I56" i="24"/>
  <c r="J56" i="24"/>
  <c r="K56" i="24"/>
  <c r="E57" i="24"/>
  <c r="F57" i="24"/>
  <c r="G57" i="24"/>
  <c r="H57" i="24"/>
  <c r="I57" i="24"/>
  <c r="J57" i="24"/>
  <c r="K57" i="24"/>
  <c r="E58" i="24"/>
  <c r="F58" i="24"/>
  <c r="G58" i="24"/>
  <c r="H58" i="24"/>
  <c r="I58" i="24"/>
  <c r="J58" i="24"/>
  <c r="K58" i="24"/>
  <c r="E59" i="24"/>
  <c r="F59" i="24"/>
  <c r="G59" i="24"/>
  <c r="H59" i="24"/>
  <c r="I59" i="24"/>
  <c r="J59" i="24"/>
  <c r="K59" i="24"/>
  <c r="E60" i="24"/>
  <c r="F60" i="24"/>
  <c r="G60" i="24"/>
  <c r="H60" i="24"/>
  <c r="I60" i="24"/>
  <c r="J60" i="24"/>
  <c r="K60" i="24"/>
  <c r="E61" i="24"/>
  <c r="F61" i="24"/>
  <c r="G61" i="24"/>
  <c r="H61" i="24"/>
  <c r="I61" i="24"/>
  <c r="J61" i="24"/>
  <c r="K61" i="24"/>
  <c r="E37" i="32"/>
  <c r="F37" i="32"/>
  <c r="G37" i="32"/>
  <c r="H37" i="32"/>
  <c r="I37" i="32"/>
  <c r="J37" i="32"/>
  <c r="K37" i="32"/>
  <c r="E38" i="32"/>
  <c r="F38" i="32"/>
  <c r="G38" i="32"/>
  <c r="H38" i="32"/>
  <c r="I38" i="32"/>
  <c r="J38" i="32"/>
  <c r="K38" i="32"/>
  <c r="E39" i="32"/>
  <c r="F39" i="32"/>
  <c r="G39" i="32"/>
  <c r="H39" i="32"/>
  <c r="I39" i="32"/>
  <c r="J39" i="32"/>
  <c r="K39" i="32"/>
  <c r="E40" i="32"/>
  <c r="F40" i="32"/>
  <c r="G40" i="32"/>
  <c r="H40" i="32"/>
  <c r="I40" i="32"/>
  <c r="J40" i="32"/>
  <c r="K40" i="32"/>
  <c r="E41" i="32"/>
  <c r="F41" i="32"/>
  <c r="G41" i="32"/>
  <c r="H41" i="32"/>
  <c r="I41" i="32"/>
  <c r="J41" i="32"/>
  <c r="K41" i="32"/>
  <c r="E42" i="32"/>
  <c r="F42" i="32"/>
  <c r="G42" i="32"/>
  <c r="H42" i="32"/>
  <c r="I42" i="32"/>
  <c r="J42" i="32"/>
  <c r="K42" i="32"/>
  <c r="E43" i="32"/>
  <c r="F43" i="32"/>
  <c r="G43" i="32"/>
  <c r="H43" i="32"/>
  <c r="I43" i="32"/>
  <c r="J43" i="32"/>
  <c r="K43" i="32"/>
  <c r="E44" i="32"/>
  <c r="F44" i="32"/>
  <c r="G44" i="32"/>
  <c r="H44" i="32"/>
  <c r="I44" i="32"/>
  <c r="J44" i="32"/>
  <c r="K44" i="32"/>
  <c r="E45" i="32"/>
  <c r="F45" i="32"/>
  <c r="G45" i="32"/>
  <c r="H45" i="32"/>
  <c r="I45" i="32"/>
  <c r="J45" i="32"/>
  <c r="K45" i="32"/>
  <c r="E46" i="32"/>
  <c r="F46" i="32"/>
  <c r="G46" i="32"/>
  <c r="H46" i="32"/>
  <c r="I46" i="32"/>
  <c r="J46" i="32"/>
  <c r="K46" i="32"/>
  <c r="E47" i="32"/>
  <c r="F47" i="32"/>
  <c r="G47" i="32"/>
  <c r="H47" i="32"/>
  <c r="I47" i="32"/>
  <c r="J47" i="32"/>
  <c r="K47" i="32"/>
  <c r="E48" i="32"/>
  <c r="F48" i="32"/>
  <c r="G48" i="32"/>
  <c r="H48" i="32"/>
  <c r="I48" i="32"/>
  <c r="J48" i="32"/>
  <c r="K48" i="32"/>
  <c r="E49" i="32"/>
  <c r="F49" i="32"/>
  <c r="G49" i="32"/>
  <c r="H49" i="32"/>
  <c r="I49" i="32"/>
  <c r="J49" i="32"/>
  <c r="K49" i="32"/>
  <c r="E50" i="32"/>
  <c r="F50" i="32"/>
  <c r="G50" i="32"/>
  <c r="H50" i="32"/>
  <c r="I50" i="32"/>
  <c r="J50" i="32"/>
  <c r="K50" i="32"/>
  <c r="E51" i="32"/>
  <c r="F51" i="32"/>
  <c r="G51" i="32"/>
  <c r="H51" i="32"/>
  <c r="I51" i="32"/>
  <c r="J51" i="32"/>
  <c r="K51" i="32"/>
  <c r="E52" i="32"/>
  <c r="F52" i="32"/>
  <c r="G52" i="32"/>
  <c r="H52" i="32"/>
  <c r="I52" i="32"/>
  <c r="J52" i="32"/>
  <c r="K52" i="32"/>
  <c r="E53" i="32"/>
  <c r="F53" i="32"/>
  <c r="G53" i="32"/>
  <c r="H53" i="32"/>
  <c r="I53" i="32"/>
  <c r="J53" i="32"/>
  <c r="K53" i="32"/>
  <c r="E54" i="32"/>
  <c r="F54" i="32"/>
  <c r="G54" i="32"/>
  <c r="H54" i="32"/>
  <c r="I54" i="32"/>
  <c r="J54" i="32"/>
  <c r="K54" i="32"/>
  <c r="E55" i="32"/>
  <c r="F55" i="32"/>
  <c r="G55" i="32"/>
  <c r="H55" i="32"/>
  <c r="I55" i="32"/>
  <c r="J55" i="32"/>
  <c r="K55" i="32"/>
  <c r="E56" i="32"/>
  <c r="F56" i="32"/>
  <c r="G56" i="32"/>
  <c r="H56" i="32"/>
  <c r="I56" i="32"/>
  <c r="J56" i="32"/>
  <c r="K56" i="32"/>
  <c r="E57" i="32"/>
  <c r="F57" i="32"/>
  <c r="G57" i="32"/>
  <c r="H57" i="32"/>
  <c r="I57" i="32"/>
  <c r="J57" i="32"/>
  <c r="K57" i="32"/>
  <c r="E58" i="32"/>
  <c r="F58" i="32"/>
  <c r="G58" i="32"/>
  <c r="H58" i="32"/>
  <c r="I58" i="32"/>
  <c r="J58" i="32"/>
  <c r="K58" i="32"/>
  <c r="E59" i="32"/>
  <c r="F59" i="32"/>
  <c r="G59" i="32"/>
  <c r="H59" i="32"/>
  <c r="I59" i="32"/>
  <c r="J59" i="32"/>
  <c r="K59" i="32"/>
  <c r="E60" i="32"/>
  <c r="F60" i="32"/>
  <c r="G60" i="32"/>
  <c r="H60" i="32"/>
  <c r="I60" i="32"/>
  <c r="J60" i="32"/>
  <c r="K60" i="32"/>
  <c r="E61" i="32"/>
  <c r="F61" i="32"/>
  <c r="G61" i="32"/>
  <c r="H61" i="32"/>
  <c r="I61" i="32"/>
  <c r="J61" i="32"/>
  <c r="K61" i="32"/>
  <c r="E37" i="31"/>
  <c r="F37" i="31"/>
  <c r="H37" i="31"/>
  <c r="J37" i="31"/>
  <c r="K37" i="31"/>
  <c r="E38" i="31"/>
  <c r="F38" i="31"/>
  <c r="G38" i="31"/>
  <c r="H38" i="31"/>
  <c r="I38" i="31"/>
  <c r="J38" i="31"/>
  <c r="K38" i="31"/>
  <c r="E39" i="31"/>
  <c r="F39" i="31"/>
  <c r="G39" i="31"/>
  <c r="H39" i="31"/>
  <c r="I39" i="31"/>
  <c r="J39" i="31"/>
  <c r="K39" i="31"/>
  <c r="E40" i="31"/>
  <c r="F40" i="31"/>
  <c r="G40" i="31"/>
  <c r="H40" i="31"/>
  <c r="I40" i="31"/>
  <c r="J40" i="31"/>
  <c r="K40" i="31"/>
  <c r="E41" i="31"/>
  <c r="F41" i="31"/>
  <c r="G41" i="31"/>
  <c r="H41" i="31"/>
  <c r="I41" i="31"/>
  <c r="J41" i="31"/>
  <c r="K41" i="31"/>
  <c r="E42" i="31"/>
  <c r="F42" i="31"/>
  <c r="G42" i="31"/>
  <c r="H42" i="31"/>
  <c r="I42" i="31"/>
  <c r="J42" i="31"/>
  <c r="K42" i="31"/>
  <c r="E43" i="31"/>
  <c r="F43" i="31"/>
  <c r="G43" i="31"/>
  <c r="H43" i="31"/>
  <c r="I43" i="31"/>
  <c r="J43" i="31"/>
  <c r="K43" i="31"/>
  <c r="E44" i="31"/>
  <c r="F44" i="31"/>
  <c r="G44" i="31"/>
  <c r="H44" i="31"/>
  <c r="I44" i="31"/>
  <c r="J44" i="31"/>
  <c r="K44" i="31"/>
  <c r="E45" i="31"/>
  <c r="F45" i="31"/>
  <c r="G45" i="31"/>
  <c r="H45" i="31"/>
  <c r="I45" i="31"/>
  <c r="J45" i="31"/>
  <c r="K45" i="31"/>
  <c r="E46" i="31"/>
  <c r="F46" i="31"/>
  <c r="G46" i="31"/>
  <c r="H46" i="31"/>
  <c r="I46" i="31"/>
  <c r="J46" i="31"/>
  <c r="K46" i="31"/>
  <c r="E47" i="31"/>
  <c r="F47" i="31"/>
  <c r="G47" i="31"/>
  <c r="H47" i="31"/>
  <c r="I47" i="31"/>
  <c r="J47" i="31"/>
  <c r="K47" i="31"/>
  <c r="E48" i="31"/>
  <c r="F48" i="31"/>
  <c r="G48" i="31"/>
  <c r="H48" i="31"/>
  <c r="I48" i="31"/>
  <c r="J48" i="31"/>
  <c r="K48" i="31"/>
  <c r="E49" i="31"/>
  <c r="F49" i="31"/>
  <c r="G49" i="31"/>
  <c r="H49" i="31"/>
  <c r="I49" i="31"/>
  <c r="J49" i="31"/>
  <c r="K49" i="31"/>
  <c r="E50" i="31"/>
  <c r="F50" i="31"/>
  <c r="G50" i="31"/>
  <c r="H50" i="31"/>
  <c r="I50" i="31"/>
  <c r="J50" i="31"/>
  <c r="K50" i="31"/>
  <c r="E51" i="31"/>
  <c r="F51" i="31"/>
  <c r="G51" i="31"/>
  <c r="H51" i="31"/>
  <c r="I51" i="31"/>
  <c r="J51" i="31"/>
  <c r="K51" i="31"/>
  <c r="E52" i="31"/>
  <c r="F52" i="31"/>
  <c r="G52" i="31"/>
  <c r="H52" i="31"/>
  <c r="I52" i="31"/>
  <c r="J52" i="31"/>
  <c r="K52" i="31"/>
  <c r="E53" i="31"/>
  <c r="F53" i="31"/>
  <c r="G53" i="31"/>
  <c r="H53" i="31"/>
  <c r="I53" i="31"/>
  <c r="J53" i="31"/>
  <c r="K53" i="31"/>
  <c r="E54" i="31"/>
  <c r="F54" i="31"/>
  <c r="G54" i="31"/>
  <c r="H54" i="31"/>
  <c r="I54" i="31"/>
  <c r="J54" i="31"/>
  <c r="K54" i="31"/>
  <c r="E55" i="31"/>
  <c r="F55" i="31"/>
  <c r="G55" i="31"/>
  <c r="H55" i="31"/>
  <c r="I55" i="31"/>
  <c r="J55" i="31"/>
  <c r="K55" i="31"/>
  <c r="E56" i="31"/>
  <c r="F56" i="31"/>
  <c r="G56" i="31"/>
  <c r="H56" i="31"/>
  <c r="I56" i="31"/>
  <c r="J56" i="31"/>
  <c r="K56" i="31"/>
  <c r="E57" i="31"/>
  <c r="F57" i="31"/>
  <c r="G57" i="31"/>
  <c r="H57" i="31"/>
  <c r="I57" i="31"/>
  <c r="J57" i="31"/>
  <c r="K57" i="31"/>
  <c r="E58" i="31"/>
  <c r="F58" i="31"/>
  <c r="G58" i="31"/>
  <c r="H58" i="31"/>
  <c r="I58" i="31"/>
  <c r="J58" i="31"/>
  <c r="K58" i="31"/>
  <c r="E59" i="31"/>
  <c r="F59" i="31"/>
  <c r="G59" i="31"/>
  <c r="H59" i="31"/>
  <c r="I59" i="31"/>
  <c r="J59" i="31"/>
  <c r="K59" i="31"/>
  <c r="E60" i="31"/>
  <c r="F60" i="31"/>
  <c r="G60" i="31"/>
  <c r="H60" i="31"/>
  <c r="I60" i="31"/>
  <c r="J60" i="31"/>
  <c r="K60" i="31"/>
  <c r="E61" i="31"/>
  <c r="F61" i="31"/>
  <c r="G61" i="31"/>
  <c r="H61" i="31"/>
  <c r="I61" i="31"/>
  <c r="J61" i="31"/>
  <c r="K61" i="31"/>
  <c r="E36" i="27"/>
  <c r="F36" i="27"/>
  <c r="G36" i="27"/>
  <c r="H36" i="27"/>
  <c r="I36" i="27"/>
  <c r="J36" i="27"/>
  <c r="K36" i="27"/>
  <c r="E37" i="27"/>
  <c r="F37" i="27"/>
  <c r="G37" i="27"/>
  <c r="H37" i="27"/>
  <c r="I37" i="27"/>
  <c r="J37" i="27"/>
  <c r="K37" i="27"/>
  <c r="E38" i="27"/>
  <c r="F38" i="27"/>
  <c r="G38" i="27"/>
  <c r="H38" i="27"/>
  <c r="I38" i="27"/>
  <c r="J38" i="27"/>
  <c r="K38" i="27"/>
  <c r="E39" i="27"/>
  <c r="F39" i="27"/>
  <c r="G39" i="27"/>
  <c r="H39" i="27"/>
  <c r="I39" i="27"/>
  <c r="J39" i="27"/>
  <c r="K39" i="27"/>
  <c r="E40" i="27"/>
  <c r="F40" i="27"/>
  <c r="G40" i="27"/>
  <c r="H40" i="27"/>
  <c r="I40" i="27"/>
  <c r="J40" i="27"/>
  <c r="K40" i="27"/>
  <c r="E41" i="27"/>
  <c r="F41" i="27"/>
  <c r="G41" i="27"/>
  <c r="H41" i="27"/>
  <c r="I41" i="27"/>
  <c r="J41" i="27"/>
  <c r="K41" i="27"/>
  <c r="E42" i="27"/>
  <c r="F42" i="27"/>
  <c r="G42" i="27"/>
  <c r="H42" i="27"/>
  <c r="I42" i="27"/>
  <c r="J42" i="27"/>
  <c r="K42" i="27"/>
  <c r="E43" i="27"/>
  <c r="F43" i="27"/>
  <c r="G43" i="27"/>
  <c r="H43" i="27"/>
  <c r="I43" i="27"/>
  <c r="J43" i="27"/>
  <c r="K43" i="27"/>
  <c r="E44" i="27"/>
  <c r="F44" i="27"/>
  <c r="G44" i="27"/>
  <c r="H44" i="27"/>
  <c r="I44" i="27"/>
  <c r="J44" i="27"/>
  <c r="K44" i="27"/>
  <c r="E45" i="27"/>
  <c r="F45" i="27"/>
  <c r="G45" i="27"/>
  <c r="H45" i="27"/>
  <c r="I45" i="27"/>
  <c r="J45" i="27"/>
  <c r="K45" i="27"/>
  <c r="E46" i="27"/>
  <c r="F46" i="27"/>
  <c r="G46" i="27"/>
  <c r="H46" i="27"/>
  <c r="I46" i="27"/>
  <c r="J46" i="27"/>
  <c r="K46" i="27"/>
  <c r="E47" i="27"/>
  <c r="F47" i="27"/>
  <c r="G47" i="27"/>
  <c r="H47" i="27"/>
  <c r="I47" i="27"/>
  <c r="J47" i="27"/>
  <c r="K47" i="27"/>
  <c r="E48" i="27"/>
  <c r="F48" i="27"/>
  <c r="G48" i="27"/>
  <c r="H48" i="27"/>
  <c r="I48" i="27"/>
  <c r="J48" i="27"/>
  <c r="K48" i="27"/>
  <c r="E49" i="27"/>
  <c r="F49" i="27"/>
  <c r="G49" i="27"/>
  <c r="H49" i="27"/>
  <c r="I49" i="27"/>
  <c r="J49" i="27"/>
  <c r="K49" i="27"/>
  <c r="E50" i="27"/>
  <c r="F50" i="27"/>
  <c r="G50" i="27"/>
  <c r="H50" i="27"/>
  <c r="I50" i="27"/>
  <c r="J50" i="27"/>
  <c r="K50" i="27"/>
  <c r="E51" i="27"/>
  <c r="F51" i="27"/>
  <c r="G51" i="27"/>
  <c r="H51" i="27"/>
  <c r="I51" i="27"/>
  <c r="J51" i="27"/>
  <c r="K51" i="27"/>
  <c r="E52" i="27"/>
  <c r="F52" i="27"/>
  <c r="G52" i="27"/>
  <c r="H52" i="27"/>
  <c r="I52" i="27"/>
  <c r="J52" i="27"/>
  <c r="K52" i="27"/>
  <c r="E53" i="27"/>
  <c r="F53" i="27"/>
  <c r="G53" i="27"/>
  <c r="H53" i="27"/>
  <c r="I53" i="27"/>
  <c r="J53" i="27"/>
  <c r="K53" i="27"/>
  <c r="E54" i="27"/>
  <c r="F54" i="27"/>
  <c r="G54" i="27"/>
  <c r="H54" i="27"/>
  <c r="I54" i="27"/>
  <c r="J54" i="27"/>
  <c r="K54" i="27"/>
  <c r="E55" i="27"/>
  <c r="F55" i="27"/>
  <c r="G55" i="27"/>
  <c r="H55" i="27"/>
  <c r="I55" i="27"/>
  <c r="J55" i="27"/>
  <c r="K55" i="27"/>
  <c r="E56" i="27"/>
  <c r="F56" i="27"/>
  <c r="G56" i="27"/>
  <c r="H56" i="27"/>
  <c r="I56" i="27"/>
  <c r="J56" i="27"/>
  <c r="K56" i="27"/>
  <c r="E57" i="27"/>
  <c r="F57" i="27"/>
  <c r="G57" i="27"/>
  <c r="H57" i="27"/>
  <c r="I57" i="27"/>
  <c r="J57" i="27"/>
  <c r="K57" i="27"/>
  <c r="E58" i="27"/>
  <c r="F58" i="27"/>
  <c r="G58" i="27"/>
  <c r="H58" i="27"/>
  <c r="I58" i="27"/>
  <c r="J58" i="27"/>
  <c r="K58" i="27"/>
  <c r="E59" i="27"/>
  <c r="F59" i="27"/>
  <c r="G59" i="27"/>
  <c r="H59" i="27"/>
  <c r="I59" i="27"/>
  <c r="J59" i="27"/>
  <c r="K59" i="27"/>
  <c r="F38" i="26"/>
  <c r="F37" i="26"/>
  <c r="E37" i="26"/>
  <c r="G37" i="26"/>
  <c r="H37" i="26"/>
  <c r="I37" i="26"/>
  <c r="J37" i="26"/>
  <c r="K37" i="26"/>
  <c r="E38" i="26"/>
  <c r="G38" i="26"/>
  <c r="H38" i="26"/>
  <c r="I38" i="26"/>
  <c r="J38" i="26"/>
  <c r="K38" i="26"/>
  <c r="E39" i="26"/>
  <c r="F39" i="26"/>
  <c r="G39" i="26"/>
  <c r="H39" i="26"/>
  <c r="I39" i="26"/>
  <c r="J39" i="26"/>
  <c r="K39" i="26"/>
  <c r="E40" i="26"/>
  <c r="F40" i="26"/>
  <c r="G40" i="26"/>
  <c r="H40" i="26"/>
  <c r="I40" i="26"/>
  <c r="J40" i="26"/>
  <c r="K40" i="26"/>
  <c r="E41" i="26"/>
  <c r="F41" i="26"/>
  <c r="G41" i="26"/>
  <c r="H41" i="26"/>
  <c r="I41" i="26"/>
  <c r="J41" i="26"/>
  <c r="K41" i="26"/>
  <c r="E42" i="26"/>
  <c r="F42" i="26"/>
  <c r="G42" i="26"/>
  <c r="H42" i="26"/>
  <c r="I42" i="26"/>
  <c r="J42" i="26"/>
  <c r="K42" i="26"/>
  <c r="E43" i="26"/>
  <c r="F43" i="26"/>
  <c r="G43" i="26"/>
  <c r="H43" i="26"/>
  <c r="I43" i="26"/>
  <c r="J43" i="26"/>
  <c r="K43" i="26"/>
  <c r="E44" i="26"/>
  <c r="F44" i="26"/>
  <c r="G44" i="26"/>
  <c r="H44" i="26"/>
  <c r="I44" i="26"/>
  <c r="J44" i="26"/>
  <c r="K44" i="26"/>
  <c r="E45" i="26"/>
  <c r="F45" i="26"/>
  <c r="G45" i="26"/>
  <c r="H45" i="26"/>
  <c r="I45" i="26"/>
  <c r="J45" i="26"/>
  <c r="K45" i="26"/>
  <c r="E46" i="26"/>
  <c r="F46" i="26"/>
  <c r="G46" i="26"/>
  <c r="H46" i="26"/>
  <c r="I46" i="26"/>
  <c r="J46" i="26"/>
  <c r="K46" i="26"/>
  <c r="E47" i="26"/>
  <c r="F47" i="26"/>
  <c r="G47" i="26"/>
  <c r="H47" i="26"/>
  <c r="I47" i="26"/>
  <c r="J47" i="26"/>
  <c r="K47" i="26"/>
  <c r="E48" i="26"/>
  <c r="F48" i="26"/>
  <c r="G48" i="26"/>
  <c r="H48" i="26"/>
  <c r="I48" i="26"/>
  <c r="J48" i="26"/>
  <c r="K48" i="26"/>
  <c r="E49" i="26"/>
  <c r="F49" i="26"/>
  <c r="G49" i="26"/>
  <c r="H49" i="26"/>
  <c r="I49" i="26"/>
  <c r="J49" i="26"/>
  <c r="K49" i="26"/>
  <c r="E50" i="26"/>
  <c r="F50" i="26"/>
  <c r="G50" i="26"/>
  <c r="H50" i="26"/>
  <c r="I50" i="26"/>
  <c r="J50" i="26"/>
  <c r="K50" i="26"/>
  <c r="E51" i="26"/>
  <c r="F51" i="26"/>
  <c r="G51" i="26"/>
  <c r="H51" i="26"/>
  <c r="I51" i="26"/>
  <c r="J51" i="26"/>
  <c r="K51" i="26"/>
  <c r="E52" i="26"/>
  <c r="F52" i="26"/>
  <c r="G52" i="26"/>
  <c r="H52" i="26"/>
  <c r="I52" i="26"/>
  <c r="J52" i="26"/>
  <c r="K52" i="26"/>
  <c r="E53" i="26"/>
  <c r="F53" i="26"/>
  <c r="G53" i="26"/>
  <c r="H53" i="26"/>
  <c r="I53" i="26"/>
  <c r="J53" i="26"/>
  <c r="K53" i="26"/>
  <c r="E54" i="26"/>
  <c r="F54" i="26"/>
  <c r="G54" i="26"/>
  <c r="H54" i="26"/>
  <c r="I54" i="26"/>
  <c r="J54" i="26"/>
  <c r="K54" i="26"/>
  <c r="E55" i="26"/>
  <c r="F55" i="26"/>
  <c r="G55" i="26"/>
  <c r="H55" i="26"/>
  <c r="I55" i="26"/>
  <c r="J55" i="26"/>
  <c r="K55" i="26"/>
  <c r="E56" i="26"/>
  <c r="F56" i="26"/>
  <c r="G56" i="26"/>
  <c r="H56" i="26"/>
  <c r="I56" i="26"/>
  <c r="J56" i="26"/>
  <c r="K56" i="26"/>
  <c r="E57" i="26"/>
  <c r="F57" i="26"/>
  <c r="G57" i="26"/>
  <c r="H57" i="26"/>
  <c r="I57" i="26"/>
  <c r="J57" i="26"/>
  <c r="K57" i="26"/>
  <c r="E58" i="26"/>
  <c r="F58" i="26"/>
  <c r="G58" i="26"/>
  <c r="H58" i="26"/>
  <c r="I58" i="26"/>
  <c r="J58" i="26"/>
  <c r="K58" i="26"/>
  <c r="E59" i="26"/>
  <c r="F59" i="26"/>
  <c r="G59" i="26"/>
  <c r="H59" i="26"/>
  <c r="I59" i="26"/>
  <c r="J59" i="26"/>
  <c r="K59" i="26"/>
  <c r="E60" i="26"/>
  <c r="F60" i="26"/>
  <c r="G60" i="26"/>
  <c r="H60" i="26"/>
  <c r="I60" i="26"/>
  <c r="J60" i="26"/>
  <c r="K60" i="26"/>
  <c r="E51" i="28"/>
  <c r="F51" i="28"/>
  <c r="G51" i="28"/>
  <c r="H51" i="28"/>
  <c r="I51" i="28"/>
  <c r="J51" i="28"/>
  <c r="K51" i="28"/>
  <c r="E52" i="28"/>
  <c r="F52" i="28"/>
  <c r="G52" i="28"/>
  <c r="H52" i="28"/>
  <c r="I52" i="28"/>
  <c r="J52" i="28"/>
  <c r="K52" i="28"/>
  <c r="E53" i="28"/>
  <c r="F53" i="28"/>
  <c r="G53" i="28"/>
  <c r="H53" i="28"/>
  <c r="I53" i="28"/>
  <c r="J53" i="28"/>
  <c r="K53" i="28"/>
  <c r="E54" i="28"/>
  <c r="F54" i="28"/>
  <c r="G54" i="28"/>
  <c r="H54" i="28"/>
  <c r="I54" i="28"/>
  <c r="J54" i="28"/>
  <c r="K54" i="28"/>
  <c r="E55" i="28"/>
  <c r="F55" i="28"/>
  <c r="G55" i="28"/>
  <c r="H55" i="28"/>
  <c r="I55" i="28"/>
  <c r="J55" i="28"/>
  <c r="K55" i="28"/>
  <c r="E56" i="28"/>
  <c r="F56" i="28"/>
  <c r="G56" i="28"/>
  <c r="H56" i="28"/>
  <c r="I56" i="28"/>
  <c r="J56" i="28"/>
  <c r="K56" i="28"/>
  <c r="E57" i="28"/>
  <c r="F57" i="28"/>
  <c r="G57" i="28"/>
  <c r="H57" i="28"/>
  <c r="I57" i="28"/>
  <c r="J57" i="28"/>
  <c r="K57" i="28"/>
  <c r="E58" i="28"/>
  <c r="F58" i="28"/>
  <c r="G58" i="28"/>
  <c r="H58" i="28"/>
  <c r="I58" i="28"/>
  <c r="J58" i="28"/>
  <c r="K58" i="28"/>
  <c r="E59" i="28"/>
  <c r="F59" i="28"/>
  <c r="G59" i="28"/>
  <c r="H59" i="28"/>
  <c r="I59" i="28"/>
  <c r="J59" i="28"/>
  <c r="K59" i="28"/>
  <c r="E60" i="28"/>
  <c r="F60" i="28"/>
  <c r="G60" i="28"/>
  <c r="H60" i="28"/>
  <c r="I60" i="28"/>
  <c r="J60" i="28"/>
  <c r="K60" i="28"/>
  <c r="E61" i="28"/>
  <c r="F61" i="28"/>
  <c r="G61" i="28"/>
  <c r="H61" i="28"/>
  <c r="I61" i="28"/>
  <c r="J61" i="28"/>
  <c r="K61" i="28"/>
  <c r="E62" i="28"/>
  <c r="F62" i="28"/>
  <c r="G62" i="28"/>
  <c r="H62" i="28"/>
  <c r="I62" i="28"/>
  <c r="J62" i="28"/>
  <c r="K62" i="28"/>
  <c r="F63" i="28"/>
  <c r="G63" i="28"/>
  <c r="H63" i="28"/>
  <c r="J63" i="28"/>
  <c r="K63" i="28"/>
  <c r="F64" i="28"/>
  <c r="G64" i="28"/>
  <c r="H64" i="28"/>
  <c r="I64" i="28"/>
  <c r="J64" i="28"/>
  <c r="K64" i="28"/>
  <c r="E65" i="28"/>
  <c r="F65" i="28"/>
  <c r="G65" i="28"/>
  <c r="H65" i="28"/>
  <c r="I65" i="28"/>
  <c r="J65" i="28"/>
  <c r="K65" i="28"/>
  <c r="E66" i="28"/>
  <c r="F66" i="28"/>
  <c r="G66" i="28"/>
  <c r="H66" i="28"/>
  <c r="I66" i="28"/>
  <c r="J66" i="28"/>
  <c r="K66" i="28"/>
  <c r="E67" i="28"/>
  <c r="F67" i="28"/>
  <c r="G67" i="28"/>
  <c r="H67" i="28"/>
  <c r="I67" i="28"/>
  <c r="J67" i="28"/>
  <c r="K67" i="28"/>
  <c r="E68" i="28"/>
  <c r="F68" i="28"/>
  <c r="G68" i="28"/>
  <c r="H68" i="28"/>
  <c r="I68" i="28"/>
  <c r="J68" i="28"/>
  <c r="K68" i="28"/>
  <c r="E69" i="28"/>
  <c r="F69" i="28"/>
  <c r="G69" i="28"/>
  <c r="H69" i="28"/>
  <c r="I69" i="28"/>
  <c r="J69" i="28"/>
  <c r="K69" i="28"/>
  <c r="E70" i="28"/>
  <c r="F70" i="28"/>
  <c r="G70" i="28"/>
  <c r="H70" i="28"/>
  <c r="I70" i="28"/>
  <c r="J70" i="28"/>
  <c r="K70" i="28"/>
  <c r="E71" i="28"/>
  <c r="F71" i="28"/>
  <c r="G71" i="28"/>
  <c r="H71" i="28"/>
  <c r="I71" i="28"/>
  <c r="J71" i="28"/>
  <c r="K71" i="28"/>
  <c r="E72" i="28"/>
  <c r="F72" i="28"/>
  <c r="G72" i="28"/>
  <c r="H72" i="28"/>
  <c r="I72" i="28"/>
  <c r="J72" i="28"/>
  <c r="K72" i="28"/>
  <c r="E73" i="28"/>
  <c r="F73" i="28"/>
  <c r="G73" i="28"/>
  <c r="H73" i="28"/>
  <c r="I73" i="28"/>
  <c r="J73" i="28"/>
  <c r="K73" i="28"/>
  <c r="E74" i="28"/>
  <c r="F74" i="28"/>
  <c r="G74" i="28"/>
  <c r="H74" i="28"/>
  <c r="I74" i="28"/>
  <c r="J74" i="28"/>
  <c r="K74" i="28"/>
  <c r="E75" i="28"/>
  <c r="F75" i="28"/>
  <c r="G75" i="28"/>
  <c r="H75" i="28"/>
  <c r="I75" i="28"/>
  <c r="J75" i="28"/>
  <c r="K75" i="28"/>
  <c r="E76" i="28"/>
  <c r="F76" i="28"/>
  <c r="G76" i="28"/>
  <c r="H76" i="28"/>
  <c r="J76" i="28"/>
  <c r="K76" i="28"/>
  <c r="F77" i="28"/>
  <c r="G77" i="28"/>
  <c r="H77" i="28"/>
  <c r="J77" i="28"/>
  <c r="K77" i="28"/>
  <c r="F78" i="28"/>
  <c r="G78" i="28"/>
  <c r="H78" i="28"/>
  <c r="J78" i="28"/>
  <c r="K78" i="28"/>
  <c r="F79" i="28"/>
  <c r="G79" i="28"/>
  <c r="H79" i="28"/>
  <c r="J79" i="28"/>
  <c r="K79" i="28"/>
  <c r="F80" i="28"/>
  <c r="G80" i="28"/>
  <c r="H80" i="28"/>
  <c r="I80" i="28"/>
  <c r="J80" i="28"/>
  <c r="K80" i="28"/>
  <c r="E81" i="28"/>
  <c r="F81" i="28"/>
  <c r="G81" i="28"/>
  <c r="H81" i="28"/>
  <c r="I81" i="28"/>
  <c r="J81" i="28"/>
  <c r="K81" i="28"/>
  <c r="E82" i="28"/>
  <c r="F82" i="28"/>
  <c r="G82" i="28"/>
  <c r="H82" i="28"/>
  <c r="I82" i="28"/>
  <c r="J82" i="28"/>
  <c r="K82" i="28"/>
  <c r="E83" i="28"/>
  <c r="F83" i="28"/>
  <c r="G83" i="28"/>
  <c r="H83" i="28"/>
  <c r="I83" i="28"/>
  <c r="J83" i="28"/>
  <c r="K83" i="28"/>
  <c r="E84" i="28"/>
  <c r="F84" i="28"/>
  <c r="G84" i="28"/>
  <c r="H84" i="28"/>
  <c r="I84" i="28"/>
  <c r="J84" i="28"/>
  <c r="K84" i="28"/>
  <c r="E85" i="28"/>
  <c r="F85" i="28"/>
  <c r="G85" i="28"/>
  <c r="H85" i="28"/>
  <c r="I85" i="28"/>
  <c r="J85" i="28"/>
  <c r="K85" i="28"/>
  <c r="E86" i="28"/>
  <c r="F86" i="28"/>
  <c r="G86" i="28"/>
  <c r="H86" i="28"/>
  <c r="I86" i="28"/>
  <c r="J86" i="28"/>
  <c r="K86" i="28"/>
  <c r="C11" i="28"/>
  <c r="C12" i="28"/>
  <c r="C13" i="28"/>
  <c r="C14" i="28"/>
  <c r="C15" i="28"/>
  <c r="C16" i="28"/>
  <c r="C17" i="28"/>
  <c r="C18" i="28"/>
  <c r="C19" i="28"/>
  <c r="C20" i="28"/>
  <c r="C21" i="28"/>
  <c r="E64" i="28" s="1"/>
  <c r="C22" i="28"/>
  <c r="C23" i="28"/>
  <c r="C24" i="28"/>
  <c r="C25" i="28"/>
  <c r="C26" i="28"/>
  <c r="C27" i="28"/>
  <c r="C28" i="28"/>
  <c r="C29" i="28"/>
  <c r="C30" i="28"/>
  <c r="C31" i="28"/>
  <c r="C32" i="28"/>
  <c r="C33" i="28"/>
  <c r="I76" i="28" s="1"/>
  <c r="C34" i="28"/>
  <c r="C35" i="28"/>
  <c r="C36" i="28"/>
  <c r="C37" i="28"/>
  <c r="E80" i="28" s="1"/>
  <c r="C38" i="28"/>
  <c r="C39" i="28"/>
  <c r="C40" i="28"/>
  <c r="C10" i="28"/>
  <c r="C8" i="28"/>
  <c r="C42" i="28"/>
  <c r="E37" i="29"/>
  <c r="F37" i="29"/>
  <c r="G37" i="29"/>
  <c r="H37" i="29"/>
  <c r="I37" i="29"/>
  <c r="J37" i="29"/>
  <c r="K37" i="29"/>
  <c r="E38" i="29"/>
  <c r="F38" i="29"/>
  <c r="G38" i="29"/>
  <c r="H38" i="29"/>
  <c r="I38" i="29"/>
  <c r="J38" i="29"/>
  <c r="K38" i="29"/>
  <c r="E39" i="29"/>
  <c r="F39" i="29"/>
  <c r="G39" i="29"/>
  <c r="H39" i="29"/>
  <c r="I39" i="29"/>
  <c r="J39" i="29"/>
  <c r="K39" i="29"/>
  <c r="E40" i="29"/>
  <c r="F40" i="29"/>
  <c r="G40" i="29"/>
  <c r="H40" i="29"/>
  <c r="I40" i="29"/>
  <c r="J40" i="29"/>
  <c r="K40" i="29"/>
  <c r="E41" i="29"/>
  <c r="F41" i="29"/>
  <c r="G41" i="29"/>
  <c r="H41" i="29"/>
  <c r="I41" i="29"/>
  <c r="J41" i="29"/>
  <c r="K41" i="29"/>
  <c r="E42" i="29"/>
  <c r="F42" i="29"/>
  <c r="G42" i="29"/>
  <c r="H42" i="29"/>
  <c r="I42" i="29"/>
  <c r="J42" i="29"/>
  <c r="K42" i="29"/>
  <c r="E43" i="29"/>
  <c r="F43" i="29"/>
  <c r="G43" i="29"/>
  <c r="H43" i="29"/>
  <c r="I43" i="29"/>
  <c r="J43" i="29"/>
  <c r="K43" i="29"/>
  <c r="E44" i="29"/>
  <c r="F44" i="29"/>
  <c r="G44" i="29"/>
  <c r="H44" i="29"/>
  <c r="I44" i="29"/>
  <c r="J44" i="29"/>
  <c r="K44" i="29"/>
  <c r="E45" i="29"/>
  <c r="F45" i="29"/>
  <c r="G45" i="29"/>
  <c r="H45" i="29"/>
  <c r="I45" i="29"/>
  <c r="J45" i="29"/>
  <c r="K45" i="29"/>
  <c r="E46" i="29"/>
  <c r="F46" i="29"/>
  <c r="G46" i="29"/>
  <c r="H46" i="29"/>
  <c r="I46" i="29"/>
  <c r="J46" i="29"/>
  <c r="K46" i="29"/>
  <c r="E47" i="29"/>
  <c r="F47" i="29"/>
  <c r="G47" i="29"/>
  <c r="H47" i="29"/>
  <c r="I47" i="29"/>
  <c r="J47" i="29"/>
  <c r="K47" i="29"/>
  <c r="E48" i="29"/>
  <c r="F48" i="29"/>
  <c r="G48" i="29"/>
  <c r="H48" i="29"/>
  <c r="I48" i="29"/>
  <c r="J48" i="29"/>
  <c r="K48" i="29"/>
  <c r="E49" i="29"/>
  <c r="F49" i="29"/>
  <c r="G49" i="29"/>
  <c r="H49" i="29"/>
  <c r="I49" i="29"/>
  <c r="J49" i="29"/>
  <c r="K49" i="29"/>
  <c r="E50" i="29"/>
  <c r="F50" i="29"/>
  <c r="G50" i="29"/>
  <c r="H50" i="29"/>
  <c r="I50" i="29"/>
  <c r="J50" i="29"/>
  <c r="K50" i="29"/>
  <c r="E51" i="29"/>
  <c r="F51" i="29"/>
  <c r="G51" i="29"/>
  <c r="H51" i="29"/>
  <c r="I51" i="29"/>
  <c r="J51" i="29"/>
  <c r="K51" i="29"/>
  <c r="E52" i="29"/>
  <c r="F52" i="29"/>
  <c r="G52" i="29"/>
  <c r="H52" i="29"/>
  <c r="I52" i="29"/>
  <c r="J52" i="29"/>
  <c r="K52" i="29"/>
  <c r="E53" i="29"/>
  <c r="F53" i="29"/>
  <c r="G53" i="29"/>
  <c r="H53" i="29"/>
  <c r="I53" i="29"/>
  <c r="J53" i="29"/>
  <c r="K53" i="29"/>
  <c r="E54" i="29"/>
  <c r="F54" i="29"/>
  <c r="G54" i="29"/>
  <c r="H54" i="29"/>
  <c r="I54" i="29"/>
  <c r="J54" i="29"/>
  <c r="K54" i="29"/>
  <c r="E55" i="29"/>
  <c r="F55" i="29"/>
  <c r="G55" i="29"/>
  <c r="H55" i="29"/>
  <c r="I55" i="29"/>
  <c r="J55" i="29"/>
  <c r="K55" i="29"/>
  <c r="E56" i="29"/>
  <c r="F56" i="29"/>
  <c r="G56" i="29"/>
  <c r="H56" i="29"/>
  <c r="I56" i="29"/>
  <c r="J56" i="29"/>
  <c r="K56" i="29"/>
  <c r="E57" i="29"/>
  <c r="F57" i="29"/>
  <c r="G57" i="29"/>
  <c r="H57" i="29"/>
  <c r="I57" i="29"/>
  <c r="J57" i="29"/>
  <c r="K57" i="29"/>
  <c r="E58" i="29"/>
  <c r="F58" i="29"/>
  <c r="G58" i="29"/>
  <c r="H58" i="29"/>
  <c r="I58" i="29"/>
  <c r="J58" i="29"/>
  <c r="K58" i="29"/>
  <c r="E59" i="29"/>
  <c r="F59" i="29"/>
  <c r="G59" i="29"/>
  <c r="H59" i="29"/>
  <c r="I59" i="29"/>
  <c r="J59" i="29"/>
  <c r="K59" i="29"/>
  <c r="E60" i="29"/>
  <c r="F60" i="29"/>
  <c r="G60" i="29"/>
  <c r="H60" i="29"/>
  <c r="I60" i="29"/>
  <c r="J60" i="29"/>
  <c r="K60" i="29"/>
  <c r="E61" i="29"/>
  <c r="F61" i="29"/>
  <c r="G61" i="29"/>
  <c r="H61" i="29"/>
  <c r="I61" i="29"/>
  <c r="J61" i="29"/>
  <c r="K61" i="29"/>
  <c r="E42" i="30"/>
  <c r="C8" i="32"/>
  <c r="G37" i="31"/>
  <c r="C8" i="3"/>
  <c r="F17" i="33"/>
  <c r="I37" i="31" l="1"/>
  <c r="F37" i="25"/>
  <c r="J37" i="25"/>
  <c r="K37" i="25"/>
  <c r="E63" i="28"/>
  <c r="I63" i="28"/>
  <c r="E77" i="28"/>
  <c r="I77" i="28"/>
  <c r="E78" i="28"/>
  <c r="I78" i="28"/>
  <c r="E79" i="28"/>
  <c r="I79" i="28"/>
  <c r="B3" i="32"/>
  <c r="K36" i="32"/>
  <c r="J36" i="32"/>
  <c r="I36" i="32"/>
  <c r="H36" i="32"/>
  <c r="G36" i="32"/>
  <c r="F36" i="32"/>
  <c r="E36" i="32"/>
  <c r="B3" i="31"/>
  <c r="K36" i="31"/>
  <c r="J36" i="31"/>
  <c r="I36" i="31"/>
  <c r="H36" i="31"/>
  <c r="G36" i="31"/>
  <c r="F36" i="31"/>
  <c r="E36" i="31"/>
  <c r="E62" i="31" s="1"/>
  <c r="B3" i="30"/>
  <c r="K61" i="30"/>
  <c r="J61" i="30"/>
  <c r="I61" i="30"/>
  <c r="H61" i="30"/>
  <c r="G61" i="30"/>
  <c r="F61" i="30"/>
  <c r="E61" i="30"/>
  <c r="K60" i="30"/>
  <c r="J60" i="30"/>
  <c r="I60" i="30"/>
  <c r="H60" i="30"/>
  <c r="G60" i="30"/>
  <c r="F60" i="30"/>
  <c r="E60" i="30"/>
  <c r="K59" i="30"/>
  <c r="J59" i="30"/>
  <c r="I59" i="30"/>
  <c r="H59" i="30"/>
  <c r="G59" i="30"/>
  <c r="F59" i="30"/>
  <c r="E59" i="30"/>
  <c r="K58" i="30"/>
  <c r="J58" i="30"/>
  <c r="I58" i="30"/>
  <c r="H58" i="30"/>
  <c r="G58" i="30"/>
  <c r="F58" i="30"/>
  <c r="E58" i="30"/>
  <c r="K57" i="30"/>
  <c r="J57" i="30"/>
  <c r="I57" i="30"/>
  <c r="H57" i="30"/>
  <c r="G57" i="30"/>
  <c r="F57" i="30"/>
  <c r="E57" i="30"/>
  <c r="K56" i="30"/>
  <c r="J56" i="30"/>
  <c r="I56" i="30"/>
  <c r="H56" i="30"/>
  <c r="G56" i="30"/>
  <c r="F56" i="30"/>
  <c r="E56" i="30"/>
  <c r="K55" i="30"/>
  <c r="J55" i="30"/>
  <c r="I55" i="30"/>
  <c r="H55" i="30"/>
  <c r="G55" i="30"/>
  <c r="F55" i="30"/>
  <c r="E55" i="30"/>
  <c r="K54" i="30"/>
  <c r="J54" i="30"/>
  <c r="I54" i="30"/>
  <c r="H54" i="30"/>
  <c r="G54" i="30"/>
  <c r="F54" i="30"/>
  <c r="E54" i="30"/>
  <c r="K53" i="30"/>
  <c r="J53" i="30"/>
  <c r="I53" i="30"/>
  <c r="H53" i="30"/>
  <c r="G53" i="30"/>
  <c r="F53" i="30"/>
  <c r="E53" i="30"/>
  <c r="K52" i="30"/>
  <c r="J52" i="30"/>
  <c r="I52" i="30"/>
  <c r="H52" i="30"/>
  <c r="G52" i="30"/>
  <c r="F52" i="30"/>
  <c r="E52" i="30"/>
  <c r="K51" i="30"/>
  <c r="J51" i="30"/>
  <c r="I51" i="30"/>
  <c r="H51" i="30"/>
  <c r="G51" i="30"/>
  <c r="F51" i="30"/>
  <c r="E51" i="30"/>
  <c r="K50" i="30"/>
  <c r="J50" i="30"/>
  <c r="I50" i="30"/>
  <c r="H50" i="30"/>
  <c r="G50" i="30"/>
  <c r="F50" i="30"/>
  <c r="E50" i="30"/>
  <c r="K49" i="30"/>
  <c r="J49" i="30"/>
  <c r="I49" i="30"/>
  <c r="H49" i="30"/>
  <c r="G49" i="30"/>
  <c r="F49" i="30"/>
  <c r="E49" i="30"/>
  <c r="K48" i="30"/>
  <c r="J48" i="30"/>
  <c r="I48" i="30"/>
  <c r="H48" i="30"/>
  <c r="G48" i="30"/>
  <c r="F48" i="30"/>
  <c r="E48" i="30"/>
  <c r="K47" i="30"/>
  <c r="J47" i="30"/>
  <c r="I47" i="30"/>
  <c r="H47" i="30"/>
  <c r="G47" i="30"/>
  <c r="F47" i="30"/>
  <c r="E47" i="30"/>
  <c r="K46" i="30"/>
  <c r="J46" i="30"/>
  <c r="I46" i="30"/>
  <c r="H46" i="30"/>
  <c r="G46" i="30"/>
  <c r="F46" i="30"/>
  <c r="E46" i="30"/>
  <c r="K45" i="30"/>
  <c r="J45" i="30"/>
  <c r="I45" i="30"/>
  <c r="H45" i="30"/>
  <c r="G45" i="30"/>
  <c r="F45" i="30"/>
  <c r="E45" i="30"/>
  <c r="K44" i="30"/>
  <c r="J44" i="30"/>
  <c r="I44" i="30"/>
  <c r="H44" i="30"/>
  <c r="G44" i="30"/>
  <c r="F44" i="30"/>
  <c r="E44" i="30"/>
  <c r="K43" i="30"/>
  <c r="J43" i="30"/>
  <c r="I43" i="30"/>
  <c r="H43" i="30"/>
  <c r="G43" i="30"/>
  <c r="F43" i="30"/>
  <c r="E43" i="30"/>
  <c r="K42" i="30"/>
  <c r="J42" i="30"/>
  <c r="I42" i="30"/>
  <c r="H42" i="30"/>
  <c r="G42" i="30"/>
  <c r="F42" i="30"/>
  <c r="K41" i="30"/>
  <c r="J41" i="30"/>
  <c r="I41" i="30"/>
  <c r="H41" i="30"/>
  <c r="G41" i="30"/>
  <c r="F41" i="30"/>
  <c r="E41" i="30"/>
  <c r="K40" i="30"/>
  <c r="J40" i="30"/>
  <c r="I40" i="30"/>
  <c r="H40" i="30"/>
  <c r="G40" i="30"/>
  <c r="F40" i="30"/>
  <c r="E40" i="30"/>
  <c r="K39" i="30"/>
  <c r="J39" i="30"/>
  <c r="I39" i="30"/>
  <c r="H39" i="30"/>
  <c r="G39" i="30"/>
  <c r="F39" i="30"/>
  <c r="E39" i="30"/>
  <c r="K38" i="30"/>
  <c r="J38" i="30"/>
  <c r="I38" i="30"/>
  <c r="H38" i="30"/>
  <c r="G38" i="30"/>
  <c r="F38" i="30"/>
  <c r="E38" i="30"/>
  <c r="K37" i="30"/>
  <c r="J37" i="30"/>
  <c r="I37" i="30"/>
  <c r="H37" i="30"/>
  <c r="G37" i="30"/>
  <c r="F37" i="30"/>
  <c r="E37" i="30"/>
  <c r="K36" i="30"/>
  <c r="J36" i="30"/>
  <c r="I36" i="30"/>
  <c r="H36" i="30"/>
  <c r="G36" i="30"/>
  <c r="F36" i="30"/>
  <c r="E36" i="30"/>
  <c r="B3" i="29"/>
  <c r="K36" i="29"/>
  <c r="K62" i="29" s="1"/>
  <c r="J36" i="29"/>
  <c r="I36" i="29"/>
  <c r="H36" i="29"/>
  <c r="G36" i="29"/>
  <c r="F36" i="29"/>
  <c r="E36" i="29"/>
  <c r="B3" i="28"/>
  <c r="K50" i="28"/>
  <c r="K87" i="28" s="1"/>
  <c r="J50" i="28"/>
  <c r="J87" i="28" s="1"/>
  <c r="I50" i="28"/>
  <c r="I87" i="28" s="1"/>
  <c r="H50" i="28"/>
  <c r="H87" i="28" s="1"/>
  <c r="G50" i="28"/>
  <c r="G87" i="28" s="1"/>
  <c r="F50" i="28"/>
  <c r="F87" i="28" s="1"/>
  <c r="E50" i="28"/>
  <c r="B3" i="27"/>
  <c r="K35" i="27"/>
  <c r="J35" i="27"/>
  <c r="I35" i="27"/>
  <c r="H35" i="27"/>
  <c r="G35" i="27"/>
  <c r="G60" i="27" s="1"/>
  <c r="F35" i="27"/>
  <c r="F60" i="27" s="1"/>
  <c r="E35" i="27"/>
  <c r="B3" i="26"/>
  <c r="K36" i="26"/>
  <c r="J36" i="26"/>
  <c r="I36" i="26"/>
  <c r="H36" i="26"/>
  <c r="G36" i="26"/>
  <c r="F36" i="26"/>
  <c r="F63" i="26" s="1"/>
  <c r="E36" i="26"/>
  <c r="B3" i="25"/>
  <c r="K36" i="25"/>
  <c r="J36" i="25"/>
  <c r="I36" i="25"/>
  <c r="H36" i="25"/>
  <c r="G36" i="25"/>
  <c r="F36" i="25"/>
  <c r="E36" i="25"/>
  <c r="E62" i="25" s="1"/>
  <c r="D7" i="2" s="1"/>
  <c r="B3" i="24"/>
  <c r="K36" i="24"/>
  <c r="J36" i="24"/>
  <c r="I36" i="24"/>
  <c r="H36" i="24"/>
  <c r="G36" i="24"/>
  <c r="F36" i="24"/>
  <c r="E36" i="24"/>
  <c r="E62" i="24" s="1"/>
  <c r="B3" i="23"/>
  <c r="K62" i="23"/>
  <c r="J62" i="23"/>
  <c r="I62" i="23"/>
  <c r="H62" i="23"/>
  <c r="G62" i="23"/>
  <c r="F62" i="23"/>
  <c r="E62" i="23"/>
  <c r="K61" i="23"/>
  <c r="J61" i="23"/>
  <c r="I61" i="23"/>
  <c r="H61" i="23"/>
  <c r="G61" i="23"/>
  <c r="F61" i="23"/>
  <c r="E61" i="23"/>
  <c r="K60" i="23"/>
  <c r="J60" i="23"/>
  <c r="I60" i="23"/>
  <c r="H60" i="23"/>
  <c r="G60" i="23"/>
  <c r="F60" i="23"/>
  <c r="E60" i="23"/>
  <c r="K59" i="23"/>
  <c r="J59" i="23"/>
  <c r="I59" i="23"/>
  <c r="H59" i="23"/>
  <c r="G59" i="23"/>
  <c r="F59" i="23"/>
  <c r="E59" i="23"/>
  <c r="K58" i="23"/>
  <c r="J58" i="23"/>
  <c r="I58" i="23"/>
  <c r="H58" i="23"/>
  <c r="G58" i="23"/>
  <c r="F58" i="23"/>
  <c r="E58" i="23"/>
  <c r="K57" i="23"/>
  <c r="J57" i="23"/>
  <c r="I57" i="23"/>
  <c r="H57" i="23"/>
  <c r="G57" i="23"/>
  <c r="F57" i="23"/>
  <c r="E57" i="23"/>
  <c r="K56" i="23"/>
  <c r="J56" i="23"/>
  <c r="I56" i="23"/>
  <c r="H56" i="23"/>
  <c r="G56" i="23"/>
  <c r="F56" i="23"/>
  <c r="E56" i="23"/>
  <c r="K55" i="23"/>
  <c r="J55" i="23"/>
  <c r="I55" i="23"/>
  <c r="H55" i="23"/>
  <c r="G55" i="23"/>
  <c r="F55" i="23"/>
  <c r="E55" i="23"/>
  <c r="K54" i="23"/>
  <c r="J54" i="23"/>
  <c r="I54" i="23"/>
  <c r="H54" i="23"/>
  <c r="G54" i="23"/>
  <c r="F54" i="23"/>
  <c r="E54" i="23"/>
  <c r="K53" i="23"/>
  <c r="J53" i="23"/>
  <c r="I53" i="23"/>
  <c r="H53" i="23"/>
  <c r="G53" i="23"/>
  <c r="F53" i="23"/>
  <c r="E53" i="23"/>
  <c r="K52" i="23"/>
  <c r="J52" i="23"/>
  <c r="I52" i="23"/>
  <c r="H52" i="23"/>
  <c r="G52" i="23"/>
  <c r="F52" i="23"/>
  <c r="E52" i="23"/>
  <c r="K51" i="23"/>
  <c r="J51" i="23"/>
  <c r="I51" i="23"/>
  <c r="H51" i="23"/>
  <c r="G51" i="23"/>
  <c r="F51" i="23"/>
  <c r="E51" i="23"/>
  <c r="K50" i="23"/>
  <c r="J50" i="23"/>
  <c r="I50" i="23"/>
  <c r="H50" i="23"/>
  <c r="G50" i="23"/>
  <c r="F50" i="23"/>
  <c r="E50" i="23"/>
  <c r="K49" i="23"/>
  <c r="J49" i="23"/>
  <c r="I49" i="23"/>
  <c r="H49" i="23"/>
  <c r="G49" i="23"/>
  <c r="F49" i="23"/>
  <c r="E49" i="23"/>
  <c r="K48" i="23"/>
  <c r="J48" i="23"/>
  <c r="I48" i="23"/>
  <c r="H48" i="23"/>
  <c r="G48" i="23"/>
  <c r="F48" i="23"/>
  <c r="E48" i="23"/>
  <c r="K47" i="23"/>
  <c r="J47" i="23"/>
  <c r="I47" i="23"/>
  <c r="H47" i="23"/>
  <c r="G47" i="23"/>
  <c r="F47" i="23"/>
  <c r="E47" i="23"/>
  <c r="K46" i="23"/>
  <c r="J46" i="23"/>
  <c r="I46" i="23"/>
  <c r="H46" i="23"/>
  <c r="G46" i="23"/>
  <c r="F46" i="23"/>
  <c r="E46" i="23"/>
  <c r="K45" i="23"/>
  <c r="J45" i="23"/>
  <c r="I45" i="23"/>
  <c r="H45" i="23"/>
  <c r="G45" i="23"/>
  <c r="F45" i="23"/>
  <c r="E45" i="23"/>
  <c r="K44" i="23"/>
  <c r="J44" i="23"/>
  <c r="I44" i="23"/>
  <c r="H44" i="23"/>
  <c r="G44" i="23"/>
  <c r="F44" i="23"/>
  <c r="E44" i="23"/>
  <c r="K43" i="23"/>
  <c r="J43" i="23"/>
  <c r="I43" i="23"/>
  <c r="H43" i="23"/>
  <c r="G43" i="23"/>
  <c r="F43" i="23"/>
  <c r="E43" i="23"/>
  <c r="K42" i="23"/>
  <c r="J42" i="23"/>
  <c r="I42" i="23"/>
  <c r="H42" i="23"/>
  <c r="G42" i="23"/>
  <c r="F42" i="23"/>
  <c r="E42" i="23"/>
  <c r="K41" i="23"/>
  <c r="J41" i="23"/>
  <c r="I41" i="23"/>
  <c r="H41" i="23"/>
  <c r="G41" i="23"/>
  <c r="F41" i="23"/>
  <c r="E41" i="23"/>
  <c r="K40" i="23"/>
  <c r="J40" i="23"/>
  <c r="I40" i="23"/>
  <c r="H40" i="23"/>
  <c r="G40" i="23"/>
  <c r="F40" i="23"/>
  <c r="E40" i="23"/>
  <c r="K39" i="23"/>
  <c r="J39" i="23"/>
  <c r="I39" i="23"/>
  <c r="H39" i="23"/>
  <c r="G39" i="23"/>
  <c r="F39" i="23"/>
  <c r="E39" i="23"/>
  <c r="K38" i="23"/>
  <c r="J38" i="23"/>
  <c r="I38" i="23"/>
  <c r="H38" i="23"/>
  <c r="G38" i="23"/>
  <c r="F38" i="23"/>
  <c r="E38" i="23"/>
  <c r="K37" i="23"/>
  <c r="J37" i="23"/>
  <c r="I37" i="23"/>
  <c r="H37" i="23"/>
  <c r="G37" i="23"/>
  <c r="E37" i="23"/>
  <c r="E87" i="28" l="1"/>
  <c r="F62" i="25"/>
  <c r="E7" i="2" s="1"/>
  <c r="F63" i="23"/>
  <c r="E5" i="2" s="1"/>
  <c r="F62" i="30"/>
  <c r="E12" i="2" s="1"/>
  <c r="J60" i="27"/>
  <c r="I9" i="2" s="1"/>
  <c r="H63" i="26"/>
  <c r="G8" i="2" s="1"/>
  <c r="G63" i="23"/>
  <c r="F5" i="2" s="1"/>
  <c r="J62" i="24"/>
  <c r="I6" i="2" s="1"/>
  <c r="I63" i="26"/>
  <c r="H8" i="2" s="1"/>
  <c r="K60" i="27"/>
  <c r="J9" i="2" s="1"/>
  <c r="E62" i="29"/>
  <c r="D11" i="2" s="1"/>
  <c r="J62" i="32"/>
  <c r="I14" i="2" s="1"/>
  <c r="H63" i="23"/>
  <c r="G5" i="2" s="1"/>
  <c r="K62" i="24"/>
  <c r="J6" i="2" s="1"/>
  <c r="F62" i="29"/>
  <c r="E11" i="2" s="1"/>
  <c r="E60" i="27"/>
  <c r="D9" i="2" s="1"/>
  <c r="E9" i="2"/>
  <c r="H62" i="29"/>
  <c r="G11" i="2" s="1"/>
  <c r="J62" i="30"/>
  <c r="I12" i="2" s="1"/>
  <c r="I62" i="30"/>
  <c r="H12" i="2" s="1"/>
  <c r="E63" i="26"/>
  <c r="D8" i="2" s="1"/>
  <c r="F9" i="2"/>
  <c r="I62" i="29"/>
  <c r="H11" i="2" s="1"/>
  <c r="K62" i="30"/>
  <c r="J12" i="2" s="1"/>
  <c r="D13" i="2"/>
  <c r="I63" i="23"/>
  <c r="H5" i="2" s="1"/>
  <c r="K63" i="26"/>
  <c r="J63" i="23"/>
  <c r="I5" i="2" s="1"/>
  <c r="D6" i="2"/>
  <c r="H60" i="27"/>
  <c r="G9" i="2" s="1"/>
  <c r="J62" i="29"/>
  <c r="G62" i="29"/>
  <c r="E63" i="23"/>
  <c r="D5" i="2" s="1"/>
  <c r="F62" i="24"/>
  <c r="E6" i="2" s="1"/>
  <c r="G63" i="26"/>
  <c r="F8" i="2" s="1"/>
  <c r="I60" i="27"/>
  <c r="H9" i="2" s="1"/>
  <c r="J11" i="2"/>
  <c r="E62" i="30"/>
  <c r="D12" i="2" s="1"/>
  <c r="I11" i="2"/>
  <c r="H62" i="32"/>
  <c r="G14" i="2" s="1"/>
  <c r="F62" i="32"/>
  <c r="E14" i="2" s="1"/>
  <c r="I62" i="32"/>
  <c r="H14" i="2" s="1"/>
  <c r="K62" i="32"/>
  <c r="J14" i="2" s="1"/>
  <c r="E62" i="32"/>
  <c r="D14" i="2" s="1"/>
  <c r="G62" i="32"/>
  <c r="F14" i="2" s="1"/>
  <c r="H62" i="31"/>
  <c r="G13" i="2" s="1"/>
  <c r="G62" i="31"/>
  <c r="F13" i="2" s="1"/>
  <c r="F62" i="31"/>
  <c r="E13" i="2" s="1"/>
  <c r="I62" i="31"/>
  <c r="H13" i="2" s="1"/>
  <c r="J62" i="31"/>
  <c r="I13" i="2" s="1"/>
  <c r="K62" i="31"/>
  <c r="J13" i="2" s="1"/>
  <c r="G62" i="30"/>
  <c r="F12" i="2" s="1"/>
  <c r="H62" i="30"/>
  <c r="G12" i="2" s="1"/>
  <c r="G62" i="24"/>
  <c r="F6" i="2" s="1"/>
  <c r="I62" i="24"/>
  <c r="H6" i="2" s="1"/>
  <c r="H62" i="24"/>
  <c r="G6" i="2" s="1"/>
  <c r="K63" i="23"/>
  <c r="J5" i="2" s="1"/>
  <c r="F11" i="2"/>
  <c r="J63" i="26"/>
  <c r="I8" i="2" s="1"/>
  <c r="E8" i="2"/>
  <c r="J8" i="2"/>
  <c r="G10" i="2"/>
  <c r="E10" i="2"/>
  <c r="F10" i="2"/>
  <c r="D10" i="2"/>
  <c r="I10" i="2"/>
  <c r="J10" i="2"/>
  <c r="H10" i="2"/>
  <c r="H62" i="25"/>
  <c r="G7" i="2" s="1"/>
  <c r="I62" i="25"/>
  <c r="H7" i="2" s="1"/>
  <c r="G62" i="25"/>
  <c r="F7" i="2" s="1"/>
  <c r="J62" i="25"/>
  <c r="I7" i="2" s="1"/>
  <c r="K62" i="25"/>
  <c r="J7" i="2" s="1"/>
  <c r="B3" i="3"/>
  <c r="K61" i="3"/>
  <c r="J61" i="3"/>
  <c r="I61" i="3"/>
  <c r="H61" i="3"/>
  <c r="G61" i="3"/>
  <c r="F61" i="3"/>
  <c r="E61" i="3"/>
  <c r="K60" i="3"/>
  <c r="J60" i="3"/>
  <c r="I60" i="3"/>
  <c r="H60" i="3"/>
  <c r="G60" i="3"/>
  <c r="F60" i="3"/>
  <c r="E60" i="3"/>
  <c r="K59" i="3"/>
  <c r="J59" i="3"/>
  <c r="I59" i="3"/>
  <c r="H59" i="3"/>
  <c r="G59" i="3"/>
  <c r="F59" i="3"/>
  <c r="E59" i="3"/>
  <c r="K58" i="3"/>
  <c r="J58" i="3"/>
  <c r="I58" i="3"/>
  <c r="H58" i="3"/>
  <c r="G58" i="3"/>
  <c r="F58" i="3"/>
  <c r="E58" i="3"/>
  <c r="K57" i="3"/>
  <c r="J57" i="3"/>
  <c r="I57" i="3"/>
  <c r="H57" i="3"/>
  <c r="G57" i="3"/>
  <c r="F57" i="3"/>
  <c r="E57" i="3"/>
  <c r="K56" i="3"/>
  <c r="J56" i="3"/>
  <c r="I56" i="3"/>
  <c r="H56" i="3"/>
  <c r="G56" i="3"/>
  <c r="F56" i="3"/>
  <c r="E56" i="3"/>
  <c r="K55" i="3"/>
  <c r="J55" i="3"/>
  <c r="I55" i="3"/>
  <c r="H55" i="3"/>
  <c r="G55" i="3"/>
  <c r="F55" i="3"/>
  <c r="E55" i="3"/>
  <c r="K54" i="3"/>
  <c r="J54" i="3"/>
  <c r="I54" i="3"/>
  <c r="H54" i="3"/>
  <c r="G54" i="3"/>
  <c r="F54" i="3"/>
  <c r="E54" i="3"/>
  <c r="K53" i="3"/>
  <c r="J53" i="3"/>
  <c r="I53" i="3"/>
  <c r="H53" i="3"/>
  <c r="G53" i="3"/>
  <c r="F53" i="3"/>
  <c r="E53" i="3"/>
  <c r="K52" i="3"/>
  <c r="J52" i="3"/>
  <c r="I52" i="3"/>
  <c r="H52" i="3"/>
  <c r="G52" i="3"/>
  <c r="F52" i="3"/>
  <c r="E52" i="3"/>
  <c r="K51" i="3"/>
  <c r="J51" i="3"/>
  <c r="I51" i="3"/>
  <c r="H51" i="3"/>
  <c r="G51" i="3"/>
  <c r="F51" i="3"/>
  <c r="E51" i="3"/>
  <c r="K50" i="3"/>
  <c r="J50" i="3"/>
  <c r="I50" i="3"/>
  <c r="H50" i="3"/>
  <c r="G50" i="3"/>
  <c r="F50" i="3"/>
  <c r="E50" i="3"/>
  <c r="K49" i="3"/>
  <c r="J49" i="3"/>
  <c r="I49" i="3"/>
  <c r="H49" i="3"/>
  <c r="G49" i="3"/>
  <c r="F49" i="3"/>
  <c r="E49" i="3"/>
  <c r="K48" i="3"/>
  <c r="J48" i="3"/>
  <c r="I48" i="3"/>
  <c r="H48" i="3"/>
  <c r="G48" i="3"/>
  <c r="F48" i="3"/>
  <c r="E48" i="3"/>
  <c r="K47" i="3"/>
  <c r="J47" i="3"/>
  <c r="I47" i="3"/>
  <c r="H47" i="3"/>
  <c r="G47" i="3"/>
  <c r="F47" i="3"/>
  <c r="E47" i="3"/>
  <c r="K46" i="3"/>
  <c r="I46" i="3"/>
  <c r="H46" i="3"/>
  <c r="G46" i="3"/>
  <c r="F46" i="3"/>
  <c r="E46" i="3"/>
  <c r="K45" i="3"/>
  <c r="J45" i="3"/>
  <c r="I45" i="3"/>
  <c r="H45" i="3"/>
  <c r="F45" i="3"/>
  <c r="E45" i="3"/>
  <c r="K44" i="3"/>
  <c r="I44" i="3"/>
  <c r="H44" i="3"/>
  <c r="G44" i="3"/>
  <c r="F44" i="3"/>
  <c r="E44" i="3"/>
  <c r="K43" i="3"/>
  <c r="I43" i="3"/>
  <c r="G43" i="3"/>
  <c r="F43" i="3"/>
  <c r="E43" i="3"/>
  <c r="K42" i="3"/>
  <c r="I42" i="3"/>
  <c r="H42" i="3"/>
  <c r="G42" i="3"/>
  <c r="E42" i="3"/>
  <c r="K41" i="3"/>
  <c r="J41" i="3"/>
  <c r="I41" i="3"/>
  <c r="H41" i="3"/>
  <c r="G41" i="3"/>
  <c r="F41" i="3"/>
  <c r="K40" i="3"/>
  <c r="I40" i="3"/>
  <c r="H40" i="3"/>
  <c r="F40" i="3"/>
  <c r="E40" i="3"/>
  <c r="K39" i="3"/>
  <c r="I39" i="3"/>
  <c r="H39" i="3"/>
  <c r="F39" i="3"/>
  <c r="E39" i="3"/>
  <c r="K38" i="3"/>
  <c r="I38" i="3"/>
  <c r="H38" i="3"/>
  <c r="G38" i="3"/>
  <c r="F38" i="3"/>
  <c r="E38" i="3"/>
  <c r="K37" i="3"/>
  <c r="J37" i="3"/>
  <c r="I37" i="3"/>
  <c r="H37" i="3"/>
  <c r="G37" i="3"/>
  <c r="F37" i="3"/>
  <c r="E37" i="3"/>
  <c r="K36" i="3"/>
  <c r="J36" i="3"/>
  <c r="I36" i="3"/>
  <c r="H36" i="3"/>
  <c r="G36" i="3"/>
  <c r="F36" i="3"/>
  <c r="E36" i="3"/>
  <c r="J46" i="3"/>
  <c r="G45" i="3"/>
  <c r="J44" i="3"/>
  <c r="J43" i="3"/>
  <c r="J42" i="3"/>
  <c r="E41" i="3"/>
  <c r="J39" i="3"/>
  <c r="G39" i="3"/>
  <c r="J38" i="3"/>
  <c r="K62" i="3" l="1"/>
  <c r="J4" i="2" s="1"/>
  <c r="J16" i="2" s="1"/>
  <c r="I62" i="3"/>
  <c r="H4" i="2" s="1"/>
  <c r="H16" i="2" s="1"/>
  <c r="E62" i="3"/>
  <c r="D4" i="2" s="1"/>
  <c r="D16" i="2" s="1"/>
  <c r="F42" i="3"/>
  <c r="F62" i="3" s="1"/>
  <c r="E4" i="2" s="1"/>
  <c r="E16" i="2" s="1"/>
  <c r="H43" i="3"/>
  <c r="H62" i="3" s="1"/>
  <c r="G4" i="2" s="1"/>
  <c r="G16" i="2" s="1"/>
  <c r="J40" i="3" l="1"/>
  <c r="J62" i="3" s="1"/>
  <c r="I4" i="2" s="1"/>
  <c r="I16" i="2" s="1"/>
  <c r="G40" i="3"/>
  <c r="G62" i="3" s="1"/>
  <c r="F4" i="2" s="1"/>
  <c r="F16" i="2" s="1"/>
  <c r="G17" i="2" s="1"/>
  <c r="G18" i="2" s="1"/>
</calcChain>
</file>

<file path=xl/sharedStrings.xml><?xml version="1.0" encoding="utf-8"?>
<sst xmlns="http://schemas.openxmlformats.org/spreadsheetml/2006/main" count="484" uniqueCount="80">
  <si>
    <t>PROGRAMA DE MANUTENÇÃORODOVIÁRIA</t>
  </si>
  <si>
    <t>S.R.E.</t>
  </si>
  <si>
    <t>BOM</t>
  </si>
  <si>
    <t>DATA:</t>
  </si>
  <si>
    <t>TÉCNICO RESP.</t>
  </si>
  <si>
    <t>INÍCIO
(KM)</t>
  </si>
  <si>
    <t>FIM
(KM)</t>
  </si>
  <si>
    <t>SENTIDO</t>
  </si>
  <si>
    <t>OBSERV.</t>
  </si>
  <si>
    <t>RODOVIAS NÃO PAVIMENTADAS</t>
  </si>
  <si>
    <t>CONDIÇÃO DA PLATAFORMA</t>
  </si>
  <si>
    <t>DRENAGEM SUPERFICIAL</t>
  </si>
  <si>
    <t>LIMPA</t>
  </si>
  <si>
    <t>OBSTRUÍDA</t>
  </si>
  <si>
    <t>AUSENTE</t>
  </si>
  <si>
    <t>REG.
(ATÉ 10 IRR./KM)</t>
  </si>
  <si>
    <t>RUÍM
(+ 10 IRR./KM)</t>
  </si>
  <si>
    <t>PÉSSIMA
(ATOLEIRO/PTO. CRÍTICO)</t>
  </si>
  <si>
    <t>RESUMO</t>
  </si>
  <si>
    <t>TRECHO</t>
  </si>
  <si>
    <t>Nº DO TRECHO</t>
  </si>
  <si>
    <t>FICHA DE INSPEÇÃO:</t>
  </si>
  <si>
    <t>RODOVIA TO-181 - TRECHO ENTR. TO-255 - ENTR. TO-481 (CAPAO DO COCO)</t>
  </si>
  <si>
    <t>RODOVIA TO-181 - TRECHO ENTR. TO-481 (CAPAO DO COCO) - FAZENDA COBRAPE</t>
  </si>
  <si>
    <t>RODOVIA TO-181 - TRECHO FUNDAÇÃO BRADESCO - ENTR. TO-070</t>
  </si>
  <si>
    <t>RODOVIA TO-181 - TRECHO ARAGUAÇU - DIVISA TO-GO</t>
  </si>
  <si>
    <t>RODOVIA TO-362 - TRECHO SANTA RITA DO TOCANTINS - BREJINHO DE NAZARÉ</t>
  </si>
  <si>
    <t>RODOVIA TO-362 - TRECHO BREJINHO DE NAZARÉ - ENTR. TO-365 (ACESSO BALSA)</t>
  </si>
  <si>
    <t>RODOVIA TO-365 - TRECHO RIO TOCANTINS (BALSA) - TREVO DA PRAIA - ENTR. BR-153</t>
  </si>
  <si>
    <t>RODOVIA TO-373 - TRECHO ENTR. TO-365 - RIO TOCANTINS (BALSA)</t>
  </si>
  <si>
    <t>RODOVIA TO-481 - TRECHO DUERÉ - ENTR. TO-181 (CAPAO DO COCO)</t>
  </si>
  <si>
    <t>RODOVIA TO-483 - TRECHO SUCUPIRA - FIGUEIRÓPOLIS</t>
  </si>
  <si>
    <t>RODOVIA TO-484 - TRECHO FIGUEIRÓPOLIS - KM 64 (RIO FORMOSO)</t>
  </si>
  <si>
    <t>PERCORRIDO NO MÊS:</t>
  </si>
  <si>
    <t>TOTAL:</t>
  </si>
  <si>
    <t>% DA EXTENSÃO DA MALHA:</t>
  </si>
  <si>
    <t>LOTE</t>
  </si>
  <si>
    <t>S.R.E</t>
  </si>
  <si>
    <t>TIPO</t>
  </si>
  <si>
    <t>181ETO0070</t>
  </si>
  <si>
    <t>ENTR. TO-255 - ENTR. TO-481 (CAPAO DO COCO)</t>
  </si>
  <si>
    <t>LEN</t>
  </si>
  <si>
    <t>181ETO0090</t>
  </si>
  <si>
    <t>ENTR. TO-481 (CAPAO DO COCO) - INICIO PAVIMENTAÇÃO (FAZ. COBRAPE)</t>
  </si>
  <si>
    <t>181ETO0150</t>
  </si>
  <si>
    <t>FIM PAVIMENTAÇÃO - ENTR. TO-070</t>
  </si>
  <si>
    <t>181ETO0230</t>
  </si>
  <si>
    <t>ARAGUAÇU *TRECHO URBANO* - DIV TO-GO</t>
  </si>
  <si>
    <t>362ETO0100</t>
  </si>
  <si>
    <t>ENTR. BR-153 (STA RITA DO TO) - ENTR. TO-070 (BREJINHO DE NAZARÉ)</t>
  </si>
  <si>
    <t>362ETO0120</t>
  </si>
  <si>
    <t>BREJINHO DE NAZARÉ *TRECHO URBANO* - ENTR. TO-365</t>
  </si>
  <si>
    <t>365ETO0220</t>
  </si>
  <si>
    <t>RIO TOCANTINS (BALSA) - ENTR. TO-362</t>
  </si>
  <si>
    <t>365ETO0230</t>
  </si>
  <si>
    <t>ENTR. TO-362 - ENTR. TO-373</t>
  </si>
  <si>
    <t>365ETO0240</t>
  </si>
  <si>
    <t>ENTR. TO-373 - TREVO DA PRAIA</t>
  </si>
  <si>
    <t>EOP</t>
  </si>
  <si>
    <t>365ETO0250</t>
  </si>
  <si>
    <t>TREVO DA PRAIA - ENTR. BR-153</t>
  </si>
  <si>
    <t>373ETO0100</t>
  </si>
  <si>
    <t>ENTR. TO-365 - RIO TOCANTINS (BALSA)</t>
  </si>
  <si>
    <t>481ETO0020</t>
  </si>
  <si>
    <t>DUERÉ *TRECHO URBANO* - ENTR. TO-181 (CAPAO DO COCO)</t>
  </si>
  <si>
    <t>483ETO0020</t>
  </si>
  <si>
    <t>FIM PAVIMENTAÇÃO - FIGUEIRÓPOLIS *TRECHO URBANO*</t>
  </si>
  <si>
    <t>484ETO0010</t>
  </si>
  <si>
    <t>FIGUEIROPOLIS - *FIM TRECHO*- KM 64(RIO FORMOSO)</t>
  </si>
  <si>
    <t>N.</t>
  </si>
  <si>
    <t>EXT.(KM)</t>
  </si>
  <si>
    <t>RELAÇÃO DE TRECHOS NÃO PAVIMENTADOS R.11</t>
  </si>
  <si>
    <t>SBUTRECHO</t>
  </si>
  <si>
    <t>REGIÃO:</t>
  </si>
  <si>
    <t>C</t>
  </si>
  <si>
    <t>X</t>
  </si>
  <si>
    <t>c</t>
  </si>
  <si>
    <t>x</t>
  </si>
  <si>
    <t>D</t>
  </si>
  <si>
    <t>ENG. THIAGO TORQUATO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</si>
</sst>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\-yy;@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5"/>
      <color rgb="FFFF000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  <font>
      <b/>
      <sz val="20"/>
      <color indexed="8"/>
      <name val="Times New Roman"/>
      <family val="1"/>
    </font>
    <font>
      <b/>
      <sz val="1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2" borderId="7" xfId="0" applyFont="1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0" xfId="0" applyFont="1" applyFill="1" applyBorder="1"/>
    <xf numFmtId="0" fontId="4" fillId="2" borderId="8" xfId="0" applyFont="1" applyFill="1" applyBorder="1"/>
    <xf numFmtId="0" fontId="1" fillId="0" borderId="12" xfId="0" applyFont="1" applyBorder="1"/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2" fontId="8" fillId="0" borderId="15" xfId="0" applyNumberFormat="1" applyFont="1" applyBorder="1" applyAlignment="1">
      <alignment horizontal="center" vertical="center"/>
    </xf>
    <xf numFmtId="0" fontId="9" fillId="0" borderId="0" xfId="0" applyFont="1"/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" fillId="0" borderId="5" xfId="0" applyFont="1" applyBorder="1"/>
    <xf numFmtId="2" fontId="8" fillId="0" borderId="5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0" fontId="6" fillId="0" borderId="2" xfId="3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" fontId="11" fillId="0" borderId="28" xfId="0" applyNumberFormat="1" applyFont="1" applyBorder="1" applyAlignment="1">
      <alignment horizontal="center" vertical="center"/>
    </xf>
    <xf numFmtId="2" fontId="11" fillId="0" borderId="27" xfId="0" applyNumberFormat="1" applyFont="1" applyBorder="1" applyAlignment="1">
      <alignment horizontal="center" vertical="center"/>
    </xf>
    <xf numFmtId="2" fontId="11" fillId="0" borderId="29" xfId="0" applyNumberFormat="1" applyFont="1" applyBorder="1" applyAlignment="1">
      <alignment horizontal="center" vertical="center"/>
    </xf>
    <xf numFmtId="2" fontId="11" fillId="0" borderId="2" xfId="0" applyNumberFormat="1" applyFont="1" applyBorder="1" applyAlignment="1">
      <alignment horizontal="center" vertical="center"/>
    </xf>
    <xf numFmtId="2" fontId="11" fillId="0" borderId="16" xfId="0" applyNumberFormat="1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1" fillId="0" borderId="17" xfId="0" applyNumberFormat="1" applyFont="1" applyBorder="1" applyAlignment="1">
      <alignment horizontal="center" vertical="center"/>
    </xf>
    <xf numFmtId="0" fontId="11" fillId="0" borderId="0" xfId="0" applyFont="1"/>
    <xf numFmtId="1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2" fillId="2" borderId="0" xfId="0" applyFont="1" applyFill="1"/>
    <xf numFmtId="2" fontId="12" fillId="2" borderId="0" xfId="0" applyNumberFormat="1" applyFont="1" applyFill="1"/>
    <xf numFmtId="0" fontId="13" fillId="2" borderId="0" xfId="0" applyFont="1" applyFill="1"/>
    <xf numFmtId="0" fontId="14" fillId="2" borderId="0" xfId="0" applyFont="1" applyFill="1"/>
    <xf numFmtId="0" fontId="8" fillId="0" borderId="12" xfId="0" applyFont="1" applyBorder="1" applyAlignment="1">
      <alignment horizontal="center" vertical="center"/>
    </xf>
    <xf numFmtId="0" fontId="1" fillId="0" borderId="13" xfId="0" applyFont="1" applyBorder="1"/>
    <xf numFmtId="0" fontId="1" fillId="0" borderId="3" xfId="0" applyFont="1" applyBorder="1"/>
    <xf numFmtId="2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4" fontId="1" fillId="3" borderId="2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1" fillId="3" borderId="12" xfId="0" applyNumberFormat="1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" fontId="11" fillId="2" borderId="12" xfId="0" applyNumberFormat="1" applyFont="1" applyFill="1" applyBorder="1" applyAlignment="1">
      <alignment horizontal="center" vertical="center"/>
    </xf>
    <xf numFmtId="2" fontId="11" fillId="2" borderId="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2" fontId="11" fillId="2" borderId="3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44" fontId="3" fillId="2" borderId="5" xfId="1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15" fillId="2" borderId="5" xfId="0" applyNumberFormat="1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</cellXfs>
  <cellStyles count="5">
    <cellStyle name="Moeda" xfId="1" builtinId="4"/>
    <cellStyle name="Moeda 2" xfId="4" xr:uid="{2146DE00-7446-401D-943F-4325CC580536}"/>
    <cellStyle name="Normal" xfId="0" builtinId="0"/>
    <cellStyle name="Normal 9" xfId="2" xr:uid="{2DFCE4FB-9C79-41A1-A386-3EAF63ED7D18}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A5-4D94-A00F-381E4ECBED5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A5-4D94-A00F-381E4ECBED5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A5-4D94-A00F-381E4ECBED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A5-4D94-A00F-381E4ECBED51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A5-4D94-A00F-381E4ECBED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A5-4D94-A00F-381E4ECBED5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'207'!$E$6:$H$6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'207'!$E$62:$H$62</c:f>
              <c:numCache>
                <c:formatCode>0.00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35.900000000000006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5-4D94-A00F-381E4ECBED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1EB-BBF4-96C1005090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1EB-BBF4-96C1005090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1EB-BBF4-96C10050901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5-41EB-BBF4-96C1005090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5-41EB-BBF4-96C10050901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'207'!$I$6:$K$6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'207'!$I$62:$K$62</c:f>
              <c:numCache>
                <c:formatCode>0.00</c:formatCode>
                <c:ptCount val="3"/>
                <c:pt idx="0">
                  <c:v>30</c:v>
                </c:pt>
                <c:pt idx="1">
                  <c:v>35.900000000000006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D5-41EB-BBF4-96C1005090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A7-46EC-AE24-4DC46A877E6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A7-46EC-AE24-4DC46A877E6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A7-46EC-AE24-4DC46A877E6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1A7-46EC-AE24-4DC46A877E68}"/>
              </c:ext>
            </c:extLst>
          </c:dPt>
          <c:dLbls>
            <c:dLbl>
              <c:idx val="0"/>
              <c:layout>
                <c:manualLayout>
                  <c:x val="-1.6436108217364454E-2"/>
                  <c:y val="3.309878838698700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A7-46EC-AE24-4DC46A877E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1A7-46EC-AE24-4DC46A877E6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'208'!$E$6:$H$6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'208'!$E$63:$H$63</c:f>
              <c:numCache>
                <c:formatCode>0.00</c:formatCode>
                <c:ptCount val="4"/>
                <c:pt idx="0">
                  <c:v>49.63</c:v>
                </c:pt>
                <c:pt idx="1">
                  <c:v>18</c:v>
                </c:pt>
                <c:pt idx="2">
                  <c:v>11.630000000000003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1A7-46EC-AE24-4DC46A877E6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FB-46D5-A370-9400772A7BB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FB-46D5-A370-9400772A7BB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FB-46D5-A370-9400772A7BB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5FB-46D5-A370-9400772A7BB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FB-46D5-A370-9400772A7BB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'208'!$I$6:$K$6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'208'!$I$63:$K$63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79.259999999999991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FB-46D5-A370-9400772A7BB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54-4BA2-8B7B-9FEA8D6219D0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54-4BA2-8B7B-9FEA8D6219D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54-4BA2-8B7B-9FEA8D6219D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54-4BA2-8B7B-9FEA8D6219D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54-4BA2-8B7B-9FEA8D6219D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54-4BA2-8B7B-9FEA8D6219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A54-4BA2-8B7B-9FEA8D6219D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'211'!$E$62:$H$62</c:f>
              <c:numCache>
                <c:formatCode>0.00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11.82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54-4BA2-8B7B-9FEA8D6219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5E-4E0E-8CE6-6E517F2861B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5E-4E0E-8CE6-6E517F2861B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5E-4E0E-8CE6-6E517F2861B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5E-4E0E-8CE6-6E517F2861B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5E-4E0E-8CE6-6E517F2861B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'211'!$I$62:$K$62</c:f>
              <c:numCache>
                <c:formatCode>0.00</c:formatCode>
                <c:ptCount val="3"/>
                <c:pt idx="0">
                  <c:v>0</c:v>
                </c:pt>
                <c:pt idx="1">
                  <c:v>41.82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5E-4E0E-8CE6-6E517F2861B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8A-41CB-BADB-3FA2E3E9596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8A-41CB-BADB-3FA2E3E9596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8A-41CB-BADB-3FA2E3E9596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8A-41CB-BADB-3FA2E3E9596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8A-41CB-BADB-3FA2E3E9596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8A-41CB-BADB-3FA2E3E9596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'213'!$E$6:$H$6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'213'!$E$62:$H$62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27.380000000000003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68A-41CB-BADB-3FA2E3E959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CB-4B40-8466-5839053EE5E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CB-4B40-8466-5839053EE5E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CB-4B40-8466-5839053EE5E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CB-4B40-8466-5839053EE5E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'213'!$I$62:$K$62</c:f>
              <c:numCache>
                <c:formatCode>0.00</c:formatCode>
                <c:ptCount val="3"/>
                <c:pt idx="0">
                  <c:v>0</c:v>
                </c:pt>
                <c:pt idx="1">
                  <c:v>40.380000000000003</c:v>
                </c:pt>
                <c:pt idx="2">
                  <c:v>40.380000000000003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CB-4B40-8466-5839053EE5E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3A-41B9-AF0E-76D1F82A5E8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3A-41B9-AF0E-76D1F82A5E8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3A-41B9-AF0E-76D1F82A5E8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3A-41B9-AF0E-76D1F82A5E8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3A-41B9-AF0E-76D1F82A5E8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3A-41B9-AF0E-76D1F82A5E8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3A-41B9-AF0E-76D1F82A5E8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'214'!$E$6:$H$6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'214'!$E$63:$H$63</c:f>
              <c:numCache>
                <c:formatCode>0.00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30.21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3A-41B9-AF0E-76D1F82A5E8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111888888888887"/>
          <c:y val="0.2691479817864606"/>
          <c:w val="0.25477"/>
          <c:h val="0.4577909319384221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0C-45B4-B9EB-F6656EDD74D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0C-45B4-B9EB-F6656EDD74D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0C-45B4-B9EB-F6656EDD74D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0C-45B4-B9EB-F6656EDD74D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0C-45B4-B9EB-F6656EDD74D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'214'!$I$6:$K$6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'214'!$I$63:$K$63</c:f>
              <c:numCache>
                <c:formatCode>0.00</c:formatCode>
                <c:ptCount val="3"/>
                <c:pt idx="0">
                  <c:v>45.21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0C-45B4-B9EB-F6656EDD74D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E7-4A4B-B787-087D9708F03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E7-4A4B-B787-087D9708F03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EE7-4A4B-B787-087D9708F03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EE7-4A4B-B787-087D9708F03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E7-4A4B-B787-087D9708F03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'215'!$E$6:$H$6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'215'!$E$60:$H$60</c:f>
              <c:numCache>
                <c:formatCode>0.00</c:formatCode>
                <c:ptCount val="4"/>
                <c:pt idx="0">
                  <c:v>0</c:v>
                </c:pt>
                <c:pt idx="1">
                  <c:v>11</c:v>
                </c:pt>
                <c:pt idx="2">
                  <c:v>25.28</c:v>
                </c:pt>
                <c:pt idx="3">
                  <c:v>9.9999999999994316E-2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E7-4A4B-B787-087D9708F03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93-42ED-8535-EBE86A95E86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93-42ED-8535-EBE86A95E86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93-42ED-8535-EBE86A95E86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93-42ED-8535-EBE86A95E86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'215'!$I$6:$K$6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'215'!$I$60:$K$60</c:f>
              <c:numCache>
                <c:formatCode>0.00</c:formatCode>
                <c:ptCount val="3"/>
                <c:pt idx="0">
                  <c:v>0</c:v>
                </c:pt>
                <c:pt idx="1">
                  <c:v>22.200000000000003</c:v>
                </c:pt>
                <c:pt idx="2">
                  <c:v>3.0799999999999983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93-42ED-8535-EBE86A95E8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841-44AB-A8F7-960028F1762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841-44AB-A8F7-960028F1762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841-44AB-A8F7-960028F1762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841-44AB-A8F7-960028F17621}"/>
              </c:ext>
            </c:extLst>
          </c:dPt>
          <c:dLbls>
            <c:dLbl>
              <c:idx val="0"/>
              <c:layout>
                <c:manualLayout>
                  <c:x val="-0.14905893086757716"/>
                  <c:y val="-0.2794474819755231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41-44AB-A8F7-960028F17621}"/>
                </c:ext>
              </c:extLst>
            </c:dLbl>
            <c:dLbl>
              <c:idx val="1"/>
              <c:layout>
                <c:manualLayout>
                  <c:x val="-2.4149968643072434E-3"/>
                  <c:y val="5.3828639728805625E-3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99354226035339"/>
                      <c:h val="5.62807676637621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841-44AB-A8F7-960028F176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841-44AB-A8F7-960028F17621}"/>
                </c:ext>
              </c:extLst>
            </c:dLbl>
            <c:dLbl>
              <c:idx val="3"/>
              <c:layout>
                <c:manualLayout>
                  <c:x val="1.3722696749033906E-2"/>
                  <c:y val="-2.567348404189466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841-44AB-A8F7-960028F1762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'216'!$E$87:$H$87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37.470000000000006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41-44AB-A8F7-960028F1762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B3-4842-983F-541314DE494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B3-4842-983F-541314DE494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B3-4842-983F-541314DE4941}"/>
              </c:ext>
            </c:extLst>
          </c:dPt>
          <c:dLbls>
            <c:dLbl>
              <c:idx val="0"/>
              <c:layout>
                <c:manualLayout>
                  <c:x val="-2.462574204106412E-2"/>
                  <c:y val="-0.2912492093540450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B3-4842-983F-541314DE494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B3-4842-983F-541314DE494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'216'!$I$87:$K$87</c:f>
              <c:numCache>
                <c:formatCode>0.00</c:formatCode>
                <c:ptCount val="3"/>
                <c:pt idx="0">
                  <c:v>36.470000000000006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B3-4842-983F-541314DE49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4F-4B4F-9EE0-E0F40DE0C78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4F-4B4F-9EE0-E0F40DE0C78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4F-4B4F-9EE0-E0F40DE0C78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4F-4B4F-9EE0-E0F40DE0C78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4F-4B4F-9EE0-E0F40DE0C7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4F-4B4F-9EE0-E0F40DE0C7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4F-4B4F-9EE0-E0F40DE0C78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'217'!$E$6:$H$6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'217'!$E$62:$H$62</c:f>
              <c:numCache>
                <c:formatCode>0.00</c:formatCode>
                <c:ptCount val="4"/>
                <c:pt idx="0">
                  <c:v>0</c:v>
                </c:pt>
                <c:pt idx="1">
                  <c:v>2.38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4F-4B4F-9EE0-E0F40DE0C78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E4-4A1A-AAD1-A42C12A009E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E4-4A1A-AAD1-A42C12A009E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E4-4A1A-AAD1-A42C12A009E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E4-4A1A-AAD1-A42C12A009E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E4-4A1A-AAD1-A42C12A009E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'217'!$I$6:$K$6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'217'!$I$62:$K$62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E4-4A1A-AAD1-A42C12A009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97-4AD2-8BA8-7F3E1ED56BAD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97-4AD2-8BA8-7F3E1ED56BAD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97-4AD2-8BA8-7F3E1ED56BA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97-4AD2-8BA8-7F3E1ED56BAD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97-4AD2-8BA8-7F3E1ED56BA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'221'!$E$6:$H$6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'221'!$E$62:$H$62</c:f>
              <c:numCache>
                <c:formatCode>0.00</c:formatCode>
                <c:ptCount val="4"/>
                <c:pt idx="0">
                  <c:v>72.699999999999989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97-4AD2-8BA8-7F3E1ED56B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843-4986-8E6E-0B772F55BA4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843-4986-8E6E-0B772F55BA4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843-4986-8E6E-0B772F55BA4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'221'!$I$6:$K$6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'221'!$I$62:$K$62</c:f>
              <c:numCache>
                <c:formatCode>0.00</c:formatCode>
                <c:ptCount val="3"/>
                <c:pt idx="0">
                  <c:v>37</c:v>
                </c:pt>
                <c:pt idx="1">
                  <c:v>8</c:v>
                </c:pt>
                <c:pt idx="2">
                  <c:v>33.699999999999989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43-4986-8E6E-0B772F55BA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BE-4187-8E38-970315B35CF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BE-4187-8E38-970315B35CF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ABE-4187-8E38-970315B35CF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ABE-4187-8E38-970315B35CF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BE-4187-8E38-970315B35CF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BE-4187-8E38-970315B35CF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BE-4187-8E38-970315B35CF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'222'!$E$6:$H$6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'222'!$E$62:$H$62</c:f>
              <c:numCache>
                <c:formatCode>0.00</c:formatCode>
                <c:ptCount val="4"/>
                <c:pt idx="0">
                  <c:v>0</c:v>
                </c:pt>
                <c:pt idx="1">
                  <c:v>20</c:v>
                </c:pt>
                <c:pt idx="2">
                  <c:v>18.009999999999998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BE-4187-8E38-970315B35C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F8-4350-9C9E-E5975F76817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F8-4350-9C9E-E5975F76817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F8-4350-9C9E-E5975F768171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FF8-4350-9C9E-E5975F76817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F8-4350-9C9E-E5975F7681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F8-4350-9C9E-E5975F76817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'222'!$I$6:$K$6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'222'!$I$62:$K$62</c:f>
              <c:numCache>
                <c:formatCode>0.00</c:formatCode>
                <c:ptCount val="3"/>
                <c:pt idx="0">
                  <c:v>38.01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F8-4350-9C9E-E5975F7681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5575425925925921"/>
          <c:y val="2.84435684920289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22-495A-9695-FA8643FFBA7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22-495A-9695-FA8643FFBA7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22-495A-9695-FA8643FFBA7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22-495A-9695-FA8643FFBA7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22-495A-9695-FA8643FFBA7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22-495A-9695-FA8643FFBA7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22-495A-9695-FA8643FFBA7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'223'!$E$6:$H$6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'223'!$E$62:$H$62</c:f>
              <c:numCache>
                <c:formatCode>0.00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22-495A-9695-FA8643FFBA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7452889982869085"/>
          <c:y val="1.5720052680743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53-4D80-95CF-023E0971996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53-4D80-95CF-023E0971996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53-4D80-95CF-023E0971996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53-4D80-95CF-023E0971996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D53-4D80-95CF-023E0971996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'223'!$I$6:$K$6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'223'!$I$62:$K$62</c:f>
              <c:numCache>
                <c:formatCode>0.00</c:formatCode>
                <c:ptCount val="3"/>
                <c:pt idx="0">
                  <c:v>0</c:v>
                </c:pt>
                <c:pt idx="1">
                  <c:v>63.87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D53-4D80-95CF-023E0971996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51458850329249"/>
          <c:y val="1.2329184368632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5853640503187857"/>
          <c:y val="0.20887597549209033"/>
          <c:w val="0.52128728227674659"/>
          <c:h val="0.753948753095691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F0E-4089-8693-E453961A26FA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F0E-4089-8693-E453961A26F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F0E-4089-8693-E453961A26F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F0E-4089-8693-E453961A26F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TT!$D$3:$G$3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TT!$D$16:$G$16</c:f>
              <c:numCache>
                <c:formatCode>0.00</c:formatCode>
                <c:ptCount val="4"/>
                <c:pt idx="0">
                  <c:v>0</c:v>
                </c:pt>
                <c:pt idx="1">
                  <c:v>182.38</c:v>
                </c:pt>
                <c:pt idx="2">
                  <c:v>197.70000000000002</c:v>
                </c:pt>
                <c:pt idx="3">
                  <c:v>14.099999999999994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F0E-4089-8693-E453961A26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4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</a:p>
          <a:p>
            <a:pPr>
              <a:defRPr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6625118951748943"/>
          <c:y val="1.23577520567872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093-42D2-92B6-3DB22224A47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093-42D2-92B6-3DB22224A475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093-42D2-92B6-3DB22224A475}"/>
              </c:ext>
            </c:extLst>
          </c:dPt>
          <c:dLbls>
            <c:dLbl>
              <c:idx val="1"/>
              <c:layout>
                <c:manualLayout>
                  <c:x val="5.3971149293790627E-2"/>
                  <c:y val="-0.2332347222222222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93-42D2-92B6-3DB22224A47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TT!$H$3:$J$3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TT!$H$16:$J$16</c:f>
              <c:numCache>
                <c:formatCode>0.00</c:formatCode>
                <c:ptCount val="3"/>
                <c:pt idx="0">
                  <c:v>186.69</c:v>
                </c:pt>
                <c:pt idx="1">
                  <c:v>212.17000000000002</c:v>
                </c:pt>
                <c:pt idx="2">
                  <c:v>159.79999999999995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93-42D2-92B6-3DB22224A4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406860</xdr:colOff>
      <xdr:row>11</xdr:row>
      <xdr:rowOff>268945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396AA-FA1D-4B51-9138-1F4645DA0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516775</xdr:colOff>
      <xdr:row>5</xdr:row>
      <xdr:rowOff>312964</xdr:rowOff>
    </xdr:from>
    <xdr:to>
      <xdr:col>36</xdr:col>
      <xdr:colOff>430374</xdr:colOff>
      <xdr:row>11</xdr:row>
      <xdr:rowOff>282084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9397D3-68A9-42A3-AA3C-031EDBFF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310786</xdr:rowOff>
    </xdr:from>
    <xdr:to>
      <xdr:col>27</xdr:col>
      <xdr:colOff>406860</xdr:colOff>
      <xdr:row>12</xdr:row>
      <xdr:rowOff>234136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155A89-EB72-4F39-B6B5-88DC7893F8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554875</xdr:colOff>
      <xdr:row>5</xdr:row>
      <xdr:rowOff>340178</xdr:rowOff>
    </xdr:from>
    <xdr:to>
      <xdr:col>36</xdr:col>
      <xdr:colOff>468475</xdr:colOff>
      <xdr:row>12</xdr:row>
      <xdr:rowOff>262396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DCC214-A760-428F-9364-95054050A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294824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1CCBAE-571F-4D22-A543-0F16D9B4C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508882</xdr:colOff>
      <xdr:row>5</xdr:row>
      <xdr:rowOff>312963</xdr:rowOff>
    </xdr:from>
    <xdr:to>
      <xdr:col>36</xdr:col>
      <xdr:colOff>422481</xdr:colOff>
      <xdr:row>11</xdr:row>
      <xdr:rowOff>309792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42B91A-8009-4356-A61F-C599C1BE5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D5D855-47CB-4610-9E84-4B6670C3B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38100</xdr:colOff>
      <xdr:row>5</xdr:row>
      <xdr:rowOff>304800</xdr:rowOff>
    </xdr:from>
    <xdr:to>
      <xdr:col>36</xdr:col>
      <xdr:colOff>561300</xdr:colOff>
      <xdr:row>11</xdr:row>
      <xdr:rowOff>228150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A46569-A46D-4A41-8C5A-049913291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267318</xdr:rowOff>
    </xdr:from>
    <xdr:to>
      <xdr:col>27</xdr:col>
      <xdr:colOff>406860</xdr:colOff>
      <xdr:row>11</xdr:row>
      <xdr:rowOff>223572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36A736-AD0F-4FE0-AE9D-2EF2B96BC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546302</xdr:colOff>
      <xdr:row>5</xdr:row>
      <xdr:rowOff>268741</xdr:rowOff>
    </xdr:from>
    <xdr:to>
      <xdr:col>36</xdr:col>
      <xdr:colOff>459902</xdr:colOff>
      <xdr:row>11</xdr:row>
      <xdr:rowOff>231057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905A63-A647-48E9-9835-7043A2782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217441</xdr:rowOff>
    </xdr:from>
    <xdr:to>
      <xdr:col>27</xdr:col>
      <xdr:colOff>406860</xdr:colOff>
      <xdr:row>11</xdr:row>
      <xdr:rowOff>220801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664B18-7E55-4FA0-A488-01E2E014D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598690</xdr:colOff>
      <xdr:row>5</xdr:row>
      <xdr:rowOff>187778</xdr:rowOff>
    </xdr:from>
    <xdr:to>
      <xdr:col>36</xdr:col>
      <xdr:colOff>512290</xdr:colOff>
      <xdr:row>11</xdr:row>
      <xdr:rowOff>217808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306763-00AE-40D1-9FE1-54A879690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B8D15A-A352-4840-9BEC-11F327B43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470943</xdr:colOff>
      <xdr:row>5</xdr:row>
      <xdr:rowOff>327852</xdr:rowOff>
    </xdr:from>
    <xdr:to>
      <xdr:col>36</xdr:col>
      <xdr:colOff>384543</xdr:colOff>
      <xdr:row>11</xdr:row>
      <xdr:rowOff>251202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445CD93-70FA-412D-8F2B-0A1D44527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E22CD8-9E10-46F0-8815-E95B77BE4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526300</xdr:colOff>
      <xdr:row>5</xdr:row>
      <xdr:rowOff>302078</xdr:rowOff>
    </xdr:from>
    <xdr:to>
      <xdr:col>36</xdr:col>
      <xdr:colOff>439900</xdr:colOff>
      <xdr:row>11</xdr:row>
      <xdr:rowOff>225428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36FE068-B999-4683-8113-D0541A532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F7CF32-7341-4ACF-AE3A-AA3803754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481669</xdr:colOff>
      <xdr:row>5</xdr:row>
      <xdr:rowOff>312964</xdr:rowOff>
    </xdr:from>
    <xdr:to>
      <xdr:col>36</xdr:col>
      <xdr:colOff>395268</xdr:colOff>
      <xdr:row>11</xdr:row>
      <xdr:rowOff>233593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B49E9E-43C1-4879-B63F-D19CFF6335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294824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28E957-F0DB-47E4-8C01-1F3FF1386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489833</xdr:colOff>
      <xdr:row>5</xdr:row>
      <xdr:rowOff>311708</xdr:rowOff>
    </xdr:from>
    <xdr:to>
      <xdr:col>36</xdr:col>
      <xdr:colOff>403433</xdr:colOff>
      <xdr:row>11</xdr:row>
      <xdr:rowOff>297651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A37B1B-773C-4BC6-9F04-53F15AD17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308881</xdr:rowOff>
    </xdr:from>
    <xdr:to>
      <xdr:col>27</xdr:col>
      <xdr:colOff>406860</xdr:colOff>
      <xdr:row>11</xdr:row>
      <xdr:rowOff>232231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BFE229-5338-4719-8EA7-63790943A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522490</xdr:colOff>
      <xdr:row>5</xdr:row>
      <xdr:rowOff>302078</xdr:rowOff>
    </xdr:from>
    <xdr:to>
      <xdr:col>36</xdr:col>
      <xdr:colOff>436090</xdr:colOff>
      <xdr:row>11</xdr:row>
      <xdr:rowOff>225428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A731A2-D10D-4B73-A3F8-085A832A0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59574</xdr:colOff>
      <xdr:row>4</xdr:row>
      <xdr:rowOff>324120</xdr:rowOff>
    </xdr:from>
    <xdr:to>
      <xdr:col>23</xdr:col>
      <xdr:colOff>561003</xdr:colOff>
      <xdr:row>14</xdr:row>
      <xdr:rowOff>108405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30C7AB9-ACFE-4DBD-A321-6B4561E37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16972</xdr:colOff>
      <xdr:row>4</xdr:row>
      <xdr:rowOff>319147</xdr:rowOff>
    </xdr:from>
    <xdr:to>
      <xdr:col>32</xdr:col>
      <xdr:colOff>510781</xdr:colOff>
      <xdr:row>14</xdr:row>
      <xdr:rowOff>109147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0E219AE-1EB0-48AB-9BB8-18C2C5FE8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169B-3A6A-4FF5-B468-D781E602B408}">
  <sheetPr>
    <pageSetUpPr fitToPage="1"/>
  </sheetPr>
  <dimension ref="A1:I17"/>
  <sheetViews>
    <sheetView view="pageBreakPreview" zoomScaleNormal="100" zoomScaleSheetLayoutView="100" workbookViewId="0">
      <selection activeCell="A4" sqref="A4"/>
    </sheetView>
  </sheetViews>
  <sheetFormatPr defaultColWidth="8.88671875" defaultRowHeight="13.8" x14ac:dyDescent="0.3"/>
  <cols>
    <col min="1" max="1" width="6.33203125" style="48" bestFit="1" customWidth="1"/>
    <col min="2" max="2" width="7.88671875" style="48" customWidth="1"/>
    <col min="3" max="3" width="75.44140625" style="49" customWidth="1"/>
    <col min="4" max="4" width="12" style="48" bestFit="1" customWidth="1"/>
    <col min="5" max="5" width="77.6640625" style="49" bestFit="1" customWidth="1"/>
    <col min="6" max="6" width="12.44140625" style="50" customWidth="1"/>
    <col min="7" max="7" width="5.5546875" style="48" bestFit="1" customWidth="1"/>
    <col min="8" max="8" width="10" style="48" bestFit="1" customWidth="1"/>
    <col min="9" max="9" width="10.6640625" style="48" bestFit="1" customWidth="1"/>
    <col min="10" max="16384" width="8.88671875" style="48"/>
  </cols>
  <sheetData>
    <row r="1" spans="1:9" ht="14.4" thickBot="1" x14ac:dyDescent="0.35">
      <c r="A1" s="51" t="s">
        <v>71</v>
      </c>
    </row>
    <row r="2" spans="1:9" x14ac:dyDescent="0.3">
      <c r="A2" s="52" t="s">
        <v>36</v>
      </c>
      <c r="B2" s="53" t="s">
        <v>69</v>
      </c>
      <c r="C2" s="54" t="s">
        <v>19</v>
      </c>
      <c r="D2" s="53" t="s">
        <v>37</v>
      </c>
      <c r="E2" s="54" t="s">
        <v>72</v>
      </c>
      <c r="F2" s="55" t="s">
        <v>70</v>
      </c>
      <c r="G2" s="56" t="s">
        <v>38</v>
      </c>
      <c r="H2" s="47">
        <v>45839</v>
      </c>
      <c r="I2" s="47">
        <v>45870</v>
      </c>
    </row>
    <row r="3" spans="1:9" ht="27.6" x14ac:dyDescent="0.3">
      <c r="A3" s="75">
        <v>11</v>
      </c>
      <c r="B3" s="76">
        <v>207</v>
      </c>
      <c r="C3" s="77" t="s">
        <v>22</v>
      </c>
      <c r="D3" s="76" t="s">
        <v>39</v>
      </c>
      <c r="E3" s="77" t="s">
        <v>40</v>
      </c>
      <c r="F3" s="78">
        <v>65.901646228800004</v>
      </c>
      <c r="G3" s="79" t="s">
        <v>41</v>
      </c>
    </row>
    <row r="4" spans="1:9" ht="27.6" x14ac:dyDescent="0.3">
      <c r="A4" s="66">
        <v>11</v>
      </c>
      <c r="B4" s="67">
        <v>208</v>
      </c>
      <c r="C4" s="68" t="s">
        <v>23</v>
      </c>
      <c r="D4" s="67" t="s">
        <v>42</v>
      </c>
      <c r="E4" s="68" t="s">
        <v>43</v>
      </c>
      <c r="F4" s="69">
        <v>41.632983258199999</v>
      </c>
      <c r="G4" s="70" t="s">
        <v>41</v>
      </c>
    </row>
    <row r="5" spans="1:9" x14ac:dyDescent="0.3">
      <c r="A5" s="75">
        <v>11</v>
      </c>
      <c r="B5" s="76">
        <v>211</v>
      </c>
      <c r="C5" s="77" t="s">
        <v>24</v>
      </c>
      <c r="D5" s="76" t="s">
        <v>44</v>
      </c>
      <c r="E5" s="77" t="s">
        <v>45</v>
      </c>
      <c r="F5" s="78">
        <v>41.818855395600004</v>
      </c>
      <c r="G5" s="79" t="s">
        <v>41</v>
      </c>
    </row>
    <row r="6" spans="1:9" s="71" customFormat="1" x14ac:dyDescent="0.3">
      <c r="A6" s="75">
        <v>11</v>
      </c>
      <c r="B6" s="76">
        <v>213</v>
      </c>
      <c r="C6" s="77" t="s">
        <v>25</v>
      </c>
      <c r="D6" s="76" t="s">
        <v>46</v>
      </c>
      <c r="E6" s="77" t="s">
        <v>47</v>
      </c>
      <c r="F6" s="78">
        <v>40.379494933700002</v>
      </c>
      <c r="G6" s="79" t="s">
        <v>41</v>
      </c>
    </row>
    <row r="7" spans="1:9" ht="27.6" x14ac:dyDescent="0.3">
      <c r="A7" s="75">
        <v>11</v>
      </c>
      <c r="B7" s="76">
        <v>214</v>
      </c>
      <c r="C7" s="77" t="s">
        <v>26</v>
      </c>
      <c r="D7" s="76" t="s">
        <v>48</v>
      </c>
      <c r="E7" s="77" t="s">
        <v>49</v>
      </c>
      <c r="F7" s="78">
        <v>45.214542429300003</v>
      </c>
      <c r="G7" s="79" t="s">
        <v>41</v>
      </c>
    </row>
    <row r="8" spans="1:9" ht="27.6" x14ac:dyDescent="0.3">
      <c r="A8" s="75">
        <v>11</v>
      </c>
      <c r="B8" s="76">
        <v>215</v>
      </c>
      <c r="C8" s="77" t="s">
        <v>27</v>
      </c>
      <c r="D8" s="76" t="s">
        <v>50</v>
      </c>
      <c r="E8" s="77" t="s">
        <v>51</v>
      </c>
      <c r="F8" s="78">
        <v>36.2810952038</v>
      </c>
      <c r="G8" s="79" t="s">
        <v>41</v>
      </c>
    </row>
    <row r="9" spans="1:9" s="71" customFormat="1" ht="27.6" x14ac:dyDescent="0.3">
      <c r="A9" s="75">
        <v>11</v>
      </c>
      <c r="B9" s="76">
        <v>216</v>
      </c>
      <c r="C9" s="77" t="s">
        <v>28</v>
      </c>
      <c r="D9" s="76" t="s">
        <v>52</v>
      </c>
      <c r="E9" s="77" t="s">
        <v>53</v>
      </c>
      <c r="F9" s="78">
        <v>1.9776353338799999</v>
      </c>
      <c r="G9" s="79" t="s">
        <v>41</v>
      </c>
    </row>
    <row r="10" spans="1:9" ht="27.6" x14ac:dyDescent="0.3">
      <c r="A10" s="75">
        <v>11</v>
      </c>
      <c r="B10" s="76">
        <v>216</v>
      </c>
      <c r="C10" s="77" t="s">
        <v>28</v>
      </c>
      <c r="D10" s="76" t="s">
        <v>54</v>
      </c>
      <c r="E10" s="77" t="s">
        <v>55</v>
      </c>
      <c r="F10" s="78">
        <v>31.591065380500002</v>
      </c>
      <c r="G10" s="79" t="s">
        <v>41</v>
      </c>
    </row>
    <row r="11" spans="1:9" ht="27.6" x14ac:dyDescent="0.3">
      <c r="A11" s="75">
        <v>11</v>
      </c>
      <c r="B11" s="76">
        <v>216</v>
      </c>
      <c r="C11" s="77" t="s">
        <v>28</v>
      </c>
      <c r="D11" s="76" t="s">
        <v>56</v>
      </c>
      <c r="E11" s="77" t="s">
        <v>57</v>
      </c>
      <c r="F11" s="78">
        <v>3.8962468263300001</v>
      </c>
      <c r="G11" s="79" t="s">
        <v>58</v>
      </c>
    </row>
    <row r="12" spans="1:9" ht="27.6" x14ac:dyDescent="0.3">
      <c r="A12" s="75">
        <v>11</v>
      </c>
      <c r="B12" s="76">
        <v>216</v>
      </c>
      <c r="C12" s="77" t="s">
        <v>28</v>
      </c>
      <c r="D12" s="76" t="s">
        <v>59</v>
      </c>
      <c r="E12" s="77" t="s">
        <v>60</v>
      </c>
      <c r="F12" s="78">
        <v>51.914828976000003</v>
      </c>
      <c r="G12" s="79" t="s">
        <v>58</v>
      </c>
    </row>
    <row r="13" spans="1:9" x14ac:dyDescent="0.3">
      <c r="A13" s="75">
        <v>11</v>
      </c>
      <c r="B13" s="76">
        <v>217</v>
      </c>
      <c r="C13" s="77" t="s">
        <v>29</v>
      </c>
      <c r="D13" s="76" t="s">
        <v>61</v>
      </c>
      <c r="E13" s="77" t="s">
        <v>62</v>
      </c>
      <c r="F13" s="78">
        <v>2.3779246433500001</v>
      </c>
      <c r="G13" s="79" t="s">
        <v>41</v>
      </c>
    </row>
    <row r="14" spans="1:9" x14ac:dyDescent="0.3">
      <c r="A14" s="75">
        <v>11</v>
      </c>
      <c r="B14" s="76">
        <v>221</v>
      </c>
      <c r="C14" s="77" t="s">
        <v>30</v>
      </c>
      <c r="D14" s="76" t="s">
        <v>63</v>
      </c>
      <c r="E14" s="77" t="s">
        <v>64</v>
      </c>
      <c r="F14" s="78">
        <v>77.104768097999994</v>
      </c>
      <c r="G14" s="79" t="s">
        <v>41</v>
      </c>
    </row>
    <row r="15" spans="1:9" x14ac:dyDescent="0.3">
      <c r="A15" s="75">
        <v>11</v>
      </c>
      <c r="B15" s="76">
        <v>222</v>
      </c>
      <c r="C15" s="77" t="s">
        <v>31</v>
      </c>
      <c r="D15" s="76" t="s">
        <v>65</v>
      </c>
      <c r="E15" s="77" t="s">
        <v>66</v>
      </c>
      <c r="F15" s="78">
        <v>38.012738455600001</v>
      </c>
      <c r="G15" s="79" t="s">
        <v>41</v>
      </c>
    </row>
    <row r="16" spans="1:9" ht="14.4" thickBot="1" x14ac:dyDescent="0.35">
      <c r="A16" s="82">
        <v>11</v>
      </c>
      <c r="B16" s="83">
        <v>223</v>
      </c>
      <c r="C16" s="84" t="s">
        <v>32</v>
      </c>
      <c r="D16" s="83" t="s">
        <v>67</v>
      </c>
      <c r="E16" s="84" t="s">
        <v>68</v>
      </c>
      <c r="F16" s="85">
        <v>63.874573671500002</v>
      </c>
      <c r="G16" s="86" t="s">
        <v>41</v>
      </c>
    </row>
    <row r="17" spans="6:6" x14ac:dyDescent="0.3">
      <c r="F17" s="50">
        <f>SUM(F3:F16)</f>
        <v>541.97839883456015</v>
      </c>
    </row>
  </sheetData>
  <autoFilter ref="A2:I2" xr:uid="{66CD169B-3A6A-4FF5-B468-D781E602B408}"/>
  <pageMargins left="0.51181102362204722" right="0.51181102362204722" top="0.78740157480314965" bottom="0.78740157480314965" header="0.31496062992125984" footer="0.31496062992125984"/>
  <pageSetup paperSize="9" scale="6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2F9C-EE0D-48B0-A5A8-D32DD818F317}">
  <dimension ref="A1:R68"/>
  <sheetViews>
    <sheetView view="pageBreakPreview" zoomScale="55" zoomScaleNormal="55" zoomScaleSheetLayoutView="55" workbookViewId="0">
      <selection activeCell="J11" sqref="J11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02">
        <v>46204</v>
      </c>
      <c r="K1" s="10"/>
      <c r="L1" s="104" t="s">
        <v>4</v>
      </c>
      <c r="M1" s="104"/>
      <c r="N1" s="106" t="s">
        <v>79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03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7" t="str">
        <f>TT!C4</f>
        <v>RODOVIA TO-181 - TRECHO ENTR. TO-255 - ENTR. TO-481 (CAPAO DO COCO)</v>
      </c>
      <c r="C3" s="13"/>
      <c r="D3" s="13"/>
      <c r="E3" s="14"/>
      <c r="F3" s="14"/>
      <c r="G3" s="14"/>
      <c r="H3" s="14"/>
      <c r="I3" s="14"/>
      <c r="J3" s="14"/>
      <c r="K3" s="14"/>
      <c r="L3" s="59" t="s">
        <v>73</v>
      </c>
      <c r="M3" s="59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39</v>
      </c>
      <c r="B7" s="19" t="s">
        <v>76</v>
      </c>
      <c r="C7" s="20">
        <v>0</v>
      </c>
      <c r="D7" s="20">
        <v>30</v>
      </c>
      <c r="E7" s="19"/>
      <c r="F7" s="19" t="s">
        <v>77</v>
      </c>
      <c r="G7" s="19"/>
      <c r="H7" s="19"/>
      <c r="I7" s="19" t="s">
        <v>77</v>
      </c>
      <c r="J7" s="19"/>
      <c r="K7" s="19"/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f>D7</f>
        <v>30</v>
      </c>
      <c r="D8" s="20">
        <v>65.900000000000006</v>
      </c>
      <c r="E8" s="19"/>
      <c r="F8" s="19"/>
      <c r="G8" s="19" t="s">
        <v>75</v>
      </c>
      <c r="H8" s="19"/>
      <c r="I8" s="19"/>
      <c r="J8" s="19" t="s">
        <v>77</v>
      </c>
      <c r="K8" s="19"/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x14ac:dyDescent="0.25">
      <c r="A25" s="18"/>
      <c r="B25" s="3"/>
      <c r="C25" s="20"/>
      <c r="D25" s="20"/>
      <c r="E25" s="19"/>
      <c r="F25" s="19"/>
      <c r="G25" s="19"/>
      <c r="H25" s="19"/>
      <c r="I25" s="19"/>
      <c r="J25" s="19"/>
      <c r="K25" s="19"/>
      <c r="L25" s="98"/>
      <c r="M25" s="98"/>
      <c r="N25" s="98"/>
      <c r="O25" s="98"/>
      <c r="P25" s="98"/>
      <c r="Q25" s="98"/>
      <c r="R25" s="99"/>
    </row>
    <row r="26" spans="1:18" ht="41.4" customHeight="1" x14ac:dyDescent="0.25">
      <c r="A26" s="18"/>
      <c r="B26" s="3"/>
      <c r="C26" s="20"/>
      <c r="D26" s="20"/>
      <c r="E26" s="19"/>
      <c r="F26" s="19"/>
      <c r="G26" s="19"/>
      <c r="H26" s="19"/>
      <c r="I26" s="19"/>
      <c r="J26" s="19"/>
      <c r="K26" s="19"/>
      <c r="L26" s="98"/>
      <c r="M26" s="98"/>
      <c r="N26" s="98"/>
      <c r="O26" s="98"/>
      <c r="P26" s="98"/>
      <c r="Q26" s="98"/>
      <c r="R26" s="99"/>
    </row>
    <row r="27" spans="1:18" ht="41.4" customHeight="1" x14ac:dyDescent="0.25">
      <c r="A27" s="18"/>
      <c r="B27" s="3"/>
      <c r="C27" s="20"/>
      <c r="D27" s="20"/>
      <c r="E27" s="19"/>
      <c r="F27" s="19"/>
      <c r="G27" s="19"/>
      <c r="H27" s="19"/>
      <c r="I27" s="19"/>
      <c r="J27" s="19"/>
      <c r="K27" s="19"/>
      <c r="L27" s="98"/>
      <c r="M27" s="98"/>
      <c r="N27" s="98"/>
      <c r="O27" s="98"/>
      <c r="P27" s="98"/>
      <c r="Q27" s="98"/>
      <c r="R27" s="99"/>
    </row>
    <row r="28" spans="1:18" ht="41.4" customHeight="1" x14ac:dyDescent="0.25">
      <c r="A28" s="18"/>
      <c r="B28" s="3"/>
      <c r="C28" s="20"/>
      <c r="D28" s="20"/>
      <c r="E28" s="19"/>
      <c r="F28" s="19"/>
      <c r="G28" s="19"/>
      <c r="H28" s="19"/>
      <c r="I28" s="19"/>
      <c r="J28" s="19"/>
      <c r="K28" s="19"/>
      <c r="L28" s="98"/>
      <c r="M28" s="98"/>
      <c r="N28" s="98"/>
      <c r="O28" s="98"/>
      <c r="P28" s="98"/>
      <c r="Q28" s="98"/>
      <c r="R28" s="99"/>
    </row>
    <row r="29" spans="1:18" ht="41.4" customHeight="1" thickBot="1" x14ac:dyDescent="0.3">
      <c r="A29" s="62"/>
      <c r="B29" s="63"/>
      <c r="C29" s="64"/>
      <c r="D29" s="64"/>
      <c r="E29" s="65"/>
      <c r="F29" s="65"/>
      <c r="G29" s="65"/>
      <c r="H29" s="65"/>
      <c r="I29" s="65"/>
      <c r="J29" s="65"/>
      <c r="K29" s="65"/>
      <c r="L29" s="113"/>
      <c r="M29" s="113"/>
      <c r="N29" s="113"/>
      <c r="O29" s="113"/>
      <c r="P29" s="113"/>
      <c r="Q29" s="113"/>
      <c r="R29" s="114"/>
    </row>
    <row r="30" spans="1:18" ht="41.4" customHeight="1" x14ac:dyDescent="0.25">
      <c r="A30" s="30"/>
      <c r="B30" s="30"/>
      <c r="C30" s="31"/>
      <c r="D30" s="31"/>
      <c r="E30" s="38"/>
      <c r="F30" s="38"/>
      <c r="G30" s="38"/>
      <c r="H30" s="38"/>
      <c r="I30" s="38"/>
      <c r="J30" s="38"/>
      <c r="K30" s="38"/>
      <c r="L30" s="115"/>
      <c r="M30" s="115"/>
      <c r="N30" s="115"/>
      <c r="O30" s="115"/>
      <c r="P30" s="115"/>
      <c r="Q30" s="115"/>
      <c r="R30" s="115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 t="str">
        <f>IF(E7="X",(D7-C7),"0")</f>
        <v>0</v>
      </c>
      <c r="F36" s="32">
        <f>IF(F7="X",(D7-C7),"0")</f>
        <v>30</v>
      </c>
      <c r="G36" s="32" t="str">
        <f>IF(G7="X",(D7-C7),"0")</f>
        <v>0</v>
      </c>
      <c r="H36" s="32" t="str">
        <f>IF(H7="X",(D7-C7),"0")</f>
        <v>0</v>
      </c>
      <c r="I36" s="32">
        <f>IF(I7="X",(D7-C7),"0")</f>
        <v>30</v>
      </c>
      <c r="J36" s="32" t="str">
        <f>IF(J7="X",(D7-C7),"0")</f>
        <v>0</v>
      </c>
      <c r="K36" s="32" t="str">
        <f>IF(K7="X",(D7-C7),"0")</f>
        <v>0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 t="str">
        <f t="shared" ref="E37:E61" si="0">IF(E8="X",(D8-C8),"0")</f>
        <v>0</v>
      </c>
      <c r="F37" s="32" t="str">
        <f t="shared" ref="F37:F61" si="1">IF(F8="X",(D8-C8),"0")</f>
        <v>0</v>
      </c>
      <c r="G37" s="32">
        <f t="shared" ref="G37:G61" si="2">IF(G8="X",(D8-C8),"0")</f>
        <v>35.900000000000006</v>
      </c>
      <c r="H37" s="32" t="str">
        <f t="shared" ref="H37:H61" si="3">IF(H8="X",(D8-C8),"0")</f>
        <v>0</v>
      </c>
      <c r="I37" s="32" t="str">
        <f t="shared" ref="I37:I61" si="4">IF(I8="X",(D8-C8),"0")</f>
        <v>0</v>
      </c>
      <c r="J37" s="32">
        <f t="shared" ref="J37:J61" si="5">IF(J8="X",(D8-C8),"0")</f>
        <v>35.900000000000006</v>
      </c>
      <c r="K37" s="32" t="str">
        <f t="shared" ref="K37:K61" si="6">IF(K8="X",(D8-C8),"0")</f>
        <v>0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 t="str">
        <f t="shared" si="2"/>
        <v>0</v>
      </c>
      <c r="H38" s="32" t="str">
        <f t="shared" si="3"/>
        <v>0</v>
      </c>
      <c r="I38" s="32" t="str">
        <f t="shared" si="4"/>
        <v>0</v>
      </c>
      <c r="J38" s="32" t="str">
        <f t="shared" si="5"/>
        <v>0</v>
      </c>
      <c r="K38" s="32" t="str">
        <f t="shared" si="6"/>
        <v>0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>
        <f>SUM(E36:E61)</f>
        <v>0</v>
      </c>
      <c r="F62" s="32">
        <f t="shared" ref="F62:K62" si="7">SUM(F36:F61)</f>
        <v>30</v>
      </c>
      <c r="G62" s="32">
        <f t="shared" si="7"/>
        <v>35.900000000000006</v>
      </c>
      <c r="H62" s="32">
        <f t="shared" si="7"/>
        <v>0</v>
      </c>
      <c r="I62" s="32">
        <f t="shared" si="7"/>
        <v>30</v>
      </c>
      <c r="J62" s="32">
        <f t="shared" si="7"/>
        <v>35.900000000000006</v>
      </c>
      <c r="K62" s="32">
        <f t="shared" si="7"/>
        <v>0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362204722" right="0.51181102362204722" top="0.78740157480314965" bottom="0.78740157480314965" header="0.31496062992125984" footer="0.31496062992125984"/>
  <pageSetup paperSize="9" scale="38" orientation="landscape" horizontalDpi="1200" verticalDpi="1200" r:id="rId1"/>
  <colBreaks count="1" manualBreakCount="1">
    <brk id="1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25C5-6581-4EBF-A1D9-B1774267C615}">
  <sheetPr>
    <tabColor theme="2"/>
  </sheetPr>
  <dimension ref="A1:R69"/>
  <sheetViews>
    <sheetView tabSelected="1" view="pageBreakPreview" topLeftCell="B1" zoomScale="55" zoomScaleNormal="55" zoomScaleSheetLayoutView="55" workbookViewId="0">
      <selection activeCell="F9" sqref="F9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02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03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TT!C5</f>
        <v>RODOVIA TO-181 - TRECHO ENTR. TO-481 (CAPAO DO COCO) - FAZENDA COBRAPE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s="5" customFormat="1" ht="46.2" customHeight="1" x14ac:dyDescent="0.3">
      <c r="A7" s="92"/>
      <c r="B7" s="6"/>
      <c r="C7" s="6"/>
      <c r="D7" s="6"/>
      <c r="E7" s="6"/>
      <c r="F7" s="7"/>
      <c r="G7" s="7"/>
      <c r="H7" s="7"/>
      <c r="I7" s="6"/>
      <c r="J7" s="6"/>
      <c r="K7" s="6"/>
      <c r="L7" s="6"/>
      <c r="M7" s="6"/>
      <c r="N7" s="6"/>
      <c r="O7" s="6"/>
      <c r="P7" s="6"/>
      <c r="Q7" s="6"/>
      <c r="R7" s="91"/>
    </row>
    <row r="8" spans="1:18" ht="41.4" customHeight="1" x14ac:dyDescent="0.25">
      <c r="A8" s="61" t="s">
        <v>42</v>
      </c>
      <c r="B8" s="19" t="s">
        <v>74</v>
      </c>
      <c r="C8" s="20">
        <v>0</v>
      </c>
      <c r="D8" s="20">
        <v>20</v>
      </c>
      <c r="E8" s="19" t="s">
        <v>75</v>
      </c>
      <c r="F8" s="19"/>
      <c r="G8" s="19"/>
      <c r="H8" s="19"/>
      <c r="I8" s="19"/>
      <c r="J8" s="19"/>
      <c r="K8" s="19" t="s">
        <v>75</v>
      </c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>
        <v>12</v>
      </c>
      <c r="D9" s="20">
        <v>41.63</v>
      </c>
      <c r="E9" s="19" t="s">
        <v>75</v>
      </c>
      <c r="F9" s="19"/>
      <c r="G9" s="19"/>
      <c r="H9" s="19"/>
      <c r="I9" s="19"/>
      <c r="J9" s="19"/>
      <c r="K9" s="19" t="s">
        <v>75</v>
      </c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>
        <v>12</v>
      </c>
      <c r="D10" s="20">
        <v>30</v>
      </c>
      <c r="E10" s="19"/>
      <c r="F10" s="19" t="s">
        <v>75</v>
      </c>
      <c r="G10" s="19"/>
      <c r="H10" s="19"/>
      <c r="I10" s="19"/>
      <c r="J10" s="19"/>
      <c r="K10" s="19" t="s">
        <v>75</v>
      </c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>
        <v>30</v>
      </c>
      <c r="D11" s="20">
        <v>41.63</v>
      </c>
      <c r="E11" s="19"/>
      <c r="F11" s="19"/>
      <c r="G11" s="19" t="s">
        <v>75</v>
      </c>
      <c r="H11" s="19"/>
      <c r="I11" s="19"/>
      <c r="J11" s="19"/>
      <c r="K11" s="19" t="s">
        <v>75</v>
      </c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61"/>
      <c r="B18" s="19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x14ac:dyDescent="0.25">
      <c r="A25" s="18"/>
      <c r="B25" s="3"/>
      <c r="C25" s="20"/>
      <c r="D25" s="20"/>
      <c r="E25" s="19"/>
      <c r="F25" s="19"/>
      <c r="G25" s="19"/>
      <c r="H25" s="19"/>
      <c r="I25" s="19"/>
      <c r="J25" s="19"/>
      <c r="K25" s="19"/>
      <c r="L25" s="98"/>
      <c r="M25" s="98"/>
      <c r="N25" s="98"/>
      <c r="O25" s="98"/>
      <c r="P25" s="98"/>
      <c r="Q25" s="98"/>
      <c r="R25" s="99"/>
    </row>
    <row r="26" spans="1:18" ht="41.4" customHeight="1" x14ac:dyDescent="0.25">
      <c r="A26" s="18"/>
      <c r="B26" s="3"/>
      <c r="C26" s="20"/>
      <c r="D26" s="20"/>
      <c r="E26" s="19"/>
      <c r="F26" s="19"/>
      <c r="G26" s="19"/>
      <c r="H26" s="19"/>
      <c r="I26" s="19"/>
      <c r="J26" s="19"/>
      <c r="K26" s="19"/>
      <c r="L26" s="98"/>
      <c r="M26" s="98"/>
      <c r="N26" s="98"/>
      <c r="O26" s="98"/>
      <c r="P26" s="98"/>
      <c r="Q26" s="98"/>
      <c r="R26" s="99"/>
    </row>
    <row r="27" spans="1:18" ht="41.4" customHeight="1" x14ac:dyDescent="0.25">
      <c r="A27" s="18"/>
      <c r="B27" s="3"/>
      <c r="C27" s="20"/>
      <c r="D27" s="20"/>
      <c r="E27" s="19"/>
      <c r="F27" s="19"/>
      <c r="G27" s="19"/>
      <c r="H27" s="19"/>
      <c r="I27" s="19"/>
      <c r="J27" s="19"/>
      <c r="K27" s="19"/>
      <c r="L27" s="98"/>
      <c r="M27" s="98"/>
      <c r="N27" s="98"/>
      <c r="O27" s="98"/>
      <c r="P27" s="98"/>
      <c r="Q27" s="98"/>
      <c r="R27" s="99"/>
    </row>
    <row r="28" spans="1:18" ht="41.4" customHeight="1" thickBot="1" x14ac:dyDescent="0.3">
      <c r="A28" s="62"/>
      <c r="B28" s="63"/>
      <c r="C28" s="64"/>
      <c r="D28" s="64"/>
      <c r="E28" s="65"/>
      <c r="F28" s="65"/>
      <c r="G28" s="65"/>
      <c r="H28" s="65"/>
      <c r="I28" s="65"/>
      <c r="J28" s="65"/>
      <c r="K28" s="65"/>
      <c r="L28" s="113"/>
      <c r="M28" s="113"/>
      <c r="N28" s="113"/>
      <c r="O28" s="113"/>
      <c r="P28" s="113"/>
      <c r="Q28" s="113"/>
      <c r="R28" s="114"/>
    </row>
    <row r="29" spans="1:18" ht="41.4" customHeight="1" x14ac:dyDescent="0.25">
      <c r="A29" s="30"/>
      <c r="B29" s="30"/>
      <c r="C29" s="31"/>
      <c r="D29" s="31"/>
      <c r="E29" s="38"/>
      <c r="F29" s="38"/>
      <c r="G29" s="38"/>
      <c r="H29" s="38"/>
      <c r="I29" s="38"/>
      <c r="J29" s="38"/>
      <c r="K29" s="38"/>
      <c r="L29" s="115"/>
      <c r="M29" s="115"/>
      <c r="N29" s="115"/>
      <c r="O29" s="115"/>
      <c r="P29" s="115"/>
      <c r="Q29" s="115"/>
      <c r="R29" s="115"/>
    </row>
    <row r="30" spans="1:18" ht="41.4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112"/>
      <c r="M30" s="112"/>
      <c r="N30" s="112"/>
      <c r="O30" s="112"/>
      <c r="P30" s="112"/>
      <c r="Q30" s="112"/>
      <c r="R30" s="112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3"/>
      <c r="F36" s="33"/>
      <c r="G36" s="33"/>
      <c r="H36" s="33"/>
      <c r="I36" s="33"/>
      <c r="J36" s="33"/>
      <c r="K36" s="33"/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>
        <f>IF(E8="X",(D8-C8),"0")</f>
        <v>20</v>
      </c>
      <c r="F37" s="32" t="str">
        <f>IF(F8="X",(D8-C8),"0")</f>
        <v>0</v>
      </c>
      <c r="G37" s="32" t="str">
        <f>IF(G8="X",(D8-C8),"0")</f>
        <v>0</v>
      </c>
      <c r="H37" s="32" t="str">
        <f>IF(H8="X",(D8-C8),"0")</f>
        <v>0</v>
      </c>
      <c r="I37" s="32" t="str">
        <f>IF(I8="X",(D8-C8),"0")</f>
        <v>0</v>
      </c>
      <c r="J37" s="32" t="str">
        <f>IF(J8="X",(D8-C8),"0")</f>
        <v>0</v>
      </c>
      <c r="K37" s="32">
        <f>IF(K8="X",(D8-C8),"0")</f>
        <v>20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>
        <f t="shared" ref="E38:E62" si="0">IF(E9="X",(D9-C9),"0")</f>
        <v>29.630000000000003</v>
      </c>
      <c r="F38" s="32" t="str">
        <f t="shared" ref="F38:F62" si="1">IF(F9="X",(D9-C9),"0")</f>
        <v>0</v>
      </c>
      <c r="G38" s="32" t="str">
        <f t="shared" ref="G38:G62" si="2">IF(G9="X",(D9-C9),"0")</f>
        <v>0</v>
      </c>
      <c r="H38" s="32" t="str">
        <f t="shared" ref="H38:H62" si="3">IF(H9="X",(D9-C9),"0")</f>
        <v>0</v>
      </c>
      <c r="I38" s="32" t="str">
        <f t="shared" ref="I38:I62" si="4">IF(I9="X",(D9-C9),"0")</f>
        <v>0</v>
      </c>
      <c r="J38" s="32" t="str">
        <f t="shared" ref="J38:J62" si="5">IF(J9="X",(D9-C9),"0")</f>
        <v>0</v>
      </c>
      <c r="K38" s="32">
        <f t="shared" ref="K38:K62" si="6">IF(K9="X",(D9-C9),"0")</f>
        <v>29.630000000000003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0"/>
        <v>0</v>
      </c>
      <c r="F39" s="32">
        <f t="shared" si="1"/>
        <v>18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>
        <f t="shared" si="6"/>
        <v>18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>
        <f t="shared" si="2"/>
        <v>11.630000000000003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>
        <f t="shared" si="6"/>
        <v>11.630000000000003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 t="str">
        <f t="shared" si="0"/>
        <v>0</v>
      </c>
      <c r="F62" s="32" t="str">
        <f t="shared" si="1"/>
        <v>0</v>
      </c>
      <c r="G62" s="32" t="str">
        <f t="shared" si="2"/>
        <v>0</v>
      </c>
      <c r="H62" s="32" t="str">
        <f t="shared" si="3"/>
        <v>0</v>
      </c>
      <c r="I62" s="32" t="str">
        <f t="shared" si="4"/>
        <v>0</v>
      </c>
      <c r="J62" s="32" t="str">
        <f t="shared" si="5"/>
        <v>0</v>
      </c>
      <c r="K62" s="32" t="str">
        <f t="shared" si="6"/>
        <v>0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>
        <f t="shared" ref="E63:J63" si="7">SUM(E37:E62)</f>
        <v>49.63</v>
      </c>
      <c r="F63" s="32">
        <f t="shared" si="7"/>
        <v>18</v>
      </c>
      <c r="G63" s="32">
        <f t="shared" si="7"/>
        <v>11.630000000000003</v>
      </c>
      <c r="H63" s="32">
        <f t="shared" si="7"/>
        <v>0</v>
      </c>
      <c r="I63" s="32">
        <f t="shared" si="7"/>
        <v>0</v>
      </c>
      <c r="J63" s="32">
        <f t="shared" si="7"/>
        <v>0</v>
      </c>
      <c r="K63" s="32">
        <f t="shared" ref="K63" si="8">SUM(K37:K62)</f>
        <v>79.259999999999991</v>
      </c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  <row r="69" spans="3:18" ht="41.4" customHeight="1" x14ac:dyDescent="0.25">
      <c r="C69" s="32"/>
      <c r="D69" s="32"/>
      <c r="E69" s="32"/>
      <c r="F69" s="33"/>
      <c r="G69" s="33"/>
      <c r="H69" s="33"/>
      <c r="I69" s="33"/>
      <c r="J69" s="33"/>
      <c r="K69" s="33"/>
      <c r="L69" s="112"/>
      <c r="M69" s="112"/>
      <c r="N69" s="112"/>
      <c r="O69" s="112"/>
      <c r="P69" s="112"/>
      <c r="Q69" s="112"/>
      <c r="R69" s="112"/>
    </row>
  </sheetData>
  <mergeCells count="73">
    <mergeCell ref="A5:A6"/>
    <mergeCell ref="B5:B6"/>
    <mergeCell ref="C5:C6"/>
    <mergeCell ref="D5:D6"/>
    <mergeCell ref="E5:H5"/>
    <mergeCell ref="L12:R12"/>
    <mergeCell ref="I1:I2"/>
    <mergeCell ref="J1:J2"/>
    <mergeCell ref="L1:M2"/>
    <mergeCell ref="N1:R2"/>
    <mergeCell ref="I5:K5"/>
    <mergeCell ref="L5:R6"/>
    <mergeCell ref="L8:R8"/>
    <mergeCell ref="L9:R9"/>
    <mergeCell ref="L10:R10"/>
    <mergeCell ref="L11:R11"/>
    <mergeCell ref="L24:R24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23:R23"/>
    <mergeCell ref="L36:R36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35:R35"/>
    <mergeCell ref="L48:R48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47:R47"/>
    <mergeCell ref="L60:R60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7:R67"/>
    <mergeCell ref="L68:R68"/>
    <mergeCell ref="L69:R69"/>
    <mergeCell ref="L61:R61"/>
    <mergeCell ref="L62:R62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9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808F-B202-4248-86EA-A4C237C77547}">
  <sheetPr>
    <tabColor theme="2"/>
  </sheetPr>
  <dimension ref="A1:R68"/>
  <sheetViews>
    <sheetView view="pageBreakPreview" zoomScale="55" zoomScaleNormal="55" zoomScaleSheetLayoutView="55" workbookViewId="0">
      <selection activeCell="F10" sqref="F10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16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17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TT!C6</f>
        <v>RODOVIA TO-181 - TRECHO FUNDAÇÃO BRADESCO - ENTR. TO-070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44</v>
      </c>
      <c r="B7" s="19" t="s">
        <v>78</v>
      </c>
      <c r="C7" s="20">
        <v>0</v>
      </c>
      <c r="D7" s="20">
        <v>30</v>
      </c>
      <c r="E7" s="19"/>
      <c r="F7" s="19" t="s">
        <v>75</v>
      </c>
      <c r="G7" s="19"/>
      <c r="H7" s="19"/>
      <c r="I7" s="19"/>
      <c r="J7" s="19" t="s">
        <v>75</v>
      </c>
      <c r="K7" s="19"/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v>30</v>
      </c>
      <c r="D8" s="20">
        <v>41.82</v>
      </c>
      <c r="E8" s="19"/>
      <c r="F8" s="19"/>
      <c r="G8" s="19" t="s">
        <v>75</v>
      </c>
      <c r="H8" s="19"/>
      <c r="I8" s="19"/>
      <c r="J8" s="19" t="s">
        <v>75</v>
      </c>
      <c r="K8" s="19"/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x14ac:dyDescent="0.25">
      <c r="A25" s="18"/>
      <c r="B25" s="3"/>
      <c r="C25" s="20"/>
      <c r="D25" s="20"/>
      <c r="E25" s="19"/>
      <c r="F25" s="19"/>
      <c r="G25" s="19"/>
      <c r="H25" s="19"/>
      <c r="I25" s="19"/>
      <c r="J25" s="19"/>
      <c r="K25" s="19"/>
      <c r="L25" s="98"/>
      <c r="M25" s="98"/>
      <c r="N25" s="98"/>
      <c r="O25" s="98"/>
      <c r="P25" s="98"/>
      <c r="Q25" s="98"/>
      <c r="R25" s="99"/>
    </row>
    <row r="26" spans="1:18" ht="41.4" customHeight="1" thickBot="1" x14ac:dyDescent="0.3">
      <c r="A26" s="62"/>
      <c r="B26" s="63"/>
      <c r="C26" s="64"/>
      <c r="D26" s="64"/>
      <c r="E26" s="65"/>
      <c r="F26" s="65"/>
      <c r="G26" s="65"/>
      <c r="H26" s="65"/>
      <c r="I26" s="65"/>
      <c r="J26" s="65"/>
      <c r="K26" s="65"/>
      <c r="L26" s="113"/>
      <c r="M26" s="113"/>
      <c r="N26" s="113"/>
      <c r="O26" s="113"/>
      <c r="P26" s="113"/>
      <c r="Q26" s="113"/>
      <c r="R26" s="114"/>
    </row>
    <row r="27" spans="1:18" ht="41.4" customHeight="1" x14ac:dyDescent="0.25">
      <c r="A27" s="30"/>
      <c r="B27" s="30"/>
      <c r="C27" s="31"/>
      <c r="D27" s="31"/>
      <c r="E27" s="38"/>
      <c r="F27" s="38"/>
      <c r="G27" s="38"/>
      <c r="H27" s="38"/>
      <c r="I27" s="38"/>
      <c r="J27" s="38"/>
      <c r="K27" s="38"/>
      <c r="L27" s="115"/>
      <c r="M27" s="115"/>
      <c r="N27" s="115"/>
      <c r="O27" s="115"/>
      <c r="P27" s="115"/>
      <c r="Q27" s="115"/>
      <c r="R27" s="115"/>
    </row>
    <row r="28" spans="1:18" ht="41.4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112"/>
      <c r="M28" s="112"/>
      <c r="N28" s="112"/>
      <c r="O28" s="112"/>
      <c r="P28" s="112"/>
      <c r="Q28" s="112"/>
      <c r="R28" s="112"/>
    </row>
    <row r="29" spans="1:18" ht="41.4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112"/>
      <c r="M29" s="112"/>
      <c r="N29" s="112"/>
      <c r="O29" s="112"/>
      <c r="P29" s="112"/>
      <c r="Q29" s="112"/>
      <c r="R29" s="112"/>
    </row>
    <row r="30" spans="1:18" ht="41.4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112"/>
      <c r="M30" s="112"/>
      <c r="N30" s="112"/>
      <c r="O30" s="112"/>
      <c r="P30" s="112"/>
      <c r="Q30" s="112"/>
      <c r="R30" s="112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 t="str">
        <f>IF(E7="X",(D7-C7),"0")</f>
        <v>0</v>
      </c>
      <c r="F36" s="32">
        <f>IF(F7="X",(D7-C7),"0")</f>
        <v>30</v>
      </c>
      <c r="G36" s="32" t="str">
        <f>IF(G7="X",(D7-C7),"0")</f>
        <v>0</v>
      </c>
      <c r="H36" s="32" t="str">
        <f>IF(H7="X",(D7-C7),"0")</f>
        <v>0</v>
      </c>
      <c r="I36" s="32" t="str">
        <f>IF(I7="X",(D7-C7),"0")</f>
        <v>0</v>
      </c>
      <c r="J36" s="32">
        <f>IF(J7="X",(D7-C7),"0")</f>
        <v>30</v>
      </c>
      <c r="K36" s="32" t="str">
        <f>IF(K7="X",(D7-C7),"0")</f>
        <v>0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 t="str">
        <f t="shared" ref="E37:E61" si="0">IF(E8="X",(D8-C8),"0")</f>
        <v>0</v>
      </c>
      <c r="F37" s="32" t="str">
        <f t="shared" ref="F37:F61" si="1">IF(F8="X",(D8-C8),"0")</f>
        <v>0</v>
      </c>
      <c r="G37" s="32">
        <f t="shared" ref="G37:G61" si="2">IF(G8="X",(D8-C8),"0")</f>
        <v>11.82</v>
      </c>
      <c r="H37" s="32" t="str">
        <f t="shared" ref="H37:H61" si="3">IF(H8="X",(D8-C8),"0")</f>
        <v>0</v>
      </c>
      <c r="I37" s="32" t="str">
        <f t="shared" ref="I37:I61" si="4">IF(I8="X",(D8-C8),"0")</f>
        <v>0</v>
      </c>
      <c r="J37" s="32">
        <f t="shared" ref="J37:J61" si="5">IF(J8="X",(D8-C8),"0")</f>
        <v>11.82</v>
      </c>
      <c r="K37" s="32" t="str">
        <f t="shared" ref="K37:K61" si="6">IF(K8="X",(D8-C8),"0")</f>
        <v>0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 t="str">
        <f t="shared" si="2"/>
        <v>0</v>
      </c>
      <c r="H38" s="32" t="str">
        <f t="shared" si="3"/>
        <v>0</v>
      </c>
      <c r="I38" s="32" t="str">
        <f t="shared" si="4"/>
        <v>0</v>
      </c>
      <c r="J38" s="32" t="str">
        <f t="shared" si="5"/>
        <v>0</v>
      </c>
      <c r="K38" s="32" t="str">
        <f t="shared" si="6"/>
        <v>0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>
        <f>SUM(E36:E61)</f>
        <v>0</v>
      </c>
      <c r="F62" s="32">
        <f t="shared" ref="F62:K62" si="7">SUM(F36:F61)</f>
        <v>30</v>
      </c>
      <c r="G62" s="32">
        <f t="shared" si="7"/>
        <v>11.82</v>
      </c>
      <c r="H62" s="32">
        <f t="shared" si="7"/>
        <v>0</v>
      </c>
      <c r="I62" s="32">
        <f t="shared" si="7"/>
        <v>0</v>
      </c>
      <c r="J62" s="32">
        <f t="shared" si="7"/>
        <v>41.82</v>
      </c>
      <c r="K62" s="32">
        <f t="shared" si="7"/>
        <v>0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E40F-D2EE-4428-AB7B-F408EBC92E2E}">
  <sheetPr>
    <tabColor theme="2"/>
  </sheetPr>
  <dimension ref="A1:R68"/>
  <sheetViews>
    <sheetView view="pageBreakPreview" zoomScale="55" zoomScaleNormal="55" zoomScaleSheetLayoutView="55" workbookViewId="0">
      <selection activeCell="F9" sqref="F9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16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17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TT!C7</f>
        <v>RODOVIA TO-181 - TRECHO ARAGUAÇU - DIVISA TO-GO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46</v>
      </c>
      <c r="B7" s="19" t="s">
        <v>78</v>
      </c>
      <c r="C7" s="20">
        <v>0</v>
      </c>
      <c r="D7" s="20">
        <v>13</v>
      </c>
      <c r="E7" s="19"/>
      <c r="F7" s="19"/>
      <c r="G7" s="19"/>
      <c r="H7" s="19" t="s">
        <v>75</v>
      </c>
      <c r="I7" s="19"/>
      <c r="J7" s="19" t="s">
        <v>75</v>
      </c>
      <c r="K7" s="19" t="s">
        <v>75</v>
      </c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f>D7</f>
        <v>13</v>
      </c>
      <c r="D8" s="20">
        <v>40.380000000000003</v>
      </c>
      <c r="E8" s="19"/>
      <c r="F8" s="19"/>
      <c r="G8" s="19" t="s">
        <v>75</v>
      </c>
      <c r="H8" s="19"/>
      <c r="I8" s="19"/>
      <c r="J8" s="19" t="s">
        <v>75</v>
      </c>
      <c r="K8" s="19" t="s">
        <v>75</v>
      </c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thickBot="1" x14ac:dyDescent="0.3">
      <c r="A25" s="62"/>
      <c r="B25" s="63"/>
      <c r="C25" s="64"/>
      <c r="D25" s="64"/>
      <c r="E25" s="65"/>
      <c r="F25" s="65"/>
      <c r="G25" s="65"/>
      <c r="H25" s="65"/>
      <c r="I25" s="65"/>
      <c r="J25" s="65"/>
      <c r="K25" s="65"/>
      <c r="L25" s="113"/>
      <c r="M25" s="113"/>
      <c r="N25" s="113"/>
      <c r="O25" s="113"/>
      <c r="P25" s="113"/>
      <c r="Q25" s="113"/>
      <c r="R25" s="114"/>
    </row>
    <row r="26" spans="1:18" ht="41.4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115"/>
      <c r="M26" s="115"/>
      <c r="N26" s="115"/>
      <c r="O26" s="115"/>
      <c r="P26" s="115"/>
      <c r="Q26" s="115"/>
      <c r="R26" s="115"/>
    </row>
    <row r="27" spans="1:18" ht="41.4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112"/>
      <c r="M27" s="112"/>
      <c r="N27" s="112"/>
      <c r="O27" s="112"/>
      <c r="P27" s="112"/>
      <c r="Q27" s="112"/>
      <c r="R27" s="112"/>
    </row>
    <row r="28" spans="1:18" ht="41.4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112"/>
      <c r="M28" s="112"/>
      <c r="N28" s="112"/>
      <c r="O28" s="112"/>
      <c r="P28" s="112"/>
      <c r="Q28" s="112"/>
      <c r="R28" s="112"/>
    </row>
    <row r="29" spans="1:18" ht="41.4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112"/>
      <c r="M29" s="112"/>
      <c r="N29" s="112"/>
      <c r="O29" s="112"/>
      <c r="P29" s="112"/>
      <c r="Q29" s="112"/>
      <c r="R29" s="112"/>
    </row>
    <row r="30" spans="1:18" ht="41.4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112"/>
      <c r="M30" s="112"/>
      <c r="N30" s="112"/>
      <c r="O30" s="112"/>
      <c r="P30" s="112"/>
      <c r="Q30" s="112"/>
      <c r="R30" s="112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 t="str">
        <f>IF(E7="X",(D7-C7),"0")</f>
        <v>0</v>
      </c>
      <c r="F36" s="32" t="str">
        <f>IF(F7="X",(D7-C7),"0")</f>
        <v>0</v>
      </c>
      <c r="G36" s="32" t="str">
        <f>IF(G7="X",(D7-C7),"0")</f>
        <v>0</v>
      </c>
      <c r="H36" s="32">
        <f>IF(H7="X",(D7-C7),"0")</f>
        <v>13</v>
      </c>
      <c r="I36" s="32" t="str">
        <f>IF(I7="X",(D7-C7),"0")</f>
        <v>0</v>
      </c>
      <c r="J36" s="32">
        <f>IF(J7="X",(D7-C7),"0")</f>
        <v>13</v>
      </c>
      <c r="K36" s="32">
        <f>IF(K7="X",(D7-C7),"0")</f>
        <v>13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 t="str">
        <f t="shared" ref="E37:E61" si="0">IF(E8="X",(D8-C8),"0")</f>
        <v>0</v>
      </c>
      <c r="F37" s="32" t="str">
        <f t="shared" ref="F37:F61" si="1">IF(F8="X",(D8-C8),"0")</f>
        <v>0</v>
      </c>
      <c r="G37" s="32">
        <f t="shared" ref="G37:G61" si="2">IF(G8="X",(D8-C8),"0")</f>
        <v>27.380000000000003</v>
      </c>
      <c r="H37" s="32" t="str">
        <f t="shared" ref="H37:H61" si="3">IF(H8="X",(D8-C8),"0")</f>
        <v>0</v>
      </c>
      <c r="I37" s="32" t="str">
        <f t="shared" ref="I37:I61" si="4">IF(I8="X",(D8-C8),"0")</f>
        <v>0</v>
      </c>
      <c r="J37" s="32">
        <f t="shared" ref="J37:J61" si="5">IF(J8="X",(D8-C8),"0")</f>
        <v>27.380000000000003</v>
      </c>
      <c r="K37" s="32">
        <f t="shared" ref="K37:K61" si="6">IF(K8="X",(D8-C8),"0")</f>
        <v>27.380000000000003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 t="str">
        <f t="shared" si="2"/>
        <v>0</v>
      </c>
      <c r="H38" s="32" t="str">
        <f t="shared" si="3"/>
        <v>0</v>
      </c>
      <c r="I38" s="32" t="str">
        <f t="shared" si="4"/>
        <v>0</v>
      </c>
      <c r="J38" s="32" t="str">
        <f t="shared" si="5"/>
        <v>0</v>
      </c>
      <c r="K38" s="32" t="str">
        <f t="shared" si="6"/>
        <v>0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>
        <f>SUM(E36:E61)</f>
        <v>0</v>
      </c>
      <c r="F62" s="32">
        <f t="shared" ref="F62:K62" si="7">SUM(F36:F61)</f>
        <v>0</v>
      </c>
      <c r="G62" s="32">
        <f t="shared" si="7"/>
        <v>27.380000000000003</v>
      </c>
      <c r="H62" s="32">
        <f t="shared" si="7"/>
        <v>13</v>
      </c>
      <c r="I62" s="32">
        <f t="shared" si="7"/>
        <v>0</v>
      </c>
      <c r="J62" s="32">
        <f t="shared" si="7"/>
        <v>40.380000000000003</v>
      </c>
      <c r="K62" s="32">
        <f t="shared" si="7"/>
        <v>40.380000000000003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1937-B285-4D63-AC10-25E7CDA0323A}">
  <sheetPr>
    <tabColor theme="2"/>
  </sheetPr>
  <dimension ref="A1:R69"/>
  <sheetViews>
    <sheetView view="pageBreakPreview" zoomScale="55" zoomScaleNormal="55" zoomScaleSheetLayoutView="55" workbookViewId="0">
      <selection activeCell="F8" sqref="F8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15.5546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16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17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TT!C8</f>
        <v>RODOVIA TO-362 - TRECHO SANTA RITA DO TOCANTINS - BREJINHO DE NAZARÉ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thickBot="1" x14ac:dyDescent="0.35">
      <c r="A6" s="122"/>
      <c r="B6" s="118"/>
      <c r="C6" s="118"/>
      <c r="D6" s="118"/>
      <c r="E6" s="72" t="s">
        <v>2</v>
      </c>
      <c r="F6" s="73" t="s">
        <v>15</v>
      </c>
      <c r="G6" s="73" t="s">
        <v>16</v>
      </c>
      <c r="H6" s="73" t="s">
        <v>17</v>
      </c>
      <c r="I6" s="72" t="s">
        <v>12</v>
      </c>
      <c r="J6" s="72" t="s">
        <v>13</v>
      </c>
      <c r="K6" s="72" t="s">
        <v>14</v>
      </c>
      <c r="L6" s="118"/>
      <c r="M6" s="118"/>
      <c r="N6" s="118"/>
      <c r="O6" s="118"/>
      <c r="P6" s="118"/>
      <c r="Q6" s="118"/>
      <c r="R6" s="119"/>
    </row>
    <row r="7" spans="1:18" ht="41.4" customHeight="1" x14ac:dyDescent="0.25">
      <c r="A7" s="61" t="s">
        <v>48</v>
      </c>
      <c r="B7" s="19" t="s">
        <v>74</v>
      </c>
      <c r="C7" s="20">
        <v>0</v>
      </c>
      <c r="D7" s="20">
        <v>2</v>
      </c>
      <c r="E7" s="19"/>
      <c r="F7" s="19" t="s">
        <v>75</v>
      </c>
      <c r="G7" s="19"/>
      <c r="H7" s="19"/>
      <c r="I7" s="19" t="s">
        <v>75</v>
      </c>
      <c r="J7" s="19"/>
      <c r="K7" s="19"/>
      <c r="L7" s="120"/>
      <c r="M7" s="120"/>
      <c r="N7" s="120"/>
      <c r="O7" s="120"/>
      <c r="P7" s="120"/>
      <c r="Q7" s="120"/>
      <c r="R7" s="121"/>
    </row>
    <row r="8" spans="1:18" ht="41.4" customHeight="1" x14ac:dyDescent="0.25">
      <c r="A8" s="61"/>
      <c r="B8" s="19"/>
      <c r="C8" s="20">
        <v>2</v>
      </c>
      <c r="D8" s="20">
        <v>15</v>
      </c>
      <c r="E8" s="19"/>
      <c r="F8" s="19" t="s">
        <v>75</v>
      </c>
      <c r="G8" s="19"/>
      <c r="H8" s="19"/>
      <c r="I8" s="19" t="s">
        <v>75</v>
      </c>
      <c r="J8" s="19"/>
      <c r="K8" s="19"/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>
        <v>15</v>
      </c>
      <c r="D9" s="20">
        <v>17</v>
      </c>
      <c r="E9" s="19"/>
      <c r="F9" s="19"/>
      <c r="G9" s="19" t="s">
        <v>75</v>
      </c>
      <c r="H9" s="19"/>
      <c r="I9" s="19" t="s">
        <v>75</v>
      </c>
      <c r="J9" s="19"/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>
        <v>17</v>
      </c>
      <c r="D10" s="20">
        <v>18.5</v>
      </c>
      <c r="E10" s="19"/>
      <c r="F10" s="19"/>
      <c r="G10" s="19" t="s">
        <v>75</v>
      </c>
      <c r="H10" s="19"/>
      <c r="I10" s="19" t="s">
        <v>75</v>
      </c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>
        <v>18.5</v>
      </c>
      <c r="D11" s="20">
        <v>35</v>
      </c>
      <c r="E11" s="19"/>
      <c r="F11" s="19"/>
      <c r="G11" s="19" t="s">
        <v>75</v>
      </c>
      <c r="H11" s="19"/>
      <c r="I11" s="19" t="s">
        <v>75</v>
      </c>
      <c r="J11" s="19"/>
      <c r="K11" s="19"/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>
        <v>35</v>
      </c>
      <c r="D12" s="20">
        <v>40</v>
      </c>
      <c r="E12" s="19"/>
      <c r="F12" s="19"/>
      <c r="G12" s="19" t="s">
        <v>75</v>
      </c>
      <c r="H12" s="19"/>
      <c r="I12" s="19" t="s">
        <v>75</v>
      </c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>
        <v>40</v>
      </c>
      <c r="D13" s="20">
        <v>42</v>
      </c>
      <c r="E13" s="19"/>
      <c r="F13" s="19"/>
      <c r="G13" s="19" t="s">
        <v>75</v>
      </c>
      <c r="H13" s="19"/>
      <c r="I13" s="19" t="s">
        <v>75</v>
      </c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>
        <v>42</v>
      </c>
      <c r="D14" s="20">
        <v>45.21</v>
      </c>
      <c r="E14" s="19"/>
      <c r="F14" s="19"/>
      <c r="G14" s="19" t="s">
        <v>75</v>
      </c>
      <c r="H14" s="19"/>
      <c r="I14" s="19" t="s">
        <v>75</v>
      </c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61"/>
      <c r="B18" s="19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61"/>
      <c r="B19" s="19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61"/>
      <c r="B20" s="19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61"/>
      <c r="B21" s="19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61"/>
      <c r="B22" s="19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61"/>
      <c r="B23" s="19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61"/>
      <c r="B24" s="19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x14ac:dyDescent="0.25">
      <c r="A25" s="61"/>
      <c r="B25" s="19"/>
      <c r="C25" s="20"/>
      <c r="D25" s="20"/>
      <c r="E25" s="19"/>
      <c r="F25" s="19"/>
      <c r="G25" s="19"/>
      <c r="H25" s="19"/>
      <c r="I25" s="19"/>
      <c r="J25" s="19"/>
      <c r="K25" s="19"/>
      <c r="L25" s="98"/>
      <c r="M25" s="98"/>
      <c r="N25" s="98"/>
      <c r="O25" s="98"/>
      <c r="P25" s="98"/>
      <c r="Q25" s="98"/>
      <c r="R25" s="99"/>
    </row>
    <row r="26" spans="1:18" ht="41.4" customHeight="1" x14ac:dyDescent="0.25">
      <c r="A26" s="61"/>
      <c r="B26" s="19"/>
      <c r="C26" s="20"/>
      <c r="D26" s="20"/>
      <c r="E26" s="19"/>
      <c r="F26" s="19"/>
      <c r="G26" s="19"/>
      <c r="H26" s="19"/>
      <c r="I26" s="19"/>
      <c r="J26" s="19"/>
      <c r="K26" s="19"/>
      <c r="L26" s="98"/>
      <c r="M26" s="98"/>
      <c r="N26" s="98"/>
      <c r="O26" s="98"/>
      <c r="P26" s="98"/>
      <c r="Q26" s="98"/>
      <c r="R26" s="99"/>
    </row>
    <row r="27" spans="1:18" ht="41.4" customHeight="1" x14ac:dyDescent="0.25">
      <c r="A27" s="61"/>
      <c r="B27" s="19"/>
      <c r="C27" s="20"/>
      <c r="D27" s="20"/>
      <c r="E27" s="19"/>
      <c r="F27" s="19"/>
      <c r="G27" s="19"/>
      <c r="H27" s="19"/>
      <c r="I27" s="19"/>
      <c r="J27" s="19"/>
      <c r="K27" s="19"/>
      <c r="L27" s="98"/>
      <c r="M27" s="98"/>
      <c r="N27" s="98"/>
      <c r="O27" s="98"/>
      <c r="P27" s="98"/>
      <c r="Q27" s="98"/>
      <c r="R27" s="99"/>
    </row>
    <row r="28" spans="1:18" ht="41.4" customHeight="1" x14ac:dyDescent="0.25">
      <c r="A28" s="61"/>
      <c r="B28" s="19"/>
      <c r="C28" s="20"/>
      <c r="D28" s="20"/>
      <c r="E28" s="19"/>
      <c r="F28" s="19"/>
      <c r="G28" s="19"/>
      <c r="H28" s="19"/>
      <c r="I28" s="19"/>
      <c r="J28" s="19"/>
      <c r="K28" s="19"/>
      <c r="L28" s="98"/>
      <c r="M28" s="98"/>
      <c r="N28" s="98"/>
      <c r="O28" s="98"/>
      <c r="P28" s="98"/>
      <c r="Q28" s="98"/>
      <c r="R28" s="99"/>
    </row>
    <row r="29" spans="1:18" ht="41.4" customHeight="1" x14ac:dyDescent="0.25">
      <c r="A29" s="61"/>
      <c r="B29" s="19"/>
      <c r="C29" s="20"/>
      <c r="D29" s="20"/>
      <c r="E29" s="19"/>
      <c r="F29" s="19"/>
      <c r="G29" s="19"/>
      <c r="H29" s="19"/>
      <c r="I29" s="19"/>
      <c r="J29" s="19"/>
      <c r="K29" s="19"/>
      <c r="L29" s="98"/>
      <c r="M29" s="98"/>
      <c r="N29" s="98"/>
      <c r="O29" s="98"/>
      <c r="P29" s="98"/>
      <c r="Q29" s="98"/>
      <c r="R29" s="99"/>
    </row>
    <row r="30" spans="1:18" ht="41.4" customHeight="1" x14ac:dyDescent="0.25">
      <c r="A30" s="61"/>
      <c r="B30" s="19"/>
      <c r="C30" s="20"/>
      <c r="D30" s="20"/>
      <c r="E30" s="19"/>
      <c r="F30" s="19"/>
      <c r="G30" s="19"/>
      <c r="H30" s="19"/>
      <c r="I30" s="19"/>
      <c r="J30" s="19"/>
      <c r="K30" s="19"/>
      <c r="L30" s="98"/>
      <c r="M30" s="98"/>
      <c r="N30" s="98"/>
      <c r="O30" s="98"/>
      <c r="P30" s="98"/>
      <c r="Q30" s="98"/>
      <c r="R30" s="99"/>
    </row>
    <row r="31" spans="1:18" ht="41.4" customHeight="1" thickBot="1" x14ac:dyDescent="0.3">
      <c r="A31" s="74"/>
      <c r="B31" s="65"/>
      <c r="C31" s="64"/>
      <c r="D31" s="64"/>
      <c r="E31" s="65"/>
      <c r="F31" s="65"/>
      <c r="G31" s="65"/>
      <c r="H31" s="65"/>
      <c r="I31" s="65"/>
      <c r="J31" s="65"/>
      <c r="K31" s="65"/>
      <c r="L31" s="113"/>
      <c r="M31" s="113"/>
      <c r="N31" s="113"/>
      <c r="O31" s="113"/>
      <c r="P31" s="113"/>
      <c r="Q31" s="113"/>
      <c r="R31" s="114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 t="str">
        <f>IF(E7="X",(D7-C7),"0")</f>
        <v>0</v>
      </c>
      <c r="F36" s="32">
        <f>IF(F7="X",(D7-C7),"0")</f>
        <v>2</v>
      </c>
      <c r="G36" s="32" t="str">
        <f>IF(G7="X",(D7-C7),"0")</f>
        <v>0</v>
      </c>
      <c r="H36" s="32" t="str">
        <f>IF(H7="X",(D7-C7),"0")</f>
        <v>0</v>
      </c>
      <c r="I36" s="32">
        <f>IF(I7="X",(D7-C7),"0")</f>
        <v>2</v>
      </c>
      <c r="J36" s="32" t="str">
        <f>IF(J7="X",(D7-C7),"0")</f>
        <v>0</v>
      </c>
      <c r="K36" s="32" t="str">
        <f>IF(K7="X",(D7-C7),"0")</f>
        <v>0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 t="str">
        <f t="shared" ref="E37:E60" si="0">IF(E8="X",(D8-C8),"0")</f>
        <v>0</v>
      </c>
      <c r="F37" s="32">
        <f>IF(F8="X",(D8-C8),"0")</f>
        <v>13</v>
      </c>
      <c r="G37" s="32" t="str">
        <f t="shared" ref="G37:G60" si="1">IF(G8="X",(D8-C8),"0")</f>
        <v>0</v>
      </c>
      <c r="H37" s="32" t="str">
        <f t="shared" ref="H37:H60" si="2">IF(H8="X",(D8-C8),"0")</f>
        <v>0</v>
      </c>
      <c r="I37" s="32">
        <f t="shared" ref="I37:I60" si="3">IF(I8="X",(D8-C8),"0")</f>
        <v>13</v>
      </c>
      <c r="J37" s="32" t="str">
        <f t="shared" ref="J37:J60" si="4">IF(J8="X",(D8-C8),"0")</f>
        <v>0</v>
      </c>
      <c r="K37" s="32" t="str">
        <f t="shared" ref="K37:K60" si="5">IF(K8="X",(D8-C8),"0")</f>
        <v>0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si="0"/>
        <v>0</v>
      </c>
      <c r="F38" s="32" t="str">
        <f>IF(F9="X",(D9-C9),"0")</f>
        <v>0</v>
      </c>
      <c r="G38" s="32">
        <f t="shared" si="1"/>
        <v>2</v>
      </c>
      <c r="H38" s="32" t="str">
        <f t="shared" si="2"/>
        <v>0</v>
      </c>
      <c r="I38" s="32">
        <f t="shared" si="3"/>
        <v>2</v>
      </c>
      <c r="J38" s="32" t="str">
        <f t="shared" si="4"/>
        <v>0</v>
      </c>
      <c r="K38" s="32" t="str">
        <f t="shared" si="5"/>
        <v>0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0"/>
        <v>0</v>
      </c>
      <c r="F39" s="32" t="str">
        <f t="shared" ref="F39:F60" si="6">IF(F10="X",(D10-C10),"0")</f>
        <v>0</v>
      </c>
      <c r="G39" s="32">
        <f t="shared" si="1"/>
        <v>1.5</v>
      </c>
      <c r="H39" s="32" t="str">
        <f t="shared" si="2"/>
        <v>0</v>
      </c>
      <c r="I39" s="32">
        <f t="shared" si="3"/>
        <v>1.5</v>
      </c>
      <c r="J39" s="32" t="str">
        <f t="shared" si="4"/>
        <v>0</v>
      </c>
      <c r="K39" s="32" t="str">
        <f t="shared" si="5"/>
        <v>0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0"/>
        <v>0</v>
      </c>
      <c r="F40" s="32" t="str">
        <f t="shared" si="6"/>
        <v>0</v>
      </c>
      <c r="G40" s="32">
        <f t="shared" si="1"/>
        <v>16.5</v>
      </c>
      <c r="H40" s="32" t="str">
        <f t="shared" si="2"/>
        <v>0</v>
      </c>
      <c r="I40" s="32">
        <f t="shared" si="3"/>
        <v>16.5</v>
      </c>
      <c r="J40" s="32" t="str">
        <f t="shared" si="4"/>
        <v>0</v>
      </c>
      <c r="K40" s="32" t="str">
        <f t="shared" si="5"/>
        <v>0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0"/>
        <v>0</v>
      </c>
      <c r="F41" s="32" t="str">
        <f t="shared" si="6"/>
        <v>0</v>
      </c>
      <c r="G41" s="32">
        <f t="shared" si="1"/>
        <v>5</v>
      </c>
      <c r="H41" s="32" t="str">
        <f t="shared" si="2"/>
        <v>0</v>
      </c>
      <c r="I41" s="32">
        <f t="shared" si="3"/>
        <v>5</v>
      </c>
      <c r="J41" s="32" t="str">
        <f t="shared" si="4"/>
        <v>0</v>
      </c>
      <c r="K41" s="32" t="str">
        <f t="shared" si="5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0"/>
        <v>0</v>
      </c>
      <c r="F42" s="32" t="str">
        <f t="shared" si="6"/>
        <v>0</v>
      </c>
      <c r="G42" s="32">
        <f t="shared" si="1"/>
        <v>2</v>
      </c>
      <c r="H42" s="32" t="str">
        <f t="shared" si="2"/>
        <v>0</v>
      </c>
      <c r="I42" s="32">
        <f t="shared" si="3"/>
        <v>2</v>
      </c>
      <c r="J42" s="32" t="str">
        <f t="shared" si="4"/>
        <v>0</v>
      </c>
      <c r="K42" s="32" t="str">
        <f t="shared" si="5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0"/>
        <v>0</v>
      </c>
      <c r="F43" s="32" t="str">
        <f t="shared" si="6"/>
        <v>0</v>
      </c>
      <c r="G43" s="32">
        <f t="shared" si="1"/>
        <v>3.2100000000000009</v>
      </c>
      <c r="H43" s="32" t="str">
        <f t="shared" si="2"/>
        <v>0</v>
      </c>
      <c r="I43" s="32">
        <f t="shared" si="3"/>
        <v>3.2100000000000009</v>
      </c>
      <c r="J43" s="32" t="str">
        <f t="shared" si="4"/>
        <v>0</v>
      </c>
      <c r="K43" s="32" t="str">
        <f t="shared" si="5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0"/>
        <v>0</v>
      </c>
      <c r="F44" s="32" t="str">
        <f t="shared" si="6"/>
        <v>0</v>
      </c>
      <c r="G44" s="32" t="str">
        <f t="shared" si="1"/>
        <v>0</v>
      </c>
      <c r="H44" s="32" t="str">
        <f t="shared" si="2"/>
        <v>0</v>
      </c>
      <c r="I44" s="32" t="str">
        <f t="shared" si="3"/>
        <v>0</v>
      </c>
      <c r="J44" s="32" t="str">
        <f t="shared" si="4"/>
        <v>0</v>
      </c>
      <c r="K44" s="32" t="str">
        <f t="shared" si="5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0"/>
        <v>0</v>
      </c>
      <c r="F45" s="32" t="str">
        <f t="shared" si="6"/>
        <v>0</v>
      </c>
      <c r="G45" s="32" t="str">
        <f t="shared" si="1"/>
        <v>0</v>
      </c>
      <c r="H45" s="32" t="str">
        <f t="shared" si="2"/>
        <v>0</v>
      </c>
      <c r="I45" s="32" t="str">
        <f t="shared" si="3"/>
        <v>0</v>
      </c>
      <c r="J45" s="32" t="str">
        <f t="shared" si="4"/>
        <v>0</v>
      </c>
      <c r="K45" s="32" t="str">
        <f t="shared" si="5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0"/>
        <v>0</v>
      </c>
      <c r="F46" s="32" t="str">
        <f t="shared" si="6"/>
        <v>0</v>
      </c>
      <c r="G46" s="32" t="str">
        <f t="shared" si="1"/>
        <v>0</v>
      </c>
      <c r="H46" s="32" t="str">
        <f t="shared" si="2"/>
        <v>0</v>
      </c>
      <c r="I46" s="32" t="str">
        <f t="shared" si="3"/>
        <v>0</v>
      </c>
      <c r="J46" s="32" t="str">
        <f t="shared" si="4"/>
        <v>0</v>
      </c>
      <c r="K46" s="32" t="str">
        <f t="shared" si="5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0"/>
        <v>0</v>
      </c>
      <c r="F47" s="32" t="str">
        <f t="shared" si="6"/>
        <v>0</v>
      </c>
      <c r="G47" s="32" t="str">
        <f t="shared" si="1"/>
        <v>0</v>
      </c>
      <c r="H47" s="32" t="str">
        <f t="shared" si="2"/>
        <v>0</v>
      </c>
      <c r="I47" s="32" t="str">
        <f t="shared" si="3"/>
        <v>0</v>
      </c>
      <c r="J47" s="32" t="str">
        <f t="shared" si="4"/>
        <v>0</v>
      </c>
      <c r="K47" s="32" t="str">
        <f t="shared" si="5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0"/>
        <v>0</v>
      </c>
      <c r="F48" s="32" t="str">
        <f t="shared" si="6"/>
        <v>0</v>
      </c>
      <c r="G48" s="32" t="str">
        <f t="shared" si="1"/>
        <v>0</v>
      </c>
      <c r="H48" s="32" t="str">
        <f t="shared" si="2"/>
        <v>0</v>
      </c>
      <c r="I48" s="32" t="str">
        <f t="shared" si="3"/>
        <v>0</v>
      </c>
      <c r="J48" s="32" t="str">
        <f t="shared" si="4"/>
        <v>0</v>
      </c>
      <c r="K48" s="32" t="str">
        <f t="shared" si="5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0"/>
        <v>0</v>
      </c>
      <c r="F49" s="32" t="str">
        <f t="shared" si="6"/>
        <v>0</v>
      </c>
      <c r="G49" s="32" t="str">
        <f t="shared" si="1"/>
        <v>0</v>
      </c>
      <c r="H49" s="32" t="str">
        <f t="shared" si="2"/>
        <v>0</v>
      </c>
      <c r="I49" s="32" t="str">
        <f t="shared" si="3"/>
        <v>0</v>
      </c>
      <c r="J49" s="32" t="str">
        <f t="shared" si="4"/>
        <v>0</v>
      </c>
      <c r="K49" s="32" t="str">
        <f t="shared" si="5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0"/>
        <v>0</v>
      </c>
      <c r="F50" s="32" t="str">
        <f t="shared" si="6"/>
        <v>0</v>
      </c>
      <c r="G50" s="32" t="str">
        <f t="shared" si="1"/>
        <v>0</v>
      </c>
      <c r="H50" s="32" t="str">
        <f t="shared" si="2"/>
        <v>0</v>
      </c>
      <c r="I50" s="32" t="str">
        <f t="shared" si="3"/>
        <v>0</v>
      </c>
      <c r="J50" s="32" t="str">
        <f t="shared" si="4"/>
        <v>0</v>
      </c>
      <c r="K50" s="32" t="str">
        <f t="shared" si="5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0"/>
        <v>0</v>
      </c>
      <c r="F51" s="32" t="str">
        <f t="shared" si="6"/>
        <v>0</v>
      </c>
      <c r="G51" s="32" t="str">
        <f t="shared" si="1"/>
        <v>0</v>
      </c>
      <c r="H51" s="32" t="str">
        <f t="shared" si="2"/>
        <v>0</v>
      </c>
      <c r="I51" s="32" t="str">
        <f t="shared" si="3"/>
        <v>0</v>
      </c>
      <c r="J51" s="32" t="str">
        <f t="shared" si="4"/>
        <v>0</v>
      </c>
      <c r="K51" s="32" t="str">
        <f t="shared" si="5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0"/>
        <v>0</v>
      </c>
      <c r="F52" s="32" t="str">
        <f t="shared" si="6"/>
        <v>0</v>
      </c>
      <c r="G52" s="32" t="str">
        <f t="shared" si="1"/>
        <v>0</v>
      </c>
      <c r="H52" s="32" t="str">
        <f t="shared" si="2"/>
        <v>0</v>
      </c>
      <c r="I52" s="32" t="str">
        <f t="shared" si="3"/>
        <v>0</v>
      </c>
      <c r="J52" s="32" t="str">
        <f t="shared" si="4"/>
        <v>0</v>
      </c>
      <c r="K52" s="32" t="str">
        <f t="shared" si="5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0"/>
        <v>0</v>
      </c>
      <c r="F53" s="32" t="str">
        <f t="shared" si="6"/>
        <v>0</v>
      </c>
      <c r="G53" s="32" t="str">
        <f t="shared" si="1"/>
        <v>0</v>
      </c>
      <c r="H53" s="32" t="str">
        <f t="shared" si="2"/>
        <v>0</v>
      </c>
      <c r="I53" s="32" t="str">
        <f t="shared" si="3"/>
        <v>0</v>
      </c>
      <c r="J53" s="32" t="str">
        <f t="shared" si="4"/>
        <v>0</v>
      </c>
      <c r="K53" s="32" t="str">
        <f t="shared" si="5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0"/>
        <v>0</v>
      </c>
      <c r="F54" s="32" t="str">
        <f t="shared" si="6"/>
        <v>0</v>
      </c>
      <c r="G54" s="32" t="str">
        <f t="shared" si="1"/>
        <v>0</v>
      </c>
      <c r="H54" s="32" t="str">
        <f t="shared" si="2"/>
        <v>0</v>
      </c>
      <c r="I54" s="32" t="str">
        <f t="shared" si="3"/>
        <v>0</v>
      </c>
      <c r="J54" s="32" t="str">
        <f t="shared" si="4"/>
        <v>0</v>
      </c>
      <c r="K54" s="32" t="str">
        <f t="shared" si="5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0"/>
        <v>0</v>
      </c>
      <c r="F55" s="32" t="str">
        <f t="shared" si="6"/>
        <v>0</v>
      </c>
      <c r="G55" s="32" t="str">
        <f t="shared" si="1"/>
        <v>0</v>
      </c>
      <c r="H55" s="32" t="str">
        <f t="shared" si="2"/>
        <v>0</v>
      </c>
      <c r="I55" s="32" t="str">
        <f t="shared" si="3"/>
        <v>0</v>
      </c>
      <c r="J55" s="32" t="str">
        <f t="shared" si="4"/>
        <v>0</v>
      </c>
      <c r="K55" s="32" t="str">
        <f t="shared" si="5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0"/>
        <v>0</v>
      </c>
      <c r="F56" s="32" t="str">
        <f t="shared" si="6"/>
        <v>0</v>
      </c>
      <c r="G56" s="32" t="str">
        <f t="shared" si="1"/>
        <v>0</v>
      </c>
      <c r="H56" s="32" t="str">
        <f t="shared" si="2"/>
        <v>0</v>
      </c>
      <c r="I56" s="32" t="str">
        <f t="shared" si="3"/>
        <v>0</v>
      </c>
      <c r="J56" s="32" t="str">
        <f t="shared" si="4"/>
        <v>0</v>
      </c>
      <c r="K56" s="32" t="str">
        <f t="shared" si="5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0"/>
        <v>0</v>
      </c>
      <c r="F57" s="32" t="str">
        <f t="shared" si="6"/>
        <v>0</v>
      </c>
      <c r="G57" s="32" t="str">
        <f t="shared" si="1"/>
        <v>0</v>
      </c>
      <c r="H57" s="32" t="str">
        <f t="shared" si="2"/>
        <v>0</v>
      </c>
      <c r="I57" s="32" t="str">
        <f t="shared" si="3"/>
        <v>0</v>
      </c>
      <c r="J57" s="32" t="str">
        <f t="shared" si="4"/>
        <v>0</v>
      </c>
      <c r="K57" s="32" t="str">
        <f t="shared" si="5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0"/>
        <v>0</v>
      </c>
      <c r="F58" s="32" t="str">
        <f t="shared" si="6"/>
        <v>0</v>
      </c>
      <c r="G58" s="32" t="str">
        <f t="shared" si="1"/>
        <v>0</v>
      </c>
      <c r="H58" s="32" t="str">
        <f t="shared" si="2"/>
        <v>0</v>
      </c>
      <c r="I58" s="32" t="str">
        <f t="shared" si="3"/>
        <v>0</v>
      </c>
      <c r="J58" s="32" t="str">
        <f t="shared" si="4"/>
        <v>0</v>
      </c>
      <c r="K58" s="32" t="str">
        <f t="shared" si="5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0"/>
        <v>0</v>
      </c>
      <c r="F59" s="32" t="str">
        <f t="shared" si="6"/>
        <v>0</v>
      </c>
      <c r="G59" s="32" t="str">
        <f t="shared" si="1"/>
        <v>0</v>
      </c>
      <c r="H59" s="32" t="str">
        <f t="shared" si="2"/>
        <v>0</v>
      </c>
      <c r="I59" s="32" t="str">
        <f t="shared" si="3"/>
        <v>0</v>
      </c>
      <c r="J59" s="32" t="str">
        <f t="shared" si="4"/>
        <v>0</v>
      </c>
      <c r="K59" s="32" t="str">
        <f t="shared" si="5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0"/>
        <v>0</v>
      </c>
      <c r="F60" s="32" t="str">
        <f t="shared" si="6"/>
        <v>0</v>
      </c>
      <c r="G60" s="32" t="str">
        <f t="shared" si="1"/>
        <v>0</v>
      </c>
      <c r="H60" s="32" t="str">
        <f t="shared" si="2"/>
        <v>0</v>
      </c>
      <c r="I60" s="32" t="str">
        <f t="shared" si="3"/>
        <v>0</v>
      </c>
      <c r="J60" s="32" t="str">
        <f t="shared" si="4"/>
        <v>0</v>
      </c>
      <c r="K60" s="32" t="str">
        <f t="shared" si="5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/>
      <c r="F61" s="32"/>
      <c r="G61" s="32"/>
      <c r="H61" s="32"/>
      <c r="I61" s="32"/>
      <c r="J61" s="32"/>
      <c r="K61" s="32"/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/>
      <c r="F62" s="32"/>
      <c r="G62" s="32"/>
      <c r="H62" s="32"/>
      <c r="I62" s="32"/>
      <c r="J62" s="32"/>
      <c r="K62" s="32"/>
      <c r="L62" s="33"/>
      <c r="M62" s="33"/>
      <c r="N62" s="33"/>
      <c r="O62" s="33"/>
      <c r="P62" s="33"/>
      <c r="Q62" s="33"/>
      <c r="R62" s="33"/>
    </row>
    <row r="63" spans="3:18" ht="41.4" customHeight="1" x14ac:dyDescent="0.25">
      <c r="C63" s="32"/>
      <c r="D63" s="32"/>
      <c r="E63" s="32">
        <f t="shared" ref="E63:K63" si="7">SUM(E36:E62)</f>
        <v>0</v>
      </c>
      <c r="F63" s="32">
        <f>SUM(F36:F62)</f>
        <v>15</v>
      </c>
      <c r="G63" s="32">
        <f t="shared" si="7"/>
        <v>30.21</v>
      </c>
      <c r="H63" s="32">
        <f t="shared" si="7"/>
        <v>0</v>
      </c>
      <c r="I63" s="32">
        <f t="shared" si="7"/>
        <v>45.21</v>
      </c>
      <c r="J63" s="32">
        <f t="shared" si="7"/>
        <v>0</v>
      </c>
      <c r="K63" s="32">
        <f t="shared" si="7"/>
        <v>0</v>
      </c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  <row r="69" spans="3:18" ht="41.4" customHeight="1" x14ac:dyDescent="0.25">
      <c r="C69" s="32"/>
      <c r="D69" s="32"/>
      <c r="E69" s="32"/>
      <c r="F69" s="33"/>
      <c r="G69" s="33"/>
      <c r="H69" s="33"/>
      <c r="I69" s="33"/>
      <c r="J69" s="33"/>
      <c r="K69" s="33"/>
      <c r="L69" s="112"/>
      <c r="M69" s="112"/>
      <c r="N69" s="112"/>
      <c r="O69" s="112"/>
      <c r="P69" s="112"/>
      <c r="Q69" s="112"/>
      <c r="R69" s="11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7:R67"/>
    <mergeCell ref="L68:R68"/>
    <mergeCell ref="L69:R69"/>
    <mergeCell ref="L60:R60"/>
    <mergeCell ref="L61:R61"/>
    <mergeCell ref="L63:R63"/>
    <mergeCell ref="L64:R64"/>
    <mergeCell ref="L65:R65"/>
    <mergeCell ref="L66:R66"/>
  </mergeCells>
  <pageMargins left="0.51181102362204722" right="0.51181102362204722" top="0.78740157480314965" bottom="0.78740157480314965" header="0.31496062992125984" footer="0.31496062992125984"/>
  <pageSetup paperSize="9" scale="37" orientation="landscape" horizontalDpi="1200" verticalDpi="1200" r:id="rId1"/>
  <colBreaks count="1" manualBreakCount="1">
    <brk id="1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A5B4-95A0-4419-8B4F-5F030654851C}">
  <sheetPr>
    <tabColor theme="2"/>
  </sheetPr>
  <dimension ref="A1:R66"/>
  <sheetViews>
    <sheetView view="pageBreakPreview" zoomScale="55" zoomScaleNormal="55" zoomScaleSheetLayoutView="55" workbookViewId="0">
      <selection activeCell="F11" sqref="F11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16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17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TT!C9</f>
        <v>RODOVIA TO-362 - TRECHO BREJINHO DE NAZARÉ - ENTR. TO-365 (ACESSO BALSA)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50</v>
      </c>
      <c r="B7" s="19" t="s">
        <v>74</v>
      </c>
      <c r="C7" s="20">
        <v>0</v>
      </c>
      <c r="D7" s="20">
        <v>11</v>
      </c>
      <c r="E7" s="19"/>
      <c r="F7" s="19" t="s">
        <v>75</v>
      </c>
      <c r="G7" s="19"/>
      <c r="H7" s="19"/>
      <c r="I7" s="19"/>
      <c r="J7" s="19"/>
      <c r="K7" s="19"/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v>11</v>
      </c>
      <c r="D8" s="20">
        <v>26.1</v>
      </c>
      <c r="E8" s="19"/>
      <c r="F8" s="19"/>
      <c r="G8" s="19" t="s">
        <v>75</v>
      </c>
      <c r="H8" s="19"/>
      <c r="I8" s="19"/>
      <c r="J8" s="19" t="s">
        <v>75</v>
      </c>
      <c r="K8" s="19"/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>
        <v>26.1</v>
      </c>
      <c r="D9" s="20">
        <v>33.200000000000003</v>
      </c>
      <c r="E9" s="19"/>
      <c r="F9" s="19"/>
      <c r="G9" s="19" t="s">
        <v>75</v>
      </c>
      <c r="H9" s="19"/>
      <c r="I9" s="19"/>
      <c r="J9" s="19" t="s">
        <v>75</v>
      </c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>
        <v>33.200000000000003</v>
      </c>
      <c r="D10" s="20">
        <v>33.299999999999997</v>
      </c>
      <c r="E10" s="19"/>
      <c r="F10" s="19"/>
      <c r="G10" s="19" t="s">
        <v>75</v>
      </c>
      <c r="H10" s="19" t="s">
        <v>75</v>
      </c>
      <c r="I10" s="19"/>
      <c r="J10" s="19"/>
      <c r="K10" s="19" t="s">
        <v>75</v>
      </c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>
        <v>33.299999999999997</v>
      </c>
      <c r="D11" s="20">
        <v>36.28</v>
      </c>
      <c r="E11" s="19"/>
      <c r="F11" s="19"/>
      <c r="G11" s="19" t="s">
        <v>75</v>
      </c>
      <c r="H11" s="19"/>
      <c r="I11" s="19"/>
      <c r="J11" s="19"/>
      <c r="K11" s="19" t="s">
        <v>75</v>
      </c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61"/>
      <c r="B18" s="19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61"/>
      <c r="B19" s="19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61"/>
      <c r="B20" s="19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61"/>
      <c r="B21" s="19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61"/>
      <c r="B22" s="19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61"/>
      <c r="B23" s="19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61"/>
      <c r="B24" s="19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x14ac:dyDescent="0.25">
      <c r="A25" s="61"/>
      <c r="B25" s="19"/>
      <c r="C25" s="20"/>
      <c r="D25" s="20"/>
      <c r="E25" s="19"/>
      <c r="F25" s="19"/>
      <c r="G25" s="19"/>
      <c r="H25" s="19"/>
      <c r="I25" s="19"/>
      <c r="J25" s="19"/>
      <c r="K25" s="19"/>
      <c r="L25" s="98"/>
      <c r="M25" s="98"/>
      <c r="N25" s="98"/>
      <c r="O25" s="98"/>
      <c r="P25" s="98"/>
      <c r="Q25" s="98"/>
      <c r="R25" s="99"/>
    </row>
    <row r="26" spans="1:18" ht="41.4" customHeight="1" thickBot="1" x14ac:dyDescent="0.3">
      <c r="A26" s="62"/>
      <c r="B26" s="63"/>
      <c r="C26" s="64"/>
      <c r="D26" s="64"/>
      <c r="E26" s="65"/>
      <c r="F26" s="65"/>
      <c r="G26" s="65"/>
      <c r="H26" s="65"/>
      <c r="I26" s="65"/>
      <c r="J26" s="65"/>
      <c r="K26" s="65"/>
      <c r="L26" s="113"/>
      <c r="M26" s="113"/>
      <c r="N26" s="113"/>
      <c r="O26" s="113"/>
      <c r="P26" s="113"/>
      <c r="Q26" s="113"/>
      <c r="R26" s="114"/>
    </row>
    <row r="27" spans="1:18" ht="41.4" customHeight="1" x14ac:dyDescent="0.25">
      <c r="A27" s="30"/>
      <c r="B27" s="30"/>
      <c r="C27" s="31"/>
      <c r="D27" s="31"/>
      <c r="E27" s="38"/>
      <c r="F27" s="38"/>
      <c r="G27" s="38"/>
      <c r="H27" s="38"/>
      <c r="I27" s="38"/>
      <c r="J27" s="38"/>
      <c r="K27" s="38"/>
      <c r="L27" s="115"/>
      <c r="M27" s="115"/>
      <c r="N27" s="115"/>
      <c r="O27" s="115"/>
      <c r="P27" s="115"/>
      <c r="Q27" s="115"/>
      <c r="R27" s="115"/>
    </row>
    <row r="28" spans="1:18" ht="41.4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112"/>
      <c r="M28" s="112"/>
      <c r="N28" s="112"/>
      <c r="O28" s="112"/>
      <c r="P28" s="112"/>
      <c r="Q28" s="112"/>
      <c r="R28" s="112"/>
    </row>
    <row r="29" spans="1:18" ht="41.4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112"/>
      <c r="M29" s="112"/>
      <c r="N29" s="112"/>
      <c r="O29" s="112"/>
      <c r="P29" s="112"/>
      <c r="Q29" s="112"/>
      <c r="R29" s="112"/>
    </row>
    <row r="30" spans="1:18" ht="41.4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112"/>
      <c r="M30" s="112"/>
      <c r="N30" s="112"/>
      <c r="O30" s="112"/>
      <c r="P30" s="112"/>
      <c r="Q30" s="112"/>
      <c r="R30" s="112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2" t="str">
        <f t="shared" ref="E35" si="0">IF(E7="X",(D7-C7),"0")</f>
        <v>0</v>
      </c>
      <c r="F35" s="32">
        <f t="shared" ref="F35" si="1">IF(F7="X",(D7-C7),"0")</f>
        <v>11</v>
      </c>
      <c r="G35" s="32" t="str">
        <f t="shared" ref="G35" si="2">IF(G7="X",(D7-C7),"0")</f>
        <v>0</v>
      </c>
      <c r="H35" s="32" t="str">
        <f t="shared" ref="H35" si="3">IF(H7="X",(D7-C7),"0")</f>
        <v>0</v>
      </c>
      <c r="I35" s="32" t="str">
        <f t="shared" ref="I35" si="4">IF(I7="X",(D7-C7),"0")</f>
        <v>0</v>
      </c>
      <c r="J35" s="32" t="str">
        <f t="shared" ref="J35" si="5">IF(J7="X",(D7-C7),"0")</f>
        <v>0</v>
      </c>
      <c r="K35" s="32" t="str">
        <f t="shared" ref="K35" si="6">IF(K7="X",(D7-C7),"0")</f>
        <v>0</v>
      </c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 t="str">
        <f t="shared" ref="E36:E59" si="7">IF(E8="X",(D8-C8),"0")</f>
        <v>0</v>
      </c>
      <c r="F36" s="32" t="str">
        <f t="shared" ref="F36:F59" si="8">IF(F8="X",(D8-C8),"0")</f>
        <v>0</v>
      </c>
      <c r="G36" s="32">
        <f t="shared" ref="G36:G59" si="9">IF(G8="X",(D8-C8),"0")</f>
        <v>15.100000000000001</v>
      </c>
      <c r="H36" s="32" t="str">
        <f t="shared" ref="H36:H59" si="10">IF(H8="X",(D8-C8),"0")</f>
        <v>0</v>
      </c>
      <c r="I36" s="32" t="str">
        <f t="shared" ref="I36:I59" si="11">IF(I8="X",(D8-C8),"0")</f>
        <v>0</v>
      </c>
      <c r="J36" s="32">
        <f t="shared" ref="J36:J59" si="12">IF(J8="X",(D8-C8),"0")</f>
        <v>15.100000000000001</v>
      </c>
      <c r="K36" s="32" t="str">
        <f t="shared" ref="K36:K59" si="13">IF(K8="X",(D8-C8),"0")</f>
        <v>0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 t="str">
        <f t="shared" si="7"/>
        <v>0</v>
      </c>
      <c r="F37" s="32" t="str">
        <f t="shared" si="8"/>
        <v>0</v>
      </c>
      <c r="G37" s="32">
        <f t="shared" si="9"/>
        <v>7.1000000000000014</v>
      </c>
      <c r="H37" s="32" t="str">
        <f t="shared" si="10"/>
        <v>0</v>
      </c>
      <c r="I37" s="32" t="str">
        <f t="shared" si="11"/>
        <v>0</v>
      </c>
      <c r="J37" s="32">
        <f t="shared" si="12"/>
        <v>7.1000000000000014</v>
      </c>
      <c r="K37" s="32" t="str">
        <f t="shared" si="13"/>
        <v>0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si="7"/>
        <v>0</v>
      </c>
      <c r="F38" s="32" t="str">
        <f t="shared" si="8"/>
        <v>0</v>
      </c>
      <c r="G38" s="32">
        <f t="shared" si="9"/>
        <v>9.9999999999994316E-2</v>
      </c>
      <c r="H38" s="32">
        <f t="shared" si="10"/>
        <v>9.9999999999994316E-2</v>
      </c>
      <c r="I38" s="32" t="str">
        <f t="shared" si="11"/>
        <v>0</v>
      </c>
      <c r="J38" s="32" t="str">
        <f t="shared" si="12"/>
        <v>0</v>
      </c>
      <c r="K38" s="32">
        <f t="shared" si="13"/>
        <v>9.9999999999994316E-2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7"/>
        <v>0</v>
      </c>
      <c r="F39" s="32" t="str">
        <f t="shared" si="8"/>
        <v>0</v>
      </c>
      <c r="G39" s="32">
        <f t="shared" si="9"/>
        <v>2.980000000000004</v>
      </c>
      <c r="H39" s="32" t="str">
        <f t="shared" si="10"/>
        <v>0</v>
      </c>
      <c r="I39" s="32" t="str">
        <f t="shared" si="11"/>
        <v>0</v>
      </c>
      <c r="J39" s="32" t="str">
        <f t="shared" si="12"/>
        <v>0</v>
      </c>
      <c r="K39" s="32">
        <f t="shared" si="13"/>
        <v>2.980000000000004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7"/>
        <v>0</v>
      </c>
      <c r="F40" s="32" t="str">
        <f t="shared" si="8"/>
        <v>0</v>
      </c>
      <c r="G40" s="32" t="str">
        <f t="shared" si="9"/>
        <v>0</v>
      </c>
      <c r="H40" s="32" t="str">
        <f t="shared" si="10"/>
        <v>0</v>
      </c>
      <c r="I40" s="32" t="str">
        <f t="shared" si="11"/>
        <v>0</v>
      </c>
      <c r="J40" s="32" t="str">
        <f t="shared" si="12"/>
        <v>0</v>
      </c>
      <c r="K40" s="32" t="str">
        <f t="shared" si="13"/>
        <v>0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7"/>
        <v>0</v>
      </c>
      <c r="F41" s="32" t="str">
        <f t="shared" si="8"/>
        <v>0</v>
      </c>
      <c r="G41" s="32" t="str">
        <f t="shared" si="9"/>
        <v>0</v>
      </c>
      <c r="H41" s="32" t="str">
        <f t="shared" si="10"/>
        <v>0</v>
      </c>
      <c r="I41" s="32" t="str">
        <f t="shared" si="11"/>
        <v>0</v>
      </c>
      <c r="J41" s="32" t="str">
        <f t="shared" si="12"/>
        <v>0</v>
      </c>
      <c r="K41" s="32" t="str">
        <f t="shared" si="13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7"/>
        <v>0</v>
      </c>
      <c r="F42" s="32" t="str">
        <f t="shared" si="8"/>
        <v>0</v>
      </c>
      <c r="G42" s="32" t="str">
        <f t="shared" si="9"/>
        <v>0</v>
      </c>
      <c r="H42" s="32" t="str">
        <f t="shared" si="10"/>
        <v>0</v>
      </c>
      <c r="I42" s="32" t="str">
        <f t="shared" si="11"/>
        <v>0</v>
      </c>
      <c r="J42" s="32" t="str">
        <f t="shared" si="12"/>
        <v>0</v>
      </c>
      <c r="K42" s="32" t="str">
        <f t="shared" si="13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7"/>
        <v>0</v>
      </c>
      <c r="F43" s="32" t="str">
        <f t="shared" si="8"/>
        <v>0</v>
      </c>
      <c r="G43" s="32" t="str">
        <f t="shared" si="9"/>
        <v>0</v>
      </c>
      <c r="H43" s="32" t="str">
        <f t="shared" si="10"/>
        <v>0</v>
      </c>
      <c r="I43" s="32" t="str">
        <f t="shared" si="11"/>
        <v>0</v>
      </c>
      <c r="J43" s="32" t="str">
        <f t="shared" si="12"/>
        <v>0</v>
      </c>
      <c r="K43" s="32" t="str">
        <f t="shared" si="13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7"/>
        <v>0</v>
      </c>
      <c r="F44" s="32" t="str">
        <f t="shared" si="8"/>
        <v>0</v>
      </c>
      <c r="G44" s="32" t="str">
        <f t="shared" si="9"/>
        <v>0</v>
      </c>
      <c r="H44" s="32" t="str">
        <f t="shared" si="10"/>
        <v>0</v>
      </c>
      <c r="I44" s="32" t="str">
        <f t="shared" si="11"/>
        <v>0</v>
      </c>
      <c r="J44" s="32" t="str">
        <f t="shared" si="12"/>
        <v>0</v>
      </c>
      <c r="K44" s="32" t="str">
        <f t="shared" si="13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7"/>
        <v>0</v>
      </c>
      <c r="F45" s="32" t="str">
        <f t="shared" si="8"/>
        <v>0</v>
      </c>
      <c r="G45" s="32" t="str">
        <f t="shared" si="9"/>
        <v>0</v>
      </c>
      <c r="H45" s="32" t="str">
        <f t="shared" si="10"/>
        <v>0</v>
      </c>
      <c r="I45" s="32" t="str">
        <f t="shared" si="11"/>
        <v>0</v>
      </c>
      <c r="J45" s="32" t="str">
        <f t="shared" si="12"/>
        <v>0</v>
      </c>
      <c r="K45" s="32" t="str">
        <f t="shared" si="13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7"/>
        <v>0</v>
      </c>
      <c r="F46" s="32" t="str">
        <f t="shared" si="8"/>
        <v>0</v>
      </c>
      <c r="G46" s="32" t="str">
        <f t="shared" si="9"/>
        <v>0</v>
      </c>
      <c r="H46" s="32" t="str">
        <f t="shared" si="10"/>
        <v>0</v>
      </c>
      <c r="I46" s="32" t="str">
        <f t="shared" si="11"/>
        <v>0</v>
      </c>
      <c r="J46" s="32" t="str">
        <f t="shared" si="12"/>
        <v>0</v>
      </c>
      <c r="K46" s="32" t="str">
        <f t="shared" si="13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7"/>
        <v>0</v>
      </c>
      <c r="F47" s="32" t="str">
        <f t="shared" si="8"/>
        <v>0</v>
      </c>
      <c r="G47" s="32" t="str">
        <f t="shared" si="9"/>
        <v>0</v>
      </c>
      <c r="H47" s="32" t="str">
        <f t="shared" si="10"/>
        <v>0</v>
      </c>
      <c r="I47" s="32" t="str">
        <f t="shared" si="11"/>
        <v>0</v>
      </c>
      <c r="J47" s="32" t="str">
        <f t="shared" si="12"/>
        <v>0</v>
      </c>
      <c r="K47" s="32" t="str">
        <f t="shared" si="13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7"/>
        <v>0</v>
      </c>
      <c r="F48" s="32" t="str">
        <f t="shared" si="8"/>
        <v>0</v>
      </c>
      <c r="G48" s="32" t="str">
        <f t="shared" si="9"/>
        <v>0</v>
      </c>
      <c r="H48" s="32" t="str">
        <f t="shared" si="10"/>
        <v>0</v>
      </c>
      <c r="I48" s="32" t="str">
        <f t="shared" si="11"/>
        <v>0</v>
      </c>
      <c r="J48" s="32" t="str">
        <f t="shared" si="12"/>
        <v>0</v>
      </c>
      <c r="K48" s="32" t="str">
        <f t="shared" si="13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7"/>
        <v>0</v>
      </c>
      <c r="F49" s="32" t="str">
        <f t="shared" si="8"/>
        <v>0</v>
      </c>
      <c r="G49" s="32" t="str">
        <f t="shared" si="9"/>
        <v>0</v>
      </c>
      <c r="H49" s="32" t="str">
        <f t="shared" si="10"/>
        <v>0</v>
      </c>
      <c r="I49" s="32" t="str">
        <f t="shared" si="11"/>
        <v>0</v>
      </c>
      <c r="J49" s="32" t="str">
        <f t="shared" si="12"/>
        <v>0</v>
      </c>
      <c r="K49" s="32" t="str">
        <f t="shared" si="13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7"/>
        <v>0</v>
      </c>
      <c r="F50" s="32" t="str">
        <f t="shared" si="8"/>
        <v>0</v>
      </c>
      <c r="G50" s="32" t="str">
        <f t="shared" si="9"/>
        <v>0</v>
      </c>
      <c r="H50" s="32" t="str">
        <f t="shared" si="10"/>
        <v>0</v>
      </c>
      <c r="I50" s="32" t="str">
        <f t="shared" si="11"/>
        <v>0</v>
      </c>
      <c r="J50" s="32" t="str">
        <f t="shared" si="12"/>
        <v>0</v>
      </c>
      <c r="K50" s="32" t="str">
        <f t="shared" si="13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7"/>
        <v>0</v>
      </c>
      <c r="F51" s="32" t="str">
        <f t="shared" si="8"/>
        <v>0</v>
      </c>
      <c r="G51" s="32" t="str">
        <f t="shared" si="9"/>
        <v>0</v>
      </c>
      <c r="H51" s="32" t="str">
        <f t="shared" si="10"/>
        <v>0</v>
      </c>
      <c r="I51" s="32" t="str">
        <f t="shared" si="11"/>
        <v>0</v>
      </c>
      <c r="J51" s="32" t="str">
        <f t="shared" si="12"/>
        <v>0</v>
      </c>
      <c r="K51" s="32" t="str">
        <f t="shared" si="13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7"/>
        <v>0</v>
      </c>
      <c r="F52" s="32" t="str">
        <f t="shared" si="8"/>
        <v>0</v>
      </c>
      <c r="G52" s="32" t="str">
        <f t="shared" si="9"/>
        <v>0</v>
      </c>
      <c r="H52" s="32" t="str">
        <f t="shared" si="10"/>
        <v>0</v>
      </c>
      <c r="I52" s="32" t="str">
        <f t="shared" si="11"/>
        <v>0</v>
      </c>
      <c r="J52" s="32" t="str">
        <f t="shared" si="12"/>
        <v>0</v>
      </c>
      <c r="K52" s="32" t="str">
        <f t="shared" si="13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7"/>
        <v>0</v>
      </c>
      <c r="F53" s="32" t="str">
        <f t="shared" si="8"/>
        <v>0</v>
      </c>
      <c r="G53" s="32" t="str">
        <f t="shared" si="9"/>
        <v>0</v>
      </c>
      <c r="H53" s="32" t="str">
        <f t="shared" si="10"/>
        <v>0</v>
      </c>
      <c r="I53" s="32" t="str">
        <f t="shared" si="11"/>
        <v>0</v>
      </c>
      <c r="J53" s="32" t="str">
        <f t="shared" si="12"/>
        <v>0</v>
      </c>
      <c r="K53" s="32" t="str">
        <f t="shared" si="13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7"/>
        <v>0</v>
      </c>
      <c r="F54" s="32" t="str">
        <f t="shared" si="8"/>
        <v>0</v>
      </c>
      <c r="G54" s="32" t="str">
        <f t="shared" si="9"/>
        <v>0</v>
      </c>
      <c r="H54" s="32" t="str">
        <f t="shared" si="10"/>
        <v>0</v>
      </c>
      <c r="I54" s="32" t="str">
        <f t="shared" si="11"/>
        <v>0</v>
      </c>
      <c r="J54" s="32" t="str">
        <f t="shared" si="12"/>
        <v>0</v>
      </c>
      <c r="K54" s="32" t="str">
        <f t="shared" si="13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7"/>
        <v>0</v>
      </c>
      <c r="F55" s="32" t="str">
        <f t="shared" si="8"/>
        <v>0</v>
      </c>
      <c r="G55" s="32" t="str">
        <f t="shared" si="9"/>
        <v>0</v>
      </c>
      <c r="H55" s="32" t="str">
        <f t="shared" si="10"/>
        <v>0</v>
      </c>
      <c r="I55" s="32" t="str">
        <f t="shared" si="11"/>
        <v>0</v>
      </c>
      <c r="J55" s="32" t="str">
        <f t="shared" si="12"/>
        <v>0</v>
      </c>
      <c r="K55" s="32" t="str">
        <f t="shared" si="13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7"/>
        <v>0</v>
      </c>
      <c r="F56" s="32" t="str">
        <f t="shared" si="8"/>
        <v>0</v>
      </c>
      <c r="G56" s="32" t="str">
        <f t="shared" si="9"/>
        <v>0</v>
      </c>
      <c r="H56" s="32" t="str">
        <f t="shared" si="10"/>
        <v>0</v>
      </c>
      <c r="I56" s="32" t="str">
        <f t="shared" si="11"/>
        <v>0</v>
      </c>
      <c r="J56" s="32" t="str">
        <f t="shared" si="12"/>
        <v>0</v>
      </c>
      <c r="K56" s="32" t="str">
        <f t="shared" si="13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7"/>
        <v>0</v>
      </c>
      <c r="F57" s="32" t="str">
        <f t="shared" si="8"/>
        <v>0</v>
      </c>
      <c r="G57" s="32" t="str">
        <f t="shared" si="9"/>
        <v>0</v>
      </c>
      <c r="H57" s="32" t="str">
        <f t="shared" si="10"/>
        <v>0</v>
      </c>
      <c r="I57" s="32" t="str">
        <f t="shared" si="11"/>
        <v>0</v>
      </c>
      <c r="J57" s="32" t="str">
        <f t="shared" si="12"/>
        <v>0</v>
      </c>
      <c r="K57" s="32" t="str">
        <f t="shared" si="13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7"/>
        <v>0</v>
      </c>
      <c r="F58" s="32" t="str">
        <f t="shared" si="8"/>
        <v>0</v>
      </c>
      <c r="G58" s="32" t="str">
        <f t="shared" si="9"/>
        <v>0</v>
      </c>
      <c r="H58" s="32" t="str">
        <f t="shared" si="10"/>
        <v>0</v>
      </c>
      <c r="I58" s="32" t="str">
        <f t="shared" si="11"/>
        <v>0</v>
      </c>
      <c r="J58" s="32" t="str">
        <f t="shared" si="12"/>
        <v>0</v>
      </c>
      <c r="K58" s="32" t="str">
        <f t="shared" si="13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7"/>
        <v>0</v>
      </c>
      <c r="F59" s="32" t="str">
        <f t="shared" si="8"/>
        <v>0</v>
      </c>
      <c r="G59" s="32" t="str">
        <f t="shared" si="9"/>
        <v>0</v>
      </c>
      <c r="H59" s="32" t="str">
        <f t="shared" si="10"/>
        <v>0</v>
      </c>
      <c r="I59" s="32" t="str">
        <f t="shared" si="11"/>
        <v>0</v>
      </c>
      <c r="J59" s="32" t="str">
        <f t="shared" si="12"/>
        <v>0</v>
      </c>
      <c r="K59" s="32" t="str">
        <f t="shared" si="13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>
        <f t="shared" ref="E60:K60" si="14">SUM(E35:E59)</f>
        <v>0</v>
      </c>
      <c r="F60" s="32">
        <f>SUM(F35:F59)</f>
        <v>11</v>
      </c>
      <c r="G60" s="32">
        <f>SUM(G35:G59)</f>
        <v>25.28</v>
      </c>
      <c r="H60" s="32">
        <f t="shared" si="14"/>
        <v>9.9999999999994316E-2</v>
      </c>
      <c r="I60" s="32">
        <f t="shared" si="14"/>
        <v>0</v>
      </c>
      <c r="J60" s="32">
        <f t="shared" si="14"/>
        <v>22.200000000000003</v>
      </c>
      <c r="K60" s="32">
        <f t="shared" si="14"/>
        <v>3.0799999999999983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/>
      <c r="F61" s="33"/>
      <c r="G61" s="33"/>
      <c r="H61" s="33"/>
      <c r="I61" s="33"/>
      <c r="J61" s="33"/>
      <c r="K61" s="33"/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/>
      <c r="F62" s="33"/>
      <c r="G62" s="33"/>
      <c r="H62" s="33"/>
      <c r="I62" s="33"/>
      <c r="J62" s="33"/>
      <c r="K62" s="33"/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</sheetData>
  <mergeCells count="71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4:R34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46:R46"/>
    <mergeCell ref="L35:R35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57:R57"/>
    <mergeCell ref="L47:R47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64:R64"/>
    <mergeCell ref="L65:R65"/>
    <mergeCell ref="L66:R66"/>
    <mergeCell ref="L58:R58"/>
    <mergeCell ref="L59:R59"/>
    <mergeCell ref="L60:R60"/>
    <mergeCell ref="L61:R61"/>
    <mergeCell ref="L62:R62"/>
    <mergeCell ref="L63:R63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01F7-AA9C-4B2D-8602-19A842881042}">
  <sheetPr>
    <tabColor theme="2"/>
  </sheetPr>
  <dimension ref="A1:R93"/>
  <sheetViews>
    <sheetView view="pageBreakPreview" zoomScale="55" zoomScaleNormal="55" zoomScaleSheetLayoutView="55" workbookViewId="0">
      <selection activeCell="W27" sqref="W27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16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17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TT!C10</f>
        <v>RODOVIA TO-365 - TRECHO RIO TOCANTINS (BALSA) - TREVO DA PRAIA - ENTR. BR-153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52</v>
      </c>
      <c r="B7" s="19" t="s">
        <v>74</v>
      </c>
      <c r="C7" s="20">
        <v>0</v>
      </c>
      <c r="D7" s="20">
        <v>1</v>
      </c>
      <c r="E7" s="19"/>
      <c r="F7" s="19"/>
      <c r="G7" s="19" t="s">
        <v>75</v>
      </c>
      <c r="H7" s="19"/>
      <c r="I7" s="19" t="s">
        <v>75</v>
      </c>
      <c r="J7" s="19"/>
      <c r="K7" s="19"/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f>D7</f>
        <v>1</v>
      </c>
      <c r="D8" s="20">
        <v>1.98</v>
      </c>
      <c r="E8" s="19"/>
      <c r="F8" s="19"/>
      <c r="G8" s="19" t="s">
        <v>75</v>
      </c>
      <c r="H8" s="19"/>
      <c r="I8" s="19" t="s">
        <v>75</v>
      </c>
      <c r="J8" s="19"/>
      <c r="K8" s="19"/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 t="s">
        <v>54</v>
      </c>
      <c r="B9" s="19" t="s">
        <v>74</v>
      </c>
      <c r="C9" s="20">
        <v>0</v>
      </c>
      <c r="D9" s="20">
        <v>1</v>
      </c>
      <c r="E9" s="19"/>
      <c r="F9" s="19"/>
      <c r="G9" s="19" t="s">
        <v>75</v>
      </c>
      <c r="H9" s="19"/>
      <c r="I9" s="19" t="s">
        <v>75</v>
      </c>
      <c r="J9" s="19"/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>
        <f>D9</f>
        <v>1</v>
      </c>
      <c r="D10" s="20">
        <v>2</v>
      </c>
      <c r="E10" s="19"/>
      <c r="F10" s="19"/>
      <c r="G10" s="19" t="s">
        <v>75</v>
      </c>
      <c r="H10" s="19"/>
      <c r="I10" s="19" t="s">
        <v>75</v>
      </c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>
        <f t="shared" ref="C11:C40" si="0">D10</f>
        <v>2</v>
      </c>
      <c r="D11" s="20">
        <v>3</v>
      </c>
      <c r="E11" s="19"/>
      <c r="F11" s="19"/>
      <c r="G11" s="19" t="s">
        <v>75</v>
      </c>
      <c r="H11" s="19"/>
      <c r="I11" s="19" t="s">
        <v>75</v>
      </c>
      <c r="J11" s="19"/>
      <c r="K11" s="19"/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>
        <f t="shared" si="0"/>
        <v>3</v>
      </c>
      <c r="D12" s="20">
        <v>4</v>
      </c>
      <c r="E12" s="19"/>
      <c r="F12" s="19"/>
      <c r="G12" s="19" t="s">
        <v>75</v>
      </c>
      <c r="H12" s="19"/>
      <c r="I12" s="19" t="s">
        <v>75</v>
      </c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>
        <f t="shared" si="0"/>
        <v>4</v>
      </c>
      <c r="D13" s="20">
        <v>5</v>
      </c>
      <c r="E13" s="19"/>
      <c r="F13" s="19"/>
      <c r="G13" s="19" t="s">
        <v>75</v>
      </c>
      <c r="H13" s="19"/>
      <c r="I13" s="19" t="s">
        <v>75</v>
      </c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>
        <f t="shared" si="0"/>
        <v>5</v>
      </c>
      <c r="D14" s="20">
        <v>6</v>
      </c>
      <c r="E14" s="19"/>
      <c r="F14" s="19"/>
      <c r="G14" s="19" t="s">
        <v>75</v>
      </c>
      <c r="H14" s="19"/>
      <c r="I14" s="19" t="s">
        <v>75</v>
      </c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>
        <f t="shared" si="0"/>
        <v>6</v>
      </c>
      <c r="D15" s="20">
        <v>7</v>
      </c>
      <c r="E15" s="19"/>
      <c r="F15" s="19"/>
      <c r="G15" s="19" t="s">
        <v>75</v>
      </c>
      <c r="H15" s="19"/>
      <c r="I15" s="19" t="s">
        <v>75</v>
      </c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>
        <f t="shared" si="0"/>
        <v>7</v>
      </c>
      <c r="D16" s="20">
        <v>8</v>
      </c>
      <c r="E16" s="19"/>
      <c r="F16" s="19"/>
      <c r="G16" s="19" t="s">
        <v>75</v>
      </c>
      <c r="H16" s="19"/>
      <c r="I16" s="19" t="s">
        <v>75</v>
      </c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>
        <f t="shared" si="0"/>
        <v>8</v>
      </c>
      <c r="D17" s="20">
        <v>9</v>
      </c>
      <c r="E17" s="19"/>
      <c r="F17" s="19"/>
      <c r="G17" s="19" t="s">
        <v>75</v>
      </c>
      <c r="H17" s="19"/>
      <c r="I17" s="19" t="s">
        <v>75</v>
      </c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61"/>
      <c r="B18" s="19"/>
      <c r="C18" s="20">
        <f t="shared" si="0"/>
        <v>9</v>
      </c>
      <c r="D18" s="20">
        <v>10</v>
      </c>
      <c r="E18" s="19"/>
      <c r="F18" s="19"/>
      <c r="G18" s="19" t="s">
        <v>75</v>
      </c>
      <c r="H18" s="19"/>
      <c r="I18" s="19" t="s">
        <v>75</v>
      </c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61"/>
      <c r="B19" s="19"/>
      <c r="C19" s="20">
        <f t="shared" si="0"/>
        <v>10</v>
      </c>
      <c r="D19" s="20">
        <v>11</v>
      </c>
      <c r="E19" s="19"/>
      <c r="F19" s="19"/>
      <c r="G19" s="19" t="s">
        <v>75</v>
      </c>
      <c r="H19" s="19"/>
      <c r="I19" s="19" t="s">
        <v>75</v>
      </c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61"/>
      <c r="B20" s="19"/>
      <c r="C20" s="20">
        <f t="shared" si="0"/>
        <v>11</v>
      </c>
      <c r="D20" s="20">
        <v>12</v>
      </c>
      <c r="E20" s="19"/>
      <c r="F20" s="19"/>
      <c r="G20" s="19" t="s">
        <v>75</v>
      </c>
      <c r="H20" s="19"/>
      <c r="I20" s="19" t="s">
        <v>75</v>
      </c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61"/>
      <c r="B21" s="19"/>
      <c r="C21" s="20">
        <f t="shared" si="0"/>
        <v>12</v>
      </c>
      <c r="D21" s="20">
        <v>13</v>
      </c>
      <c r="E21" s="19"/>
      <c r="F21" s="19"/>
      <c r="G21" s="19" t="s">
        <v>75</v>
      </c>
      <c r="H21" s="19"/>
      <c r="I21" s="19" t="s">
        <v>75</v>
      </c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61"/>
      <c r="B22" s="19"/>
      <c r="C22" s="20">
        <f t="shared" si="0"/>
        <v>13</v>
      </c>
      <c r="D22" s="20">
        <v>14</v>
      </c>
      <c r="E22" s="19"/>
      <c r="F22" s="19"/>
      <c r="G22" s="19" t="s">
        <v>75</v>
      </c>
      <c r="H22" s="19"/>
      <c r="I22" s="19" t="s">
        <v>75</v>
      </c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61"/>
      <c r="B23" s="19"/>
      <c r="C23" s="20">
        <f t="shared" si="0"/>
        <v>14</v>
      </c>
      <c r="D23" s="20">
        <v>15</v>
      </c>
      <c r="E23" s="19"/>
      <c r="F23" s="19"/>
      <c r="G23" s="19" t="s">
        <v>75</v>
      </c>
      <c r="H23" s="19"/>
      <c r="I23" s="19" t="s">
        <v>75</v>
      </c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61"/>
      <c r="B24" s="19"/>
      <c r="C24" s="20">
        <f t="shared" si="0"/>
        <v>15</v>
      </c>
      <c r="D24" s="20">
        <v>16</v>
      </c>
      <c r="E24" s="19"/>
      <c r="F24" s="19"/>
      <c r="G24" s="19" t="s">
        <v>75</v>
      </c>
      <c r="H24" s="19"/>
      <c r="I24" s="19" t="s">
        <v>75</v>
      </c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x14ac:dyDescent="0.25">
      <c r="A25" s="61"/>
      <c r="B25" s="19"/>
      <c r="C25" s="20">
        <f t="shared" si="0"/>
        <v>16</v>
      </c>
      <c r="D25" s="20">
        <v>17</v>
      </c>
      <c r="E25" s="19"/>
      <c r="F25" s="19"/>
      <c r="G25" s="19" t="s">
        <v>75</v>
      </c>
      <c r="H25" s="19"/>
      <c r="I25" s="19" t="s">
        <v>75</v>
      </c>
      <c r="J25" s="19"/>
      <c r="K25" s="19"/>
      <c r="L25" s="98"/>
      <c r="M25" s="98"/>
      <c r="N25" s="98"/>
      <c r="O25" s="98"/>
      <c r="P25" s="98"/>
      <c r="Q25" s="98"/>
      <c r="R25" s="99"/>
    </row>
    <row r="26" spans="1:18" ht="41.4" customHeight="1" x14ac:dyDescent="0.25">
      <c r="A26" s="61"/>
      <c r="B26" s="19"/>
      <c r="C26" s="20">
        <f t="shared" si="0"/>
        <v>17</v>
      </c>
      <c r="D26" s="20">
        <v>18</v>
      </c>
      <c r="E26" s="19"/>
      <c r="F26" s="19"/>
      <c r="G26" s="19" t="s">
        <v>75</v>
      </c>
      <c r="H26" s="19"/>
      <c r="I26" s="19" t="s">
        <v>75</v>
      </c>
      <c r="J26" s="19"/>
      <c r="K26" s="19"/>
      <c r="L26" s="98"/>
      <c r="M26" s="98"/>
      <c r="N26" s="98"/>
      <c r="O26" s="98"/>
      <c r="P26" s="98"/>
      <c r="Q26" s="98"/>
      <c r="R26" s="99"/>
    </row>
    <row r="27" spans="1:18" ht="41.4" customHeight="1" x14ac:dyDescent="0.25">
      <c r="A27" s="61"/>
      <c r="B27" s="19"/>
      <c r="C27" s="20">
        <f t="shared" si="0"/>
        <v>18</v>
      </c>
      <c r="D27" s="20">
        <v>19</v>
      </c>
      <c r="E27" s="19"/>
      <c r="F27" s="19"/>
      <c r="G27" s="19" t="s">
        <v>75</v>
      </c>
      <c r="H27" s="19"/>
      <c r="I27" s="19" t="s">
        <v>75</v>
      </c>
      <c r="J27" s="19"/>
      <c r="K27" s="19"/>
      <c r="L27" s="98"/>
      <c r="M27" s="98"/>
      <c r="N27" s="98"/>
      <c r="O27" s="98"/>
      <c r="P27" s="98"/>
      <c r="Q27" s="98"/>
      <c r="R27" s="99"/>
    </row>
    <row r="28" spans="1:18" ht="41.4" customHeight="1" x14ac:dyDescent="0.25">
      <c r="A28" s="61"/>
      <c r="B28" s="19"/>
      <c r="C28" s="20">
        <f t="shared" si="0"/>
        <v>19</v>
      </c>
      <c r="D28" s="20">
        <v>20</v>
      </c>
      <c r="E28" s="19"/>
      <c r="F28" s="19"/>
      <c r="G28" s="19" t="s">
        <v>75</v>
      </c>
      <c r="H28" s="19"/>
      <c r="I28" s="19" t="s">
        <v>75</v>
      </c>
      <c r="J28" s="19"/>
      <c r="K28" s="19"/>
      <c r="L28" s="98"/>
      <c r="M28" s="98"/>
      <c r="N28" s="98"/>
      <c r="O28" s="98"/>
      <c r="P28" s="98"/>
      <c r="Q28" s="98"/>
      <c r="R28" s="99"/>
    </row>
    <row r="29" spans="1:18" ht="41.4" customHeight="1" x14ac:dyDescent="0.25">
      <c r="A29" s="61"/>
      <c r="B29" s="19"/>
      <c r="C29" s="20">
        <f t="shared" si="0"/>
        <v>20</v>
      </c>
      <c r="D29" s="20">
        <v>21</v>
      </c>
      <c r="E29" s="19"/>
      <c r="F29" s="19"/>
      <c r="G29" s="19" t="s">
        <v>75</v>
      </c>
      <c r="H29" s="19"/>
      <c r="I29" s="19" t="s">
        <v>75</v>
      </c>
      <c r="J29" s="19"/>
      <c r="K29" s="19"/>
      <c r="L29" s="98"/>
      <c r="M29" s="98"/>
      <c r="N29" s="98"/>
      <c r="O29" s="98"/>
      <c r="P29" s="98"/>
      <c r="Q29" s="98"/>
      <c r="R29" s="99"/>
    </row>
    <row r="30" spans="1:18" ht="41.4" customHeight="1" x14ac:dyDescent="0.25">
      <c r="A30" s="61"/>
      <c r="B30" s="19"/>
      <c r="C30" s="20">
        <f t="shared" si="0"/>
        <v>21</v>
      </c>
      <c r="D30" s="20">
        <v>22</v>
      </c>
      <c r="E30" s="19"/>
      <c r="F30" s="19"/>
      <c r="G30" s="19" t="s">
        <v>75</v>
      </c>
      <c r="H30" s="19"/>
      <c r="I30" s="19" t="s">
        <v>75</v>
      </c>
      <c r="J30" s="19"/>
      <c r="K30" s="19"/>
      <c r="L30" s="98"/>
      <c r="M30" s="98"/>
      <c r="N30" s="98"/>
      <c r="O30" s="98"/>
      <c r="P30" s="98"/>
      <c r="Q30" s="98"/>
      <c r="R30" s="99"/>
    </row>
    <row r="31" spans="1:18" ht="41.4" customHeight="1" x14ac:dyDescent="0.25">
      <c r="A31" s="61"/>
      <c r="B31" s="19"/>
      <c r="C31" s="20">
        <f t="shared" si="0"/>
        <v>22</v>
      </c>
      <c r="D31" s="20">
        <v>23</v>
      </c>
      <c r="E31" s="19"/>
      <c r="F31" s="19"/>
      <c r="G31" s="19" t="s">
        <v>75</v>
      </c>
      <c r="H31" s="19"/>
      <c r="I31" s="19" t="s">
        <v>75</v>
      </c>
      <c r="J31" s="19"/>
      <c r="K31" s="19"/>
      <c r="L31" s="98"/>
      <c r="M31" s="98"/>
      <c r="N31" s="98"/>
      <c r="O31" s="98"/>
      <c r="P31" s="98"/>
      <c r="Q31" s="98"/>
      <c r="R31" s="99"/>
    </row>
    <row r="32" spans="1:18" ht="41.4" customHeight="1" x14ac:dyDescent="0.25">
      <c r="A32" s="61"/>
      <c r="B32" s="19"/>
      <c r="C32" s="20">
        <f t="shared" si="0"/>
        <v>23</v>
      </c>
      <c r="D32" s="20">
        <v>24</v>
      </c>
      <c r="E32" s="19"/>
      <c r="F32" s="19"/>
      <c r="G32" s="19" t="s">
        <v>75</v>
      </c>
      <c r="H32" s="19"/>
      <c r="I32" s="19" t="s">
        <v>75</v>
      </c>
      <c r="J32" s="19"/>
      <c r="K32" s="19"/>
      <c r="L32" s="98"/>
      <c r="M32" s="98"/>
      <c r="N32" s="98"/>
      <c r="O32" s="98"/>
      <c r="P32" s="98"/>
      <c r="Q32" s="98"/>
      <c r="R32" s="99"/>
    </row>
    <row r="33" spans="1:18" ht="41.4" customHeight="1" x14ac:dyDescent="0.25">
      <c r="A33" s="61"/>
      <c r="B33" s="19"/>
      <c r="C33" s="20">
        <f t="shared" si="0"/>
        <v>24</v>
      </c>
      <c r="D33" s="20">
        <v>25</v>
      </c>
      <c r="E33" s="19"/>
      <c r="F33" s="19"/>
      <c r="G33" s="19" t="s">
        <v>75</v>
      </c>
      <c r="H33" s="19"/>
      <c r="I33" s="19" t="s">
        <v>75</v>
      </c>
      <c r="J33" s="19"/>
      <c r="K33" s="19"/>
      <c r="L33" s="98"/>
      <c r="M33" s="98"/>
      <c r="N33" s="98"/>
      <c r="O33" s="98"/>
      <c r="P33" s="98"/>
      <c r="Q33" s="98"/>
      <c r="R33" s="99"/>
    </row>
    <row r="34" spans="1:18" ht="41.4" customHeight="1" x14ac:dyDescent="0.25">
      <c r="A34" s="61"/>
      <c r="B34" s="19"/>
      <c r="C34" s="20">
        <f t="shared" si="0"/>
        <v>25</v>
      </c>
      <c r="D34" s="20">
        <v>26</v>
      </c>
      <c r="E34" s="19"/>
      <c r="F34" s="19"/>
      <c r="G34" s="19" t="s">
        <v>75</v>
      </c>
      <c r="H34" s="19"/>
      <c r="I34" s="19" t="s">
        <v>75</v>
      </c>
      <c r="J34" s="19"/>
      <c r="K34" s="19"/>
      <c r="L34" s="123"/>
      <c r="M34" s="124"/>
      <c r="N34" s="124"/>
      <c r="O34" s="124"/>
      <c r="P34" s="124"/>
      <c r="Q34" s="124"/>
      <c r="R34" s="125"/>
    </row>
    <row r="35" spans="1:18" ht="41.4" customHeight="1" x14ac:dyDescent="0.25">
      <c r="A35" s="61"/>
      <c r="B35" s="19"/>
      <c r="C35" s="20">
        <f t="shared" si="0"/>
        <v>26</v>
      </c>
      <c r="D35" s="20">
        <v>27</v>
      </c>
      <c r="E35" s="19"/>
      <c r="F35" s="19"/>
      <c r="G35" s="19" t="s">
        <v>75</v>
      </c>
      <c r="H35" s="19"/>
      <c r="I35" s="19" t="s">
        <v>75</v>
      </c>
      <c r="J35" s="19"/>
      <c r="K35" s="19"/>
      <c r="L35" s="123"/>
      <c r="M35" s="124"/>
      <c r="N35" s="124"/>
      <c r="O35" s="124"/>
      <c r="P35" s="124"/>
      <c r="Q35" s="124"/>
      <c r="R35" s="125"/>
    </row>
    <row r="36" spans="1:18" ht="41.4" customHeight="1" x14ac:dyDescent="0.25">
      <c r="A36" s="61"/>
      <c r="B36" s="19"/>
      <c r="C36" s="20">
        <f t="shared" si="0"/>
        <v>27</v>
      </c>
      <c r="D36" s="20">
        <v>28</v>
      </c>
      <c r="E36" s="19"/>
      <c r="F36" s="19"/>
      <c r="G36" s="19" t="s">
        <v>75</v>
      </c>
      <c r="H36" s="19"/>
      <c r="I36" s="19" t="s">
        <v>75</v>
      </c>
      <c r="J36" s="19"/>
      <c r="K36" s="19"/>
      <c r="L36" s="123"/>
      <c r="M36" s="124"/>
      <c r="N36" s="124"/>
      <c r="O36" s="124"/>
      <c r="P36" s="124"/>
      <c r="Q36" s="124"/>
      <c r="R36" s="125"/>
    </row>
    <row r="37" spans="1:18" ht="41.4" customHeight="1" x14ac:dyDescent="0.25">
      <c r="A37" s="61"/>
      <c r="B37" s="19"/>
      <c r="C37" s="20">
        <f t="shared" si="0"/>
        <v>28</v>
      </c>
      <c r="D37" s="20">
        <v>29</v>
      </c>
      <c r="E37" s="19"/>
      <c r="F37" s="19"/>
      <c r="G37" s="19" t="s">
        <v>75</v>
      </c>
      <c r="H37" s="19"/>
      <c r="I37" s="19" t="s">
        <v>75</v>
      </c>
      <c r="J37" s="19"/>
      <c r="K37" s="19"/>
      <c r="L37" s="123"/>
      <c r="M37" s="124"/>
      <c r="N37" s="124"/>
      <c r="O37" s="124"/>
      <c r="P37" s="124"/>
      <c r="Q37" s="124"/>
      <c r="R37" s="125"/>
    </row>
    <row r="38" spans="1:18" ht="41.4" customHeight="1" x14ac:dyDescent="0.25">
      <c r="A38" s="61"/>
      <c r="B38" s="19"/>
      <c r="C38" s="20">
        <f t="shared" si="0"/>
        <v>29</v>
      </c>
      <c r="D38" s="20">
        <v>30</v>
      </c>
      <c r="E38" s="19"/>
      <c r="F38" s="19"/>
      <c r="G38" s="19" t="s">
        <v>75</v>
      </c>
      <c r="H38" s="19"/>
      <c r="I38" s="19" t="s">
        <v>75</v>
      </c>
      <c r="J38" s="19"/>
      <c r="K38" s="19"/>
      <c r="L38" s="123"/>
      <c r="M38" s="124"/>
      <c r="N38" s="124"/>
      <c r="O38" s="124"/>
      <c r="P38" s="124"/>
      <c r="Q38" s="124"/>
      <c r="R38" s="125"/>
    </row>
    <row r="39" spans="1:18" ht="41.4" customHeight="1" x14ac:dyDescent="0.25">
      <c r="A39" s="61"/>
      <c r="B39" s="19"/>
      <c r="C39" s="20">
        <f t="shared" si="0"/>
        <v>30</v>
      </c>
      <c r="D39" s="20">
        <v>31</v>
      </c>
      <c r="E39" s="19"/>
      <c r="F39" s="19"/>
      <c r="G39" s="19" t="s">
        <v>75</v>
      </c>
      <c r="H39" s="19"/>
      <c r="I39" s="19" t="s">
        <v>75</v>
      </c>
      <c r="J39" s="19"/>
      <c r="K39" s="19"/>
      <c r="L39" s="123"/>
      <c r="M39" s="124"/>
      <c r="N39" s="124"/>
      <c r="O39" s="124"/>
      <c r="P39" s="124"/>
      <c r="Q39" s="124"/>
      <c r="R39" s="125"/>
    </row>
    <row r="40" spans="1:18" ht="41.4" customHeight="1" x14ac:dyDescent="0.25">
      <c r="A40" s="61"/>
      <c r="B40" s="19"/>
      <c r="C40" s="20">
        <f t="shared" si="0"/>
        <v>31</v>
      </c>
      <c r="D40" s="20">
        <v>31.59</v>
      </c>
      <c r="E40" s="19"/>
      <c r="F40" s="19"/>
      <c r="G40" s="19" t="s">
        <v>75</v>
      </c>
      <c r="H40" s="19"/>
      <c r="I40" s="19" t="s">
        <v>75</v>
      </c>
      <c r="J40" s="19"/>
      <c r="K40" s="19"/>
      <c r="L40" s="123"/>
      <c r="M40" s="124"/>
      <c r="N40" s="124"/>
      <c r="O40" s="124"/>
      <c r="P40" s="124"/>
      <c r="Q40" s="124"/>
      <c r="R40" s="125"/>
    </row>
    <row r="41" spans="1:18" ht="41.4" customHeight="1" thickBot="1" x14ac:dyDescent="0.3">
      <c r="A41" s="81" t="s">
        <v>56</v>
      </c>
      <c r="B41" s="29" t="s">
        <v>74</v>
      </c>
      <c r="C41" s="23">
        <v>0</v>
      </c>
      <c r="D41" s="23">
        <v>1</v>
      </c>
      <c r="E41" s="29"/>
      <c r="F41" s="29"/>
      <c r="G41" s="29" t="s">
        <v>75</v>
      </c>
      <c r="H41" s="29" t="s">
        <v>75</v>
      </c>
      <c r="I41" s="29"/>
      <c r="J41" s="29"/>
      <c r="K41" s="29" t="s">
        <v>75</v>
      </c>
      <c r="L41" s="123"/>
      <c r="M41" s="124"/>
      <c r="N41" s="124"/>
      <c r="O41" s="124"/>
      <c r="P41" s="124"/>
      <c r="Q41" s="124"/>
      <c r="R41" s="125"/>
    </row>
    <row r="42" spans="1:18" ht="41.4" customHeight="1" thickBot="1" x14ac:dyDescent="0.3">
      <c r="A42" s="74"/>
      <c r="B42" s="65"/>
      <c r="C42" s="64">
        <f>D41</f>
        <v>1</v>
      </c>
      <c r="D42" s="64">
        <v>3.9</v>
      </c>
      <c r="E42" s="65"/>
      <c r="F42" s="65"/>
      <c r="G42" s="65" t="s">
        <v>75</v>
      </c>
      <c r="H42" s="65"/>
      <c r="I42" s="65" t="s">
        <v>75</v>
      </c>
      <c r="J42" s="65"/>
      <c r="K42" s="65"/>
      <c r="L42" s="126"/>
      <c r="M42" s="127"/>
      <c r="N42" s="127"/>
      <c r="O42" s="127"/>
      <c r="P42" s="127"/>
      <c r="Q42" s="127"/>
      <c r="R42" s="128"/>
    </row>
    <row r="43" spans="1:18" ht="41.4" customHeight="1" x14ac:dyDescent="0.25">
      <c r="C43" s="32"/>
      <c r="D43" s="32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</row>
    <row r="44" spans="1:18" ht="41.4" customHeight="1" x14ac:dyDescent="0.25">
      <c r="C44" s="32"/>
      <c r="D44" s="32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</row>
    <row r="45" spans="1:18" ht="41.4" customHeight="1" x14ac:dyDescent="0.25">
      <c r="C45" s="32"/>
      <c r="D45" s="3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</row>
    <row r="46" spans="1:18" ht="41.4" customHeight="1" x14ac:dyDescent="0.25">
      <c r="C46" s="32"/>
      <c r="D46" s="32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</row>
    <row r="47" spans="1:18" ht="41.4" customHeight="1" x14ac:dyDescent="0.25">
      <c r="C47" s="32"/>
      <c r="D47" s="32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</row>
    <row r="48" spans="1:18" ht="41.4" customHeight="1" x14ac:dyDescent="0.25">
      <c r="C48" s="32"/>
      <c r="D48" s="32"/>
      <c r="E48" s="33"/>
      <c r="F48" s="33"/>
      <c r="G48" s="33"/>
      <c r="H48" s="33"/>
      <c r="I48" s="33"/>
      <c r="J48" s="33"/>
      <c r="K48" s="33"/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3"/>
      <c r="F49" s="33"/>
      <c r="G49" s="33"/>
      <c r="H49" s="33"/>
      <c r="I49" s="33"/>
      <c r="J49" s="33"/>
      <c r="K49" s="33"/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>IF(E7="X",(D7-C7),"0")</f>
        <v>0</v>
      </c>
      <c r="F50" s="32" t="str">
        <f>IF(F7="X",(D7-C7),"0")</f>
        <v>0</v>
      </c>
      <c r="G50" s="32">
        <f>IF(G7="X",(D7-C7),"0")</f>
        <v>1</v>
      </c>
      <c r="H50" s="32" t="str">
        <f>IF(H7="X",(D7-C7),"0")</f>
        <v>0</v>
      </c>
      <c r="I50" s="32">
        <f>IF(I7="X",(D7-C7),"0")</f>
        <v>1</v>
      </c>
      <c r="J50" s="32" t="str">
        <f>IF(J7="X",(D7-C7),"0")</f>
        <v>0</v>
      </c>
      <c r="K50" s="32" t="str">
        <f>IF(K7="X",(D7-C7),"0")</f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ref="E51:E86" si="1">IF(E8="X",(D8-C8),"0")</f>
        <v>0</v>
      </c>
      <c r="F51" s="32" t="str">
        <f t="shared" ref="F51:F86" si="2">IF(F8="X",(D8-C8),"0")</f>
        <v>0</v>
      </c>
      <c r="G51" s="32">
        <f t="shared" ref="G51:G86" si="3">IF(G8="X",(D8-C8),"0")</f>
        <v>0.98</v>
      </c>
      <c r="H51" s="32" t="str">
        <f t="shared" ref="H51:H86" si="4">IF(H8="X",(D8-C8),"0")</f>
        <v>0</v>
      </c>
      <c r="I51" s="32">
        <f t="shared" ref="I51:I86" si="5">IF(I8="X",(D8-C8),"0")</f>
        <v>0.98</v>
      </c>
      <c r="J51" s="32" t="str">
        <f t="shared" ref="J51:J86" si="6">IF(J8="X",(D8-C8),"0")</f>
        <v>0</v>
      </c>
      <c r="K51" s="32" t="str">
        <f t="shared" ref="K51:K86" si="7">IF(K8="X",(D8-C8),"0")</f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1"/>
        <v>0</v>
      </c>
      <c r="F52" s="32" t="str">
        <f t="shared" si="2"/>
        <v>0</v>
      </c>
      <c r="G52" s="32">
        <f t="shared" si="3"/>
        <v>1</v>
      </c>
      <c r="H52" s="32" t="str">
        <f t="shared" si="4"/>
        <v>0</v>
      </c>
      <c r="I52" s="32">
        <f t="shared" si="5"/>
        <v>1</v>
      </c>
      <c r="J52" s="32" t="str">
        <f t="shared" si="6"/>
        <v>0</v>
      </c>
      <c r="K52" s="32" t="str">
        <f t="shared" si="7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1"/>
        <v>0</v>
      </c>
      <c r="F53" s="32" t="str">
        <f t="shared" si="2"/>
        <v>0</v>
      </c>
      <c r="G53" s="32">
        <f t="shared" si="3"/>
        <v>1</v>
      </c>
      <c r="H53" s="32" t="str">
        <f t="shared" si="4"/>
        <v>0</v>
      </c>
      <c r="I53" s="32">
        <f t="shared" si="5"/>
        <v>1</v>
      </c>
      <c r="J53" s="32" t="str">
        <f t="shared" si="6"/>
        <v>0</v>
      </c>
      <c r="K53" s="32" t="str">
        <f t="shared" si="7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1"/>
        <v>0</v>
      </c>
      <c r="F54" s="32" t="str">
        <f t="shared" si="2"/>
        <v>0</v>
      </c>
      <c r="G54" s="32">
        <f t="shared" si="3"/>
        <v>1</v>
      </c>
      <c r="H54" s="32" t="str">
        <f t="shared" si="4"/>
        <v>0</v>
      </c>
      <c r="I54" s="32">
        <f t="shared" si="5"/>
        <v>1</v>
      </c>
      <c r="J54" s="32" t="str">
        <f t="shared" si="6"/>
        <v>0</v>
      </c>
      <c r="K54" s="32" t="str">
        <f t="shared" si="7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1"/>
        <v>0</v>
      </c>
      <c r="F55" s="32" t="str">
        <f t="shared" si="2"/>
        <v>0</v>
      </c>
      <c r="G55" s="32">
        <f t="shared" si="3"/>
        <v>1</v>
      </c>
      <c r="H55" s="32" t="str">
        <f t="shared" si="4"/>
        <v>0</v>
      </c>
      <c r="I55" s="32">
        <f t="shared" si="5"/>
        <v>1</v>
      </c>
      <c r="J55" s="32" t="str">
        <f t="shared" si="6"/>
        <v>0</v>
      </c>
      <c r="K55" s="32" t="str">
        <f t="shared" si="7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1"/>
        <v>0</v>
      </c>
      <c r="F56" s="32" t="str">
        <f t="shared" si="2"/>
        <v>0</v>
      </c>
      <c r="G56" s="32">
        <f t="shared" si="3"/>
        <v>1</v>
      </c>
      <c r="H56" s="32" t="str">
        <f t="shared" si="4"/>
        <v>0</v>
      </c>
      <c r="I56" s="32">
        <f t="shared" si="5"/>
        <v>1</v>
      </c>
      <c r="J56" s="32" t="str">
        <f t="shared" si="6"/>
        <v>0</v>
      </c>
      <c r="K56" s="32" t="str">
        <f t="shared" si="7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1"/>
        <v>0</v>
      </c>
      <c r="F57" s="32" t="str">
        <f t="shared" si="2"/>
        <v>0</v>
      </c>
      <c r="G57" s="32">
        <f t="shared" si="3"/>
        <v>1</v>
      </c>
      <c r="H57" s="32" t="str">
        <f t="shared" si="4"/>
        <v>0</v>
      </c>
      <c r="I57" s="32">
        <f t="shared" si="5"/>
        <v>1</v>
      </c>
      <c r="J57" s="32" t="str">
        <f t="shared" si="6"/>
        <v>0</v>
      </c>
      <c r="K57" s="32" t="str">
        <f t="shared" si="7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1"/>
        <v>0</v>
      </c>
      <c r="F58" s="32" t="str">
        <f t="shared" si="2"/>
        <v>0</v>
      </c>
      <c r="G58" s="32">
        <f t="shared" si="3"/>
        <v>1</v>
      </c>
      <c r="H58" s="32" t="str">
        <f t="shared" si="4"/>
        <v>0</v>
      </c>
      <c r="I58" s="32">
        <f t="shared" si="5"/>
        <v>1</v>
      </c>
      <c r="J58" s="32" t="str">
        <f t="shared" si="6"/>
        <v>0</v>
      </c>
      <c r="K58" s="32" t="str">
        <f t="shared" si="7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1"/>
        <v>0</v>
      </c>
      <c r="F59" s="32" t="str">
        <f t="shared" si="2"/>
        <v>0</v>
      </c>
      <c r="G59" s="32">
        <f t="shared" si="3"/>
        <v>1</v>
      </c>
      <c r="H59" s="32" t="str">
        <f t="shared" si="4"/>
        <v>0</v>
      </c>
      <c r="I59" s="32">
        <f t="shared" si="5"/>
        <v>1</v>
      </c>
      <c r="J59" s="32" t="str">
        <f t="shared" si="6"/>
        <v>0</v>
      </c>
      <c r="K59" s="32" t="str">
        <f t="shared" si="7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1"/>
        <v>0</v>
      </c>
      <c r="F60" s="32" t="str">
        <f t="shared" si="2"/>
        <v>0</v>
      </c>
      <c r="G60" s="32">
        <f t="shared" si="3"/>
        <v>1</v>
      </c>
      <c r="H60" s="32" t="str">
        <f t="shared" si="4"/>
        <v>0</v>
      </c>
      <c r="I60" s="32">
        <f t="shared" si="5"/>
        <v>1</v>
      </c>
      <c r="J60" s="32" t="str">
        <f t="shared" si="6"/>
        <v>0</v>
      </c>
      <c r="K60" s="32" t="str">
        <f t="shared" si="7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1"/>
        <v>0</v>
      </c>
      <c r="F61" s="32" t="str">
        <f t="shared" si="2"/>
        <v>0</v>
      </c>
      <c r="G61" s="32">
        <f t="shared" si="3"/>
        <v>1</v>
      </c>
      <c r="H61" s="32" t="str">
        <f t="shared" si="4"/>
        <v>0</v>
      </c>
      <c r="I61" s="32">
        <f t="shared" si="5"/>
        <v>1</v>
      </c>
      <c r="J61" s="32" t="str">
        <f t="shared" si="6"/>
        <v>0</v>
      </c>
      <c r="K61" s="32" t="str">
        <f t="shared" si="7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 t="str">
        <f t="shared" si="1"/>
        <v>0</v>
      </c>
      <c r="F62" s="32" t="str">
        <f t="shared" si="2"/>
        <v>0</v>
      </c>
      <c r="G62" s="32">
        <f t="shared" si="3"/>
        <v>1</v>
      </c>
      <c r="H62" s="32" t="str">
        <f t="shared" si="4"/>
        <v>0</v>
      </c>
      <c r="I62" s="32">
        <f t="shared" si="5"/>
        <v>1</v>
      </c>
      <c r="J62" s="32" t="str">
        <f t="shared" si="6"/>
        <v>0</v>
      </c>
      <c r="K62" s="32" t="str">
        <f t="shared" si="7"/>
        <v>0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 t="str">
        <f t="shared" si="1"/>
        <v>0</v>
      </c>
      <c r="F63" s="32" t="str">
        <f t="shared" si="2"/>
        <v>0</v>
      </c>
      <c r="G63" s="32">
        <f t="shared" si="3"/>
        <v>1</v>
      </c>
      <c r="H63" s="32" t="str">
        <f t="shared" si="4"/>
        <v>0</v>
      </c>
      <c r="I63" s="32">
        <f t="shared" si="5"/>
        <v>1</v>
      </c>
      <c r="J63" s="32" t="str">
        <f t="shared" si="6"/>
        <v>0</v>
      </c>
      <c r="K63" s="32" t="str">
        <f t="shared" si="7"/>
        <v>0</v>
      </c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 t="str">
        <f t="shared" si="1"/>
        <v>0</v>
      </c>
      <c r="F64" s="32" t="str">
        <f t="shared" si="2"/>
        <v>0</v>
      </c>
      <c r="G64" s="32">
        <f t="shared" si="3"/>
        <v>1</v>
      </c>
      <c r="H64" s="32" t="str">
        <f t="shared" si="4"/>
        <v>0</v>
      </c>
      <c r="I64" s="32">
        <f t="shared" si="5"/>
        <v>1</v>
      </c>
      <c r="J64" s="32" t="str">
        <f t="shared" si="6"/>
        <v>0</v>
      </c>
      <c r="K64" s="32" t="str">
        <f t="shared" si="7"/>
        <v>0</v>
      </c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 t="str">
        <f t="shared" si="1"/>
        <v>0</v>
      </c>
      <c r="F65" s="32" t="str">
        <f t="shared" si="2"/>
        <v>0</v>
      </c>
      <c r="G65" s="32">
        <f t="shared" si="3"/>
        <v>1</v>
      </c>
      <c r="H65" s="32" t="str">
        <f t="shared" si="4"/>
        <v>0</v>
      </c>
      <c r="I65" s="32">
        <f t="shared" si="5"/>
        <v>1</v>
      </c>
      <c r="J65" s="32" t="str">
        <f t="shared" si="6"/>
        <v>0</v>
      </c>
      <c r="K65" s="32" t="str">
        <f t="shared" si="7"/>
        <v>0</v>
      </c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 t="str">
        <f t="shared" si="1"/>
        <v>0</v>
      </c>
      <c r="F66" s="32" t="str">
        <f t="shared" si="2"/>
        <v>0</v>
      </c>
      <c r="G66" s="32">
        <f t="shared" si="3"/>
        <v>1</v>
      </c>
      <c r="H66" s="32" t="str">
        <f t="shared" si="4"/>
        <v>0</v>
      </c>
      <c r="I66" s="32">
        <f t="shared" si="5"/>
        <v>1</v>
      </c>
      <c r="J66" s="32" t="str">
        <f t="shared" si="6"/>
        <v>0</v>
      </c>
      <c r="K66" s="32" t="str">
        <f t="shared" si="7"/>
        <v>0</v>
      </c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 t="str">
        <f t="shared" si="1"/>
        <v>0</v>
      </c>
      <c r="F67" s="32" t="str">
        <f t="shared" si="2"/>
        <v>0</v>
      </c>
      <c r="G67" s="32">
        <f t="shared" si="3"/>
        <v>1</v>
      </c>
      <c r="H67" s="32" t="str">
        <f t="shared" si="4"/>
        <v>0</v>
      </c>
      <c r="I67" s="32">
        <f t="shared" si="5"/>
        <v>1</v>
      </c>
      <c r="J67" s="32" t="str">
        <f t="shared" si="6"/>
        <v>0</v>
      </c>
      <c r="K67" s="32" t="str">
        <f t="shared" si="7"/>
        <v>0</v>
      </c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 t="str">
        <f t="shared" si="1"/>
        <v>0</v>
      </c>
      <c r="F68" s="32" t="str">
        <f t="shared" si="2"/>
        <v>0</v>
      </c>
      <c r="G68" s="32">
        <f t="shared" si="3"/>
        <v>1</v>
      </c>
      <c r="H68" s="32" t="str">
        <f t="shared" si="4"/>
        <v>0</v>
      </c>
      <c r="I68" s="32">
        <f t="shared" si="5"/>
        <v>1</v>
      </c>
      <c r="J68" s="32" t="str">
        <f t="shared" si="6"/>
        <v>0</v>
      </c>
      <c r="K68" s="32" t="str">
        <f t="shared" si="7"/>
        <v>0</v>
      </c>
      <c r="L68" s="112"/>
      <c r="M68" s="112"/>
      <c r="N68" s="112"/>
      <c r="O68" s="112"/>
      <c r="P68" s="112"/>
      <c r="Q68" s="112"/>
      <c r="R68" s="112"/>
    </row>
    <row r="69" spans="3:18" ht="41.4" customHeight="1" x14ac:dyDescent="0.25">
      <c r="C69" s="32"/>
      <c r="D69" s="32"/>
      <c r="E69" s="32" t="str">
        <f t="shared" si="1"/>
        <v>0</v>
      </c>
      <c r="F69" s="32" t="str">
        <f t="shared" si="2"/>
        <v>0</v>
      </c>
      <c r="G69" s="32">
        <f t="shared" si="3"/>
        <v>1</v>
      </c>
      <c r="H69" s="32" t="str">
        <f t="shared" si="4"/>
        <v>0</v>
      </c>
      <c r="I69" s="32">
        <f t="shared" si="5"/>
        <v>1</v>
      </c>
      <c r="J69" s="32" t="str">
        <f t="shared" si="6"/>
        <v>0</v>
      </c>
      <c r="K69" s="32" t="str">
        <f t="shared" si="7"/>
        <v>0</v>
      </c>
      <c r="L69" s="112"/>
      <c r="M69" s="112"/>
      <c r="N69" s="112"/>
      <c r="O69" s="112"/>
      <c r="P69" s="112"/>
      <c r="Q69" s="112"/>
      <c r="R69" s="112"/>
    </row>
    <row r="70" spans="3:18" ht="41.4" customHeight="1" x14ac:dyDescent="0.25">
      <c r="C70" s="32"/>
      <c r="D70" s="32"/>
      <c r="E70" s="32" t="str">
        <f t="shared" si="1"/>
        <v>0</v>
      </c>
      <c r="F70" s="32" t="str">
        <f t="shared" si="2"/>
        <v>0</v>
      </c>
      <c r="G70" s="32">
        <f t="shared" si="3"/>
        <v>1</v>
      </c>
      <c r="H70" s="32" t="str">
        <f t="shared" si="4"/>
        <v>0</v>
      </c>
      <c r="I70" s="32">
        <f t="shared" si="5"/>
        <v>1</v>
      </c>
      <c r="J70" s="32" t="str">
        <f t="shared" si="6"/>
        <v>0</v>
      </c>
      <c r="K70" s="32" t="str">
        <f t="shared" si="7"/>
        <v>0</v>
      </c>
      <c r="L70" s="112"/>
      <c r="M70" s="112"/>
      <c r="N70" s="112"/>
      <c r="O70" s="112"/>
      <c r="P70" s="112"/>
      <c r="Q70" s="112"/>
      <c r="R70" s="112"/>
    </row>
    <row r="71" spans="3:18" ht="41.4" customHeight="1" x14ac:dyDescent="0.25">
      <c r="C71" s="32"/>
      <c r="D71" s="32"/>
      <c r="E71" s="32" t="str">
        <f t="shared" si="1"/>
        <v>0</v>
      </c>
      <c r="F71" s="32" t="str">
        <f t="shared" si="2"/>
        <v>0</v>
      </c>
      <c r="G71" s="32">
        <f t="shared" si="3"/>
        <v>1</v>
      </c>
      <c r="H71" s="32" t="str">
        <f t="shared" si="4"/>
        <v>0</v>
      </c>
      <c r="I71" s="32">
        <f t="shared" si="5"/>
        <v>1</v>
      </c>
      <c r="J71" s="32" t="str">
        <f t="shared" si="6"/>
        <v>0</v>
      </c>
      <c r="K71" s="32" t="str">
        <f t="shared" si="7"/>
        <v>0</v>
      </c>
      <c r="L71" s="112"/>
      <c r="M71" s="112"/>
      <c r="N71" s="112"/>
      <c r="O71" s="112"/>
      <c r="P71" s="112"/>
      <c r="Q71" s="112"/>
      <c r="R71" s="112"/>
    </row>
    <row r="72" spans="3:18" ht="41.4" customHeight="1" x14ac:dyDescent="0.25">
      <c r="C72" s="32"/>
      <c r="D72" s="32"/>
      <c r="E72" s="32" t="str">
        <f t="shared" si="1"/>
        <v>0</v>
      </c>
      <c r="F72" s="32" t="str">
        <f t="shared" si="2"/>
        <v>0</v>
      </c>
      <c r="G72" s="32">
        <f t="shared" si="3"/>
        <v>1</v>
      </c>
      <c r="H72" s="32" t="str">
        <f t="shared" si="4"/>
        <v>0</v>
      </c>
      <c r="I72" s="32">
        <f t="shared" si="5"/>
        <v>1</v>
      </c>
      <c r="J72" s="32" t="str">
        <f t="shared" si="6"/>
        <v>0</v>
      </c>
      <c r="K72" s="32" t="str">
        <f t="shared" si="7"/>
        <v>0</v>
      </c>
      <c r="L72" s="112"/>
      <c r="M72" s="112"/>
      <c r="N72" s="112"/>
      <c r="O72" s="112"/>
      <c r="P72" s="112"/>
      <c r="Q72" s="112"/>
      <c r="R72" s="112"/>
    </row>
    <row r="73" spans="3:18" ht="41.4" customHeight="1" x14ac:dyDescent="0.25">
      <c r="C73" s="32"/>
      <c r="D73" s="32"/>
      <c r="E73" s="32" t="str">
        <f t="shared" si="1"/>
        <v>0</v>
      </c>
      <c r="F73" s="32" t="str">
        <f t="shared" si="2"/>
        <v>0</v>
      </c>
      <c r="G73" s="32">
        <f t="shared" si="3"/>
        <v>1</v>
      </c>
      <c r="H73" s="32" t="str">
        <f t="shared" si="4"/>
        <v>0</v>
      </c>
      <c r="I73" s="32">
        <f t="shared" si="5"/>
        <v>1</v>
      </c>
      <c r="J73" s="32" t="str">
        <f t="shared" si="6"/>
        <v>0</v>
      </c>
      <c r="K73" s="32" t="str">
        <f t="shared" si="7"/>
        <v>0</v>
      </c>
      <c r="L73" s="112"/>
      <c r="M73" s="112"/>
      <c r="N73" s="112"/>
      <c r="O73" s="112"/>
      <c r="P73" s="112"/>
      <c r="Q73" s="112"/>
      <c r="R73" s="112"/>
    </row>
    <row r="74" spans="3:18" ht="41.4" customHeight="1" x14ac:dyDescent="0.25">
      <c r="C74" s="32"/>
      <c r="D74" s="32"/>
      <c r="E74" s="32" t="str">
        <f t="shared" si="1"/>
        <v>0</v>
      </c>
      <c r="F74" s="32" t="str">
        <f t="shared" si="2"/>
        <v>0</v>
      </c>
      <c r="G74" s="32">
        <f t="shared" si="3"/>
        <v>1</v>
      </c>
      <c r="H74" s="32" t="str">
        <f t="shared" si="4"/>
        <v>0</v>
      </c>
      <c r="I74" s="32">
        <f t="shared" si="5"/>
        <v>1</v>
      </c>
      <c r="J74" s="32" t="str">
        <f t="shared" si="6"/>
        <v>0</v>
      </c>
      <c r="K74" s="32" t="str">
        <f t="shared" si="7"/>
        <v>0</v>
      </c>
      <c r="L74" s="112"/>
      <c r="M74" s="112"/>
      <c r="N74" s="112"/>
      <c r="O74" s="112"/>
      <c r="P74" s="112"/>
      <c r="Q74" s="112"/>
      <c r="R74" s="112"/>
    </row>
    <row r="75" spans="3:18" ht="41.4" customHeight="1" x14ac:dyDescent="0.25">
      <c r="C75" s="32"/>
      <c r="D75" s="32"/>
      <c r="E75" s="32" t="str">
        <f t="shared" si="1"/>
        <v>0</v>
      </c>
      <c r="F75" s="32" t="str">
        <f t="shared" si="2"/>
        <v>0</v>
      </c>
      <c r="G75" s="32">
        <f t="shared" si="3"/>
        <v>1</v>
      </c>
      <c r="H75" s="32" t="str">
        <f t="shared" si="4"/>
        <v>0</v>
      </c>
      <c r="I75" s="32">
        <f t="shared" si="5"/>
        <v>1</v>
      </c>
      <c r="J75" s="32" t="str">
        <f t="shared" si="6"/>
        <v>0</v>
      </c>
      <c r="K75" s="32" t="str">
        <f t="shared" si="7"/>
        <v>0</v>
      </c>
      <c r="L75" s="112"/>
      <c r="M75" s="112"/>
      <c r="N75" s="112"/>
      <c r="O75" s="112"/>
      <c r="P75" s="112"/>
      <c r="Q75" s="112"/>
      <c r="R75" s="112"/>
    </row>
    <row r="76" spans="3:18" ht="41.4" customHeight="1" x14ac:dyDescent="0.25">
      <c r="C76" s="32"/>
      <c r="D76" s="32"/>
      <c r="E76" s="32" t="str">
        <f t="shared" si="1"/>
        <v>0</v>
      </c>
      <c r="F76" s="32" t="str">
        <f t="shared" si="2"/>
        <v>0</v>
      </c>
      <c r="G76" s="32">
        <f t="shared" si="3"/>
        <v>1</v>
      </c>
      <c r="H76" s="32" t="str">
        <f t="shared" si="4"/>
        <v>0</v>
      </c>
      <c r="I76" s="32">
        <f t="shared" si="5"/>
        <v>1</v>
      </c>
      <c r="J76" s="32" t="str">
        <f t="shared" si="6"/>
        <v>0</v>
      </c>
      <c r="K76" s="32" t="str">
        <f t="shared" si="7"/>
        <v>0</v>
      </c>
      <c r="L76" s="33"/>
      <c r="M76" s="33"/>
      <c r="N76" s="33"/>
      <c r="O76" s="33"/>
      <c r="P76" s="33"/>
      <c r="Q76" s="33"/>
      <c r="R76" s="33"/>
    </row>
    <row r="77" spans="3:18" ht="41.4" customHeight="1" x14ac:dyDescent="0.25">
      <c r="C77" s="32"/>
      <c r="D77" s="32"/>
      <c r="E77" s="32" t="str">
        <f t="shared" si="1"/>
        <v>0</v>
      </c>
      <c r="F77" s="32" t="str">
        <f t="shared" si="2"/>
        <v>0</v>
      </c>
      <c r="G77" s="32">
        <f t="shared" si="3"/>
        <v>1</v>
      </c>
      <c r="H77" s="32" t="str">
        <f t="shared" si="4"/>
        <v>0</v>
      </c>
      <c r="I77" s="32">
        <f t="shared" si="5"/>
        <v>1</v>
      </c>
      <c r="J77" s="32" t="str">
        <f t="shared" si="6"/>
        <v>0</v>
      </c>
      <c r="K77" s="32" t="str">
        <f t="shared" si="7"/>
        <v>0</v>
      </c>
      <c r="L77" s="33"/>
      <c r="M77" s="33"/>
      <c r="N77" s="33"/>
      <c r="O77" s="33"/>
      <c r="P77" s="33"/>
      <c r="Q77" s="33"/>
      <c r="R77" s="33"/>
    </row>
    <row r="78" spans="3:18" ht="41.4" customHeight="1" x14ac:dyDescent="0.25">
      <c r="C78" s="32"/>
      <c r="D78" s="32"/>
      <c r="E78" s="32" t="str">
        <f t="shared" si="1"/>
        <v>0</v>
      </c>
      <c r="F78" s="32" t="str">
        <f t="shared" si="2"/>
        <v>0</v>
      </c>
      <c r="G78" s="32">
        <f t="shared" si="3"/>
        <v>1</v>
      </c>
      <c r="H78" s="32" t="str">
        <f t="shared" si="4"/>
        <v>0</v>
      </c>
      <c r="I78" s="32">
        <f t="shared" si="5"/>
        <v>1</v>
      </c>
      <c r="J78" s="32" t="str">
        <f t="shared" si="6"/>
        <v>0</v>
      </c>
      <c r="K78" s="32" t="str">
        <f t="shared" si="7"/>
        <v>0</v>
      </c>
      <c r="L78" s="33"/>
      <c r="M78" s="33"/>
      <c r="N78" s="33"/>
      <c r="O78" s="33"/>
      <c r="P78" s="33"/>
      <c r="Q78" s="33"/>
      <c r="R78" s="33"/>
    </row>
    <row r="79" spans="3:18" ht="41.4" customHeight="1" x14ac:dyDescent="0.25">
      <c r="C79" s="32"/>
      <c r="D79" s="32"/>
      <c r="E79" s="32" t="str">
        <f t="shared" si="1"/>
        <v>0</v>
      </c>
      <c r="F79" s="32" t="str">
        <f t="shared" si="2"/>
        <v>0</v>
      </c>
      <c r="G79" s="32">
        <f t="shared" si="3"/>
        <v>1</v>
      </c>
      <c r="H79" s="32" t="str">
        <f t="shared" si="4"/>
        <v>0</v>
      </c>
      <c r="I79" s="32">
        <f t="shared" si="5"/>
        <v>1</v>
      </c>
      <c r="J79" s="32" t="str">
        <f t="shared" si="6"/>
        <v>0</v>
      </c>
      <c r="K79" s="32" t="str">
        <f t="shared" si="7"/>
        <v>0</v>
      </c>
      <c r="L79" s="33"/>
      <c r="M79" s="33"/>
      <c r="N79" s="33"/>
      <c r="O79" s="33"/>
      <c r="P79" s="33"/>
      <c r="Q79" s="33"/>
      <c r="R79" s="33"/>
    </row>
    <row r="80" spans="3:18" ht="41.4" customHeight="1" x14ac:dyDescent="0.25">
      <c r="C80" s="32"/>
      <c r="D80" s="32"/>
      <c r="E80" s="32" t="str">
        <f t="shared" si="1"/>
        <v>0</v>
      </c>
      <c r="F80" s="32" t="str">
        <f t="shared" si="2"/>
        <v>0</v>
      </c>
      <c r="G80" s="32">
        <f t="shared" si="3"/>
        <v>1</v>
      </c>
      <c r="H80" s="32" t="str">
        <f t="shared" si="4"/>
        <v>0</v>
      </c>
      <c r="I80" s="32">
        <f t="shared" si="5"/>
        <v>1</v>
      </c>
      <c r="J80" s="32" t="str">
        <f t="shared" si="6"/>
        <v>0</v>
      </c>
      <c r="K80" s="32" t="str">
        <f t="shared" si="7"/>
        <v>0</v>
      </c>
      <c r="L80" s="33"/>
      <c r="M80" s="33"/>
      <c r="N80" s="33"/>
      <c r="O80" s="33"/>
      <c r="P80" s="33"/>
      <c r="Q80" s="33"/>
      <c r="R80" s="33"/>
    </row>
    <row r="81" spans="3:18" ht="41.4" customHeight="1" x14ac:dyDescent="0.25">
      <c r="C81" s="32"/>
      <c r="D81" s="32"/>
      <c r="E81" s="32" t="str">
        <f t="shared" si="1"/>
        <v>0</v>
      </c>
      <c r="F81" s="32" t="str">
        <f t="shared" si="2"/>
        <v>0</v>
      </c>
      <c r="G81" s="32">
        <f t="shared" si="3"/>
        <v>1</v>
      </c>
      <c r="H81" s="32" t="str">
        <f t="shared" si="4"/>
        <v>0</v>
      </c>
      <c r="I81" s="32">
        <f t="shared" si="5"/>
        <v>1</v>
      </c>
      <c r="J81" s="32" t="str">
        <f t="shared" si="6"/>
        <v>0</v>
      </c>
      <c r="K81" s="32" t="str">
        <f t="shared" si="7"/>
        <v>0</v>
      </c>
      <c r="L81" s="33"/>
      <c r="M81" s="33"/>
      <c r="N81" s="33"/>
      <c r="O81" s="33"/>
      <c r="P81" s="33"/>
      <c r="Q81" s="33"/>
      <c r="R81" s="33"/>
    </row>
    <row r="82" spans="3:18" ht="41.4" customHeight="1" x14ac:dyDescent="0.25">
      <c r="C82" s="32"/>
      <c r="D82" s="32"/>
      <c r="E82" s="32" t="str">
        <f t="shared" si="1"/>
        <v>0</v>
      </c>
      <c r="F82" s="32" t="str">
        <f t="shared" si="2"/>
        <v>0</v>
      </c>
      <c r="G82" s="32">
        <f t="shared" si="3"/>
        <v>1</v>
      </c>
      <c r="H82" s="32" t="str">
        <f t="shared" si="4"/>
        <v>0</v>
      </c>
      <c r="I82" s="32">
        <f t="shared" si="5"/>
        <v>1</v>
      </c>
      <c r="J82" s="32" t="str">
        <f t="shared" si="6"/>
        <v>0</v>
      </c>
      <c r="K82" s="32" t="str">
        <f t="shared" si="7"/>
        <v>0</v>
      </c>
      <c r="L82" s="33"/>
      <c r="M82" s="33"/>
      <c r="N82" s="33"/>
      <c r="O82" s="33"/>
      <c r="P82" s="33"/>
      <c r="Q82" s="33"/>
      <c r="R82" s="33"/>
    </row>
    <row r="83" spans="3:18" ht="41.4" customHeight="1" x14ac:dyDescent="0.25">
      <c r="C83" s="32"/>
      <c r="D83" s="32"/>
      <c r="E83" s="32" t="str">
        <f t="shared" si="1"/>
        <v>0</v>
      </c>
      <c r="F83" s="32" t="str">
        <f t="shared" si="2"/>
        <v>0</v>
      </c>
      <c r="G83" s="32">
        <f t="shared" si="3"/>
        <v>0.58999999999999986</v>
      </c>
      <c r="H83" s="32" t="str">
        <f t="shared" si="4"/>
        <v>0</v>
      </c>
      <c r="I83" s="32">
        <f t="shared" si="5"/>
        <v>0.58999999999999986</v>
      </c>
      <c r="J83" s="32" t="str">
        <f t="shared" si="6"/>
        <v>0</v>
      </c>
      <c r="K83" s="32" t="str">
        <f t="shared" si="7"/>
        <v>0</v>
      </c>
      <c r="L83" s="33"/>
      <c r="M83" s="33"/>
      <c r="N83" s="33"/>
      <c r="O83" s="33"/>
      <c r="P83" s="33"/>
      <c r="Q83" s="33"/>
      <c r="R83" s="33"/>
    </row>
    <row r="84" spans="3:18" ht="41.4" customHeight="1" x14ac:dyDescent="0.25">
      <c r="C84" s="32"/>
      <c r="D84" s="32"/>
      <c r="E84" s="32" t="str">
        <f t="shared" si="1"/>
        <v>0</v>
      </c>
      <c r="F84" s="32" t="str">
        <f t="shared" si="2"/>
        <v>0</v>
      </c>
      <c r="G84" s="32">
        <f t="shared" si="3"/>
        <v>1</v>
      </c>
      <c r="H84" s="32">
        <f t="shared" si="4"/>
        <v>1</v>
      </c>
      <c r="I84" s="32" t="str">
        <f t="shared" si="5"/>
        <v>0</v>
      </c>
      <c r="J84" s="32" t="str">
        <f t="shared" si="6"/>
        <v>0</v>
      </c>
      <c r="K84" s="32">
        <f t="shared" si="7"/>
        <v>1</v>
      </c>
      <c r="L84" s="33"/>
      <c r="M84" s="33"/>
      <c r="N84" s="33"/>
      <c r="O84" s="33"/>
      <c r="P84" s="33"/>
      <c r="Q84" s="33"/>
      <c r="R84" s="33"/>
    </row>
    <row r="85" spans="3:18" ht="41.4" customHeight="1" x14ac:dyDescent="0.25">
      <c r="C85" s="32"/>
      <c r="D85" s="32"/>
      <c r="E85" s="32" t="str">
        <f t="shared" si="1"/>
        <v>0</v>
      </c>
      <c r="F85" s="32" t="str">
        <f t="shared" si="2"/>
        <v>0</v>
      </c>
      <c r="G85" s="32">
        <f t="shared" si="3"/>
        <v>2.9</v>
      </c>
      <c r="H85" s="32" t="str">
        <f t="shared" si="4"/>
        <v>0</v>
      </c>
      <c r="I85" s="32">
        <f t="shared" si="5"/>
        <v>2.9</v>
      </c>
      <c r="J85" s="32" t="str">
        <f t="shared" si="6"/>
        <v>0</v>
      </c>
      <c r="K85" s="32" t="str">
        <f t="shared" si="7"/>
        <v>0</v>
      </c>
      <c r="L85" s="33"/>
      <c r="M85" s="33"/>
      <c r="N85" s="33"/>
      <c r="O85" s="33"/>
      <c r="P85" s="33"/>
      <c r="Q85" s="33"/>
      <c r="R85" s="33"/>
    </row>
    <row r="86" spans="3:18" ht="41.4" customHeight="1" x14ac:dyDescent="0.25">
      <c r="C86" s="32"/>
      <c r="D86" s="32"/>
      <c r="E86" s="32" t="str">
        <f t="shared" si="1"/>
        <v>0</v>
      </c>
      <c r="F86" s="32" t="str">
        <f t="shared" si="2"/>
        <v>0</v>
      </c>
      <c r="G86" s="32" t="str">
        <f t="shared" si="3"/>
        <v>0</v>
      </c>
      <c r="H86" s="32" t="str">
        <f t="shared" si="4"/>
        <v>0</v>
      </c>
      <c r="I86" s="32" t="str">
        <f t="shared" si="5"/>
        <v>0</v>
      </c>
      <c r="J86" s="32" t="str">
        <f t="shared" si="6"/>
        <v>0</v>
      </c>
      <c r="K86" s="32" t="str">
        <f t="shared" si="7"/>
        <v>0</v>
      </c>
      <c r="L86" s="33"/>
      <c r="M86" s="33"/>
      <c r="N86" s="33"/>
      <c r="O86" s="33"/>
      <c r="P86" s="33"/>
      <c r="Q86" s="33"/>
      <c r="R86" s="33"/>
    </row>
    <row r="87" spans="3:18" ht="41.4" customHeight="1" x14ac:dyDescent="0.25">
      <c r="C87" s="32"/>
      <c r="D87" s="32"/>
      <c r="E87" s="32">
        <f t="shared" ref="E87:K87" si="8">SUM(E50:E86)</f>
        <v>0</v>
      </c>
      <c r="F87" s="32">
        <f t="shared" si="8"/>
        <v>0</v>
      </c>
      <c r="G87" s="32">
        <f t="shared" si="8"/>
        <v>37.470000000000006</v>
      </c>
      <c r="H87" s="32">
        <f t="shared" si="8"/>
        <v>1</v>
      </c>
      <c r="I87" s="32">
        <f t="shared" si="8"/>
        <v>36.470000000000006</v>
      </c>
      <c r="J87" s="32">
        <f t="shared" si="8"/>
        <v>0</v>
      </c>
      <c r="K87" s="32">
        <f t="shared" si="8"/>
        <v>1</v>
      </c>
      <c r="L87" s="112"/>
      <c r="M87" s="112"/>
      <c r="N87" s="112"/>
      <c r="O87" s="112"/>
      <c r="P87" s="112"/>
      <c r="Q87" s="112"/>
      <c r="R87" s="112"/>
    </row>
    <row r="88" spans="3:18" ht="41.4" customHeight="1" x14ac:dyDescent="0.25">
      <c r="C88" s="32"/>
      <c r="D88" s="32"/>
      <c r="E88" s="32"/>
      <c r="F88" s="33"/>
      <c r="G88" s="33"/>
      <c r="H88" s="33"/>
      <c r="I88" s="33"/>
      <c r="J88" s="33"/>
      <c r="K88" s="33"/>
      <c r="L88" s="112"/>
      <c r="M88" s="112"/>
      <c r="N88" s="112"/>
      <c r="O88" s="112"/>
      <c r="P88" s="112"/>
      <c r="Q88" s="112"/>
      <c r="R88" s="112"/>
    </row>
    <row r="89" spans="3:18" ht="41.4" customHeight="1" x14ac:dyDescent="0.25">
      <c r="C89" s="32"/>
      <c r="D89" s="32"/>
      <c r="E89" s="32"/>
      <c r="F89" s="33"/>
      <c r="G89" s="33"/>
      <c r="H89" s="33"/>
      <c r="I89" s="33"/>
      <c r="J89" s="33"/>
      <c r="K89" s="33"/>
      <c r="L89" s="112"/>
      <c r="M89" s="112"/>
      <c r="N89" s="112"/>
      <c r="O89" s="112"/>
      <c r="P89" s="112"/>
      <c r="Q89" s="112"/>
      <c r="R89" s="112"/>
    </row>
    <row r="90" spans="3:18" ht="41.4" customHeight="1" x14ac:dyDescent="0.25">
      <c r="C90" s="32"/>
      <c r="D90" s="32"/>
      <c r="E90" s="32"/>
      <c r="F90" s="33"/>
      <c r="G90" s="33"/>
      <c r="H90" s="33"/>
      <c r="I90" s="33"/>
      <c r="J90" s="33"/>
      <c r="K90" s="33"/>
      <c r="L90" s="112"/>
      <c r="M90" s="112"/>
      <c r="N90" s="112"/>
      <c r="O90" s="112"/>
      <c r="P90" s="112"/>
      <c r="Q90" s="112"/>
      <c r="R90" s="112"/>
    </row>
    <row r="91" spans="3:18" ht="41.4" customHeight="1" x14ac:dyDescent="0.25">
      <c r="C91" s="32"/>
      <c r="D91" s="32"/>
      <c r="E91" s="32"/>
      <c r="F91" s="33"/>
      <c r="G91" s="33"/>
      <c r="H91" s="33"/>
      <c r="I91" s="33"/>
      <c r="J91" s="33"/>
      <c r="K91" s="33"/>
      <c r="L91" s="112"/>
      <c r="M91" s="112"/>
      <c r="N91" s="112"/>
      <c r="O91" s="112"/>
      <c r="P91" s="112"/>
      <c r="Q91" s="112"/>
      <c r="R91" s="112"/>
    </row>
    <row r="92" spans="3:18" ht="41.4" customHeight="1" x14ac:dyDescent="0.25">
      <c r="C92" s="32"/>
      <c r="D92" s="32"/>
      <c r="E92" s="32"/>
      <c r="F92" s="33"/>
      <c r="G92" s="33"/>
      <c r="H92" s="33"/>
      <c r="I92" s="33"/>
      <c r="J92" s="33"/>
      <c r="K92" s="33"/>
      <c r="L92" s="112"/>
      <c r="M92" s="112"/>
      <c r="N92" s="112"/>
      <c r="O92" s="112"/>
      <c r="P92" s="112"/>
      <c r="Q92" s="112"/>
      <c r="R92" s="112"/>
    </row>
    <row r="93" spans="3:18" ht="41.4" customHeight="1" x14ac:dyDescent="0.25">
      <c r="C93" s="32"/>
      <c r="D93" s="32"/>
      <c r="E93" s="32"/>
      <c r="F93" s="33"/>
      <c r="G93" s="33"/>
      <c r="H93" s="33"/>
      <c r="I93" s="33"/>
      <c r="J93" s="33"/>
      <c r="K93" s="33"/>
      <c r="L93" s="112"/>
      <c r="M93" s="112"/>
      <c r="N93" s="112"/>
      <c r="O93" s="112"/>
      <c r="P93" s="112"/>
      <c r="Q93" s="112"/>
      <c r="R93" s="112"/>
    </row>
  </sheetData>
  <mergeCells count="82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49:R49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48:R48"/>
    <mergeCell ref="L34:R34"/>
    <mergeCell ref="L35:R35"/>
    <mergeCell ref="L36:R36"/>
    <mergeCell ref="L37:R37"/>
    <mergeCell ref="L61:R61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59:R59"/>
    <mergeCell ref="L60:R60"/>
    <mergeCell ref="L92:R92"/>
    <mergeCell ref="L93:R93"/>
    <mergeCell ref="L74:R74"/>
    <mergeCell ref="L75:R75"/>
    <mergeCell ref="L87:R87"/>
    <mergeCell ref="L88:R88"/>
    <mergeCell ref="L89:R89"/>
    <mergeCell ref="L90:R90"/>
    <mergeCell ref="L91:R91"/>
    <mergeCell ref="L73:R73"/>
    <mergeCell ref="L62:R62"/>
    <mergeCell ref="L63:R63"/>
    <mergeCell ref="L64:R64"/>
    <mergeCell ref="L65:R65"/>
    <mergeCell ref="L66:R66"/>
    <mergeCell ref="L67:R67"/>
    <mergeCell ref="L68:R68"/>
    <mergeCell ref="L69:R69"/>
    <mergeCell ref="L70:R70"/>
    <mergeCell ref="L71:R71"/>
    <mergeCell ref="L72:R72"/>
    <mergeCell ref="L41:R41"/>
    <mergeCell ref="L38:R38"/>
    <mergeCell ref="L39:R39"/>
    <mergeCell ref="L40:R40"/>
    <mergeCell ref="L42:R42"/>
  </mergeCells>
  <pageMargins left="0.51181102362204722" right="0.51181102362204722" top="0.78740157480314965" bottom="0.78740157480314965" header="0.31496062992125984" footer="0.31496062992125984"/>
  <pageSetup paperSize="9" scale="26" orientation="landscape" horizontalDpi="1200" verticalDpi="1200" r:id="rId1"/>
  <colBreaks count="1" manualBreakCount="1">
    <brk id="18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258A-616B-42E3-8472-CA6215314E6B}">
  <sheetPr>
    <tabColor theme="2"/>
  </sheetPr>
  <dimension ref="A1:R68"/>
  <sheetViews>
    <sheetView view="pageBreakPreview" zoomScale="70" zoomScaleNormal="55" zoomScaleSheetLayoutView="70" workbookViewId="0">
      <selection activeCell="F10" sqref="F10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16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17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TT!C11</f>
        <v>RODOVIA TO-373 - TRECHO ENTR. TO-365 - RIO TOCANTINS (BALSA)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61</v>
      </c>
      <c r="B7" s="19" t="s">
        <v>78</v>
      </c>
      <c r="C7" s="20">
        <v>0</v>
      </c>
      <c r="D7" s="20">
        <v>2</v>
      </c>
      <c r="E7" s="19"/>
      <c r="F7" s="19" t="s">
        <v>75</v>
      </c>
      <c r="G7" s="19"/>
      <c r="H7" s="19"/>
      <c r="I7" s="19"/>
      <c r="J7" s="19"/>
      <c r="K7" s="19" t="s">
        <v>75</v>
      </c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v>2</v>
      </c>
      <c r="D8" s="20">
        <v>2.38</v>
      </c>
      <c r="E8" s="19"/>
      <c r="F8" s="19" t="s">
        <v>75</v>
      </c>
      <c r="G8" s="19"/>
      <c r="H8" s="19"/>
      <c r="I8" s="19"/>
      <c r="J8" s="19"/>
      <c r="K8" s="19" t="s">
        <v>75</v>
      </c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thickBot="1" x14ac:dyDescent="0.3">
      <c r="A25" s="21"/>
      <c r="B25" s="22"/>
      <c r="C25" s="23"/>
      <c r="D25" s="23"/>
      <c r="E25" s="29"/>
      <c r="F25" s="29"/>
      <c r="G25" s="29"/>
      <c r="H25" s="29"/>
      <c r="I25" s="29"/>
      <c r="J25" s="29"/>
      <c r="K25" s="29"/>
      <c r="L25" s="129"/>
      <c r="M25" s="129"/>
      <c r="N25" s="129"/>
      <c r="O25" s="129"/>
      <c r="P25" s="129"/>
      <c r="Q25" s="129"/>
      <c r="R25" s="130"/>
    </row>
    <row r="26" spans="1:18" ht="41.4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115"/>
      <c r="M26" s="115"/>
      <c r="N26" s="115"/>
      <c r="O26" s="115"/>
      <c r="P26" s="115"/>
      <c r="Q26" s="115"/>
      <c r="R26" s="115"/>
    </row>
    <row r="27" spans="1:18" ht="41.4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112"/>
      <c r="M27" s="112"/>
      <c r="N27" s="112"/>
      <c r="O27" s="112"/>
      <c r="P27" s="112"/>
      <c r="Q27" s="112"/>
      <c r="R27" s="112"/>
    </row>
    <row r="28" spans="1:18" ht="41.4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112"/>
      <c r="M28" s="112"/>
      <c r="N28" s="112"/>
      <c r="O28" s="112"/>
      <c r="P28" s="112"/>
      <c r="Q28" s="112"/>
      <c r="R28" s="112"/>
    </row>
    <row r="29" spans="1:18" ht="41.4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112"/>
      <c r="M29" s="112"/>
      <c r="N29" s="112"/>
      <c r="O29" s="112"/>
      <c r="P29" s="112"/>
      <c r="Q29" s="112"/>
      <c r="R29" s="112"/>
    </row>
    <row r="30" spans="1:18" ht="41.4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112"/>
      <c r="M30" s="112"/>
      <c r="N30" s="112"/>
      <c r="O30" s="112"/>
      <c r="P30" s="112"/>
      <c r="Q30" s="112"/>
      <c r="R30" s="112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 t="str">
        <f>IF(E7="X",(D7-C7),"0")</f>
        <v>0</v>
      </c>
      <c r="F36" s="32">
        <f>IF(F7="X",(D7-C7),"0")</f>
        <v>2</v>
      </c>
      <c r="G36" s="32" t="str">
        <f>IF(G7="X",(D7-C7),"0")</f>
        <v>0</v>
      </c>
      <c r="H36" s="32" t="str">
        <f>IF(H7="X",(D7-C7),"0")</f>
        <v>0</v>
      </c>
      <c r="I36" s="32" t="str">
        <f>IF(I7="X",(D7-C7),"0")</f>
        <v>0</v>
      </c>
      <c r="J36" s="32" t="str">
        <f>IF(J7="X",(D7-C7),"0")</f>
        <v>0</v>
      </c>
      <c r="K36" s="32">
        <f>IF(K7="X",(D7-C7),"0")</f>
        <v>2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 t="str">
        <f t="shared" ref="E37:E61" si="0">IF(E8="X",(D8-C8),"0")</f>
        <v>0</v>
      </c>
      <c r="F37" s="32">
        <f t="shared" ref="F37:F61" si="1">IF(F8="X",(D8-C8),"0")</f>
        <v>0.37999999999999989</v>
      </c>
      <c r="G37" s="32" t="str">
        <f t="shared" ref="G37:G61" si="2">IF(G8="X",(D8-C8),"0")</f>
        <v>0</v>
      </c>
      <c r="H37" s="32" t="str">
        <f t="shared" ref="H37:H61" si="3">IF(H8="X",(D8-C8),"0")</f>
        <v>0</v>
      </c>
      <c r="I37" s="32" t="str">
        <f t="shared" ref="I37:I61" si="4">IF(I8="X",(D8-C8),"0")</f>
        <v>0</v>
      </c>
      <c r="J37" s="32" t="str">
        <f t="shared" ref="J37:J61" si="5">IF(J8="X",(D8-C8),"0")</f>
        <v>0</v>
      </c>
      <c r="K37" s="32">
        <f t="shared" ref="K37:K61" si="6">IF(K8="X",(D8-C8),"0")</f>
        <v>0.37999999999999989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 t="str">
        <f t="shared" si="2"/>
        <v>0</v>
      </c>
      <c r="H38" s="32" t="str">
        <f t="shared" si="3"/>
        <v>0</v>
      </c>
      <c r="I38" s="32" t="str">
        <f t="shared" si="4"/>
        <v>0</v>
      </c>
      <c r="J38" s="32" t="str">
        <f t="shared" si="5"/>
        <v>0</v>
      </c>
      <c r="K38" s="32" t="str">
        <f t="shared" si="6"/>
        <v>0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>
        <f t="shared" ref="E62:J62" si="7">SUM(E36:E61)</f>
        <v>0</v>
      </c>
      <c r="F62" s="32">
        <f t="shared" si="7"/>
        <v>2.38</v>
      </c>
      <c r="G62" s="32">
        <f t="shared" si="7"/>
        <v>0</v>
      </c>
      <c r="H62" s="32">
        <f t="shared" si="7"/>
        <v>0</v>
      </c>
      <c r="I62" s="32">
        <f t="shared" si="7"/>
        <v>0</v>
      </c>
      <c r="J62" s="32">
        <f t="shared" si="7"/>
        <v>0</v>
      </c>
      <c r="K62" s="32">
        <f>SUM(K36:K61)</f>
        <v>2.38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C9852-AE6F-4A98-8984-DB9CE82BA79D}">
  <sheetPr>
    <tabColor theme="2"/>
  </sheetPr>
  <dimension ref="A1:R68"/>
  <sheetViews>
    <sheetView zoomScale="55" zoomScaleNormal="55" zoomScaleSheetLayoutView="55" workbookViewId="0">
      <selection activeCell="F12" sqref="F12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02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03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TT!C12</f>
        <v>RODOVIA TO-481 - TRECHO DUERÉ - ENTR. TO-181 (CAPAO DO COCO)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63</v>
      </c>
      <c r="B7" s="19" t="s">
        <v>74</v>
      </c>
      <c r="C7" s="20">
        <v>0</v>
      </c>
      <c r="D7" s="20">
        <v>2</v>
      </c>
      <c r="E7" s="19" t="s">
        <v>75</v>
      </c>
      <c r="F7" s="19"/>
      <c r="G7" s="19"/>
      <c r="H7" s="19"/>
      <c r="I7" s="19"/>
      <c r="J7" s="19" t="s">
        <v>75</v>
      </c>
      <c r="K7" s="19"/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f>D7</f>
        <v>2</v>
      </c>
      <c r="D8" s="20">
        <v>29</v>
      </c>
      <c r="E8" s="19" t="s">
        <v>75</v>
      </c>
      <c r="F8" s="19"/>
      <c r="G8" s="19"/>
      <c r="H8" s="19"/>
      <c r="I8" s="19" t="s">
        <v>75</v>
      </c>
      <c r="J8" s="19"/>
      <c r="K8" s="19"/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>
        <f t="shared" ref="C9:C11" si="0">D8</f>
        <v>29</v>
      </c>
      <c r="D9" s="20">
        <v>35</v>
      </c>
      <c r="E9" s="19"/>
      <c r="F9" s="19" t="s">
        <v>75</v>
      </c>
      <c r="G9" s="19"/>
      <c r="H9" s="19"/>
      <c r="I9" s="19"/>
      <c r="J9" s="19" t="s">
        <v>75</v>
      </c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>
        <f t="shared" si="0"/>
        <v>35</v>
      </c>
      <c r="D10" s="20">
        <v>45</v>
      </c>
      <c r="E10" s="19" t="s">
        <v>75</v>
      </c>
      <c r="F10" s="19"/>
      <c r="G10" s="19"/>
      <c r="H10" s="19"/>
      <c r="I10" s="19" t="s">
        <v>75</v>
      </c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>
        <f t="shared" si="0"/>
        <v>45</v>
      </c>
      <c r="D11" s="20">
        <v>68</v>
      </c>
      <c r="E11" s="19" t="s">
        <v>75</v>
      </c>
      <c r="F11" s="19"/>
      <c r="G11" s="19"/>
      <c r="H11" s="19"/>
      <c r="I11" s="19"/>
      <c r="J11" s="19"/>
      <c r="K11" s="19" t="s">
        <v>75</v>
      </c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>
        <v>66.400000000000006</v>
      </c>
      <c r="D12" s="20">
        <v>77.099999999999994</v>
      </c>
      <c r="E12" s="19" t="s">
        <v>75</v>
      </c>
      <c r="F12" s="19"/>
      <c r="G12" s="19"/>
      <c r="H12" s="19"/>
      <c r="I12" s="19"/>
      <c r="J12" s="19"/>
      <c r="K12" s="19" t="s">
        <v>75</v>
      </c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thickBot="1" x14ac:dyDescent="0.3">
      <c r="A25" s="21"/>
      <c r="B25" s="22"/>
      <c r="C25" s="23"/>
      <c r="D25" s="23"/>
      <c r="E25" s="29"/>
      <c r="F25" s="29"/>
      <c r="G25" s="29"/>
      <c r="H25" s="29"/>
      <c r="I25" s="29"/>
      <c r="J25" s="29"/>
      <c r="K25" s="29"/>
      <c r="L25" s="129"/>
      <c r="M25" s="129"/>
      <c r="N25" s="129"/>
      <c r="O25" s="129"/>
      <c r="P25" s="129"/>
      <c r="Q25" s="129"/>
      <c r="R25" s="130"/>
    </row>
    <row r="26" spans="1:18" ht="41.4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115"/>
      <c r="M26" s="115"/>
      <c r="N26" s="115"/>
      <c r="O26" s="115"/>
      <c r="P26" s="115"/>
      <c r="Q26" s="115"/>
      <c r="R26" s="115"/>
    </row>
    <row r="27" spans="1:18" ht="41.4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112"/>
      <c r="M27" s="112"/>
      <c r="N27" s="112"/>
      <c r="O27" s="112"/>
      <c r="P27" s="112"/>
      <c r="Q27" s="112"/>
      <c r="R27" s="112"/>
    </row>
    <row r="28" spans="1:18" ht="41.4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112"/>
      <c r="M28" s="112"/>
      <c r="N28" s="112"/>
      <c r="O28" s="112"/>
      <c r="P28" s="112"/>
      <c r="Q28" s="112"/>
      <c r="R28" s="112"/>
    </row>
    <row r="29" spans="1:18" ht="41.4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112"/>
      <c r="M29" s="112"/>
      <c r="N29" s="112"/>
      <c r="O29" s="112"/>
      <c r="P29" s="112"/>
      <c r="Q29" s="112"/>
      <c r="R29" s="112"/>
    </row>
    <row r="30" spans="1:18" ht="41.4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112"/>
      <c r="M30" s="112"/>
      <c r="N30" s="112"/>
      <c r="O30" s="112"/>
      <c r="P30" s="112"/>
      <c r="Q30" s="112"/>
      <c r="R30" s="112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>
        <f>IF(E7="X",(D7-C7),"0")</f>
        <v>2</v>
      </c>
      <c r="F36" s="32" t="str">
        <f>IF(F7="X",(D7-C7),"0")</f>
        <v>0</v>
      </c>
      <c r="G36" s="32" t="str">
        <f>IF(G7="X",(D7-C7),"0")</f>
        <v>0</v>
      </c>
      <c r="H36" s="32" t="str">
        <f>IF(H7="X",(D7-C7),"0")</f>
        <v>0</v>
      </c>
      <c r="I36" s="32" t="str">
        <f>IF(I7="X",(D7-C7),"0")</f>
        <v>0</v>
      </c>
      <c r="J36" s="32">
        <f>IF(J7="X",(D7-C7),"0")</f>
        <v>2</v>
      </c>
      <c r="K36" s="32" t="str">
        <f>IF(K7="X",(D7-C7),"0")</f>
        <v>0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>
        <f t="shared" ref="E37:E61" si="1">IF(E8="X",(D8-C8),"0")</f>
        <v>27</v>
      </c>
      <c r="F37" s="32" t="str">
        <f t="shared" ref="F37:F61" si="2">IF(F8="X",(D8-C8),"0")</f>
        <v>0</v>
      </c>
      <c r="G37" s="32" t="str">
        <f t="shared" ref="G37:G61" si="3">IF(G8="X",(D8-C8),"0")</f>
        <v>0</v>
      </c>
      <c r="H37" s="32" t="str">
        <f t="shared" ref="H37:H61" si="4">IF(H8="X",(D8-C8),"0")</f>
        <v>0</v>
      </c>
      <c r="I37" s="32">
        <f t="shared" ref="I37:I61" si="5">IF(I8="X",(D8-C8),"0")</f>
        <v>27</v>
      </c>
      <c r="J37" s="32" t="str">
        <f t="shared" ref="J37:J61" si="6">IF(J8="X",(D8-C8),"0")</f>
        <v>0</v>
      </c>
      <c r="K37" s="32" t="str">
        <f t="shared" ref="K37:K61" si="7">IF(K8="X",(D8-C8),"0")</f>
        <v>0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si="1"/>
        <v>0</v>
      </c>
      <c r="F38" s="32">
        <f t="shared" si="2"/>
        <v>6</v>
      </c>
      <c r="G38" s="32" t="str">
        <f t="shared" si="3"/>
        <v>0</v>
      </c>
      <c r="H38" s="32" t="str">
        <f t="shared" si="4"/>
        <v>0</v>
      </c>
      <c r="I38" s="32" t="str">
        <f t="shared" si="5"/>
        <v>0</v>
      </c>
      <c r="J38" s="32">
        <f t="shared" si="6"/>
        <v>6</v>
      </c>
      <c r="K38" s="32" t="str">
        <f t="shared" si="7"/>
        <v>0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>
        <f t="shared" si="1"/>
        <v>10</v>
      </c>
      <c r="F39" s="32" t="str">
        <f t="shared" si="2"/>
        <v>0</v>
      </c>
      <c r="G39" s="32" t="str">
        <f t="shared" si="3"/>
        <v>0</v>
      </c>
      <c r="H39" s="32" t="str">
        <f t="shared" si="4"/>
        <v>0</v>
      </c>
      <c r="I39" s="32">
        <f t="shared" si="5"/>
        <v>10</v>
      </c>
      <c r="J39" s="32" t="str">
        <f t="shared" si="6"/>
        <v>0</v>
      </c>
      <c r="K39" s="32" t="str">
        <f t="shared" si="7"/>
        <v>0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>
        <f t="shared" si="1"/>
        <v>23</v>
      </c>
      <c r="F40" s="32" t="str">
        <f t="shared" si="2"/>
        <v>0</v>
      </c>
      <c r="G40" s="32" t="str">
        <f t="shared" si="3"/>
        <v>0</v>
      </c>
      <c r="H40" s="32" t="str">
        <f t="shared" si="4"/>
        <v>0</v>
      </c>
      <c r="I40" s="32" t="str">
        <f t="shared" si="5"/>
        <v>0</v>
      </c>
      <c r="J40" s="32" t="str">
        <f t="shared" si="6"/>
        <v>0</v>
      </c>
      <c r="K40" s="32">
        <f t="shared" si="7"/>
        <v>23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>
        <f t="shared" si="1"/>
        <v>10.699999999999989</v>
      </c>
      <c r="F41" s="32" t="str">
        <f t="shared" si="2"/>
        <v>0</v>
      </c>
      <c r="G41" s="32" t="str">
        <f t="shared" si="3"/>
        <v>0</v>
      </c>
      <c r="H41" s="32" t="str">
        <f t="shared" si="4"/>
        <v>0</v>
      </c>
      <c r="I41" s="32" t="str">
        <f t="shared" si="5"/>
        <v>0</v>
      </c>
      <c r="J41" s="32" t="str">
        <f t="shared" si="6"/>
        <v>0</v>
      </c>
      <c r="K41" s="32">
        <f t="shared" si="7"/>
        <v>10.699999999999989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>IF(E13="X",(D13-C13),"0")</f>
        <v>0</v>
      </c>
      <c r="F42" s="32" t="str">
        <f t="shared" si="2"/>
        <v>0</v>
      </c>
      <c r="G42" s="32" t="str">
        <f t="shared" si="3"/>
        <v>0</v>
      </c>
      <c r="H42" s="32" t="str">
        <f t="shared" si="4"/>
        <v>0</v>
      </c>
      <c r="I42" s="32" t="str">
        <f t="shared" si="5"/>
        <v>0</v>
      </c>
      <c r="J42" s="32" t="str">
        <f t="shared" si="6"/>
        <v>0</v>
      </c>
      <c r="K42" s="32" t="str">
        <f t="shared" si="7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1"/>
        <v>0</v>
      </c>
      <c r="F43" s="32" t="str">
        <f t="shared" si="2"/>
        <v>0</v>
      </c>
      <c r="G43" s="32" t="str">
        <f t="shared" si="3"/>
        <v>0</v>
      </c>
      <c r="H43" s="32" t="str">
        <f t="shared" si="4"/>
        <v>0</v>
      </c>
      <c r="I43" s="32" t="str">
        <f t="shared" si="5"/>
        <v>0</v>
      </c>
      <c r="J43" s="32" t="str">
        <f t="shared" si="6"/>
        <v>0</v>
      </c>
      <c r="K43" s="32" t="str">
        <f t="shared" si="7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1"/>
        <v>0</v>
      </c>
      <c r="F44" s="32" t="str">
        <f t="shared" si="2"/>
        <v>0</v>
      </c>
      <c r="G44" s="32" t="str">
        <f t="shared" si="3"/>
        <v>0</v>
      </c>
      <c r="H44" s="32" t="str">
        <f t="shared" si="4"/>
        <v>0</v>
      </c>
      <c r="I44" s="32" t="str">
        <f t="shared" si="5"/>
        <v>0</v>
      </c>
      <c r="J44" s="32" t="str">
        <f t="shared" si="6"/>
        <v>0</v>
      </c>
      <c r="K44" s="32" t="str">
        <f t="shared" si="7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1"/>
        <v>0</v>
      </c>
      <c r="F45" s="32" t="str">
        <f t="shared" si="2"/>
        <v>0</v>
      </c>
      <c r="G45" s="32" t="str">
        <f t="shared" si="3"/>
        <v>0</v>
      </c>
      <c r="H45" s="32" t="str">
        <f t="shared" si="4"/>
        <v>0</v>
      </c>
      <c r="I45" s="32" t="str">
        <f t="shared" si="5"/>
        <v>0</v>
      </c>
      <c r="J45" s="32" t="str">
        <f t="shared" si="6"/>
        <v>0</v>
      </c>
      <c r="K45" s="32" t="str">
        <f t="shared" si="7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1"/>
        <v>0</v>
      </c>
      <c r="F46" s="32" t="str">
        <f t="shared" si="2"/>
        <v>0</v>
      </c>
      <c r="G46" s="32" t="str">
        <f t="shared" si="3"/>
        <v>0</v>
      </c>
      <c r="H46" s="32" t="str">
        <f t="shared" si="4"/>
        <v>0</v>
      </c>
      <c r="I46" s="32" t="str">
        <f t="shared" si="5"/>
        <v>0</v>
      </c>
      <c r="J46" s="32" t="str">
        <f t="shared" si="6"/>
        <v>0</v>
      </c>
      <c r="K46" s="32" t="str">
        <f t="shared" si="7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1"/>
        <v>0</v>
      </c>
      <c r="F47" s="32" t="str">
        <f t="shared" si="2"/>
        <v>0</v>
      </c>
      <c r="G47" s="32" t="str">
        <f t="shared" si="3"/>
        <v>0</v>
      </c>
      <c r="H47" s="32" t="str">
        <f t="shared" si="4"/>
        <v>0</v>
      </c>
      <c r="I47" s="32" t="str">
        <f t="shared" si="5"/>
        <v>0</v>
      </c>
      <c r="J47" s="32" t="str">
        <f t="shared" si="6"/>
        <v>0</v>
      </c>
      <c r="K47" s="32" t="str">
        <f t="shared" si="7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1"/>
        <v>0</v>
      </c>
      <c r="F48" s="32" t="str">
        <f t="shared" si="2"/>
        <v>0</v>
      </c>
      <c r="G48" s="32" t="str">
        <f t="shared" si="3"/>
        <v>0</v>
      </c>
      <c r="H48" s="32" t="str">
        <f t="shared" si="4"/>
        <v>0</v>
      </c>
      <c r="I48" s="32" t="str">
        <f t="shared" si="5"/>
        <v>0</v>
      </c>
      <c r="J48" s="32" t="str">
        <f t="shared" si="6"/>
        <v>0</v>
      </c>
      <c r="K48" s="32" t="str">
        <f t="shared" si="7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1"/>
        <v>0</v>
      </c>
      <c r="F49" s="32" t="str">
        <f t="shared" si="2"/>
        <v>0</v>
      </c>
      <c r="G49" s="32" t="str">
        <f t="shared" si="3"/>
        <v>0</v>
      </c>
      <c r="H49" s="32" t="str">
        <f t="shared" si="4"/>
        <v>0</v>
      </c>
      <c r="I49" s="32" t="str">
        <f t="shared" si="5"/>
        <v>0</v>
      </c>
      <c r="J49" s="32" t="str">
        <f t="shared" si="6"/>
        <v>0</v>
      </c>
      <c r="K49" s="32" t="str">
        <f t="shared" si="7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1"/>
        <v>0</v>
      </c>
      <c r="F50" s="32" t="str">
        <f t="shared" si="2"/>
        <v>0</v>
      </c>
      <c r="G50" s="32" t="str">
        <f t="shared" si="3"/>
        <v>0</v>
      </c>
      <c r="H50" s="32" t="str">
        <f t="shared" si="4"/>
        <v>0</v>
      </c>
      <c r="I50" s="32" t="str">
        <f t="shared" si="5"/>
        <v>0</v>
      </c>
      <c r="J50" s="32" t="str">
        <f t="shared" si="6"/>
        <v>0</v>
      </c>
      <c r="K50" s="32" t="str">
        <f t="shared" si="7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1"/>
        <v>0</v>
      </c>
      <c r="F51" s="32" t="str">
        <f t="shared" si="2"/>
        <v>0</v>
      </c>
      <c r="G51" s="32" t="str">
        <f t="shared" si="3"/>
        <v>0</v>
      </c>
      <c r="H51" s="32" t="str">
        <f t="shared" si="4"/>
        <v>0</v>
      </c>
      <c r="I51" s="32" t="str">
        <f t="shared" si="5"/>
        <v>0</v>
      </c>
      <c r="J51" s="32" t="str">
        <f t="shared" si="6"/>
        <v>0</v>
      </c>
      <c r="K51" s="32" t="str">
        <f t="shared" si="7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1"/>
        <v>0</v>
      </c>
      <c r="F52" s="32" t="str">
        <f t="shared" si="2"/>
        <v>0</v>
      </c>
      <c r="G52" s="32" t="str">
        <f t="shared" si="3"/>
        <v>0</v>
      </c>
      <c r="H52" s="32" t="str">
        <f t="shared" si="4"/>
        <v>0</v>
      </c>
      <c r="I52" s="32" t="str">
        <f t="shared" si="5"/>
        <v>0</v>
      </c>
      <c r="J52" s="32" t="str">
        <f t="shared" si="6"/>
        <v>0</v>
      </c>
      <c r="K52" s="32" t="str">
        <f t="shared" si="7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1"/>
        <v>0</v>
      </c>
      <c r="F53" s="32" t="str">
        <f t="shared" si="2"/>
        <v>0</v>
      </c>
      <c r="G53" s="32" t="str">
        <f t="shared" si="3"/>
        <v>0</v>
      </c>
      <c r="H53" s="32" t="str">
        <f t="shared" si="4"/>
        <v>0</v>
      </c>
      <c r="I53" s="32" t="str">
        <f t="shared" si="5"/>
        <v>0</v>
      </c>
      <c r="J53" s="32" t="str">
        <f t="shared" si="6"/>
        <v>0</v>
      </c>
      <c r="K53" s="32" t="str">
        <f t="shared" si="7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1"/>
        <v>0</v>
      </c>
      <c r="F54" s="32" t="str">
        <f t="shared" si="2"/>
        <v>0</v>
      </c>
      <c r="G54" s="32" t="str">
        <f t="shared" si="3"/>
        <v>0</v>
      </c>
      <c r="H54" s="32" t="str">
        <f t="shared" si="4"/>
        <v>0</v>
      </c>
      <c r="I54" s="32" t="str">
        <f t="shared" si="5"/>
        <v>0</v>
      </c>
      <c r="J54" s="32" t="str">
        <f t="shared" si="6"/>
        <v>0</v>
      </c>
      <c r="K54" s="32" t="str">
        <f t="shared" si="7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1"/>
        <v>0</v>
      </c>
      <c r="F55" s="32" t="str">
        <f t="shared" si="2"/>
        <v>0</v>
      </c>
      <c r="G55" s="32" t="str">
        <f t="shared" si="3"/>
        <v>0</v>
      </c>
      <c r="H55" s="32" t="str">
        <f t="shared" si="4"/>
        <v>0</v>
      </c>
      <c r="I55" s="32" t="str">
        <f t="shared" si="5"/>
        <v>0</v>
      </c>
      <c r="J55" s="32" t="str">
        <f t="shared" si="6"/>
        <v>0</v>
      </c>
      <c r="K55" s="32" t="str">
        <f t="shared" si="7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1"/>
        <v>0</v>
      </c>
      <c r="F56" s="32" t="str">
        <f t="shared" si="2"/>
        <v>0</v>
      </c>
      <c r="G56" s="32" t="str">
        <f t="shared" si="3"/>
        <v>0</v>
      </c>
      <c r="H56" s="32" t="str">
        <f t="shared" si="4"/>
        <v>0</v>
      </c>
      <c r="I56" s="32" t="str">
        <f t="shared" si="5"/>
        <v>0</v>
      </c>
      <c r="J56" s="32" t="str">
        <f t="shared" si="6"/>
        <v>0</v>
      </c>
      <c r="K56" s="32" t="str">
        <f t="shared" si="7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1"/>
        <v>0</v>
      </c>
      <c r="F57" s="32" t="str">
        <f t="shared" si="2"/>
        <v>0</v>
      </c>
      <c r="G57" s="32" t="str">
        <f t="shared" si="3"/>
        <v>0</v>
      </c>
      <c r="H57" s="32" t="str">
        <f t="shared" si="4"/>
        <v>0</v>
      </c>
      <c r="I57" s="32" t="str">
        <f t="shared" si="5"/>
        <v>0</v>
      </c>
      <c r="J57" s="32" t="str">
        <f t="shared" si="6"/>
        <v>0</v>
      </c>
      <c r="K57" s="32" t="str">
        <f t="shared" si="7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1"/>
        <v>0</v>
      </c>
      <c r="F58" s="32" t="str">
        <f t="shared" si="2"/>
        <v>0</v>
      </c>
      <c r="G58" s="32" t="str">
        <f t="shared" si="3"/>
        <v>0</v>
      </c>
      <c r="H58" s="32" t="str">
        <f t="shared" si="4"/>
        <v>0</v>
      </c>
      <c r="I58" s="32" t="str">
        <f t="shared" si="5"/>
        <v>0</v>
      </c>
      <c r="J58" s="32" t="str">
        <f t="shared" si="6"/>
        <v>0</v>
      </c>
      <c r="K58" s="32" t="str">
        <f t="shared" si="7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1"/>
        <v>0</v>
      </c>
      <c r="F59" s="32" t="str">
        <f t="shared" si="2"/>
        <v>0</v>
      </c>
      <c r="G59" s="32" t="str">
        <f t="shared" si="3"/>
        <v>0</v>
      </c>
      <c r="H59" s="32" t="str">
        <f t="shared" si="4"/>
        <v>0</v>
      </c>
      <c r="I59" s="32" t="str">
        <f t="shared" si="5"/>
        <v>0</v>
      </c>
      <c r="J59" s="32" t="str">
        <f t="shared" si="6"/>
        <v>0</v>
      </c>
      <c r="K59" s="32" t="str">
        <f t="shared" si="7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1"/>
        <v>0</v>
      </c>
      <c r="F60" s="32" t="str">
        <f t="shared" si="2"/>
        <v>0</v>
      </c>
      <c r="G60" s="32" t="str">
        <f t="shared" si="3"/>
        <v>0</v>
      </c>
      <c r="H60" s="32" t="str">
        <f t="shared" si="4"/>
        <v>0</v>
      </c>
      <c r="I60" s="32" t="str">
        <f t="shared" si="5"/>
        <v>0</v>
      </c>
      <c r="J60" s="32" t="str">
        <f t="shared" si="6"/>
        <v>0</v>
      </c>
      <c r="K60" s="32" t="str">
        <f t="shared" si="7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1"/>
        <v>0</v>
      </c>
      <c r="F61" s="32" t="str">
        <f t="shared" si="2"/>
        <v>0</v>
      </c>
      <c r="G61" s="32" t="str">
        <f t="shared" si="3"/>
        <v>0</v>
      </c>
      <c r="H61" s="32" t="str">
        <f t="shared" si="4"/>
        <v>0</v>
      </c>
      <c r="I61" s="32" t="str">
        <f t="shared" si="5"/>
        <v>0</v>
      </c>
      <c r="J61" s="32" t="str">
        <f t="shared" si="6"/>
        <v>0</v>
      </c>
      <c r="K61" s="32" t="str">
        <f t="shared" si="7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>
        <f>SUM(E36:E61)</f>
        <v>72.699999999999989</v>
      </c>
      <c r="F62" s="32">
        <f>SUM(F36:F61)</f>
        <v>6</v>
      </c>
      <c r="G62" s="32">
        <f t="shared" ref="G62:H62" si="8">SUM(G36:G61)</f>
        <v>0</v>
      </c>
      <c r="H62" s="32">
        <f t="shared" si="8"/>
        <v>0</v>
      </c>
      <c r="I62" s="32">
        <f>SUM(I36:I61)</f>
        <v>37</v>
      </c>
      <c r="J62" s="32">
        <f>SUM(J36:J61)</f>
        <v>8</v>
      </c>
      <c r="K62" s="32">
        <f>SUM(K36:K61)</f>
        <v>33.699999999999989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8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51EA-ED05-4FC3-92F3-2DBA50EA66F7}">
  <sheetPr>
    <tabColor theme="2"/>
  </sheetPr>
  <dimension ref="A1:R68"/>
  <sheetViews>
    <sheetView view="pageBreakPreview" zoomScale="55" zoomScaleNormal="55" zoomScaleSheetLayoutView="55" workbookViewId="0">
      <selection activeCell="I11" sqref="I11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30.8867187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16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17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TT!C13</f>
        <v>RODOVIA TO-483 - TRECHO SUCUPIRA - FIGUEIRÓPOLIS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65</v>
      </c>
      <c r="B7" s="19" t="s">
        <v>74</v>
      </c>
      <c r="C7" s="20">
        <v>0</v>
      </c>
      <c r="D7" s="20">
        <v>16</v>
      </c>
      <c r="E7" s="19"/>
      <c r="F7" s="19" t="s">
        <v>75</v>
      </c>
      <c r="G7" s="19"/>
      <c r="H7" s="19"/>
      <c r="I7" s="19" t="s">
        <v>75</v>
      </c>
      <c r="J7" s="19"/>
      <c r="K7" s="19"/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v>16</v>
      </c>
      <c r="D8" s="20">
        <v>20</v>
      </c>
      <c r="E8" s="19"/>
      <c r="F8" s="19" t="s">
        <v>75</v>
      </c>
      <c r="G8" s="19"/>
      <c r="H8" s="19"/>
      <c r="I8" s="19" t="s">
        <v>75</v>
      </c>
      <c r="J8" s="19"/>
      <c r="K8" s="19"/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>
        <f>D8</f>
        <v>20</v>
      </c>
      <c r="D9" s="20">
        <v>38.01</v>
      </c>
      <c r="E9" s="19"/>
      <c r="F9" s="19"/>
      <c r="G9" s="19" t="s">
        <v>75</v>
      </c>
      <c r="H9" s="19"/>
      <c r="I9" s="19" t="s">
        <v>75</v>
      </c>
      <c r="J9" s="19"/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thickBot="1" x14ac:dyDescent="0.3">
      <c r="A25" s="21"/>
      <c r="B25" s="22"/>
      <c r="C25" s="23"/>
      <c r="D25" s="23"/>
      <c r="E25" s="29"/>
      <c r="F25" s="29"/>
      <c r="G25" s="29"/>
      <c r="H25" s="29"/>
      <c r="I25" s="29"/>
      <c r="J25" s="29"/>
      <c r="K25" s="29"/>
      <c r="L25" s="129"/>
      <c r="M25" s="129"/>
      <c r="N25" s="129"/>
      <c r="O25" s="129"/>
      <c r="P25" s="129"/>
      <c r="Q25" s="129"/>
      <c r="R25" s="130"/>
    </row>
    <row r="26" spans="1:18" ht="41.4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115"/>
      <c r="M26" s="115"/>
      <c r="N26" s="115"/>
      <c r="O26" s="115"/>
      <c r="P26" s="115"/>
      <c r="Q26" s="115"/>
      <c r="R26" s="115"/>
    </row>
    <row r="27" spans="1:18" ht="41.4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112"/>
      <c r="M27" s="112"/>
      <c r="N27" s="112"/>
      <c r="O27" s="112"/>
      <c r="P27" s="112"/>
      <c r="Q27" s="112"/>
      <c r="R27" s="112"/>
    </row>
    <row r="28" spans="1:18" ht="41.4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112"/>
      <c r="M28" s="112"/>
      <c r="N28" s="112"/>
      <c r="O28" s="112"/>
      <c r="P28" s="112"/>
      <c r="Q28" s="112"/>
      <c r="R28" s="112"/>
    </row>
    <row r="29" spans="1:18" ht="41.4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112"/>
      <c r="M29" s="112"/>
      <c r="N29" s="112"/>
      <c r="O29" s="112"/>
      <c r="P29" s="112"/>
      <c r="Q29" s="112"/>
      <c r="R29" s="112"/>
    </row>
    <row r="30" spans="1:18" ht="41.4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112"/>
      <c r="M30" s="112"/>
      <c r="N30" s="112"/>
      <c r="O30" s="112"/>
      <c r="P30" s="112"/>
      <c r="Q30" s="112"/>
      <c r="R30" s="112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 t="str">
        <f>IF(E7="X",(D7-C7),"0")</f>
        <v>0</v>
      </c>
      <c r="F36" s="32">
        <f>IF(F7="X",(D7-C7),"0")</f>
        <v>16</v>
      </c>
      <c r="G36" s="32" t="str">
        <f>IF(G7="X",(D7-C7),"0")</f>
        <v>0</v>
      </c>
      <c r="H36" s="32" t="str">
        <f>IF(H7="X",(D7-C7),"0")</f>
        <v>0</v>
      </c>
      <c r="I36" s="32">
        <f>IF(I7="X",(D7-C7),"0")</f>
        <v>16</v>
      </c>
      <c r="J36" s="32" t="str">
        <f>IF(J7="X",(D7-C7),"0")</f>
        <v>0</v>
      </c>
      <c r="K36" s="32" t="str">
        <f>IF(K7="X",(D7-C7),"0")</f>
        <v>0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 t="str">
        <f t="shared" ref="E37:E61" si="0">IF(E8="X",(D8-C8),"0")</f>
        <v>0</v>
      </c>
      <c r="F37" s="32">
        <f t="shared" ref="F37:F61" si="1">IF(F8="X",(D8-C8),"0")</f>
        <v>4</v>
      </c>
      <c r="G37" s="32" t="str">
        <f t="shared" ref="G37:G61" si="2">IF(G8="X",(D8-C8),"0")</f>
        <v>0</v>
      </c>
      <c r="H37" s="32" t="str">
        <f t="shared" ref="H37:H61" si="3">IF(H8="X",(D8-C8),"0")</f>
        <v>0</v>
      </c>
      <c r="I37" s="32">
        <f t="shared" ref="I37:I61" si="4">IF(I8="X",(D8-C8),"0")</f>
        <v>4</v>
      </c>
      <c r="J37" s="32" t="str">
        <f t="shared" ref="J37:J61" si="5">IF(J8="X",(D8-C8),"0")</f>
        <v>0</v>
      </c>
      <c r="K37" s="32" t="str">
        <f t="shared" ref="K37:K61" si="6">IF(K8="X",(D8-C8),"0")</f>
        <v>0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si="0"/>
        <v>0</v>
      </c>
      <c r="F38" s="32" t="str">
        <f t="shared" si="1"/>
        <v>0</v>
      </c>
      <c r="G38" s="32">
        <f t="shared" si="2"/>
        <v>18.009999999999998</v>
      </c>
      <c r="H38" s="32" t="str">
        <f t="shared" si="3"/>
        <v>0</v>
      </c>
      <c r="I38" s="32">
        <f t="shared" si="4"/>
        <v>18.009999999999998</v>
      </c>
      <c r="J38" s="32" t="str">
        <f t="shared" si="5"/>
        <v>0</v>
      </c>
      <c r="K38" s="32" t="str">
        <f t="shared" si="6"/>
        <v>0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0"/>
        <v>0</v>
      </c>
      <c r="F39" s="32" t="str">
        <f t="shared" si="1"/>
        <v>0</v>
      </c>
      <c r="G39" s="32" t="str">
        <f t="shared" si="2"/>
        <v>0</v>
      </c>
      <c r="H39" s="32" t="str">
        <f t="shared" si="3"/>
        <v>0</v>
      </c>
      <c r="I39" s="32" t="str">
        <f t="shared" si="4"/>
        <v>0</v>
      </c>
      <c r="J39" s="32" t="str">
        <f t="shared" si="5"/>
        <v>0</v>
      </c>
      <c r="K39" s="32" t="str">
        <f t="shared" si="6"/>
        <v>0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0"/>
        <v>0</v>
      </c>
      <c r="F40" s="32" t="str">
        <f t="shared" si="1"/>
        <v>0</v>
      </c>
      <c r="G40" s="32" t="str">
        <f t="shared" si="2"/>
        <v>0</v>
      </c>
      <c r="H40" s="32" t="str">
        <f t="shared" si="3"/>
        <v>0</v>
      </c>
      <c r="I40" s="32" t="str">
        <f t="shared" si="4"/>
        <v>0</v>
      </c>
      <c r="J40" s="32" t="str">
        <f t="shared" si="5"/>
        <v>0</v>
      </c>
      <c r="K40" s="32" t="str">
        <f t="shared" si="6"/>
        <v>0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0"/>
        <v>0</v>
      </c>
      <c r="F41" s="32" t="str">
        <f t="shared" si="1"/>
        <v>0</v>
      </c>
      <c r="G41" s="32" t="str">
        <f t="shared" si="2"/>
        <v>0</v>
      </c>
      <c r="H41" s="32" t="str">
        <f t="shared" si="3"/>
        <v>0</v>
      </c>
      <c r="I41" s="32" t="str">
        <f t="shared" si="4"/>
        <v>0</v>
      </c>
      <c r="J41" s="32" t="str">
        <f t="shared" si="5"/>
        <v>0</v>
      </c>
      <c r="K41" s="32" t="str">
        <f t="shared" si="6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0"/>
        <v>0</v>
      </c>
      <c r="F42" s="32" t="str">
        <f t="shared" si="1"/>
        <v>0</v>
      </c>
      <c r="G42" s="32" t="str">
        <f t="shared" si="2"/>
        <v>0</v>
      </c>
      <c r="H42" s="32" t="str">
        <f t="shared" si="3"/>
        <v>0</v>
      </c>
      <c r="I42" s="32" t="str">
        <f t="shared" si="4"/>
        <v>0</v>
      </c>
      <c r="J42" s="32" t="str">
        <f t="shared" si="5"/>
        <v>0</v>
      </c>
      <c r="K42" s="32" t="str">
        <f t="shared" si="6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0"/>
        <v>0</v>
      </c>
      <c r="F43" s="32" t="str">
        <f t="shared" si="1"/>
        <v>0</v>
      </c>
      <c r="G43" s="32" t="str">
        <f t="shared" si="2"/>
        <v>0</v>
      </c>
      <c r="H43" s="32" t="str">
        <f t="shared" si="3"/>
        <v>0</v>
      </c>
      <c r="I43" s="32" t="str">
        <f t="shared" si="4"/>
        <v>0</v>
      </c>
      <c r="J43" s="32" t="str">
        <f t="shared" si="5"/>
        <v>0</v>
      </c>
      <c r="K43" s="32" t="str">
        <f t="shared" si="6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0"/>
        <v>0</v>
      </c>
      <c r="F44" s="32" t="str">
        <f t="shared" si="1"/>
        <v>0</v>
      </c>
      <c r="G44" s="32" t="str">
        <f t="shared" si="2"/>
        <v>0</v>
      </c>
      <c r="H44" s="32" t="str">
        <f t="shared" si="3"/>
        <v>0</v>
      </c>
      <c r="I44" s="32" t="str">
        <f t="shared" si="4"/>
        <v>0</v>
      </c>
      <c r="J44" s="32" t="str">
        <f t="shared" si="5"/>
        <v>0</v>
      </c>
      <c r="K44" s="32" t="str">
        <f t="shared" si="6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0"/>
        <v>0</v>
      </c>
      <c r="F45" s="32" t="str">
        <f t="shared" si="1"/>
        <v>0</v>
      </c>
      <c r="G45" s="32" t="str">
        <f t="shared" si="2"/>
        <v>0</v>
      </c>
      <c r="H45" s="32" t="str">
        <f t="shared" si="3"/>
        <v>0</v>
      </c>
      <c r="I45" s="32" t="str">
        <f t="shared" si="4"/>
        <v>0</v>
      </c>
      <c r="J45" s="32" t="str">
        <f t="shared" si="5"/>
        <v>0</v>
      </c>
      <c r="K45" s="32" t="str">
        <f t="shared" si="6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0"/>
        <v>0</v>
      </c>
      <c r="F46" s="32" t="str">
        <f t="shared" si="1"/>
        <v>0</v>
      </c>
      <c r="G46" s="32" t="str">
        <f t="shared" si="2"/>
        <v>0</v>
      </c>
      <c r="H46" s="32" t="str">
        <f t="shared" si="3"/>
        <v>0</v>
      </c>
      <c r="I46" s="32" t="str">
        <f t="shared" si="4"/>
        <v>0</v>
      </c>
      <c r="J46" s="32" t="str">
        <f t="shared" si="5"/>
        <v>0</v>
      </c>
      <c r="K46" s="32" t="str">
        <f t="shared" si="6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0"/>
        <v>0</v>
      </c>
      <c r="F47" s="32" t="str">
        <f t="shared" si="1"/>
        <v>0</v>
      </c>
      <c r="G47" s="32" t="str">
        <f t="shared" si="2"/>
        <v>0</v>
      </c>
      <c r="H47" s="32" t="str">
        <f t="shared" si="3"/>
        <v>0</v>
      </c>
      <c r="I47" s="32" t="str">
        <f t="shared" si="4"/>
        <v>0</v>
      </c>
      <c r="J47" s="32" t="str">
        <f t="shared" si="5"/>
        <v>0</v>
      </c>
      <c r="K47" s="32" t="str">
        <f t="shared" si="6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0"/>
        <v>0</v>
      </c>
      <c r="F48" s="32" t="str">
        <f t="shared" si="1"/>
        <v>0</v>
      </c>
      <c r="G48" s="32" t="str">
        <f t="shared" si="2"/>
        <v>0</v>
      </c>
      <c r="H48" s="32" t="str">
        <f t="shared" si="3"/>
        <v>0</v>
      </c>
      <c r="I48" s="32" t="str">
        <f t="shared" si="4"/>
        <v>0</v>
      </c>
      <c r="J48" s="32" t="str">
        <f t="shared" si="5"/>
        <v>0</v>
      </c>
      <c r="K48" s="32" t="str">
        <f t="shared" si="6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0"/>
        <v>0</v>
      </c>
      <c r="F49" s="32" t="str">
        <f t="shared" si="1"/>
        <v>0</v>
      </c>
      <c r="G49" s="32" t="str">
        <f t="shared" si="2"/>
        <v>0</v>
      </c>
      <c r="H49" s="32" t="str">
        <f t="shared" si="3"/>
        <v>0</v>
      </c>
      <c r="I49" s="32" t="str">
        <f t="shared" si="4"/>
        <v>0</v>
      </c>
      <c r="J49" s="32" t="str">
        <f t="shared" si="5"/>
        <v>0</v>
      </c>
      <c r="K49" s="32" t="str">
        <f t="shared" si="6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0"/>
        <v>0</v>
      </c>
      <c r="F50" s="32" t="str">
        <f t="shared" si="1"/>
        <v>0</v>
      </c>
      <c r="G50" s="32" t="str">
        <f t="shared" si="2"/>
        <v>0</v>
      </c>
      <c r="H50" s="32" t="str">
        <f t="shared" si="3"/>
        <v>0</v>
      </c>
      <c r="I50" s="32" t="str">
        <f t="shared" si="4"/>
        <v>0</v>
      </c>
      <c r="J50" s="32" t="str">
        <f t="shared" si="5"/>
        <v>0</v>
      </c>
      <c r="K50" s="32" t="str">
        <f t="shared" si="6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0"/>
        <v>0</v>
      </c>
      <c r="F51" s="32" t="str">
        <f t="shared" si="1"/>
        <v>0</v>
      </c>
      <c r="G51" s="32" t="str">
        <f t="shared" si="2"/>
        <v>0</v>
      </c>
      <c r="H51" s="32" t="str">
        <f t="shared" si="3"/>
        <v>0</v>
      </c>
      <c r="I51" s="32" t="str">
        <f t="shared" si="4"/>
        <v>0</v>
      </c>
      <c r="J51" s="32" t="str">
        <f t="shared" si="5"/>
        <v>0</v>
      </c>
      <c r="K51" s="32" t="str">
        <f t="shared" si="6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0"/>
        <v>0</v>
      </c>
      <c r="F52" s="32" t="str">
        <f t="shared" si="1"/>
        <v>0</v>
      </c>
      <c r="G52" s="32" t="str">
        <f t="shared" si="2"/>
        <v>0</v>
      </c>
      <c r="H52" s="32" t="str">
        <f t="shared" si="3"/>
        <v>0</v>
      </c>
      <c r="I52" s="32" t="str">
        <f t="shared" si="4"/>
        <v>0</v>
      </c>
      <c r="J52" s="32" t="str">
        <f t="shared" si="5"/>
        <v>0</v>
      </c>
      <c r="K52" s="32" t="str">
        <f t="shared" si="6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0"/>
        <v>0</v>
      </c>
      <c r="F53" s="32" t="str">
        <f t="shared" si="1"/>
        <v>0</v>
      </c>
      <c r="G53" s="32" t="str">
        <f t="shared" si="2"/>
        <v>0</v>
      </c>
      <c r="H53" s="32" t="str">
        <f t="shared" si="3"/>
        <v>0</v>
      </c>
      <c r="I53" s="32" t="str">
        <f t="shared" si="4"/>
        <v>0</v>
      </c>
      <c r="J53" s="32" t="str">
        <f t="shared" si="5"/>
        <v>0</v>
      </c>
      <c r="K53" s="32" t="str">
        <f t="shared" si="6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0"/>
        <v>0</v>
      </c>
      <c r="F54" s="32" t="str">
        <f t="shared" si="1"/>
        <v>0</v>
      </c>
      <c r="G54" s="32" t="str">
        <f t="shared" si="2"/>
        <v>0</v>
      </c>
      <c r="H54" s="32" t="str">
        <f t="shared" si="3"/>
        <v>0</v>
      </c>
      <c r="I54" s="32" t="str">
        <f t="shared" si="4"/>
        <v>0</v>
      </c>
      <c r="J54" s="32" t="str">
        <f t="shared" si="5"/>
        <v>0</v>
      </c>
      <c r="K54" s="32" t="str">
        <f t="shared" si="6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0"/>
        <v>0</v>
      </c>
      <c r="F55" s="32" t="str">
        <f t="shared" si="1"/>
        <v>0</v>
      </c>
      <c r="G55" s="32" t="str">
        <f t="shared" si="2"/>
        <v>0</v>
      </c>
      <c r="H55" s="32" t="str">
        <f t="shared" si="3"/>
        <v>0</v>
      </c>
      <c r="I55" s="32" t="str">
        <f t="shared" si="4"/>
        <v>0</v>
      </c>
      <c r="J55" s="32" t="str">
        <f t="shared" si="5"/>
        <v>0</v>
      </c>
      <c r="K55" s="32" t="str">
        <f t="shared" si="6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0"/>
        <v>0</v>
      </c>
      <c r="F56" s="32" t="str">
        <f t="shared" si="1"/>
        <v>0</v>
      </c>
      <c r="G56" s="32" t="str">
        <f t="shared" si="2"/>
        <v>0</v>
      </c>
      <c r="H56" s="32" t="str">
        <f t="shared" si="3"/>
        <v>0</v>
      </c>
      <c r="I56" s="32" t="str">
        <f t="shared" si="4"/>
        <v>0</v>
      </c>
      <c r="J56" s="32" t="str">
        <f t="shared" si="5"/>
        <v>0</v>
      </c>
      <c r="K56" s="32" t="str">
        <f t="shared" si="6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0"/>
        <v>0</v>
      </c>
      <c r="F57" s="32" t="str">
        <f t="shared" si="1"/>
        <v>0</v>
      </c>
      <c r="G57" s="32" t="str">
        <f t="shared" si="2"/>
        <v>0</v>
      </c>
      <c r="H57" s="32" t="str">
        <f t="shared" si="3"/>
        <v>0</v>
      </c>
      <c r="I57" s="32" t="str">
        <f t="shared" si="4"/>
        <v>0</v>
      </c>
      <c r="J57" s="32" t="str">
        <f t="shared" si="5"/>
        <v>0</v>
      </c>
      <c r="K57" s="32" t="str">
        <f t="shared" si="6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0"/>
        <v>0</v>
      </c>
      <c r="F58" s="32" t="str">
        <f t="shared" si="1"/>
        <v>0</v>
      </c>
      <c r="G58" s="32" t="str">
        <f t="shared" si="2"/>
        <v>0</v>
      </c>
      <c r="H58" s="32" t="str">
        <f t="shared" si="3"/>
        <v>0</v>
      </c>
      <c r="I58" s="32" t="str">
        <f t="shared" si="4"/>
        <v>0</v>
      </c>
      <c r="J58" s="32" t="str">
        <f t="shared" si="5"/>
        <v>0</v>
      </c>
      <c r="K58" s="32" t="str">
        <f t="shared" si="6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0"/>
        <v>0</v>
      </c>
      <c r="F59" s="32" t="str">
        <f t="shared" si="1"/>
        <v>0</v>
      </c>
      <c r="G59" s="32" t="str">
        <f t="shared" si="2"/>
        <v>0</v>
      </c>
      <c r="H59" s="32" t="str">
        <f t="shared" si="3"/>
        <v>0</v>
      </c>
      <c r="I59" s="32" t="str">
        <f t="shared" si="4"/>
        <v>0</v>
      </c>
      <c r="J59" s="32" t="str">
        <f t="shared" si="5"/>
        <v>0</v>
      </c>
      <c r="K59" s="32" t="str">
        <f t="shared" si="6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0"/>
        <v>0</v>
      </c>
      <c r="F60" s="32" t="str">
        <f t="shared" si="1"/>
        <v>0</v>
      </c>
      <c r="G60" s="32" t="str">
        <f t="shared" si="2"/>
        <v>0</v>
      </c>
      <c r="H60" s="32" t="str">
        <f t="shared" si="3"/>
        <v>0</v>
      </c>
      <c r="I60" s="32" t="str">
        <f t="shared" si="4"/>
        <v>0</v>
      </c>
      <c r="J60" s="32" t="str">
        <f t="shared" si="5"/>
        <v>0</v>
      </c>
      <c r="K60" s="32" t="str">
        <f t="shared" si="6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0"/>
        <v>0</v>
      </c>
      <c r="F61" s="32" t="str">
        <f t="shared" si="1"/>
        <v>0</v>
      </c>
      <c r="G61" s="32" t="str">
        <f t="shared" si="2"/>
        <v>0</v>
      </c>
      <c r="H61" s="32" t="str">
        <f t="shared" si="3"/>
        <v>0</v>
      </c>
      <c r="I61" s="32" t="str">
        <f t="shared" si="4"/>
        <v>0</v>
      </c>
      <c r="J61" s="32" t="str">
        <f t="shared" si="5"/>
        <v>0</v>
      </c>
      <c r="K61" s="32" t="str">
        <f t="shared" si="6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>
        <f>SUM(E36:E61)</f>
        <v>0</v>
      </c>
      <c r="F62" s="32">
        <f t="shared" ref="F62:K62" si="7">SUM(F36:F61)</f>
        <v>20</v>
      </c>
      <c r="G62" s="32">
        <f t="shared" si="7"/>
        <v>18.009999999999998</v>
      </c>
      <c r="H62" s="32">
        <f t="shared" si="7"/>
        <v>0</v>
      </c>
      <c r="I62" s="32">
        <f t="shared" si="7"/>
        <v>38.01</v>
      </c>
      <c r="J62" s="32">
        <f t="shared" si="7"/>
        <v>0</v>
      </c>
      <c r="K62" s="32">
        <f t="shared" si="7"/>
        <v>0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40" orientation="landscape" horizontalDpi="1200" verticalDpi="1200" r:id="rId1"/>
  <colBreaks count="1" manualBreakCount="1">
    <brk id="1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8D14-F429-44D3-BDB6-8B1D167B5811}">
  <sheetPr>
    <tabColor theme="2"/>
  </sheetPr>
  <dimension ref="A1:R68"/>
  <sheetViews>
    <sheetView view="pageBreakPreview" zoomScale="55" zoomScaleNormal="55" zoomScaleSheetLayoutView="55" workbookViewId="0">
      <selection activeCell="G13" sqref="G13"/>
    </sheetView>
  </sheetViews>
  <sheetFormatPr defaultColWidth="8.88671875" defaultRowHeight="13.8" x14ac:dyDescent="0.25"/>
  <cols>
    <col min="1" max="1" width="33.44140625" style="1" customWidth="1"/>
    <col min="2" max="2" width="17.109375" style="1" customWidth="1"/>
    <col min="3" max="4" width="13.44140625" style="1" customWidth="1"/>
    <col min="5" max="5" width="16.44140625" style="2" customWidth="1"/>
    <col min="6" max="6" width="30.109375" style="2" customWidth="1"/>
    <col min="7" max="7" width="26.44140625" style="2" customWidth="1"/>
    <col min="8" max="8" width="33.109375" style="2" customWidth="1"/>
    <col min="9" max="9" width="15.44140625" style="2" bestFit="1" customWidth="1"/>
    <col min="10" max="10" width="27.33203125" style="2" bestFit="1" customWidth="1"/>
    <col min="11" max="11" width="22.109375" style="2" bestFit="1" customWidth="1"/>
    <col min="12" max="12" width="17.88671875" style="1" customWidth="1"/>
    <col min="13" max="13" width="14.44140625" style="1" customWidth="1"/>
    <col min="14" max="14" width="3" style="1" customWidth="1"/>
    <col min="15" max="15" width="8.44140625" style="1" customWidth="1"/>
    <col min="16" max="16" width="11.44140625" style="1" customWidth="1"/>
    <col min="17" max="17" width="14.5546875" style="1" hidden="1" customWidth="1"/>
    <col min="18" max="18" width="7.44140625" style="1" customWidth="1"/>
    <col min="19" max="16384" width="8.88671875" style="1"/>
  </cols>
  <sheetData>
    <row r="1" spans="1:18" ht="19.2" x14ac:dyDescent="0.35">
      <c r="A1" s="8" t="s">
        <v>0</v>
      </c>
      <c r="B1" s="9"/>
      <c r="C1" s="9"/>
      <c r="D1" s="9"/>
      <c r="E1" s="10"/>
      <c r="F1" s="11"/>
      <c r="G1" s="10"/>
      <c r="H1" s="10"/>
      <c r="I1" s="100" t="s">
        <v>3</v>
      </c>
      <c r="J1" s="116">
        <f>'207'!J1</f>
        <v>46204</v>
      </c>
      <c r="K1" s="10"/>
      <c r="L1" s="104" t="s">
        <v>4</v>
      </c>
      <c r="M1" s="104"/>
      <c r="N1" s="106" t="str">
        <f>'207'!N1</f>
        <v>ENG. THIAGO TORQUATO</v>
      </c>
      <c r="O1" s="106"/>
      <c r="P1" s="106"/>
      <c r="Q1" s="106"/>
      <c r="R1" s="107"/>
    </row>
    <row r="2" spans="1:18" ht="19.8" thickBot="1" x14ac:dyDescent="0.4">
      <c r="A2" s="12"/>
      <c r="B2" s="13"/>
      <c r="C2" s="13"/>
      <c r="D2" s="13"/>
      <c r="E2" s="14"/>
      <c r="F2" s="15" t="s">
        <v>9</v>
      </c>
      <c r="G2" s="14"/>
      <c r="H2" s="14"/>
      <c r="I2" s="101"/>
      <c r="J2" s="117"/>
      <c r="K2" s="15"/>
      <c r="L2" s="105"/>
      <c r="M2" s="105"/>
      <c r="N2" s="108"/>
      <c r="O2" s="108"/>
      <c r="P2" s="108"/>
      <c r="Q2" s="108"/>
      <c r="R2" s="109"/>
    </row>
    <row r="3" spans="1:18" ht="24.6" x14ac:dyDescent="0.4">
      <c r="A3" s="12" t="s">
        <v>21</v>
      </c>
      <c r="B3" s="58" t="str">
        <f>TT!C14</f>
        <v>RODOVIA TO-484 - TRECHO FIGUEIRÓPOLIS - KM 64 (RIO FORMOSO)</v>
      </c>
      <c r="C3" s="13"/>
      <c r="D3" s="13"/>
      <c r="E3" s="14"/>
      <c r="F3" s="14"/>
      <c r="G3" s="14"/>
      <c r="H3" s="14"/>
      <c r="I3" s="14"/>
      <c r="J3" s="14"/>
      <c r="K3" s="14"/>
      <c r="L3" s="60" t="s">
        <v>73</v>
      </c>
      <c r="M3" s="60">
        <v>11</v>
      </c>
      <c r="N3" s="13"/>
      <c r="O3" s="13"/>
      <c r="P3" s="13"/>
      <c r="Q3" s="13"/>
      <c r="R3" s="16"/>
    </row>
    <row r="4" spans="1:18" ht="19.8" thickBot="1" x14ac:dyDescent="0.4">
      <c r="A4" s="17"/>
      <c r="B4" s="13"/>
      <c r="C4" s="13"/>
      <c r="D4" s="13"/>
      <c r="E4" s="14"/>
      <c r="F4" s="14"/>
      <c r="G4" s="14"/>
      <c r="H4" s="14"/>
      <c r="I4" s="14"/>
      <c r="J4" s="14"/>
      <c r="K4" s="14"/>
      <c r="L4" s="13"/>
      <c r="M4" s="13"/>
      <c r="N4" s="13"/>
      <c r="O4" s="13"/>
      <c r="P4" s="13"/>
      <c r="Q4" s="13"/>
      <c r="R4" s="16"/>
    </row>
    <row r="5" spans="1:18" s="4" customFormat="1" ht="54" customHeight="1" x14ac:dyDescent="0.3">
      <c r="A5" s="93" t="s">
        <v>1</v>
      </c>
      <c r="B5" s="95" t="s">
        <v>7</v>
      </c>
      <c r="C5" s="97" t="s">
        <v>5</v>
      </c>
      <c r="D5" s="97" t="s">
        <v>6</v>
      </c>
      <c r="E5" s="95" t="s">
        <v>10</v>
      </c>
      <c r="F5" s="95"/>
      <c r="G5" s="95"/>
      <c r="H5" s="95"/>
      <c r="I5" s="95" t="s">
        <v>11</v>
      </c>
      <c r="J5" s="95"/>
      <c r="K5" s="95"/>
      <c r="L5" s="95" t="s">
        <v>8</v>
      </c>
      <c r="M5" s="95"/>
      <c r="N5" s="95"/>
      <c r="O5" s="95"/>
      <c r="P5" s="95"/>
      <c r="Q5" s="95"/>
      <c r="R5" s="110"/>
    </row>
    <row r="6" spans="1:18" s="5" customFormat="1" ht="79.2" customHeight="1" x14ac:dyDescent="0.3">
      <c r="A6" s="94"/>
      <c r="B6" s="96"/>
      <c r="C6" s="96"/>
      <c r="D6" s="96"/>
      <c r="E6" s="6" t="s">
        <v>2</v>
      </c>
      <c r="F6" s="7" t="s">
        <v>15</v>
      </c>
      <c r="G6" s="7" t="s">
        <v>16</v>
      </c>
      <c r="H6" s="7" t="s">
        <v>17</v>
      </c>
      <c r="I6" s="6" t="s">
        <v>12</v>
      </c>
      <c r="J6" s="6" t="s">
        <v>13</v>
      </c>
      <c r="K6" s="6" t="s">
        <v>14</v>
      </c>
      <c r="L6" s="96"/>
      <c r="M6" s="96"/>
      <c r="N6" s="96"/>
      <c r="O6" s="96"/>
      <c r="P6" s="96"/>
      <c r="Q6" s="96"/>
      <c r="R6" s="111"/>
    </row>
    <row r="7" spans="1:18" ht="41.4" customHeight="1" x14ac:dyDescent="0.25">
      <c r="A7" s="61" t="s">
        <v>67</v>
      </c>
      <c r="B7" s="19" t="s">
        <v>74</v>
      </c>
      <c r="C7" s="20">
        <v>0</v>
      </c>
      <c r="D7" s="20">
        <v>50</v>
      </c>
      <c r="E7" s="19"/>
      <c r="F7" s="19" t="s">
        <v>75</v>
      </c>
      <c r="G7" s="19"/>
      <c r="H7" s="19"/>
      <c r="I7" s="19"/>
      <c r="J7" s="19" t="s">
        <v>75</v>
      </c>
      <c r="K7" s="19"/>
      <c r="L7" s="98"/>
      <c r="M7" s="98"/>
      <c r="N7" s="98"/>
      <c r="O7" s="98"/>
      <c r="P7" s="98"/>
      <c r="Q7" s="98"/>
      <c r="R7" s="99"/>
    </row>
    <row r="8" spans="1:18" ht="41.4" customHeight="1" x14ac:dyDescent="0.25">
      <c r="A8" s="61"/>
      <c r="B8" s="19"/>
      <c r="C8" s="20">
        <f>D7</f>
        <v>50</v>
      </c>
      <c r="D8" s="20">
        <v>63.87</v>
      </c>
      <c r="E8" s="19"/>
      <c r="F8" s="19" t="s">
        <v>75</v>
      </c>
      <c r="G8" s="19"/>
      <c r="H8" s="19"/>
      <c r="I8" s="19"/>
      <c r="J8" s="19" t="s">
        <v>75</v>
      </c>
      <c r="K8" s="19"/>
      <c r="L8" s="98"/>
      <c r="M8" s="98"/>
      <c r="N8" s="98"/>
      <c r="O8" s="98"/>
      <c r="P8" s="98"/>
      <c r="Q8" s="98"/>
      <c r="R8" s="99"/>
    </row>
    <row r="9" spans="1:18" ht="41.4" customHeight="1" x14ac:dyDescent="0.25">
      <c r="A9" s="61"/>
      <c r="B9" s="19"/>
      <c r="C9" s="20"/>
      <c r="D9" s="20"/>
      <c r="E9" s="19"/>
      <c r="F9" s="19"/>
      <c r="G9" s="19"/>
      <c r="H9" s="19"/>
      <c r="I9" s="19"/>
      <c r="J9" s="19"/>
      <c r="K9" s="19"/>
      <c r="L9" s="98"/>
      <c r="M9" s="98"/>
      <c r="N9" s="98"/>
      <c r="O9" s="98"/>
      <c r="P9" s="98"/>
      <c r="Q9" s="98"/>
      <c r="R9" s="99"/>
    </row>
    <row r="10" spans="1:18" ht="41.4" customHeight="1" x14ac:dyDescent="0.25">
      <c r="A10" s="61"/>
      <c r="B10" s="19"/>
      <c r="C10" s="20"/>
      <c r="D10" s="20"/>
      <c r="E10" s="19"/>
      <c r="F10" s="19"/>
      <c r="G10" s="19"/>
      <c r="H10" s="19"/>
      <c r="I10" s="19"/>
      <c r="J10" s="19"/>
      <c r="K10" s="19"/>
      <c r="L10" s="98"/>
      <c r="M10" s="98"/>
      <c r="N10" s="98"/>
      <c r="O10" s="98"/>
      <c r="P10" s="98"/>
      <c r="Q10" s="98"/>
      <c r="R10" s="99"/>
    </row>
    <row r="11" spans="1:18" ht="41.4" customHeight="1" x14ac:dyDescent="0.25">
      <c r="A11" s="61"/>
      <c r="B11" s="19"/>
      <c r="C11" s="20"/>
      <c r="D11" s="20"/>
      <c r="E11" s="19"/>
      <c r="F11" s="19"/>
      <c r="G11" s="19"/>
      <c r="H11" s="19"/>
      <c r="I11" s="19"/>
      <c r="J11" s="19"/>
      <c r="K11" s="19"/>
      <c r="L11" s="98"/>
      <c r="M11" s="98"/>
      <c r="N11" s="98"/>
      <c r="O11" s="98"/>
      <c r="P11" s="98"/>
      <c r="Q11" s="98"/>
      <c r="R11" s="99"/>
    </row>
    <row r="12" spans="1:18" ht="41.4" customHeight="1" x14ac:dyDescent="0.25">
      <c r="A12" s="61"/>
      <c r="B12" s="19"/>
      <c r="C12" s="20"/>
      <c r="D12" s="20"/>
      <c r="E12" s="19"/>
      <c r="F12" s="19"/>
      <c r="G12" s="19"/>
      <c r="H12" s="19"/>
      <c r="I12" s="19"/>
      <c r="J12" s="19"/>
      <c r="K12" s="19"/>
      <c r="L12" s="98"/>
      <c r="M12" s="98"/>
      <c r="N12" s="98"/>
      <c r="O12" s="98"/>
      <c r="P12" s="98"/>
      <c r="Q12" s="98"/>
      <c r="R12" s="99"/>
    </row>
    <row r="13" spans="1:18" ht="41.4" customHeight="1" x14ac:dyDescent="0.25">
      <c r="A13" s="61"/>
      <c r="B13" s="19"/>
      <c r="C13" s="20"/>
      <c r="D13" s="20"/>
      <c r="E13" s="19"/>
      <c r="F13" s="19"/>
      <c r="G13" s="19"/>
      <c r="H13" s="19"/>
      <c r="I13" s="19"/>
      <c r="J13" s="19"/>
      <c r="K13" s="19"/>
      <c r="L13" s="98"/>
      <c r="M13" s="98"/>
      <c r="N13" s="98"/>
      <c r="O13" s="98"/>
      <c r="P13" s="98"/>
      <c r="Q13" s="98"/>
      <c r="R13" s="99"/>
    </row>
    <row r="14" spans="1:18" ht="41.4" customHeight="1" x14ac:dyDescent="0.25">
      <c r="A14" s="61"/>
      <c r="B14" s="19"/>
      <c r="C14" s="20"/>
      <c r="D14" s="20"/>
      <c r="E14" s="19"/>
      <c r="F14" s="19"/>
      <c r="G14" s="19"/>
      <c r="H14" s="19"/>
      <c r="I14" s="19"/>
      <c r="J14" s="19"/>
      <c r="K14" s="19"/>
      <c r="L14" s="98"/>
      <c r="M14" s="98"/>
      <c r="N14" s="98"/>
      <c r="O14" s="98"/>
      <c r="P14" s="98"/>
      <c r="Q14" s="98"/>
      <c r="R14" s="99"/>
    </row>
    <row r="15" spans="1:18" ht="41.4" customHeight="1" x14ac:dyDescent="0.25">
      <c r="A15" s="61"/>
      <c r="B15" s="19"/>
      <c r="C15" s="20"/>
      <c r="D15" s="20"/>
      <c r="E15" s="19"/>
      <c r="F15" s="19"/>
      <c r="G15" s="19"/>
      <c r="H15" s="19"/>
      <c r="I15" s="19"/>
      <c r="J15" s="19"/>
      <c r="K15" s="19"/>
      <c r="L15" s="98"/>
      <c r="M15" s="98"/>
      <c r="N15" s="98"/>
      <c r="O15" s="98"/>
      <c r="P15" s="98"/>
      <c r="Q15" s="98"/>
      <c r="R15" s="99"/>
    </row>
    <row r="16" spans="1:18" ht="41.4" customHeight="1" x14ac:dyDescent="0.25">
      <c r="A16" s="61"/>
      <c r="B16" s="19"/>
      <c r="C16" s="20"/>
      <c r="D16" s="20"/>
      <c r="E16" s="19"/>
      <c r="F16" s="19"/>
      <c r="G16" s="19"/>
      <c r="H16" s="19"/>
      <c r="I16" s="19"/>
      <c r="J16" s="19"/>
      <c r="K16" s="19"/>
      <c r="L16" s="98"/>
      <c r="M16" s="98"/>
      <c r="N16" s="98"/>
      <c r="O16" s="98"/>
      <c r="P16" s="98"/>
      <c r="Q16" s="98"/>
      <c r="R16" s="99"/>
    </row>
    <row r="17" spans="1:18" ht="41.4" customHeight="1" x14ac:dyDescent="0.25">
      <c r="A17" s="61"/>
      <c r="B17" s="19"/>
      <c r="C17" s="20"/>
      <c r="D17" s="20"/>
      <c r="E17" s="19"/>
      <c r="F17" s="19"/>
      <c r="G17" s="19"/>
      <c r="H17" s="19"/>
      <c r="I17" s="19"/>
      <c r="J17" s="19"/>
      <c r="K17" s="19"/>
      <c r="L17" s="98"/>
      <c r="M17" s="98"/>
      <c r="N17" s="98"/>
      <c r="O17" s="98"/>
      <c r="P17" s="98"/>
      <c r="Q17" s="98"/>
      <c r="R17" s="99"/>
    </row>
    <row r="18" spans="1:18" ht="41.4" customHeight="1" x14ac:dyDescent="0.25">
      <c r="A18" s="18"/>
      <c r="B18" s="3"/>
      <c r="C18" s="20"/>
      <c r="D18" s="20"/>
      <c r="E18" s="19"/>
      <c r="F18" s="19"/>
      <c r="G18" s="19"/>
      <c r="H18" s="19"/>
      <c r="I18" s="19"/>
      <c r="J18" s="19"/>
      <c r="K18" s="19"/>
      <c r="L18" s="98"/>
      <c r="M18" s="98"/>
      <c r="N18" s="98"/>
      <c r="O18" s="98"/>
      <c r="P18" s="98"/>
      <c r="Q18" s="98"/>
      <c r="R18" s="99"/>
    </row>
    <row r="19" spans="1:18" ht="41.4" customHeight="1" x14ac:dyDescent="0.25">
      <c r="A19" s="18"/>
      <c r="B19" s="3"/>
      <c r="C19" s="20"/>
      <c r="D19" s="20"/>
      <c r="E19" s="19"/>
      <c r="F19" s="19"/>
      <c r="G19" s="19"/>
      <c r="H19" s="19"/>
      <c r="I19" s="19"/>
      <c r="J19" s="19"/>
      <c r="K19" s="19"/>
      <c r="L19" s="98"/>
      <c r="M19" s="98"/>
      <c r="N19" s="98"/>
      <c r="O19" s="98"/>
      <c r="P19" s="98"/>
      <c r="Q19" s="98"/>
      <c r="R19" s="99"/>
    </row>
    <row r="20" spans="1:18" ht="41.4" customHeight="1" x14ac:dyDescent="0.25">
      <c r="A20" s="18"/>
      <c r="B20" s="3"/>
      <c r="C20" s="20"/>
      <c r="D20" s="20"/>
      <c r="E20" s="19"/>
      <c r="F20" s="19"/>
      <c r="G20" s="19"/>
      <c r="H20" s="19"/>
      <c r="I20" s="19"/>
      <c r="J20" s="19"/>
      <c r="K20" s="19"/>
      <c r="L20" s="98"/>
      <c r="M20" s="98"/>
      <c r="N20" s="98"/>
      <c r="O20" s="98"/>
      <c r="P20" s="98"/>
      <c r="Q20" s="98"/>
      <c r="R20" s="99"/>
    </row>
    <row r="21" spans="1:18" ht="41.4" customHeight="1" x14ac:dyDescent="0.25">
      <c r="A21" s="18"/>
      <c r="B21" s="3"/>
      <c r="C21" s="20"/>
      <c r="D21" s="20"/>
      <c r="E21" s="19"/>
      <c r="F21" s="19"/>
      <c r="G21" s="19"/>
      <c r="H21" s="19"/>
      <c r="I21" s="19"/>
      <c r="J21" s="19"/>
      <c r="K21" s="19"/>
      <c r="L21" s="98"/>
      <c r="M21" s="98"/>
      <c r="N21" s="98"/>
      <c r="O21" s="98"/>
      <c r="P21" s="98"/>
      <c r="Q21" s="98"/>
      <c r="R21" s="99"/>
    </row>
    <row r="22" spans="1:18" ht="41.4" customHeight="1" x14ac:dyDescent="0.25">
      <c r="A22" s="18"/>
      <c r="B22" s="3"/>
      <c r="C22" s="20"/>
      <c r="D22" s="20"/>
      <c r="E22" s="19"/>
      <c r="F22" s="19"/>
      <c r="G22" s="19"/>
      <c r="H22" s="19"/>
      <c r="I22" s="19"/>
      <c r="J22" s="19"/>
      <c r="K22" s="19"/>
      <c r="L22" s="98"/>
      <c r="M22" s="98"/>
      <c r="N22" s="98"/>
      <c r="O22" s="98"/>
      <c r="P22" s="98"/>
      <c r="Q22" s="98"/>
      <c r="R22" s="99"/>
    </row>
    <row r="23" spans="1:18" ht="41.4" customHeight="1" x14ac:dyDescent="0.25">
      <c r="A23" s="18"/>
      <c r="B23" s="3"/>
      <c r="C23" s="20"/>
      <c r="D23" s="20"/>
      <c r="E23" s="19"/>
      <c r="F23" s="19"/>
      <c r="G23" s="19"/>
      <c r="H23" s="19"/>
      <c r="I23" s="19"/>
      <c r="J23" s="19"/>
      <c r="K23" s="19"/>
      <c r="L23" s="98"/>
      <c r="M23" s="98"/>
      <c r="N23" s="98"/>
      <c r="O23" s="98"/>
      <c r="P23" s="98"/>
      <c r="Q23" s="98"/>
      <c r="R23" s="99"/>
    </row>
    <row r="24" spans="1:18" ht="41.4" customHeight="1" x14ac:dyDescent="0.25">
      <c r="A24" s="18"/>
      <c r="B24" s="3"/>
      <c r="C24" s="20"/>
      <c r="D24" s="20"/>
      <c r="E24" s="19"/>
      <c r="F24" s="19"/>
      <c r="G24" s="19"/>
      <c r="H24" s="19"/>
      <c r="I24" s="19"/>
      <c r="J24" s="19"/>
      <c r="K24" s="19"/>
      <c r="L24" s="98"/>
      <c r="M24" s="98"/>
      <c r="N24" s="98"/>
      <c r="O24" s="98"/>
      <c r="P24" s="98"/>
      <c r="Q24" s="98"/>
      <c r="R24" s="99"/>
    </row>
    <row r="25" spans="1:18" ht="41.4" customHeight="1" thickBot="1" x14ac:dyDescent="0.3">
      <c r="A25" s="21"/>
      <c r="B25" s="22"/>
      <c r="C25" s="23"/>
      <c r="D25" s="23"/>
      <c r="E25" s="29"/>
      <c r="F25" s="29"/>
      <c r="G25" s="29"/>
      <c r="H25" s="29"/>
      <c r="I25" s="29"/>
      <c r="J25" s="29"/>
      <c r="K25" s="29"/>
      <c r="L25" s="129"/>
      <c r="M25" s="129"/>
      <c r="N25" s="129"/>
      <c r="O25" s="129"/>
      <c r="P25" s="129"/>
      <c r="Q25" s="129"/>
      <c r="R25" s="130"/>
    </row>
    <row r="26" spans="1:18" ht="41.4" customHeight="1" x14ac:dyDescent="0.25">
      <c r="A26" s="30"/>
      <c r="B26" s="30"/>
      <c r="C26" s="31"/>
      <c r="D26" s="31"/>
      <c r="E26" s="38"/>
      <c r="F26" s="38"/>
      <c r="G26" s="38"/>
      <c r="H26" s="38"/>
      <c r="I26" s="38"/>
      <c r="J26" s="38"/>
      <c r="K26" s="38"/>
      <c r="L26" s="115"/>
      <c r="M26" s="115"/>
      <c r="N26" s="115"/>
      <c r="O26" s="115"/>
      <c r="P26" s="115"/>
      <c r="Q26" s="115"/>
      <c r="R26" s="115"/>
    </row>
    <row r="27" spans="1:18" ht="41.4" customHeight="1" x14ac:dyDescent="0.25">
      <c r="C27" s="32"/>
      <c r="D27" s="32"/>
      <c r="E27" s="33"/>
      <c r="F27" s="33"/>
      <c r="G27" s="33"/>
      <c r="H27" s="33"/>
      <c r="I27" s="33"/>
      <c r="J27" s="33"/>
      <c r="K27" s="33"/>
      <c r="L27" s="112"/>
      <c r="M27" s="112"/>
      <c r="N27" s="112"/>
      <c r="O27" s="112"/>
      <c r="P27" s="112"/>
      <c r="Q27" s="112"/>
      <c r="R27" s="112"/>
    </row>
    <row r="28" spans="1:18" ht="41.4" customHeight="1" x14ac:dyDescent="0.25">
      <c r="C28" s="32"/>
      <c r="D28" s="32"/>
      <c r="E28" s="33"/>
      <c r="F28" s="33"/>
      <c r="G28" s="33"/>
      <c r="H28" s="33"/>
      <c r="I28" s="33"/>
      <c r="J28" s="33"/>
      <c r="K28" s="33"/>
      <c r="L28" s="112"/>
      <c r="M28" s="112"/>
      <c r="N28" s="112"/>
      <c r="O28" s="112"/>
      <c r="P28" s="112"/>
      <c r="Q28" s="112"/>
      <c r="R28" s="112"/>
    </row>
    <row r="29" spans="1:18" ht="41.4" customHeight="1" x14ac:dyDescent="0.25">
      <c r="C29" s="32"/>
      <c r="D29" s="32"/>
      <c r="E29" s="33"/>
      <c r="F29" s="33"/>
      <c r="G29" s="33"/>
      <c r="H29" s="33"/>
      <c r="I29" s="33"/>
      <c r="J29" s="33"/>
      <c r="K29" s="33"/>
      <c r="L29" s="112"/>
      <c r="M29" s="112"/>
      <c r="N29" s="112"/>
      <c r="O29" s="112"/>
      <c r="P29" s="112"/>
      <c r="Q29" s="112"/>
      <c r="R29" s="112"/>
    </row>
    <row r="30" spans="1:18" ht="41.4" customHeight="1" x14ac:dyDescent="0.25">
      <c r="C30" s="32"/>
      <c r="D30" s="32"/>
      <c r="E30" s="33"/>
      <c r="F30" s="33"/>
      <c r="G30" s="33"/>
      <c r="H30" s="33"/>
      <c r="I30" s="33"/>
      <c r="J30" s="33"/>
      <c r="K30" s="33"/>
      <c r="L30" s="112"/>
      <c r="M30" s="112"/>
      <c r="N30" s="112"/>
      <c r="O30" s="112"/>
      <c r="P30" s="112"/>
      <c r="Q30" s="112"/>
      <c r="R30" s="112"/>
    </row>
    <row r="31" spans="1:18" ht="41.4" customHeight="1" x14ac:dyDescent="0.25">
      <c r="C31" s="32"/>
      <c r="D31" s="32"/>
      <c r="E31" s="33"/>
      <c r="F31" s="33"/>
      <c r="G31" s="33"/>
      <c r="H31" s="33"/>
      <c r="I31" s="33"/>
      <c r="J31" s="33"/>
      <c r="K31" s="33"/>
      <c r="L31" s="112"/>
      <c r="M31" s="112"/>
      <c r="N31" s="112"/>
      <c r="O31" s="112"/>
      <c r="P31" s="112"/>
      <c r="Q31" s="112"/>
      <c r="R31" s="112"/>
    </row>
    <row r="32" spans="1:18" ht="41.4" customHeight="1" x14ac:dyDescent="0.25">
      <c r="C32" s="32"/>
      <c r="D32" s="32"/>
      <c r="E32" s="33"/>
      <c r="F32" s="33"/>
      <c r="G32" s="33"/>
      <c r="H32" s="33"/>
      <c r="I32" s="33"/>
      <c r="J32" s="33"/>
      <c r="K32" s="33"/>
      <c r="L32" s="112"/>
      <c r="M32" s="112"/>
      <c r="N32" s="112"/>
      <c r="O32" s="112"/>
      <c r="P32" s="112"/>
      <c r="Q32" s="112"/>
      <c r="R32" s="112"/>
    </row>
    <row r="33" spans="3:18" ht="41.4" customHeight="1" x14ac:dyDescent="0.25">
      <c r="C33" s="32"/>
      <c r="D33" s="32"/>
      <c r="E33" s="33"/>
      <c r="F33" s="33"/>
      <c r="G33" s="33"/>
      <c r="H33" s="33"/>
      <c r="I33" s="33"/>
      <c r="J33" s="33"/>
      <c r="K33" s="33"/>
      <c r="L33" s="112"/>
      <c r="M33" s="112"/>
      <c r="N33" s="112"/>
      <c r="O33" s="112"/>
      <c r="P33" s="112"/>
      <c r="Q33" s="112"/>
      <c r="R33" s="112"/>
    </row>
    <row r="34" spans="3:18" ht="41.4" customHeight="1" x14ac:dyDescent="0.25">
      <c r="C34" s="32"/>
      <c r="D34" s="32"/>
      <c r="E34" s="33"/>
      <c r="F34" s="33"/>
      <c r="G34" s="33"/>
      <c r="H34" s="33"/>
      <c r="I34" s="33"/>
      <c r="J34" s="33"/>
      <c r="K34" s="33"/>
      <c r="L34" s="112"/>
      <c r="M34" s="112"/>
      <c r="N34" s="112"/>
      <c r="O34" s="112"/>
      <c r="P34" s="112"/>
      <c r="Q34" s="112"/>
      <c r="R34" s="112"/>
    </row>
    <row r="35" spans="3:18" ht="41.4" customHeight="1" x14ac:dyDescent="0.25">
      <c r="C35" s="32"/>
      <c r="D35" s="32"/>
      <c r="E35" s="33"/>
      <c r="F35" s="33"/>
      <c r="G35" s="33"/>
      <c r="H35" s="33"/>
      <c r="I35" s="33"/>
      <c r="J35" s="33"/>
      <c r="K35" s="33"/>
      <c r="L35" s="112"/>
      <c r="M35" s="112"/>
      <c r="N35" s="112"/>
      <c r="O35" s="112"/>
      <c r="P35" s="112"/>
      <c r="Q35" s="112"/>
      <c r="R35" s="112"/>
    </row>
    <row r="36" spans="3:18" ht="41.4" customHeight="1" x14ac:dyDescent="0.25">
      <c r="C36" s="32"/>
      <c r="D36" s="32"/>
      <c r="E36" s="32" t="str">
        <f>IF(E7="X",(D7-C7),"0")</f>
        <v>0</v>
      </c>
      <c r="F36" s="32">
        <f>IF(F7="X",(D7-C7),"0")</f>
        <v>50</v>
      </c>
      <c r="G36" s="32" t="str">
        <f>IF(G7="X",(D7-C7),"0")</f>
        <v>0</v>
      </c>
      <c r="H36" s="32" t="str">
        <f>IF(H7="X",(D7-C7),"0")</f>
        <v>0</v>
      </c>
      <c r="I36" s="32" t="str">
        <f>IF(I7="X",(D7-C7),"0")</f>
        <v>0</v>
      </c>
      <c r="J36" s="32">
        <f>IF(J7="X",(D7-C7),"0")</f>
        <v>50</v>
      </c>
      <c r="K36" s="32" t="str">
        <f>IF(K7="X",(D7-C7),"0")</f>
        <v>0</v>
      </c>
      <c r="L36" s="112"/>
      <c r="M36" s="112"/>
      <c r="N36" s="112"/>
      <c r="O36" s="112"/>
      <c r="P36" s="112"/>
      <c r="Q36" s="112"/>
      <c r="R36" s="112"/>
    </row>
    <row r="37" spans="3:18" ht="41.4" customHeight="1" x14ac:dyDescent="0.25">
      <c r="C37" s="32"/>
      <c r="D37" s="32"/>
      <c r="E37" s="32" t="e">
        <f>IF(#REF!="X",(D8-C8),"0")</f>
        <v>#REF!</v>
      </c>
      <c r="F37" s="32" t="str">
        <f>IF(E8="X",(D8-C8),"0")</f>
        <v>0</v>
      </c>
      <c r="G37" s="32" t="str">
        <f t="shared" ref="G37:G61" si="0">IF(G8="X",(D8-C8),"0")</f>
        <v>0</v>
      </c>
      <c r="H37" s="32" t="str">
        <f t="shared" ref="H37:H61" si="1">IF(H8="X",(D8-C8),"0")</f>
        <v>0</v>
      </c>
      <c r="I37" s="32" t="str">
        <f t="shared" ref="I37:I61" si="2">IF(I8="X",(D8-C8),"0")</f>
        <v>0</v>
      </c>
      <c r="J37" s="32">
        <f t="shared" ref="J37:J61" si="3">IF(J8="X",(D8-C8),"0")</f>
        <v>13.869999999999997</v>
      </c>
      <c r="K37" s="32" t="str">
        <f t="shared" ref="K37:K61" si="4">IF(K8="X",(D8-C8),"0")</f>
        <v>0</v>
      </c>
      <c r="L37" s="112"/>
      <c r="M37" s="112"/>
      <c r="N37" s="112"/>
      <c r="O37" s="112"/>
      <c r="P37" s="112"/>
      <c r="Q37" s="112"/>
      <c r="R37" s="112"/>
    </row>
    <row r="38" spans="3:18" ht="41.4" customHeight="1" x14ac:dyDescent="0.25">
      <c r="C38" s="32"/>
      <c r="D38" s="32"/>
      <c r="E38" s="32" t="str">
        <f t="shared" ref="E38:E61" si="5">IF(E9="X",(D9-C9),"0")</f>
        <v>0</v>
      </c>
      <c r="F38" s="32" t="str">
        <f t="shared" ref="F38:F61" si="6">IF(F9="X",(D9-C9),"0")</f>
        <v>0</v>
      </c>
      <c r="G38" s="32" t="str">
        <f t="shared" si="0"/>
        <v>0</v>
      </c>
      <c r="H38" s="32" t="str">
        <f t="shared" si="1"/>
        <v>0</v>
      </c>
      <c r="I38" s="32" t="str">
        <f t="shared" si="2"/>
        <v>0</v>
      </c>
      <c r="J38" s="32" t="str">
        <f t="shared" si="3"/>
        <v>0</v>
      </c>
      <c r="K38" s="32" t="str">
        <f t="shared" si="4"/>
        <v>0</v>
      </c>
      <c r="L38" s="112"/>
      <c r="M38" s="112"/>
      <c r="N38" s="112"/>
      <c r="O38" s="112"/>
      <c r="P38" s="112"/>
      <c r="Q38" s="112"/>
      <c r="R38" s="112"/>
    </row>
    <row r="39" spans="3:18" ht="41.4" customHeight="1" x14ac:dyDescent="0.25">
      <c r="C39" s="32"/>
      <c r="D39" s="32"/>
      <c r="E39" s="32" t="str">
        <f t="shared" si="5"/>
        <v>0</v>
      </c>
      <c r="F39" s="32" t="str">
        <f t="shared" si="6"/>
        <v>0</v>
      </c>
      <c r="G39" s="32" t="str">
        <f t="shared" si="0"/>
        <v>0</v>
      </c>
      <c r="H39" s="32" t="str">
        <f t="shared" si="1"/>
        <v>0</v>
      </c>
      <c r="I39" s="32" t="str">
        <f t="shared" si="2"/>
        <v>0</v>
      </c>
      <c r="J39" s="32" t="str">
        <f t="shared" si="3"/>
        <v>0</v>
      </c>
      <c r="K39" s="32" t="str">
        <f t="shared" si="4"/>
        <v>0</v>
      </c>
      <c r="L39" s="112"/>
      <c r="M39" s="112"/>
      <c r="N39" s="112"/>
      <c r="O39" s="112"/>
      <c r="P39" s="112"/>
      <c r="Q39" s="112"/>
      <c r="R39" s="112"/>
    </row>
    <row r="40" spans="3:18" ht="41.4" customHeight="1" x14ac:dyDescent="0.25">
      <c r="C40" s="32"/>
      <c r="D40" s="32"/>
      <c r="E40" s="32" t="str">
        <f t="shared" si="5"/>
        <v>0</v>
      </c>
      <c r="F40" s="32" t="str">
        <f t="shared" si="6"/>
        <v>0</v>
      </c>
      <c r="G40" s="32" t="str">
        <f t="shared" si="0"/>
        <v>0</v>
      </c>
      <c r="H40" s="32" t="str">
        <f t="shared" si="1"/>
        <v>0</v>
      </c>
      <c r="I40" s="32" t="str">
        <f t="shared" si="2"/>
        <v>0</v>
      </c>
      <c r="J40" s="32" t="str">
        <f t="shared" si="3"/>
        <v>0</v>
      </c>
      <c r="K40" s="32" t="str">
        <f t="shared" si="4"/>
        <v>0</v>
      </c>
      <c r="L40" s="112"/>
      <c r="M40" s="112"/>
      <c r="N40" s="112"/>
      <c r="O40" s="112"/>
      <c r="P40" s="112"/>
      <c r="Q40" s="112"/>
      <c r="R40" s="112"/>
    </row>
    <row r="41" spans="3:18" ht="41.4" customHeight="1" x14ac:dyDescent="0.25">
      <c r="C41" s="32"/>
      <c r="D41" s="32"/>
      <c r="E41" s="32" t="str">
        <f t="shared" si="5"/>
        <v>0</v>
      </c>
      <c r="F41" s="32" t="str">
        <f t="shared" si="6"/>
        <v>0</v>
      </c>
      <c r="G41" s="32" t="str">
        <f t="shared" si="0"/>
        <v>0</v>
      </c>
      <c r="H41" s="32" t="str">
        <f t="shared" si="1"/>
        <v>0</v>
      </c>
      <c r="I41" s="32" t="str">
        <f t="shared" si="2"/>
        <v>0</v>
      </c>
      <c r="J41" s="32" t="str">
        <f t="shared" si="3"/>
        <v>0</v>
      </c>
      <c r="K41" s="32" t="str">
        <f t="shared" si="4"/>
        <v>0</v>
      </c>
      <c r="L41" s="112"/>
      <c r="M41" s="112"/>
      <c r="N41" s="112"/>
      <c r="O41" s="112"/>
      <c r="P41" s="112"/>
      <c r="Q41" s="112"/>
      <c r="R41" s="112"/>
    </row>
    <row r="42" spans="3:18" ht="41.4" customHeight="1" x14ac:dyDescent="0.25">
      <c r="C42" s="32"/>
      <c r="D42" s="32"/>
      <c r="E42" s="32" t="str">
        <f t="shared" si="5"/>
        <v>0</v>
      </c>
      <c r="F42" s="32" t="str">
        <f t="shared" si="6"/>
        <v>0</v>
      </c>
      <c r="G42" s="32" t="str">
        <f t="shared" si="0"/>
        <v>0</v>
      </c>
      <c r="H42" s="32" t="str">
        <f t="shared" si="1"/>
        <v>0</v>
      </c>
      <c r="I42" s="32" t="str">
        <f t="shared" si="2"/>
        <v>0</v>
      </c>
      <c r="J42" s="32" t="str">
        <f t="shared" si="3"/>
        <v>0</v>
      </c>
      <c r="K42" s="32" t="str">
        <f t="shared" si="4"/>
        <v>0</v>
      </c>
      <c r="L42" s="112"/>
      <c r="M42" s="112"/>
      <c r="N42" s="112"/>
      <c r="O42" s="112"/>
      <c r="P42" s="112"/>
      <c r="Q42" s="112"/>
      <c r="R42" s="112"/>
    </row>
    <row r="43" spans="3:18" ht="41.4" customHeight="1" x14ac:dyDescent="0.25">
      <c r="C43" s="32"/>
      <c r="D43" s="32"/>
      <c r="E43" s="32" t="str">
        <f t="shared" si="5"/>
        <v>0</v>
      </c>
      <c r="F43" s="32" t="str">
        <f t="shared" si="6"/>
        <v>0</v>
      </c>
      <c r="G43" s="32" t="str">
        <f t="shared" si="0"/>
        <v>0</v>
      </c>
      <c r="H43" s="32" t="str">
        <f t="shared" si="1"/>
        <v>0</v>
      </c>
      <c r="I43" s="32" t="str">
        <f t="shared" si="2"/>
        <v>0</v>
      </c>
      <c r="J43" s="32" t="str">
        <f t="shared" si="3"/>
        <v>0</v>
      </c>
      <c r="K43" s="32" t="str">
        <f t="shared" si="4"/>
        <v>0</v>
      </c>
      <c r="L43" s="112"/>
      <c r="M43" s="112"/>
      <c r="N43" s="112"/>
      <c r="O43" s="112"/>
      <c r="P43" s="112"/>
      <c r="Q43" s="112"/>
      <c r="R43" s="112"/>
    </row>
    <row r="44" spans="3:18" ht="41.4" customHeight="1" x14ac:dyDescent="0.25">
      <c r="C44" s="32"/>
      <c r="D44" s="32"/>
      <c r="E44" s="32" t="str">
        <f t="shared" si="5"/>
        <v>0</v>
      </c>
      <c r="F44" s="32" t="str">
        <f t="shared" si="6"/>
        <v>0</v>
      </c>
      <c r="G44" s="32" t="str">
        <f t="shared" si="0"/>
        <v>0</v>
      </c>
      <c r="H44" s="32" t="str">
        <f t="shared" si="1"/>
        <v>0</v>
      </c>
      <c r="I44" s="32" t="str">
        <f t="shared" si="2"/>
        <v>0</v>
      </c>
      <c r="J44" s="32" t="str">
        <f t="shared" si="3"/>
        <v>0</v>
      </c>
      <c r="K44" s="32" t="str">
        <f t="shared" si="4"/>
        <v>0</v>
      </c>
      <c r="L44" s="112"/>
      <c r="M44" s="112"/>
      <c r="N44" s="112"/>
      <c r="O44" s="112"/>
      <c r="P44" s="112"/>
      <c r="Q44" s="112"/>
      <c r="R44" s="112"/>
    </row>
    <row r="45" spans="3:18" ht="41.4" customHeight="1" x14ac:dyDescent="0.25">
      <c r="C45" s="32"/>
      <c r="D45" s="32"/>
      <c r="E45" s="32" t="str">
        <f t="shared" si="5"/>
        <v>0</v>
      </c>
      <c r="F45" s="32" t="str">
        <f t="shared" si="6"/>
        <v>0</v>
      </c>
      <c r="G45" s="32" t="str">
        <f t="shared" si="0"/>
        <v>0</v>
      </c>
      <c r="H45" s="32" t="str">
        <f t="shared" si="1"/>
        <v>0</v>
      </c>
      <c r="I45" s="32" t="str">
        <f t="shared" si="2"/>
        <v>0</v>
      </c>
      <c r="J45" s="32" t="str">
        <f t="shared" si="3"/>
        <v>0</v>
      </c>
      <c r="K45" s="32" t="str">
        <f t="shared" si="4"/>
        <v>0</v>
      </c>
      <c r="L45" s="112"/>
      <c r="M45" s="112"/>
      <c r="N45" s="112"/>
      <c r="O45" s="112"/>
      <c r="P45" s="112"/>
      <c r="Q45" s="112"/>
      <c r="R45" s="112"/>
    </row>
    <row r="46" spans="3:18" ht="41.4" customHeight="1" x14ac:dyDescent="0.25">
      <c r="C46" s="32"/>
      <c r="D46" s="32"/>
      <c r="E46" s="32" t="str">
        <f t="shared" si="5"/>
        <v>0</v>
      </c>
      <c r="F46" s="32" t="str">
        <f t="shared" si="6"/>
        <v>0</v>
      </c>
      <c r="G46" s="32" t="str">
        <f t="shared" si="0"/>
        <v>0</v>
      </c>
      <c r="H46" s="32" t="str">
        <f t="shared" si="1"/>
        <v>0</v>
      </c>
      <c r="I46" s="32" t="str">
        <f t="shared" si="2"/>
        <v>0</v>
      </c>
      <c r="J46" s="32" t="str">
        <f t="shared" si="3"/>
        <v>0</v>
      </c>
      <c r="K46" s="32" t="str">
        <f t="shared" si="4"/>
        <v>0</v>
      </c>
      <c r="L46" s="112"/>
      <c r="M46" s="112"/>
      <c r="N46" s="112"/>
      <c r="O46" s="112"/>
      <c r="P46" s="112"/>
      <c r="Q46" s="112"/>
      <c r="R46" s="112"/>
    </row>
    <row r="47" spans="3:18" ht="41.4" customHeight="1" x14ac:dyDescent="0.25">
      <c r="C47" s="32"/>
      <c r="D47" s="32"/>
      <c r="E47" s="32" t="str">
        <f t="shared" si="5"/>
        <v>0</v>
      </c>
      <c r="F47" s="32" t="str">
        <f t="shared" si="6"/>
        <v>0</v>
      </c>
      <c r="G47" s="32" t="str">
        <f t="shared" si="0"/>
        <v>0</v>
      </c>
      <c r="H47" s="32" t="str">
        <f t="shared" si="1"/>
        <v>0</v>
      </c>
      <c r="I47" s="32" t="str">
        <f t="shared" si="2"/>
        <v>0</v>
      </c>
      <c r="J47" s="32" t="str">
        <f t="shared" si="3"/>
        <v>0</v>
      </c>
      <c r="K47" s="32" t="str">
        <f t="shared" si="4"/>
        <v>0</v>
      </c>
      <c r="L47" s="112"/>
      <c r="M47" s="112"/>
      <c r="N47" s="112"/>
      <c r="O47" s="112"/>
      <c r="P47" s="112"/>
      <c r="Q47" s="112"/>
      <c r="R47" s="112"/>
    </row>
    <row r="48" spans="3:18" ht="41.4" customHeight="1" x14ac:dyDescent="0.25">
      <c r="C48" s="32"/>
      <c r="D48" s="32"/>
      <c r="E48" s="32" t="str">
        <f t="shared" si="5"/>
        <v>0</v>
      </c>
      <c r="F48" s="32" t="str">
        <f t="shared" si="6"/>
        <v>0</v>
      </c>
      <c r="G48" s="32" t="str">
        <f t="shared" si="0"/>
        <v>0</v>
      </c>
      <c r="H48" s="32" t="str">
        <f t="shared" si="1"/>
        <v>0</v>
      </c>
      <c r="I48" s="32" t="str">
        <f t="shared" si="2"/>
        <v>0</v>
      </c>
      <c r="J48" s="32" t="str">
        <f t="shared" si="3"/>
        <v>0</v>
      </c>
      <c r="K48" s="32" t="str">
        <f t="shared" si="4"/>
        <v>0</v>
      </c>
      <c r="L48" s="112"/>
      <c r="M48" s="112"/>
      <c r="N48" s="112"/>
      <c r="O48" s="112"/>
      <c r="P48" s="112"/>
      <c r="Q48" s="112"/>
      <c r="R48" s="112"/>
    </row>
    <row r="49" spans="3:18" ht="41.4" customHeight="1" x14ac:dyDescent="0.25">
      <c r="C49" s="32"/>
      <c r="D49" s="32"/>
      <c r="E49" s="32" t="str">
        <f t="shared" si="5"/>
        <v>0</v>
      </c>
      <c r="F49" s="32" t="str">
        <f t="shared" si="6"/>
        <v>0</v>
      </c>
      <c r="G49" s="32" t="str">
        <f t="shared" si="0"/>
        <v>0</v>
      </c>
      <c r="H49" s="32" t="str">
        <f t="shared" si="1"/>
        <v>0</v>
      </c>
      <c r="I49" s="32" t="str">
        <f t="shared" si="2"/>
        <v>0</v>
      </c>
      <c r="J49" s="32" t="str">
        <f t="shared" si="3"/>
        <v>0</v>
      </c>
      <c r="K49" s="32" t="str">
        <f t="shared" si="4"/>
        <v>0</v>
      </c>
      <c r="L49" s="112"/>
      <c r="M49" s="112"/>
      <c r="N49" s="112"/>
      <c r="O49" s="112"/>
      <c r="P49" s="112"/>
      <c r="Q49" s="112"/>
      <c r="R49" s="112"/>
    </row>
    <row r="50" spans="3:18" ht="41.4" customHeight="1" x14ac:dyDescent="0.25">
      <c r="C50" s="32"/>
      <c r="D50" s="32"/>
      <c r="E50" s="32" t="str">
        <f t="shared" si="5"/>
        <v>0</v>
      </c>
      <c r="F50" s="32" t="str">
        <f t="shared" si="6"/>
        <v>0</v>
      </c>
      <c r="G50" s="32" t="str">
        <f t="shared" si="0"/>
        <v>0</v>
      </c>
      <c r="H50" s="32" t="str">
        <f t="shared" si="1"/>
        <v>0</v>
      </c>
      <c r="I50" s="32" t="str">
        <f t="shared" si="2"/>
        <v>0</v>
      </c>
      <c r="J50" s="32" t="str">
        <f t="shared" si="3"/>
        <v>0</v>
      </c>
      <c r="K50" s="32" t="str">
        <f t="shared" si="4"/>
        <v>0</v>
      </c>
      <c r="L50" s="112"/>
      <c r="M50" s="112"/>
      <c r="N50" s="112"/>
      <c r="O50" s="112"/>
      <c r="P50" s="112"/>
      <c r="Q50" s="112"/>
      <c r="R50" s="112"/>
    </row>
    <row r="51" spans="3:18" ht="41.4" customHeight="1" x14ac:dyDescent="0.25">
      <c r="C51" s="32"/>
      <c r="D51" s="32"/>
      <c r="E51" s="32" t="str">
        <f t="shared" si="5"/>
        <v>0</v>
      </c>
      <c r="F51" s="32" t="str">
        <f t="shared" si="6"/>
        <v>0</v>
      </c>
      <c r="G51" s="32" t="str">
        <f t="shared" si="0"/>
        <v>0</v>
      </c>
      <c r="H51" s="32" t="str">
        <f t="shared" si="1"/>
        <v>0</v>
      </c>
      <c r="I51" s="32" t="str">
        <f t="shared" si="2"/>
        <v>0</v>
      </c>
      <c r="J51" s="32" t="str">
        <f t="shared" si="3"/>
        <v>0</v>
      </c>
      <c r="K51" s="32" t="str">
        <f t="shared" si="4"/>
        <v>0</v>
      </c>
      <c r="L51" s="112"/>
      <c r="M51" s="112"/>
      <c r="N51" s="112"/>
      <c r="O51" s="112"/>
      <c r="P51" s="112"/>
      <c r="Q51" s="112"/>
      <c r="R51" s="112"/>
    </row>
    <row r="52" spans="3:18" ht="41.4" customHeight="1" x14ac:dyDescent="0.25">
      <c r="C52" s="32"/>
      <c r="D52" s="32"/>
      <c r="E52" s="32" t="str">
        <f t="shared" si="5"/>
        <v>0</v>
      </c>
      <c r="F52" s="32" t="str">
        <f t="shared" si="6"/>
        <v>0</v>
      </c>
      <c r="G52" s="32" t="str">
        <f t="shared" si="0"/>
        <v>0</v>
      </c>
      <c r="H52" s="32" t="str">
        <f t="shared" si="1"/>
        <v>0</v>
      </c>
      <c r="I52" s="32" t="str">
        <f t="shared" si="2"/>
        <v>0</v>
      </c>
      <c r="J52" s="32" t="str">
        <f t="shared" si="3"/>
        <v>0</v>
      </c>
      <c r="K52" s="32" t="str">
        <f t="shared" si="4"/>
        <v>0</v>
      </c>
      <c r="L52" s="112"/>
      <c r="M52" s="112"/>
      <c r="N52" s="112"/>
      <c r="O52" s="112"/>
      <c r="P52" s="112"/>
      <c r="Q52" s="112"/>
      <c r="R52" s="112"/>
    </row>
    <row r="53" spans="3:18" ht="41.4" customHeight="1" x14ac:dyDescent="0.25">
      <c r="C53" s="32"/>
      <c r="D53" s="32"/>
      <c r="E53" s="32" t="str">
        <f t="shared" si="5"/>
        <v>0</v>
      </c>
      <c r="F53" s="32" t="str">
        <f t="shared" si="6"/>
        <v>0</v>
      </c>
      <c r="G53" s="32" t="str">
        <f t="shared" si="0"/>
        <v>0</v>
      </c>
      <c r="H53" s="32" t="str">
        <f t="shared" si="1"/>
        <v>0</v>
      </c>
      <c r="I53" s="32" t="str">
        <f t="shared" si="2"/>
        <v>0</v>
      </c>
      <c r="J53" s="32" t="str">
        <f t="shared" si="3"/>
        <v>0</v>
      </c>
      <c r="K53" s="32" t="str">
        <f t="shared" si="4"/>
        <v>0</v>
      </c>
      <c r="L53" s="112"/>
      <c r="M53" s="112"/>
      <c r="N53" s="112"/>
      <c r="O53" s="112"/>
      <c r="P53" s="112"/>
      <c r="Q53" s="112"/>
      <c r="R53" s="112"/>
    </row>
    <row r="54" spans="3:18" ht="41.4" customHeight="1" x14ac:dyDescent="0.25">
      <c r="C54" s="32"/>
      <c r="D54" s="32"/>
      <c r="E54" s="32" t="str">
        <f t="shared" si="5"/>
        <v>0</v>
      </c>
      <c r="F54" s="32" t="str">
        <f t="shared" si="6"/>
        <v>0</v>
      </c>
      <c r="G54" s="32" t="str">
        <f t="shared" si="0"/>
        <v>0</v>
      </c>
      <c r="H54" s="32" t="str">
        <f t="shared" si="1"/>
        <v>0</v>
      </c>
      <c r="I54" s="32" t="str">
        <f t="shared" si="2"/>
        <v>0</v>
      </c>
      <c r="J54" s="32" t="str">
        <f t="shared" si="3"/>
        <v>0</v>
      </c>
      <c r="K54" s="32" t="str">
        <f t="shared" si="4"/>
        <v>0</v>
      </c>
      <c r="L54" s="112"/>
      <c r="M54" s="112"/>
      <c r="N54" s="112"/>
      <c r="O54" s="112"/>
      <c r="P54" s="112"/>
      <c r="Q54" s="112"/>
      <c r="R54" s="112"/>
    </row>
    <row r="55" spans="3:18" ht="41.4" customHeight="1" x14ac:dyDescent="0.25">
      <c r="C55" s="32"/>
      <c r="D55" s="32"/>
      <c r="E55" s="32" t="str">
        <f t="shared" si="5"/>
        <v>0</v>
      </c>
      <c r="F55" s="32" t="str">
        <f t="shared" si="6"/>
        <v>0</v>
      </c>
      <c r="G55" s="32" t="str">
        <f t="shared" si="0"/>
        <v>0</v>
      </c>
      <c r="H55" s="32" t="str">
        <f t="shared" si="1"/>
        <v>0</v>
      </c>
      <c r="I55" s="32" t="str">
        <f t="shared" si="2"/>
        <v>0</v>
      </c>
      <c r="J55" s="32" t="str">
        <f t="shared" si="3"/>
        <v>0</v>
      </c>
      <c r="K55" s="32" t="str">
        <f t="shared" si="4"/>
        <v>0</v>
      </c>
      <c r="L55" s="112"/>
      <c r="M55" s="112"/>
      <c r="N55" s="112"/>
      <c r="O55" s="112"/>
      <c r="P55" s="112"/>
      <c r="Q55" s="112"/>
      <c r="R55" s="112"/>
    </row>
    <row r="56" spans="3:18" ht="41.4" customHeight="1" x14ac:dyDescent="0.25">
      <c r="C56" s="32"/>
      <c r="D56" s="32"/>
      <c r="E56" s="32" t="str">
        <f t="shared" si="5"/>
        <v>0</v>
      </c>
      <c r="F56" s="32" t="str">
        <f t="shared" si="6"/>
        <v>0</v>
      </c>
      <c r="G56" s="32" t="str">
        <f t="shared" si="0"/>
        <v>0</v>
      </c>
      <c r="H56" s="32" t="str">
        <f t="shared" si="1"/>
        <v>0</v>
      </c>
      <c r="I56" s="32" t="str">
        <f t="shared" si="2"/>
        <v>0</v>
      </c>
      <c r="J56" s="32" t="str">
        <f t="shared" si="3"/>
        <v>0</v>
      </c>
      <c r="K56" s="32" t="str">
        <f t="shared" si="4"/>
        <v>0</v>
      </c>
      <c r="L56" s="112"/>
      <c r="M56" s="112"/>
      <c r="N56" s="112"/>
      <c r="O56" s="112"/>
      <c r="P56" s="112"/>
      <c r="Q56" s="112"/>
      <c r="R56" s="112"/>
    </row>
    <row r="57" spans="3:18" ht="41.4" customHeight="1" x14ac:dyDescent="0.25">
      <c r="C57" s="32"/>
      <c r="D57" s="32"/>
      <c r="E57" s="32" t="str">
        <f t="shared" si="5"/>
        <v>0</v>
      </c>
      <c r="F57" s="32" t="str">
        <f t="shared" si="6"/>
        <v>0</v>
      </c>
      <c r="G57" s="32" t="str">
        <f t="shared" si="0"/>
        <v>0</v>
      </c>
      <c r="H57" s="32" t="str">
        <f t="shared" si="1"/>
        <v>0</v>
      </c>
      <c r="I57" s="32" t="str">
        <f t="shared" si="2"/>
        <v>0</v>
      </c>
      <c r="J57" s="32" t="str">
        <f t="shared" si="3"/>
        <v>0</v>
      </c>
      <c r="K57" s="32" t="str">
        <f t="shared" si="4"/>
        <v>0</v>
      </c>
      <c r="L57" s="112"/>
      <c r="M57" s="112"/>
      <c r="N57" s="112"/>
      <c r="O57" s="112"/>
      <c r="P57" s="112"/>
      <c r="Q57" s="112"/>
      <c r="R57" s="112"/>
    </row>
    <row r="58" spans="3:18" ht="41.4" customHeight="1" x14ac:dyDescent="0.25">
      <c r="C58" s="32"/>
      <c r="D58" s="32"/>
      <c r="E58" s="32" t="str">
        <f t="shared" si="5"/>
        <v>0</v>
      </c>
      <c r="F58" s="32" t="str">
        <f t="shared" si="6"/>
        <v>0</v>
      </c>
      <c r="G58" s="32" t="str">
        <f t="shared" si="0"/>
        <v>0</v>
      </c>
      <c r="H58" s="32" t="str">
        <f t="shared" si="1"/>
        <v>0</v>
      </c>
      <c r="I58" s="32" t="str">
        <f t="shared" si="2"/>
        <v>0</v>
      </c>
      <c r="J58" s="32" t="str">
        <f t="shared" si="3"/>
        <v>0</v>
      </c>
      <c r="K58" s="32" t="str">
        <f t="shared" si="4"/>
        <v>0</v>
      </c>
      <c r="L58" s="112"/>
      <c r="M58" s="112"/>
      <c r="N58" s="112"/>
      <c r="O58" s="112"/>
      <c r="P58" s="112"/>
      <c r="Q58" s="112"/>
      <c r="R58" s="112"/>
    </row>
    <row r="59" spans="3:18" ht="41.4" customHeight="1" x14ac:dyDescent="0.25">
      <c r="C59" s="32"/>
      <c r="D59" s="32"/>
      <c r="E59" s="32" t="str">
        <f t="shared" si="5"/>
        <v>0</v>
      </c>
      <c r="F59" s="32" t="str">
        <f t="shared" si="6"/>
        <v>0</v>
      </c>
      <c r="G59" s="32" t="str">
        <f t="shared" si="0"/>
        <v>0</v>
      </c>
      <c r="H59" s="32" t="str">
        <f t="shared" si="1"/>
        <v>0</v>
      </c>
      <c r="I59" s="32" t="str">
        <f t="shared" si="2"/>
        <v>0</v>
      </c>
      <c r="J59" s="32" t="str">
        <f t="shared" si="3"/>
        <v>0</v>
      </c>
      <c r="K59" s="32" t="str">
        <f t="shared" si="4"/>
        <v>0</v>
      </c>
      <c r="L59" s="112"/>
      <c r="M59" s="112"/>
      <c r="N59" s="112"/>
      <c r="O59" s="112"/>
      <c r="P59" s="112"/>
      <c r="Q59" s="112"/>
      <c r="R59" s="112"/>
    </row>
    <row r="60" spans="3:18" ht="41.4" customHeight="1" x14ac:dyDescent="0.25">
      <c r="C60" s="32"/>
      <c r="D60" s="32"/>
      <c r="E60" s="32" t="str">
        <f t="shared" si="5"/>
        <v>0</v>
      </c>
      <c r="F60" s="32" t="str">
        <f t="shared" si="6"/>
        <v>0</v>
      </c>
      <c r="G60" s="32" t="str">
        <f t="shared" si="0"/>
        <v>0</v>
      </c>
      <c r="H60" s="32" t="str">
        <f t="shared" si="1"/>
        <v>0</v>
      </c>
      <c r="I60" s="32" t="str">
        <f t="shared" si="2"/>
        <v>0</v>
      </c>
      <c r="J60" s="32" t="str">
        <f t="shared" si="3"/>
        <v>0</v>
      </c>
      <c r="K60" s="32" t="str">
        <f t="shared" si="4"/>
        <v>0</v>
      </c>
      <c r="L60" s="112"/>
      <c r="M60" s="112"/>
      <c r="N60" s="112"/>
      <c r="O60" s="112"/>
      <c r="P60" s="112"/>
      <c r="Q60" s="112"/>
      <c r="R60" s="112"/>
    </row>
    <row r="61" spans="3:18" ht="41.4" customHeight="1" x14ac:dyDescent="0.25">
      <c r="C61" s="32"/>
      <c r="D61" s="32"/>
      <c r="E61" s="32" t="str">
        <f t="shared" si="5"/>
        <v>0</v>
      </c>
      <c r="F61" s="32" t="str">
        <f t="shared" si="6"/>
        <v>0</v>
      </c>
      <c r="G61" s="32" t="str">
        <f t="shared" si="0"/>
        <v>0</v>
      </c>
      <c r="H61" s="32" t="str">
        <f t="shared" si="1"/>
        <v>0</v>
      </c>
      <c r="I61" s="32" t="str">
        <f t="shared" si="2"/>
        <v>0</v>
      </c>
      <c r="J61" s="32" t="str">
        <f t="shared" si="3"/>
        <v>0</v>
      </c>
      <c r="K61" s="32" t="str">
        <f t="shared" si="4"/>
        <v>0</v>
      </c>
      <c r="L61" s="112"/>
      <c r="M61" s="112"/>
      <c r="N61" s="112"/>
      <c r="O61" s="112"/>
      <c r="P61" s="112"/>
      <c r="Q61" s="112"/>
      <c r="R61" s="112"/>
    </row>
    <row r="62" spans="3:18" ht="41.4" customHeight="1" x14ac:dyDescent="0.25">
      <c r="C62" s="32"/>
      <c r="D62" s="32"/>
      <c r="E62" s="32" t="e">
        <f>SUM(E36:E61)</f>
        <v>#REF!</v>
      </c>
      <c r="F62" s="32">
        <f t="shared" ref="F62:K62" si="7">SUM(F36:F61)</f>
        <v>50</v>
      </c>
      <c r="G62" s="32">
        <f t="shared" si="7"/>
        <v>0</v>
      </c>
      <c r="H62" s="32">
        <f t="shared" si="7"/>
        <v>0</v>
      </c>
      <c r="I62" s="32">
        <f t="shared" si="7"/>
        <v>0</v>
      </c>
      <c r="J62" s="32">
        <f t="shared" si="7"/>
        <v>63.87</v>
      </c>
      <c r="K62" s="32">
        <f t="shared" si="7"/>
        <v>0</v>
      </c>
      <c r="L62" s="112"/>
      <c r="M62" s="112"/>
      <c r="N62" s="112"/>
      <c r="O62" s="112"/>
      <c r="P62" s="112"/>
      <c r="Q62" s="112"/>
      <c r="R62" s="112"/>
    </row>
    <row r="63" spans="3:18" ht="41.4" customHeight="1" x14ac:dyDescent="0.25">
      <c r="C63" s="32"/>
      <c r="D63" s="32"/>
      <c r="E63" s="32"/>
      <c r="F63" s="33"/>
      <c r="G63" s="33"/>
      <c r="H63" s="33"/>
      <c r="I63" s="33"/>
      <c r="J63" s="33"/>
      <c r="K63" s="33"/>
      <c r="L63" s="112"/>
      <c r="M63" s="112"/>
      <c r="N63" s="112"/>
      <c r="O63" s="112"/>
      <c r="P63" s="112"/>
      <c r="Q63" s="112"/>
      <c r="R63" s="112"/>
    </row>
    <row r="64" spans="3:18" ht="41.4" customHeight="1" x14ac:dyDescent="0.25">
      <c r="C64" s="32"/>
      <c r="D64" s="32"/>
      <c r="E64" s="32"/>
      <c r="F64" s="33"/>
      <c r="G64" s="33"/>
      <c r="H64" s="33"/>
      <c r="I64" s="33"/>
      <c r="J64" s="33"/>
      <c r="K64" s="33"/>
      <c r="L64" s="112"/>
      <c r="M64" s="112"/>
      <c r="N64" s="112"/>
      <c r="O64" s="112"/>
      <c r="P64" s="112"/>
      <c r="Q64" s="112"/>
      <c r="R64" s="112"/>
    </row>
    <row r="65" spans="3:18" ht="41.4" customHeight="1" x14ac:dyDescent="0.25">
      <c r="C65" s="32"/>
      <c r="D65" s="32"/>
      <c r="E65" s="32"/>
      <c r="F65" s="33"/>
      <c r="G65" s="33"/>
      <c r="H65" s="33"/>
      <c r="I65" s="33"/>
      <c r="J65" s="33"/>
      <c r="K65" s="33"/>
      <c r="L65" s="112"/>
      <c r="M65" s="112"/>
      <c r="N65" s="112"/>
      <c r="O65" s="112"/>
      <c r="P65" s="112"/>
      <c r="Q65" s="112"/>
      <c r="R65" s="112"/>
    </row>
    <row r="66" spans="3:18" ht="41.4" customHeight="1" x14ac:dyDescent="0.25">
      <c r="C66" s="32"/>
      <c r="D66" s="32"/>
      <c r="E66" s="32"/>
      <c r="F66" s="33"/>
      <c r="G66" s="33"/>
      <c r="H66" s="33"/>
      <c r="I66" s="33"/>
      <c r="J66" s="33"/>
      <c r="K66" s="33"/>
      <c r="L66" s="112"/>
      <c r="M66" s="112"/>
      <c r="N66" s="112"/>
      <c r="O66" s="112"/>
      <c r="P66" s="112"/>
      <c r="Q66" s="112"/>
      <c r="R66" s="112"/>
    </row>
    <row r="67" spans="3:18" ht="41.4" customHeight="1" x14ac:dyDescent="0.25">
      <c r="C67" s="32"/>
      <c r="D67" s="32"/>
      <c r="E67" s="32"/>
      <c r="F67" s="33"/>
      <c r="G67" s="33"/>
      <c r="H67" s="33"/>
      <c r="I67" s="33"/>
      <c r="J67" s="33"/>
      <c r="K67" s="33"/>
      <c r="L67" s="112"/>
      <c r="M67" s="112"/>
      <c r="N67" s="112"/>
      <c r="O67" s="112"/>
      <c r="P67" s="112"/>
      <c r="Q67" s="112"/>
      <c r="R67" s="112"/>
    </row>
    <row r="68" spans="3:18" ht="41.4" customHeight="1" x14ac:dyDescent="0.25">
      <c r="C68" s="32"/>
      <c r="D68" s="32"/>
      <c r="E68" s="32"/>
      <c r="F68" s="33"/>
      <c r="G68" s="33"/>
      <c r="H68" s="33"/>
      <c r="I68" s="33"/>
      <c r="J68" s="33"/>
      <c r="K68" s="33"/>
      <c r="L68" s="112"/>
      <c r="M68" s="112"/>
      <c r="N68" s="112"/>
      <c r="O68" s="112"/>
      <c r="P68" s="112"/>
      <c r="Q68" s="112"/>
      <c r="R68" s="112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362204722" right="0.51181102362204722" top="0.78740157480314965" bottom="0.78740157480314965" header="0.31496062992125984" footer="0.31496062992125984"/>
  <pageSetup paperSize="9" scale="43" orientation="landscape" horizontalDpi="1200" verticalDpi="1200" r:id="rId1"/>
  <colBreaks count="1" manualBreakCount="1">
    <brk id="18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7DE7-BA91-4F87-9172-6B2880ECF8F8}">
  <dimension ref="B1:Y113"/>
  <sheetViews>
    <sheetView view="pageBreakPreview" topLeftCell="B1" zoomScale="70" zoomScaleNormal="40" zoomScaleSheetLayoutView="70" workbookViewId="0">
      <selection activeCell="C21" sqref="C21"/>
    </sheetView>
  </sheetViews>
  <sheetFormatPr defaultRowHeight="14.4" x14ac:dyDescent="0.3"/>
  <cols>
    <col min="1" max="1" width="0" hidden="1" customWidth="1"/>
    <col min="2" max="2" width="27" bestFit="1" customWidth="1"/>
    <col min="3" max="3" width="134" bestFit="1" customWidth="1"/>
    <col min="4" max="4" width="26.44140625" customWidth="1"/>
    <col min="5" max="5" width="30.109375" customWidth="1"/>
    <col min="6" max="6" width="26.44140625" customWidth="1"/>
    <col min="7" max="7" width="33.109375" customWidth="1"/>
    <col min="8" max="10" width="32" customWidth="1"/>
  </cols>
  <sheetData>
    <row r="1" spans="2:25" ht="15" thickBot="1" x14ac:dyDescent="0.35">
      <c r="B1" s="1"/>
      <c r="C1" s="1"/>
      <c r="D1" s="131" t="s">
        <v>18</v>
      </c>
      <c r="E1" s="131"/>
      <c r="F1" s="131"/>
      <c r="G1" s="131"/>
      <c r="H1" s="131"/>
      <c r="I1" s="131"/>
      <c r="J1" s="131"/>
    </row>
    <row r="2" spans="2:25" ht="23.4" thickBot="1" x14ac:dyDescent="0.35">
      <c r="B2" s="137" t="s">
        <v>20</v>
      </c>
      <c r="C2" s="137" t="s">
        <v>19</v>
      </c>
      <c r="D2" s="132" t="s">
        <v>10</v>
      </c>
      <c r="E2" s="133"/>
      <c r="F2" s="133"/>
      <c r="G2" s="133"/>
      <c r="H2" s="134" t="s">
        <v>11</v>
      </c>
      <c r="I2" s="135"/>
      <c r="J2" s="136"/>
    </row>
    <row r="3" spans="2:25" ht="69" thickBot="1" x14ac:dyDescent="0.35">
      <c r="B3" s="138"/>
      <c r="C3" s="138"/>
      <c r="D3" s="25" t="s">
        <v>2</v>
      </c>
      <c r="E3" s="26" t="s">
        <v>15</v>
      </c>
      <c r="F3" s="26" t="s">
        <v>16</v>
      </c>
      <c r="G3" s="26" t="s">
        <v>17</v>
      </c>
      <c r="H3" s="27" t="s">
        <v>12</v>
      </c>
      <c r="I3" s="27" t="s">
        <v>13</v>
      </c>
      <c r="J3" s="28" t="s">
        <v>14</v>
      </c>
    </row>
    <row r="4" spans="2:25" ht="30" customHeight="1" x14ac:dyDescent="0.3">
      <c r="B4" s="39">
        <v>207</v>
      </c>
      <c r="C4" s="40" t="s">
        <v>22</v>
      </c>
      <c r="D4" s="40">
        <f>'207'!E62</f>
        <v>0</v>
      </c>
      <c r="E4" s="40">
        <f>'207'!F62</f>
        <v>30</v>
      </c>
      <c r="F4" s="40">
        <f>'207'!G62</f>
        <v>35.900000000000006</v>
      </c>
      <c r="G4" s="40">
        <f>'207'!H62</f>
        <v>0</v>
      </c>
      <c r="H4" s="40">
        <f>'207'!I62</f>
        <v>30</v>
      </c>
      <c r="I4" s="40">
        <f>'207'!J62</f>
        <v>35.900000000000006</v>
      </c>
      <c r="J4" s="41">
        <f>'207'!K62</f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2:25" ht="30" customHeight="1" x14ac:dyDescent="0.3">
      <c r="B5" s="80">
        <v>208</v>
      </c>
      <c r="C5" s="42" t="s">
        <v>23</v>
      </c>
      <c r="D5" s="42">
        <f>'208'!E63</f>
        <v>49.63</v>
      </c>
      <c r="E5" s="42">
        <f>'208'!F63</f>
        <v>18</v>
      </c>
      <c r="F5" s="42">
        <f>'208'!G63</f>
        <v>11.630000000000003</v>
      </c>
      <c r="G5" s="42">
        <f>'208'!H63</f>
        <v>0</v>
      </c>
      <c r="H5" s="42">
        <f>'208'!I63</f>
        <v>0</v>
      </c>
      <c r="I5" s="42">
        <f>'208'!J63</f>
        <v>0</v>
      </c>
      <c r="J5" s="43">
        <f>'208'!K63</f>
        <v>79.259999999999991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2:25" ht="30" customHeight="1" x14ac:dyDescent="0.3">
      <c r="B6" s="87">
        <v>211</v>
      </c>
      <c r="C6" s="88" t="s">
        <v>24</v>
      </c>
      <c r="D6" s="42">
        <f>'211'!E62</f>
        <v>0</v>
      </c>
      <c r="E6" s="42">
        <f>'211'!F62</f>
        <v>30</v>
      </c>
      <c r="F6" s="42">
        <f>'211'!G62</f>
        <v>11.82</v>
      </c>
      <c r="G6" s="42">
        <f>'211'!H62</f>
        <v>0</v>
      </c>
      <c r="H6" s="42">
        <f>'211'!I62</f>
        <v>0</v>
      </c>
      <c r="I6" s="42">
        <f>'211'!J62</f>
        <v>41.82</v>
      </c>
      <c r="J6" s="43">
        <f>'211'!K62</f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2:25" ht="30" customHeight="1" x14ac:dyDescent="0.3">
      <c r="B7" s="87">
        <v>213</v>
      </c>
      <c r="C7" s="88" t="s">
        <v>25</v>
      </c>
      <c r="D7" s="42">
        <f>'213'!E62</f>
        <v>0</v>
      </c>
      <c r="E7" s="42">
        <f>'213'!F62</f>
        <v>0</v>
      </c>
      <c r="F7" s="42">
        <f>'213'!G62</f>
        <v>27.380000000000003</v>
      </c>
      <c r="G7" s="42">
        <f>'213'!H62</f>
        <v>13</v>
      </c>
      <c r="H7" s="42">
        <f>'213'!I62</f>
        <v>0</v>
      </c>
      <c r="I7" s="42">
        <f>'213'!J62</f>
        <v>40.380000000000003</v>
      </c>
      <c r="J7" s="43">
        <f>'213'!K62</f>
        <v>40.380000000000003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2:25" ht="30" customHeight="1" x14ac:dyDescent="0.3">
      <c r="B8" s="87">
        <v>214</v>
      </c>
      <c r="C8" s="88" t="s">
        <v>26</v>
      </c>
      <c r="D8" s="42">
        <f>'214'!E63</f>
        <v>0</v>
      </c>
      <c r="E8" s="42">
        <f>'214'!F63</f>
        <v>15</v>
      </c>
      <c r="F8" s="42">
        <f>'214'!G63</f>
        <v>30.21</v>
      </c>
      <c r="G8" s="42">
        <f>'214'!H63</f>
        <v>0</v>
      </c>
      <c r="H8" s="42">
        <f>'214'!I63</f>
        <v>45.21</v>
      </c>
      <c r="I8" s="42">
        <f>'214'!J63</f>
        <v>0</v>
      </c>
      <c r="J8" s="43">
        <f>'214'!K63</f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2:25" ht="30" customHeight="1" x14ac:dyDescent="0.3">
      <c r="B9" s="87">
        <v>215</v>
      </c>
      <c r="C9" s="88" t="s">
        <v>27</v>
      </c>
      <c r="D9" s="42">
        <f>'215'!E60</f>
        <v>0</v>
      </c>
      <c r="E9" s="42">
        <f>'215'!F60</f>
        <v>11</v>
      </c>
      <c r="F9" s="42">
        <f>'215'!G60</f>
        <v>25.28</v>
      </c>
      <c r="G9" s="42">
        <f>'215'!H60</f>
        <v>9.9999999999994316E-2</v>
      </c>
      <c r="H9" s="42">
        <f>'215'!I60</f>
        <v>0</v>
      </c>
      <c r="I9" s="42">
        <f>'215'!J60</f>
        <v>22.200000000000003</v>
      </c>
      <c r="J9" s="43">
        <f>'215'!K60</f>
        <v>3.0799999999999983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2:25" ht="30" customHeight="1" x14ac:dyDescent="0.3">
      <c r="B10" s="87">
        <v>216</v>
      </c>
      <c r="C10" s="88" t="s">
        <v>28</v>
      </c>
      <c r="D10" s="42">
        <f>'216'!E87</f>
        <v>0</v>
      </c>
      <c r="E10" s="42">
        <f>'216'!F87</f>
        <v>0</v>
      </c>
      <c r="F10" s="42">
        <f>'216'!G87</f>
        <v>37.470000000000006</v>
      </c>
      <c r="G10" s="42">
        <f>'216'!H87</f>
        <v>1</v>
      </c>
      <c r="H10" s="42">
        <f>'216'!I87</f>
        <v>36.470000000000006</v>
      </c>
      <c r="I10" s="42">
        <f>'216'!J87</f>
        <v>0</v>
      </c>
      <c r="J10" s="43">
        <f>'216'!K87</f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2:25" ht="30" customHeight="1" x14ac:dyDescent="0.3">
      <c r="B11" s="87">
        <v>217</v>
      </c>
      <c r="C11" s="88" t="s">
        <v>29</v>
      </c>
      <c r="D11" s="42">
        <f>'217'!E62</f>
        <v>0</v>
      </c>
      <c r="E11" s="42">
        <f>'217'!F62</f>
        <v>2.38</v>
      </c>
      <c r="F11" s="42">
        <f>'217'!G62</f>
        <v>0</v>
      </c>
      <c r="G11" s="42">
        <f>'217'!H62</f>
        <v>0</v>
      </c>
      <c r="H11" s="42">
        <f>'217'!I62</f>
        <v>0</v>
      </c>
      <c r="I11" s="42">
        <f>'217'!J62</f>
        <v>0</v>
      </c>
      <c r="J11" s="43">
        <f>'217'!K62</f>
        <v>2.38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2:25" ht="30" customHeight="1" x14ac:dyDescent="0.3">
      <c r="B12" s="80">
        <v>221</v>
      </c>
      <c r="C12" s="88" t="s">
        <v>30</v>
      </c>
      <c r="D12" s="42">
        <f>'221'!E62</f>
        <v>72.699999999999989</v>
      </c>
      <c r="E12" s="42">
        <f>'221'!F62</f>
        <v>6</v>
      </c>
      <c r="F12" s="42">
        <f>'221'!G62</f>
        <v>0</v>
      </c>
      <c r="G12" s="42">
        <f>'221'!H62</f>
        <v>0</v>
      </c>
      <c r="H12" s="42">
        <f>'221'!I62</f>
        <v>37</v>
      </c>
      <c r="I12" s="42">
        <f>'221'!J62</f>
        <v>8</v>
      </c>
      <c r="J12" s="43">
        <f>'221'!K62</f>
        <v>33.699999999999989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2:25" ht="30" customHeight="1" x14ac:dyDescent="0.3">
      <c r="B13" s="87">
        <v>222</v>
      </c>
      <c r="C13" s="88" t="s">
        <v>31</v>
      </c>
      <c r="D13" s="42">
        <f>'222'!E62</f>
        <v>0</v>
      </c>
      <c r="E13" s="42">
        <f>'222'!F62</f>
        <v>20</v>
      </c>
      <c r="F13" s="42">
        <f>'222'!G62</f>
        <v>18.009999999999998</v>
      </c>
      <c r="G13" s="42">
        <f>'222'!H62</f>
        <v>0</v>
      </c>
      <c r="H13" s="42">
        <f>'222'!I62</f>
        <v>38.01</v>
      </c>
      <c r="I13" s="42">
        <f>'222'!J62</f>
        <v>0</v>
      </c>
      <c r="J13" s="43">
        <f>'222'!K62</f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2:25" ht="30" customHeight="1" thickBot="1" x14ac:dyDescent="0.35">
      <c r="B14" s="89">
        <v>223</v>
      </c>
      <c r="C14" s="90" t="s">
        <v>32</v>
      </c>
      <c r="D14" s="44" t="e">
        <f>'223'!E62</f>
        <v>#REF!</v>
      </c>
      <c r="E14" s="44">
        <f>'223'!F62</f>
        <v>50</v>
      </c>
      <c r="F14" s="44">
        <f>'223'!G62</f>
        <v>0</v>
      </c>
      <c r="G14" s="44">
        <f>'223'!H62</f>
        <v>0</v>
      </c>
      <c r="H14" s="44">
        <f>'223'!I62</f>
        <v>0</v>
      </c>
      <c r="I14" s="44">
        <f>'223'!J62</f>
        <v>63.87</v>
      </c>
      <c r="J14" s="45">
        <f>'223'!K62</f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2:25" ht="30" customHeight="1" x14ac:dyDescent="0.4">
      <c r="B15" s="1"/>
      <c r="C15" s="1"/>
      <c r="D15" s="46"/>
      <c r="E15" s="46"/>
      <c r="F15" s="46"/>
      <c r="G15" s="46"/>
      <c r="H15" s="46"/>
      <c r="I15" s="46"/>
      <c r="J15" s="4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2:25" ht="30" customHeight="1" x14ac:dyDescent="0.3">
      <c r="B16" s="96" t="s">
        <v>33</v>
      </c>
      <c r="C16" s="96"/>
      <c r="D16" s="34" t="e">
        <f t="shared" ref="D16:J16" si="0">SUM(D2:D14)</f>
        <v>#REF!</v>
      </c>
      <c r="E16" s="34">
        <f t="shared" si="0"/>
        <v>182.38</v>
      </c>
      <c r="F16" s="34">
        <f t="shared" si="0"/>
        <v>197.70000000000002</v>
      </c>
      <c r="G16" s="34">
        <f t="shared" si="0"/>
        <v>14.099999999999994</v>
      </c>
      <c r="H16" s="34">
        <f t="shared" si="0"/>
        <v>186.69</v>
      </c>
      <c r="I16" s="34">
        <f t="shared" si="0"/>
        <v>212.17000000000002</v>
      </c>
      <c r="J16" s="34">
        <f t="shared" si="0"/>
        <v>159.79999999999995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ht="30" customHeight="1" x14ac:dyDescent="0.3">
      <c r="B17" s="96" t="s">
        <v>34</v>
      </c>
      <c r="C17" s="96"/>
      <c r="D17" s="35"/>
      <c r="E17" s="35"/>
      <c r="F17" s="35"/>
      <c r="G17" s="34" t="e">
        <f>SUM(D16:G16)</f>
        <v>#REF!</v>
      </c>
      <c r="H17" s="35"/>
      <c r="I17" s="35"/>
      <c r="J17" s="3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ht="30" customHeight="1" x14ac:dyDescent="0.3">
      <c r="B18" s="96" t="s">
        <v>35</v>
      </c>
      <c r="C18" s="96"/>
      <c r="D18" s="35"/>
      <c r="E18" s="35"/>
      <c r="F18" s="35"/>
      <c r="G18" s="36" t="e">
        <f>G17/Trechos!F17</f>
        <v>#REF!</v>
      </c>
      <c r="H18" s="35"/>
      <c r="I18" s="35"/>
      <c r="J18" s="3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ht="30" customHeight="1" x14ac:dyDescent="0.4">
      <c r="D19" s="24"/>
      <c r="E19" s="24"/>
      <c r="F19" s="24"/>
      <c r="G19" s="24"/>
      <c r="H19" s="24"/>
      <c r="I19" s="24"/>
      <c r="J19" s="2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ht="30" customHeight="1" x14ac:dyDescent="0.4">
      <c r="D20" s="24"/>
      <c r="E20" s="24"/>
      <c r="F20" s="24"/>
      <c r="G20" s="24"/>
      <c r="H20" s="24"/>
      <c r="I20" s="24"/>
      <c r="J20" s="2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ht="30" customHeight="1" x14ac:dyDescent="0.4">
      <c r="D21" s="24"/>
      <c r="E21" s="24"/>
      <c r="F21" s="24"/>
      <c r="G21" s="24"/>
      <c r="H21" s="24"/>
      <c r="I21" s="24"/>
      <c r="J21" s="24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ht="30" customHeight="1" x14ac:dyDescent="0.4">
      <c r="D22" s="24"/>
      <c r="E22" s="24"/>
      <c r="F22" s="24"/>
      <c r="G22" s="24"/>
      <c r="H22" s="24"/>
      <c r="I22" s="24"/>
      <c r="J22" s="2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ht="30" customHeight="1" x14ac:dyDescent="0.4">
      <c r="D23" s="24"/>
      <c r="E23" s="24"/>
      <c r="F23" s="24"/>
      <c r="G23" s="24"/>
      <c r="H23" s="24"/>
      <c r="I23" s="24"/>
      <c r="J23" s="2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ht="30" customHeight="1" x14ac:dyDescent="0.4">
      <c r="D24" s="24"/>
      <c r="E24" s="24"/>
      <c r="F24" s="24"/>
      <c r="G24" s="24"/>
      <c r="H24" s="24"/>
      <c r="I24" s="24"/>
      <c r="J24" s="2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ht="30" customHeight="1" x14ac:dyDescent="0.4">
      <c r="D25" s="24"/>
      <c r="E25" s="24"/>
      <c r="F25" s="24"/>
      <c r="G25" s="24"/>
      <c r="H25" s="24"/>
      <c r="I25" s="24"/>
      <c r="J25" s="2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ht="30" customHeight="1" x14ac:dyDescent="0.4">
      <c r="D26" s="24"/>
      <c r="E26" s="24"/>
      <c r="F26" s="24"/>
      <c r="G26" s="24"/>
      <c r="H26" s="24"/>
      <c r="I26" s="24"/>
      <c r="J26" s="24"/>
    </row>
    <row r="27" spans="2:25" ht="30" customHeight="1" x14ac:dyDescent="0.4">
      <c r="D27" s="24"/>
      <c r="E27" s="24"/>
      <c r="F27" s="24"/>
      <c r="G27" s="24"/>
      <c r="H27" s="24"/>
      <c r="I27" s="24"/>
      <c r="J27" s="24"/>
    </row>
    <row r="28" spans="2:25" ht="30" customHeight="1" x14ac:dyDescent="0.4">
      <c r="D28" s="24"/>
      <c r="E28" s="24"/>
      <c r="F28" s="24"/>
      <c r="G28" s="24"/>
      <c r="H28" s="24"/>
      <c r="I28" s="24"/>
      <c r="J28" s="24"/>
    </row>
    <row r="29" spans="2:25" ht="30" customHeight="1" x14ac:dyDescent="0.4">
      <c r="D29" s="24"/>
      <c r="E29" s="24"/>
      <c r="F29" s="24"/>
      <c r="G29" s="24"/>
      <c r="H29" s="24"/>
      <c r="I29" s="24"/>
      <c r="J29" s="24"/>
    </row>
    <row r="30" spans="2:25" ht="30" customHeight="1" x14ac:dyDescent="0.4">
      <c r="D30" s="24"/>
      <c r="E30" s="24"/>
      <c r="F30" s="24"/>
      <c r="G30" s="24"/>
      <c r="H30" s="24"/>
      <c r="I30" s="24"/>
      <c r="J30" s="24"/>
    </row>
    <row r="31" spans="2:25" ht="30" customHeight="1" x14ac:dyDescent="0.4">
      <c r="D31" s="24"/>
      <c r="E31" s="24"/>
      <c r="F31" s="24"/>
      <c r="G31" s="24"/>
      <c r="H31" s="24"/>
      <c r="I31" s="24"/>
      <c r="J31" s="24"/>
    </row>
    <row r="32" spans="2:25" ht="30" customHeight="1" x14ac:dyDescent="0.4">
      <c r="D32" s="24"/>
      <c r="E32" s="24"/>
      <c r="F32" s="24"/>
      <c r="G32" s="24"/>
      <c r="H32" s="24"/>
      <c r="I32" s="24"/>
      <c r="J32" s="24"/>
    </row>
    <row r="33" spans="4:10" ht="30" customHeight="1" x14ac:dyDescent="0.4">
      <c r="D33" s="24"/>
      <c r="E33" s="24"/>
      <c r="F33" s="24"/>
      <c r="G33" s="24"/>
      <c r="H33" s="24"/>
      <c r="I33" s="24"/>
      <c r="J33" s="24"/>
    </row>
    <row r="34" spans="4:10" ht="30" customHeight="1" x14ac:dyDescent="0.4">
      <c r="D34" s="24"/>
      <c r="E34" s="24"/>
      <c r="F34" s="24"/>
      <c r="G34" s="24"/>
      <c r="H34" s="24"/>
      <c r="I34" s="24"/>
      <c r="J34" s="24"/>
    </row>
    <row r="35" spans="4:10" ht="30" customHeight="1" x14ac:dyDescent="0.4">
      <c r="D35" s="24"/>
      <c r="E35" s="24"/>
      <c r="F35" s="24"/>
      <c r="G35" s="24"/>
      <c r="H35" s="24"/>
      <c r="I35" s="24"/>
      <c r="J35" s="24"/>
    </row>
    <row r="36" spans="4:10" ht="30" customHeight="1" x14ac:dyDescent="0.4">
      <c r="D36" s="24"/>
      <c r="E36" s="24"/>
      <c r="F36" s="24"/>
      <c r="G36" s="24"/>
      <c r="H36" s="24"/>
      <c r="I36" s="24"/>
      <c r="J36" s="24"/>
    </row>
    <row r="37" spans="4:10" ht="30" customHeight="1" x14ac:dyDescent="0.4">
      <c r="D37" s="24"/>
      <c r="E37" s="24"/>
      <c r="F37" s="24"/>
      <c r="G37" s="24"/>
      <c r="H37" s="24"/>
      <c r="I37" s="24"/>
      <c r="J37" s="24"/>
    </row>
    <row r="38" spans="4:10" ht="30" customHeight="1" x14ac:dyDescent="0.4">
      <c r="D38" s="24"/>
      <c r="E38" s="24"/>
      <c r="F38" s="24"/>
      <c r="G38" s="24"/>
      <c r="H38" s="24"/>
      <c r="I38" s="24"/>
      <c r="J38" s="24"/>
    </row>
    <row r="39" spans="4:10" ht="30" customHeight="1" x14ac:dyDescent="0.4">
      <c r="D39" s="24"/>
      <c r="E39" s="24"/>
      <c r="F39" s="24"/>
      <c r="G39" s="24"/>
      <c r="H39" s="24"/>
      <c r="I39" s="24"/>
      <c r="J39" s="24"/>
    </row>
    <row r="40" spans="4:10" ht="30" customHeight="1" x14ac:dyDescent="0.4">
      <c r="D40" s="24"/>
      <c r="E40" s="24"/>
      <c r="F40" s="24"/>
      <c r="G40" s="24"/>
      <c r="H40" s="24"/>
      <c r="I40" s="24"/>
      <c r="J40" s="24"/>
    </row>
    <row r="41" spans="4:10" ht="30" customHeight="1" x14ac:dyDescent="0.4">
      <c r="D41" s="24"/>
      <c r="E41" s="24"/>
      <c r="F41" s="24"/>
      <c r="G41" s="24"/>
      <c r="H41" s="24"/>
      <c r="I41" s="24"/>
      <c r="J41" s="24"/>
    </row>
    <row r="42" spans="4:10" ht="30" customHeight="1" x14ac:dyDescent="0.4">
      <c r="D42" s="24"/>
      <c r="E42" s="24"/>
      <c r="F42" s="24"/>
      <c r="G42" s="24"/>
      <c r="H42" s="24"/>
      <c r="I42" s="24"/>
      <c r="J42" s="24"/>
    </row>
    <row r="43" spans="4:10" ht="30" customHeight="1" x14ac:dyDescent="0.4">
      <c r="D43" s="24"/>
      <c r="E43" s="24"/>
      <c r="F43" s="24"/>
      <c r="G43" s="24"/>
      <c r="H43" s="24"/>
      <c r="I43" s="24"/>
      <c r="J43" s="24"/>
    </row>
    <row r="44" spans="4:10" ht="30" customHeight="1" x14ac:dyDescent="0.4">
      <c r="D44" s="24"/>
      <c r="E44" s="24"/>
      <c r="F44" s="24"/>
      <c r="G44" s="24"/>
      <c r="H44" s="24"/>
      <c r="I44" s="24"/>
      <c r="J44" s="24"/>
    </row>
    <row r="45" spans="4:10" ht="30" customHeight="1" x14ac:dyDescent="0.4">
      <c r="D45" s="24"/>
      <c r="E45" s="24"/>
      <c r="F45" s="24"/>
      <c r="G45" s="24"/>
      <c r="H45" s="24"/>
      <c r="I45" s="24"/>
      <c r="J45" s="24"/>
    </row>
    <row r="46" spans="4:10" ht="30" customHeight="1" x14ac:dyDescent="0.4">
      <c r="D46" s="24"/>
      <c r="E46" s="24"/>
      <c r="F46" s="24"/>
      <c r="G46" s="24"/>
      <c r="H46" s="24"/>
      <c r="I46" s="24"/>
      <c r="J46" s="24"/>
    </row>
    <row r="47" spans="4:10" ht="30" customHeight="1" x14ac:dyDescent="0.4">
      <c r="D47" s="24"/>
      <c r="E47" s="24"/>
      <c r="F47" s="24"/>
      <c r="G47" s="24"/>
      <c r="H47" s="24"/>
      <c r="I47" s="24"/>
      <c r="J47" s="24"/>
    </row>
    <row r="48" spans="4:10" ht="30" customHeight="1" x14ac:dyDescent="0.4">
      <c r="D48" s="24"/>
      <c r="E48" s="24"/>
      <c r="F48" s="24"/>
      <c r="G48" s="24"/>
      <c r="H48" s="24"/>
      <c r="I48" s="24"/>
      <c r="J48" s="24"/>
    </row>
    <row r="49" spans="4:10" ht="30" customHeight="1" x14ac:dyDescent="0.4">
      <c r="D49" s="24"/>
      <c r="E49" s="24"/>
      <c r="F49" s="24"/>
      <c r="G49" s="24"/>
      <c r="H49" s="24"/>
      <c r="I49" s="24"/>
      <c r="J49" s="24"/>
    </row>
    <row r="50" spans="4:10" ht="30" customHeight="1" x14ac:dyDescent="0.4">
      <c r="D50" s="24"/>
      <c r="E50" s="24"/>
      <c r="F50" s="24"/>
      <c r="G50" s="24"/>
      <c r="H50" s="24"/>
      <c r="I50" s="24"/>
      <c r="J50" s="24"/>
    </row>
    <row r="51" spans="4:10" ht="30" customHeight="1" x14ac:dyDescent="0.4">
      <c r="D51" s="24"/>
      <c r="E51" s="24"/>
      <c r="F51" s="24"/>
      <c r="G51" s="24"/>
      <c r="H51" s="24"/>
      <c r="I51" s="24"/>
      <c r="J51" s="24"/>
    </row>
    <row r="52" spans="4:10" ht="30" customHeight="1" x14ac:dyDescent="0.4">
      <c r="D52" s="24"/>
      <c r="E52" s="24"/>
      <c r="F52" s="24"/>
      <c r="G52" s="24"/>
      <c r="H52" s="24"/>
      <c r="I52" s="24"/>
      <c r="J52" s="24"/>
    </row>
    <row r="53" spans="4:10" ht="30" customHeight="1" x14ac:dyDescent="0.4">
      <c r="D53" s="24"/>
      <c r="E53" s="24"/>
      <c r="F53" s="24"/>
      <c r="G53" s="24"/>
      <c r="H53" s="24"/>
      <c r="I53" s="24"/>
      <c r="J53" s="24"/>
    </row>
    <row r="54" spans="4:10" ht="30" customHeight="1" x14ac:dyDescent="0.4">
      <c r="D54" s="24"/>
      <c r="E54" s="24"/>
      <c r="F54" s="24"/>
      <c r="G54" s="24"/>
      <c r="H54" s="24"/>
      <c r="I54" s="24"/>
      <c r="J54" s="24"/>
    </row>
    <row r="55" spans="4:10" ht="30" customHeight="1" x14ac:dyDescent="0.4">
      <c r="D55" s="24"/>
      <c r="E55" s="24"/>
      <c r="F55" s="24"/>
      <c r="G55" s="24"/>
      <c r="H55" s="24"/>
      <c r="I55" s="24"/>
      <c r="J55" s="24"/>
    </row>
    <row r="56" spans="4:10" ht="30" customHeight="1" x14ac:dyDescent="0.4">
      <c r="D56" s="24"/>
      <c r="E56" s="24"/>
      <c r="F56" s="24"/>
      <c r="G56" s="24"/>
      <c r="H56" s="24"/>
      <c r="I56" s="24"/>
      <c r="J56" s="24"/>
    </row>
    <row r="57" spans="4:10" ht="30" customHeight="1" x14ac:dyDescent="0.4">
      <c r="D57" s="24"/>
      <c r="E57" s="24"/>
      <c r="F57" s="24"/>
      <c r="G57" s="24"/>
      <c r="H57" s="24"/>
      <c r="I57" s="24"/>
      <c r="J57" s="24"/>
    </row>
    <row r="58" spans="4:10" ht="30" customHeight="1" x14ac:dyDescent="0.4">
      <c r="D58" s="24"/>
      <c r="E58" s="24"/>
      <c r="F58" s="24"/>
      <c r="G58" s="24"/>
      <c r="H58" s="24"/>
      <c r="I58" s="24"/>
      <c r="J58" s="24"/>
    </row>
    <row r="59" spans="4:10" ht="30" customHeight="1" x14ac:dyDescent="0.4">
      <c r="D59" s="24"/>
      <c r="E59" s="24"/>
      <c r="F59" s="24"/>
      <c r="G59" s="24"/>
      <c r="H59" s="24"/>
      <c r="I59" s="24"/>
      <c r="J59" s="24"/>
    </row>
    <row r="60" spans="4:10" ht="30" customHeight="1" x14ac:dyDescent="0.4">
      <c r="D60" s="24"/>
      <c r="E60" s="24"/>
      <c r="F60" s="24"/>
      <c r="G60" s="24"/>
      <c r="H60" s="24"/>
      <c r="I60" s="24"/>
      <c r="J60" s="24"/>
    </row>
    <row r="61" spans="4:10" ht="30" customHeight="1" x14ac:dyDescent="0.4">
      <c r="D61" s="24"/>
      <c r="E61" s="24"/>
      <c r="F61" s="24"/>
      <c r="G61" s="24"/>
      <c r="H61" s="24"/>
      <c r="I61" s="24"/>
      <c r="J61" s="24"/>
    </row>
    <row r="62" spans="4:10" ht="30" customHeight="1" x14ac:dyDescent="0.4">
      <c r="D62" s="24"/>
      <c r="E62" s="24"/>
      <c r="F62" s="24"/>
      <c r="G62" s="24"/>
      <c r="H62" s="24"/>
      <c r="I62" s="24"/>
      <c r="J62" s="24"/>
    </row>
    <row r="63" spans="4:10" ht="30" customHeight="1" x14ac:dyDescent="0.4">
      <c r="D63" s="24"/>
      <c r="E63" s="24"/>
      <c r="F63" s="24"/>
      <c r="G63" s="24"/>
      <c r="H63" s="24"/>
      <c r="I63" s="24"/>
      <c r="J63" s="24"/>
    </row>
    <row r="64" spans="4:10" ht="30" customHeight="1" x14ac:dyDescent="0.4">
      <c r="D64" s="24"/>
      <c r="E64" s="24"/>
      <c r="F64" s="24"/>
      <c r="G64" s="24"/>
      <c r="H64" s="24"/>
      <c r="I64" s="24"/>
      <c r="J64" s="24"/>
    </row>
    <row r="65" spans="4:10" ht="30" customHeight="1" x14ac:dyDescent="0.4">
      <c r="D65" s="24"/>
      <c r="E65" s="24"/>
      <c r="F65" s="24"/>
      <c r="G65" s="24"/>
      <c r="H65" s="24"/>
      <c r="I65" s="24"/>
      <c r="J65" s="24"/>
    </row>
    <row r="66" spans="4:10" ht="30" customHeight="1" x14ac:dyDescent="0.4">
      <c r="D66" s="24"/>
      <c r="E66" s="24"/>
      <c r="F66" s="24"/>
      <c r="G66" s="24"/>
      <c r="H66" s="24"/>
      <c r="I66" s="24"/>
      <c r="J66" s="24"/>
    </row>
    <row r="67" spans="4:10" ht="30" customHeight="1" x14ac:dyDescent="0.4">
      <c r="D67" s="24"/>
      <c r="E67" s="24"/>
      <c r="F67" s="24"/>
      <c r="G67" s="24"/>
      <c r="H67" s="24"/>
      <c r="I67" s="24"/>
      <c r="J67" s="24"/>
    </row>
    <row r="68" spans="4:10" ht="30" customHeight="1" x14ac:dyDescent="0.4">
      <c r="D68" s="24"/>
      <c r="E68" s="24"/>
      <c r="F68" s="24"/>
      <c r="G68" s="24"/>
      <c r="H68" s="24"/>
      <c r="I68" s="24"/>
      <c r="J68" s="24"/>
    </row>
    <row r="69" spans="4:10" ht="30" customHeight="1" x14ac:dyDescent="0.4">
      <c r="D69" s="24"/>
      <c r="E69" s="24"/>
      <c r="F69" s="24"/>
      <c r="G69" s="24"/>
      <c r="H69" s="24"/>
      <c r="I69" s="24"/>
      <c r="J69" s="24"/>
    </row>
    <row r="70" spans="4:10" ht="30" customHeight="1" x14ac:dyDescent="0.4">
      <c r="D70" s="24"/>
      <c r="E70" s="24"/>
      <c r="F70" s="24"/>
      <c r="G70" s="24"/>
      <c r="H70" s="24"/>
      <c r="I70" s="24"/>
      <c r="J70" s="24"/>
    </row>
    <row r="71" spans="4:10" ht="30" customHeight="1" x14ac:dyDescent="0.4">
      <c r="D71" s="24"/>
      <c r="E71" s="24"/>
      <c r="F71" s="24"/>
      <c r="G71" s="24"/>
      <c r="H71" s="24"/>
      <c r="I71" s="24"/>
      <c r="J71" s="24"/>
    </row>
    <row r="72" spans="4:10" ht="30" customHeight="1" x14ac:dyDescent="0.4">
      <c r="D72" s="24"/>
      <c r="E72" s="24"/>
      <c r="F72" s="24"/>
      <c r="G72" s="24"/>
      <c r="H72" s="24"/>
      <c r="I72" s="24"/>
      <c r="J72" s="24"/>
    </row>
    <row r="73" spans="4:10" ht="30" customHeight="1" x14ac:dyDescent="0.4">
      <c r="D73" s="24"/>
      <c r="E73" s="24"/>
      <c r="F73" s="24"/>
      <c r="G73" s="24"/>
      <c r="H73" s="24"/>
      <c r="I73" s="24"/>
      <c r="J73" s="24"/>
    </row>
    <row r="74" spans="4:10" ht="30" customHeight="1" x14ac:dyDescent="0.4">
      <c r="D74" s="24"/>
      <c r="E74" s="24"/>
      <c r="F74" s="24"/>
      <c r="G74" s="24"/>
      <c r="H74" s="24"/>
      <c r="I74" s="24"/>
      <c r="J74" s="24"/>
    </row>
    <row r="75" spans="4:10" ht="30" customHeight="1" x14ac:dyDescent="0.4">
      <c r="D75" s="24"/>
      <c r="E75" s="24"/>
      <c r="F75" s="24"/>
      <c r="G75" s="24"/>
      <c r="H75" s="24"/>
      <c r="I75" s="24"/>
      <c r="J75" s="24"/>
    </row>
    <row r="76" spans="4:10" ht="30" customHeight="1" x14ac:dyDescent="0.4">
      <c r="D76" s="24"/>
      <c r="E76" s="24"/>
      <c r="F76" s="24"/>
      <c r="G76" s="24"/>
      <c r="H76" s="24"/>
      <c r="I76" s="24"/>
      <c r="J76" s="24"/>
    </row>
    <row r="77" spans="4:10" ht="30" customHeight="1" x14ac:dyDescent="0.4">
      <c r="D77" s="24"/>
      <c r="E77" s="24"/>
      <c r="F77" s="24"/>
      <c r="G77" s="24"/>
      <c r="H77" s="24"/>
      <c r="I77" s="24"/>
      <c r="J77" s="24"/>
    </row>
    <row r="78" spans="4:10" ht="30" customHeight="1" x14ac:dyDescent="0.4">
      <c r="D78" s="24"/>
      <c r="E78" s="24"/>
      <c r="F78" s="24"/>
      <c r="G78" s="24"/>
      <c r="H78" s="24"/>
      <c r="I78" s="24"/>
      <c r="J78" s="24"/>
    </row>
    <row r="79" spans="4:10" ht="30" customHeight="1" x14ac:dyDescent="0.4">
      <c r="D79" s="24"/>
      <c r="E79" s="24"/>
      <c r="F79" s="24"/>
      <c r="G79" s="24"/>
      <c r="H79" s="24"/>
      <c r="I79" s="24"/>
      <c r="J79" s="24"/>
    </row>
    <row r="80" spans="4:10" ht="30" customHeight="1" x14ac:dyDescent="0.4">
      <c r="D80" s="24"/>
      <c r="E80" s="24"/>
      <c r="F80" s="24"/>
      <c r="G80" s="24"/>
      <c r="H80" s="24"/>
      <c r="I80" s="24"/>
      <c r="J80" s="24"/>
    </row>
    <row r="81" spans="4:10" ht="30" customHeight="1" x14ac:dyDescent="0.4">
      <c r="D81" s="24"/>
      <c r="E81" s="24"/>
      <c r="F81" s="24"/>
      <c r="G81" s="24"/>
      <c r="H81" s="24"/>
      <c r="I81" s="24"/>
      <c r="J81" s="24"/>
    </row>
    <row r="82" spans="4:10" ht="30" customHeight="1" x14ac:dyDescent="0.4">
      <c r="D82" s="24"/>
      <c r="E82" s="24"/>
      <c r="F82" s="24"/>
      <c r="G82" s="24"/>
      <c r="H82" s="24"/>
      <c r="I82" s="24"/>
      <c r="J82" s="24"/>
    </row>
    <row r="83" spans="4:10" ht="30" customHeight="1" x14ac:dyDescent="0.4">
      <c r="D83" s="24"/>
      <c r="E83" s="24"/>
      <c r="F83" s="24"/>
      <c r="G83" s="24"/>
      <c r="H83" s="24"/>
      <c r="I83" s="24"/>
      <c r="J83" s="24"/>
    </row>
    <row r="84" spans="4:10" ht="30" customHeight="1" x14ac:dyDescent="0.4">
      <c r="D84" s="24"/>
      <c r="E84" s="24"/>
      <c r="F84" s="24"/>
      <c r="G84" s="24"/>
      <c r="H84" s="24"/>
      <c r="I84" s="24"/>
      <c r="J84" s="24"/>
    </row>
    <row r="85" spans="4:10" ht="30" customHeight="1" x14ac:dyDescent="0.4">
      <c r="D85" s="24"/>
      <c r="E85" s="24"/>
      <c r="F85" s="24"/>
      <c r="G85" s="24"/>
      <c r="H85" s="24"/>
      <c r="I85" s="24"/>
      <c r="J85" s="24"/>
    </row>
    <row r="86" spans="4:10" ht="30" customHeight="1" x14ac:dyDescent="0.4">
      <c r="D86" s="24"/>
      <c r="E86" s="24"/>
      <c r="F86" s="24"/>
      <c r="G86" s="24"/>
      <c r="H86" s="24"/>
      <c r="I86" s="24"/>
      <c r="J86" s="24"/>
    </row>
    <row r="87" spans="4:10" ht="30" customHeight="1" x14ac:dyDescent="0.4">
      <c r="D87" s="24"/>
      <c r="E87" s="24"/>
      <c r="F87" s="24"/>
      <c r="G87" s="24"/>
      <c r="H87" s="24"/>
      <c r="I87" s="24"/>
      <c r="J87" s="24"/>
    </row>
    <row r="88" spans="4:10" ht="30" customHeight="1" x14ac:dyDescent="0.4">
      <c r="D88" s="24"/>
      <c r="E88" s="24"/>
      <c r="F88" s="24"/>
      <c r="G88" s="24"/>
      <c r="H88" s="24"/>
      <c r="I88" s="24"/>
      <c r="J88" s="24"/>
    </row>
    <row r="89" spans="4:10" ht="30" customHeight="1" x14ac:dyDescent="0.4">
      <c r="D89" s="24"/>
      <c r="E89" s="24"/>
      <c r="F89" s="24"/>
      <c r="G89" s="24"/>
      <c r="H89" s="24"/>
      <c r="I89" s="24"/>
      <c r="J89" s="24"/>
    </row>
    <row r="90" spans="4:10" ht="30" customHeight="1" x14ac:dyDescent="0.4">
      <c r="D90" s="24"/>
      <c r="E90" s="24"/>
      <c r="F90" s="24"/>
      <c r="G90" s="24"/>
      <c r="H90" s="24"/>
      <c r="I90" s="24"/>
      <c r="J90" s="24"/>
    </row>
    <row r="91" spans="4:10" ht="30" customHeight="1" x14ac:dyDescent="0.4">
      <c r="D91" s="24"/>
      <c r="E91" s="24"/>
      <c r="F91" s="24"/>
      <c r="G91" s="24"/>
      <c r="H91" s="24"/>
      <c r="I91" s="24"/>
      <c r="J91" s="24"/>
    </row>
    <row r="92" spans="4:10" ht="30" customHeight="1" x14ac:dyDescent="0.4">
      <c r="D92" s="24"/>
      <c r="E92" s="24"/>
      <c r="F92" s="24"/>
      <c r="G92" s="24"/>
      <c r="H92" s="24"/>
      <c r="I92" s="24"/>
      <c r="J92" s="24"/>
    </row>
    <row r="93" spans="4:10" ht="30" customHeight="1" x14ac:dyDescent="0.4">
      <c r="D93" s="24"/>
      <c r="E93" s="24"/>
      <c r="F93" s="24"/>
      <c r="G93" s="24"/>
      <c r="H93" s="24"/>
      <c r="I93" s="24"/>
      <c r="J93" s="24"/>
    </row>
    <row r="94" spans="4:10" ht="30" customHeight="1" x14ac:dyDescent="0.4">
      <c r="D94" s="24"/>
      <c r="E94" s="24"/>
      <c r="F94" s="24"/>
      <c r="G94" s="24"/>
      <c r="H94" s="24"/>
      <c r="I94" s="24"/>
      <c r="J94" s="24"/>
    </row>
    <row r="95" spans="4:10" ht="30" customHeight="1" x14ac:dyDescent="0.4">
      <c r="D95" s="24"/>
      <c r="E95" s="24"/>
      <c r="F95" s="24"/>
      <c r="G95" s="24"/>
      <c r="H95" s="24"/>
      <c r="I95" s="24"/>
      <c r="J95" s="24"/>
    </row>
    <row r="96" spans="4:10" ht="30" customHeight="1" x14ac:dyDescent="0.4">
      <c r="D96" s="24"/>
      <c r="E96" s="24"/>
      <c r="F96" s="24"/>
      <c r="G96" s="24"/>
      <c r="H96" s="24"/>
      <c r="I96" s="24"/>
      <c r="J96" s="24"/>
    </row>
    <row r="97" spans="4:10" ht="30" customHeight="1" x14ac:dyDescent="0.4">
      <c r="D97" s="24"/>
      <c r="E97" s="24"/>
      <c r="F97" s="24"/>
      <c r="G97" s="24"/>
      <c r="H97" s="24"/>
      <c r="I97" s="24"/>
      <c r="J97" s="24"/>
    </row>
    <row r="98" spans="4:10" ht="30" customHeight="1" x14ac:dyDescent="0.4">
      <c r="D98" s="24"/>
      <c r="E98" s="24"/>
      <c r="F98" s="24"/>
      <c r="G98" s="24"/>
      <c r="H98" s="24"/>
      <c r="I98" s="24"/>
      <c r="J98" s="24"/>
    </row>
    <row r="99" spans="4:10" ht="30" customHeight="1" x14ac:dyDescent="0.4">
      <c r="D99" s="24"/>
      <c r="E99" s="24"/>
      <c r="F99" s="24"/>
      <c r="G99" s="24"/>
      <c r="H99" s="24"/>
      <c r="I99" s="24"/>
      <c r="J99" s="24"/>
    </row>
    <row r="100" spans="4:10" ht="30" customHeight="1" x14ac:dyDescent="0.3"/>
    <row r="101" spans="4:10" ht="30" customHeight="1" x14ac:dyDescent="0.3"/>
    <row r="102" spans="4:10" ht="30" customHeight="1" x14ac:dyDescent="0.3"/>
    <row r="103" spans="4:10" ht="30" customHeight="1" x14ac:dyDescent="0.3"/>
    <row r="104" spans="4:10" ht="30" customHeight="1" x14ac:dyDescent="0.3"/>
    <row r="105" spans="4:10" ht="30" customHeight="1" x14ac:dyDescent="0.3"/>
    <row r="106" spans="4:10" ht="30" customHeight="1" x14ac:dyDescent="0.3"/>
    <row r="107" spans="4:10" ht="30" customHeight="1" x14ac:dyDescent="0.3"/>
    <row r="108" spans="4:10" ht="30" customHeight="1" x14ac:dyDescent="0.3"/>
    <row r="109" spans="4:10" ht="30" customHeight="1" x14ac:dyDescent="0.3"/>
    <row r="110" spans="4:10" ht="30" customHeight="1" x14ac:dyDescent="0.3"/>
    <row r="111" spans="4:10" ht="30" customHeight="1" x14ac:dyDescent="0.3"/>
    <row r="112" spans="4:10" ht="30" customHeight="1" x14ac:dyDescent="0.3"/>
    <row r="113" ht="30" customHeight="1" x14ac:dyDescent="0.3"/>
  </sheetData>
  <mergeCells count="8">
    <mergeCell ref="B16:C16"/>
    <mergeCell ref="B17:C17"/>
    <mergeCell ref="B18:C18"/>
    <mergeCell ref="D1:J1"/>
    <mergeCell ref="D2:G2"/>
    <mergeCell ref="H2:J2"/>
    <mergeCell ref="C2:C3"/>
    <mergeCell ref="B2:B3"/>
  </mergeCells>
  <pageMargins left="0.511811024" right="0.511811024" top="0.78740157499999996" bottom="0.78740157499999996" header="0.31496062000000002" footer="0.31496062000000002"/>
  <pageSetup paperSize="9" scale="24" orientation="portrait" horizontalDpi="1200" verticalDpi="1200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13</vt:i4>
      </vt:variant>
    </vt:vector>
  </HeadingPairs>
  <TitlesOfParts>
    <vt:vector size="26" baseType="lpstr">
      <vt:lpstr>Trechos</vt:lpstr>
      <vt:lpstr>207</vt:lpstr>
      <vt:lpstr>208</vt:lpstr>
      <vt:lpstr>211</vt:lpstr>
      <vt:lpstr>213</vt:lpstr>
      <vt:lpstr>214</vt:lpstr>
      <vt:lpstr>215</vt:lpstr>
      <vt:lpstr>216</vt:lpstr>
      <vt:lpstr>217</vt:lpstr>
      <vt:lpstr>221</vt:lpstr>
      <vt:lpstr>222</vt:lpstr>
      <vt:lpstr>223</vt:lpstr>
      <vt:lpstr>TT</vt:lpstr>
      <vt:lpstr>'207'!Area_de_impressao</vt:lpstr>
      <vt:lpstr>'208'!Area_de_impressao</vt:lpstr>
      <vt:lpstr>'211'!Area_de_impressao</vt:lpstr>
      <vt:lpstr>'213'!Area_de_impressao</vt:lpstr>
      <vt:lpstr>'214'!Area_de_impressao</vt:lpstr>
      <vt:lpstr>'215'!Area_de_impressao</vt:lpstr>
      <vt:lpstr>'216'!Area_de_impressao</vt:lpstr>
      <vt:lpstr>'217'!Area_de_impressao</vt:lpstr>
      <vt:lpstr>'221'!Area_de_impressao</vt:lpstr>
      <vt:lpstr>'222'!Area_de_impressao</vt:lpstr>
      <vt:lpstr>'223'!Area_de_impressao</vt:lpstr>
      <vt:lpstr>Trechos!Area_de_impressao</vt:lpstr>
      <vt:lpstr>TT!Area_de_impressao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Thiago Borges Torquato</cp:lastModifiedBy>
  <cp:lastPrinted>2025-08-19T20:46:30Z</cp:lastPrinted>
  <dcterms:created xsi:type="dcterms:W3CDTF">2025-07-22T11:15:05Z</dcterms:created>
  <dcterms:modified xsi:type="dcterms:W3CDTF">2026-07-27T14:39:04Z</dcterms:modified>
</cp:coreProperties>
</file>