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F:\O.S LOTE 01\PLANILHAS SUPERVISÃO\JULHO\"/>
    </mc:Choice>
  </mc:AlternateContent>
  <xr:revisionPtr revIDLastSave="0" documentId="8_{20A4DD46-204D-4D7D-9AEA-C80CC3558B0D}" xr6:coauthVersionLast="36" xr6:coauthVersionMax="36" xr10:uidLastSave="{00000000-0000-0000-0000-000000000000}"/>
  <bookViews>
    <workbookView xWindow="-28920" yWindow="-4815" windowWidth="29040" windowHeight="15840" activeTab="1" xr2:uid="{00000000-000D-0000-FFFF-FFFF00000000}"/>
  </bookViews>
  <sheets>
    <sheet name="Trechos" sheetId="13" r:id="rId1"/>
    <sheet name="67" sheetId="3" r:id="rId2"/>
    <sheet name="69" sheetId="1" r:id="rId3"/>
    <sheet name="71" sheetId="4" r:id="rId4"/>
    <sheet name="72" sheetId="5" r:id="rId5"/>
    <sheet name="75" sheetId="6" r:id="rId6"/>
    <sheet name="76" sheetId="7" r:id="rId7"/>
    <sheet name="79" sheetId="8" r:id="rId8"/>
    <sheet name="81" sheetId="9" r:id="rId9"/>
    <sheet name="82" sheetId="10" r:id="rId10"/>
    <sheet name="83" sheetId="11" r:id="rId11"/>
    <sheet name="84" sheetId="12" r:id="rId12"/>
    <sheet name="TT" sheetId="2" r:id="rId13"/>
  </sheets>
  <definedNames>
    <definedName name="_xlnm._FilterDatabase" localSheetId="0" hidden="1">Trechos!$A$2:$F$274</definedName>
    <definedName name="_xlnm.Print_Area" localSheetId="1">'67'!$A$1:$R$35</definedName>
    <definedName name="_xlnm.Print_Area" localSheetId="2">'69'!$A$1:$R$46</definedName>
    <definedName name="_xlnm.Print_Area" localSheetId="3">'71'!$A$1:$R$45</definedName>
    <definedName name="_xlnm.Print_Area" localSheetId="4">'72'!$A$1:$R$30</definedName>
    <definedName name="_xlnm.Print_Area" localSheetId="5">'75'!$A$1:$R$41</definedName>
    <definedName name="_xlnm.Print_Area" localSheetId="6">'76'!$A$1:$R$35</definedName>
    <definedName name="_xlnm.Print_Area" localSheetId="7">'79'!$A$1:$R$36</definedName>
    <definedName name="_xlnm.Print_Area" localSheetId="8">'81'!$A$1:$R$43</definedName>
    <definedName name="_xlnm.Print_Area" localSheetId="9">'82'!$A$1:$R$56</definedName>
    <definedName name="_xlnm.Print_Area" localSheetId="10">'83'!$A$1:$R$35</definedName>
    <definedName name="_xlnm.Print_Area" localSheetId="11">'84'!$A$1:$R$35</definedName>
    <definedName name="_xlnm.Print_Area" localSheetId="12">TT!$A$1:$J$18</definedName>
    <definedName name="_xlnm.Print_Titles" localSheetId="5">'75'!$5:$6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2" l="1"/>
  <c r="N1" i="11"/>
  <c r="N1" i="10"/>
  <c r="N1" i="9"/>
  <c r="N1" i="8"/>
  <c r="N1" i="7"/>
  <c r="N1" i="6"/>
  <c r="N1" i="5"/>
  <c r="N1" i="4"/>
  <c r="N1" i="1"/>
  <c r="J1" i="12"/>
  <c r="J1" i="11"/>
  <c r="J1" i="10"/>
  <c r="J1" i="9"/>
  <c r="J1" i="8"/>
  <c r="J1" i="7"/>
  <c r="J1" i="6"/>
  <c r="J1" i="5"/>
  <c r="J1" i="4"/>
  <c r="J1" i="1"/>
  <c r="G39" i="8" l="1"/>
  <c r="H39" i="8"/>
  <c r="K39" i="8"/>
  <c r="G40" i="8"/>
  <c r="H40" i="8"/>
  <c r="K40" i="8"/>
  <c r="F41" i="8"/>
  <c r="G41" i="8"/>
  <c r="H41" i="8"/>
  <c r="I41" i="8"/>
  <c r="J41" i="8"/>
  <c r="K41" i="8"/>
  <c r="E42" i="8"/>
  <c r="G42" i="8"/>
  <c r="H42" i="8"/>
  <c r="I42" i="8"/>
  <c r="K42" i="8"/>
  <c r="E43" i="8"/>
  <c r="G43" i="8"/>
  <c r="H43" i="8"/>
  <c r="I43" i="8"/>
  <c r="K43" i="8"/>
  <c r="E44" i="8"/>
  <c r="F44" i="8"/>
  <c r="G44" i="8"/>
  <c r="H44" i="8"/>
  <c r="I44" i="8"/>
  <c r="J44" i="8"/>
  <c r="K44" i="8"/>
  <c r="E45" i="8"/>
  <c r="F45" i="8"/>
  <c r="G45" i="8"/>
  <c r="H45" i="8"/>
  <c r="I45" i="8"/>
  <c r="J45" i="8"/>
  <c r="K45" i="8"/>
  <c r="E46" i="8"/>
  <c r="G46" i="8"/>
  <c r="H46" i="8"/>
  <c r="I46" i="8"/>
  <c r="K46" i="8"/>
  <c r="E47" i="8"/>
  <c r="G47" i="8"/>
  <c r="H47" i="8"/>
  <c r="I47" i="8"/>
  <c r="K47" i="8"/>
  <c r="E48" i="8"/>
  <c r="F48" i="8"/>
  <c r="G48" i="8"/>
  <c r="H48" i="8"/>
  <c r="I48" i="8"/>
  <c r="J48" i="8"/>
  <c r="K48" i="8"/>
  <c r="E49" i="8"/>
  <c r="F49" i="8"/>
  <c r="G49" i="8"/>
  <c r="H49" i="8"/>
  <c r="I49" i="8"/>
  <c r="J49" i="8"/>
  <c r="K49" i="8"/>
  <c r="E50" i="8"/>
  <c r="G50" i="8"/>
  <c r="H50" i="8"/>
  <c r="I50" i="8"/>
  <c r="K50" i="8"/>
  <c r="E51" i="8"/>
  <c r="G51" i="8"/>
  <c r="H51" i="8"/>
  <c r="I51" i="8"/>
  <c r="K51" i="8"/>
  <c r="E52" i="8"/>
  <c r="F52" i="8"/>
  <c r="G52" i="8"/>
  <c r="H52" i="8"/>
  <c r="J52" i="8"/>
  <c r="K52" i="8"/>
  <c r="G53" i="8"/>
  <c r="H53" i="8"/>
  <c r="J53" i="8"/>
  <c r="K53" i="8"/>
  <c r="G54" i="8"/>
  <c r="H54" i="8"/>
  <c r="K54" i="8"/>
  <c r="G55" i="8"/>
  <c r="H55" i="8"/>
  <c r="K55" i="8"/>
  <c r="F56" i="8"/>
  <c r="G56" i="8"/>
  <c r="H56" i="8"/>
  <c r="J56" i="8"/>
  <c r="K56" i="8"/>
  <c r="G57" i="8"/>
  <c r="H57" i="8"/>
  <c r="J57" i="8"/>
  <c r="K57" i="8"/>
  <c r="G58" i="8"/>
  <c r="H58" i="8"/>
  <c r="I58" i="8"/>
  <c r="K58" i="8"/>
  <c r="E59" i="8"/>
  <c r="G59" i="8"/>
  <c r="H59" i="8"/>
  <c r="I59" i="8"/>
  <c r="K59" i="8"/>
  <c r="E60" i="8"/>
  <c r="F60" i="8"/>
  <c r="G60" i="8"/>
  <c r="H60" i="8"/>
  <c r="I60" i="8"/>
  <c r="J60" i="8"/>
  <c r="K60" i="8"/>
  <c r="E61" i="8"/>
  <c r="F61" i="8"/>
  <c r="G61" i="8"/>
  <c r="H61" i="8"/>
  <c r="I61" i="8"/>
  <c r="J61" i="8"/>
  <c r="K61" i="8"/>
  <c r="E62" i="8"/>
  <c r="F62" i="8"/>
  <c r="G62" i="8"/>
  <c r="H62" i="8"/>
  <c r="I62" i="8"/>
  <c r="K62" i="8"/>
  <c r="E63" i="8"/>
  <c r="F63" i="8"/>
  <c r="H63" i="8"/>
  <c r="I63" i="8"/>
  <c r="K63" i="8"/>
  <c r="E64" i="8"/>
  <c r="F64" i="8"/>
  <c r="G64" i="8"/>
  <c r="H64" i="8"/>
  <c r="I64" i="8"/>
  <c r="J64" i="8"/>
  <c r="K64" i="8"/>
  <c r="E65" i="8"/>
  <c r="F65" i="8"/>
  <c r="G65" i="8"/>
  <c r="H65" i="8"/>
  <c r="I65" i="8"/>
  <c r="J65" i="8"/>
  <c r="K65" i="8"/>
  <c r="E66" i="8"/>
  <c r="G66" i="8"/>
  <c r="H66" i="8"/>
  <c r="K66" i="8"/>
  <c r="E67" i="8"/>
  <c r="F67" i="8"/>
  <c r="G67" i="8"/>
  <c r="H67" i="8"/>
  <c r="I67" i="8"/>
  <c r="J67" i="8"/>
  <c r="K67" i="8"/>
  <c r="E68" i="8"/>
  <c r="F68" i="8"/>
  <c r="G68" i="8"/>
  <c r="H68" i="8"/>
  <c r="I68" i="8"/>
  <c r="J68" i="8"/>
  <c r="K68" i="8"/>
  <c r="C9" i="8"/>
  <c r="J40" i="8" s="1"/>
  <c r="C10" i="8"/>
  <c r="E41" i="8" s="1"/>
  <c r="C11" i="8"/>
  <c r="C12" i="8"/>
  <c r="C13" i="8"/>
  <c r="C14" i="8"/>
  <c r="C15" i="8"/>
  <c r="C16" i="8"/>
  <c r="C17" i="8"/>
  <c r="C18" i="8"/>
  <c r="C19" i="8"/>
  <c r="C20" i="8"/>
  <c r="C21" i="8"/>
  <c r="I52" i="8" s="1"/>
  <c r="C22" i="8"/>
  <c r="F53" i="8" s="1"/>
  <c r="C23" i="8"/>
  <c r="C24" i="8"/>
  <c r="J55" i="8" s="1"/>
  <c r="C25" i="8"/>
  <c r="C26" i="8"/>
  <c r="F57" i="8" s="1"/>
  <c r="C27" i="8"/>
  <c r="C28" i="8"/>
  <c r="C29" i="8"/>
  <c r="C30" i="8"/>
  <c r="C31" i="8"/>
  <c r="J62" i="8" s="1"/>
  <c r="C32" i="8"/>
  <c r="C33" i="8"/>
  <c r="C34" i="8"/>
  <c r="C35" i="8"/>
  <c r="C8" i="8"/>
  <c r="F39" i="8" s="1"/>
  <c r="B3" i="6"/>
  <c r="E78" i="4"/>
  <c r="G58" i="10"/>
  <c r="H58" i="10"/>
  <c r="K58" i="10"/>
  <c r="G59" i="10"/>
  <c r="H59" i="10"/>
  <c r="K59" i="10"/>
  <c r="G60" i="10"/>
  <c r="H60" i="10"/>
  <c r="K60" i="10"/>
  <c r="G61" i="10"/>
  <c r="H61" i="10"/>
  <c r="K61" i="10"/>
  <c r="G62" i="10"/>
  <c r="H62" i="10"/>
  <c r="K62" i="10"/>
  <c r="G63" i="10"/>
  <c r="H63" i="10"/>
  <c r="K63" i="10"/>
  <c r="G64" i="10"/>
  <c r="H64" i="10"/>
  <c r="K64" i="10"/>
  <c r="G65" i="10"/>
  <c r="H65" i="10"/>
  <c r="K65" i="10"/>
  <c r="G66" i="10"/>
  <c r="H66" i="10"/>
  <c r="K66" i="10"/>
  <c r="G67" i="10"/>
  <c r="H67" i="10"/>
  <c r="K67" i="10"/>
  <c r="G68" i="10"/>
  <c r="H68" i="10"/>
  <c r="K68" i="10"/>
  <c r="G69" i="10"/>
  <c r="H69" i="10"/>
  <c r="K69" i="10"/>
  <c r="G70" i="10"/>
  <c r="H70" i="10"/>
  <c r="K70" i="10"/>
  <c r="G71" i="10"/>
  <c r="H71" i="10"/>
  <c r="K71" i="10"/>
  <c r="G72" i="10"/>
  <c r="H72" i="10"/>
  <c r="K72" i="10"/>
  <c r="G73" i="10"/>
  <c r="H73" i="10"/>
  <c r="K73" i="10"/>
  <c r="G74" i="10"/>
  <c r="H74" i="10"/>
  <c r="K74" i="10"/>
  <c r="G75" i="10"/>
  <c r="H75" i="10"/>
  <c r="K75" i="10"/>
  <c r="G76" i="10"/>
  <c r="H76" i="10"/>
  <c r="K76" i="10"/>
  <c r="G77" i="10"/>
  <c r="H77" i="10"/>
  <c r="K77" i="10"/>
  <c r="G78" i="10"/>
  <c r="H78" i="10"/>
  <c r="K78" i="10"/>
  <c r="G79" i="10"/>
  <c r="H79" i="10"/>
  <c r="K79" i="10"/>
  <c r="G80" i="10"/>
  <c r="H80" i="10"/>
  <c r="K80" i="10"/>
  <c r="G81" i="10"/>
  <c r="H81" i="10"/>
  <c r="K81" i="10"/>
  <c r="G82" i="10"/>
  <c r="H82" i="10"/>
  <c r="K82" i="10"/>
  <c r="G83" i="10"/>
  <c r="H83" i="10"/>
  <c r="K83" i="10"/>
  <c r="G84" i="10"/>
  <c r="H84" i="10"/>
  <c r="K84" i="10"/>
  <c r="G85" i="10"/>
  <c r="H85" i="10"/>
  <c r="K85" i="10"/>
  <c r="G86" i="10"/>
  <c r="H86" i="10"/>
  <c r="K86" i="10"/>
  <c r="G87" i="10"/>
  <c r="H87" i="10"/>
  <c r="K87" i="10"/>
  <c r="G88" i="10"/>
  <c r="H88" i="10"/>
  <c r="K88" i="10"/>
  <c r="G89" i="10"/>
  <c r="H89" i="10"/>
  <c r="K89" i="10"/>
  <c r="G90" i="10"/>
  <c r="H90" i="10"/>
  <c r="K90" i="10"/>
  <c r="G91" i="10"/>
  <c r="H91" i="10"/>
  <c r="K91" i="10"/>
  <c r="G92" i="10"/>
  <c r="H92" i="10"/>
  <c r="K92" i="10"/>
  <c r="G93" i="10"/>
  <c r="H93" i="10"/>
  <c r="K93" i="10"/>
  <c r="G94" i="10"/>
  <c r="H94" i="10"/>
  <c r="K94" i="10"/>
  <c r="G95" i="10"/>
  <c r="H95" i="10"/>
  <c r="K95" i="10"/>
  <c r="G96" i="10"/>
  <c r="H96" i="10"/>
  <c r="K96" i="10"/>
  <c r="G97" i="10"/>
  <c r="H97" i="10"/>
  <c r="K97" i="10"/>
  <c r="G98" i="10"/>
  <c r="H98" i="10"/>
  <c r="K98" i="10"/>
  <c r="G99" i="10"/>
  <c r="H99" i="10"/>
  <c r="K99" i="10"/>
  <c r="G100" i="10"/>
  <c r="H100" i="10"/>
  <c r="K100" i="10"/>
  <c r="G101" i="10"/>
  <c r="H101" i="10"/>
  <c r="K101" i="10"/>
  <c r="G102" i="10"/>
  <c r="H102" i="10"/>
  <c r="K102" i="10"/>
  <c r="G103" i="10"/>
  <c r="H103" i="10"/>
  <c r="K103" i="10"/>
  <c r="G104" i="10"/>
  <c r="H104" i="10"/>
  <c r="K104" i="10"/>
  <c r="E105" i="10"/>
  <c r="F105" i="10"/>
  <c r="G105" i="10"/>
  <c r="H105" i="10"/>
  <c r="I105" i="10"/>
  <c r="J105" i="10"/>
  <c r="K105" i="10"/>
  <c r="E106" i="10"/>
  <c r="F106" i="10"/>
  <c r="G106" i="10"/>
  <c r="H106" i="10"/>
  <c r="I106" i="10"/>
  <c r="J106" i="10"/>
  <c r="K106" i="10"/>
  <c r="E45" i="9"/>
  <c r="H45" i="9"/>
  <c r="K45" i="9"/>
  <c r="E46" i="9"/>
  <c r="H46" i="9"/>
  <c r="K46" i="9"/>
  <c r="E47" i="9"/>
  <c r="H47" i="9"/>
  <c r="K47" i="9"/>
  <c r="E48" i="9"/>
  <c r="H48" i="9"/>
  <c r="K48" i="9"/>
  <c r="E49" i="9"/>
  <c r="H49" i="9"/>
  <c r="K49" i="9"/>
  <c r="E50" i="9"/>
  <c r="H50" i="9"/>
  <c r="K50" i="9"/>
  <c r="E51" i="9"/>
  <c r="H51" i="9"/>
  <c r="K51" i="9"/>
  <c r="E52" i="9"/>
  <c r="H52" i="9"/>
  <c r="K52" i="9"/>
  <c r="E53" i="9"/>
  <c r="H53" i="9"/>
  <c r="K53" i="9"/>
  <c r="E54" i="9"/>
  <c r="H54" i="9"/>
  <c r="K54" i="9"/>
  <c r="E55" i="9"/>
  <c r="H55" i="9"/>
  <c r="K55" i="9"/>
  <c r="E56" i="9"/>
  <c r="H56" i="9"/>
  <c r="K56" i="9"/>
  <c r="E57" i="9"/>
  <c r="H57" i="9"/>
  <c r="K57" i="9"/>
  <c r="E58" i="9"/>
  <c r="H58" i="9"/>
  <c r="K58" i="9"/>
  <c r="E59" i="9"/>
  <c r="F59" i="9"/>
  <c r="G59" i="9"/>
  <c r="H59" i="9"/>
  <c r="I59" i="9"/>
  <c r="J59" i="9"/>
  <c r="K59" i="9"/>
  <c r="E60" i="9"/>
  <c r="H60" i="9"/>
  <c r="K60" i="9"/>
  <c r="E61" i="9"/>
  <c r="H61" i="9"/>
  <c r="K61" i="9"/>
  <c r="E62" i="9"/>
  <c r="H62" i="9"/>
  <c r="K62" i="9"/>
  <c r="E63" i="9"/>
  <c r="F63" i="9"/>
  <c r="G63" i="9"/>
  <c r="H63" i="9"/>
  <c r="I63" i="9"/>
  <c r="J63" i="9"/>
  <c r="K63" i="9"/>
  <c r="F64" i="9"/>
  <c r="H64" i="9"/>
  <c r="K64" i="9"/>
  <c r="F65" i="9"/>
  <c r="H65" i="9"/>
  <c r="K65" i="9"/>
  <c r="F66" i="9"/>
  <c r="H66" i="9"/>
  <c r="K66" i="9"/>
  <c r="F67" i="9"/>
  <c r="H67" i="9"/>
  <c r="K67" i="9"/>
  <c r="F68" i="9"/>
  <c r="H68" i="9"/>
  <c r="K68" i="9"/>
  <c r="F69" i="9"/>
  <c r="H69" i="9"/>
  <c r="K69" i="9"/>
  <c r="F70" i="9"/>
  <c r="H70" i="9"/>
  <c r="K70" i="9"/>
  <c r="F71" i="9"/>
  <c r="H71" i="9"/>
  <c r="K71" i="9"/>
  <c r="F72" i="9"/>
  <c r="H72" i="9"/>
  <c r="K72" i="9"/>
  <c r="F73" i="9"/>
  <c r="H73" i="9"/>
  <c r="K73" i="9"/>
  <c r="F74" i="9"/>
  <c r="H74" i="9"/>
  <c r="K74" i="9"/>
  <c r="F75" i="9"/>
  <c r="H75" i="9"/>
  <c r="K75" i="9"/>
  <c r="F76" i="9"/>
  <c r="H76" i="9"/>
  <c r="K76" i="9"/>
  <c r="E77" i="9"/>
  <c r="F77" i="9"/>
  <c r="G77" i="9"/>
  <c r="H77" i="9"/>
  <c r="I77" i="9"/>
  <c r="J77" i="9"/>
  <c r="K77" i="9"/>
  <c r="E78" i="9"/>
  <c r="F78" i="9"/>
  <c r="G78" i="9"/>
  <c r="H78" i="9"/>
  <c r="I78" i="9"/>
  <c r="J78" i="9"/>
  <c r="K78" i="9"/>
  <c r="F32" i="5"/>
  <c r="H32" i="5"/>
  <c r="K32" i="5"/>
  <c r="F33" i="5"/>
  <c r="H33" i="5"/>
  <c r="K33" i="5"/>
  <c r="F34" i="5"/>
  <c r="H34" i="5"/>
  <c r="K34" i="5"/>
  <c r="F35" i="5"/>
  <c r="H35" i="5"/>
  <c r="K35" i="5"/>
  <c r="F36" i="5"/>
  <c r="H36" i="5"/>
  <c r="K36" i="5"/>
  <c r="F37" i="5"/>
  <c r="H37" i="5"/>
  <c r="K37" i="5"/>
  <c r="F38" i="5"/>
  <c r="H38" i="5"/>
  <c r="K38" i="5"/>
  <c r="F39" i="5"/>
  <c r="H39" i="5"/>
  <c r="K39" i="5"/>
  <c r="F40" i="5"/>
  <c r="H40" i="5"/>
  <c r="K40" i="5"/>
  <c r="F41" i="5"/>
  <c r="H41" i="5"/>
  <c r="K41" i="5"/>
  <c r="F42" i="5"/>
  <c r="H42" i="5"/>
  <c r="K42" i="5"/>
  <c r="F43" i="5"/>
  <c r="H43" i="5"/>
  <c r="K43" i="5"/>
  <c r="F44" i="5"/>
  <c r="H44" i="5"/>
  <c r="K44" i="5"/>
  <c r="F45" i="5"/>
  <c r="H45" i="5"/>
  <c r="K45" i="5"/>
  <c r="F46" i="5"/>
  <c r="H46" i="5"/>
  <c r="K46" i="5"/>
  <c r="F47" i="5"/>
  <c r="H47" i="5"/>
  <c r="K47" i="5"/>
  <c r="F48" i="5"/>
  <c r="H48" i="5"/>
  <c r="K48" i="5"/>
  <c r="F49" i="5"/>
  <c r="H49" i="5"/>
  <c r="K49" i="5"/>
  <c r="F50" i="5"/>
  <c r="H50" i="5"/>
  <c r="K50" i="5"/>
  <c r="E51" i="5"/>
  <c r="F51" i="5"/>
  <c r="G51" i="5"/>
  <c r="H51" i="5"/>
  <c r="I51" i="5"/>
  <c r="J51" i="5"/>
  <c r="K51" i="5"/>
  <c r="E52" i="5"/>
  <c r="F52" i="5"/>
  <c r="G52" i="5"/>
  <c r="H52" i="5"/>
  <c r="I52" i="5"/>
  <c r="J52" i="5"/>
  <c r="K52" i="5"/>
  <c r="E48" i="1"/>
  <c r="H48" i="1"/>
  <c r="J48" i="1"/>
  <c r="K48" i="1"/>
  <c r="E49" i="1"/>
  <c r="H49" i="1"/>
  <c r="J49" i="1"/>
  <c r="K49" i="1"/>
  <c r="E50" i="1"/>
  <c r="H50" i="1"/>
  <c r="J50" i="1"/>
  <c r="K50" i="1"/>
  <c r="E51" i="1"/>
  <c r="H51" i="1"/>
  <c r="J51" i="1"/>
  <c r="K51" i="1"/>
  <c r="E52" i="1"/>
  <c r="H52" i="1"/>
  <c r="J52" i="1"/>
  <c r="K52" i="1"/>
  <c r="G53" i="1"/>
  <c r="H53" i="1"/>
  <c r="J53" i="1"/>
  <c r="K53" i="1"/>
  <c r="G54" i="1"/>
  <c r="H54" i="1"/>
  <c r="J54" i="1"/>
  <c r="K54" i="1"/>
  <c r="G55" i="1"/>
  <c r="H55" i="1"/>
  <c r="J55" i="1"/>
  <c r="K55" i="1"/>
  <c r="G56" i="1"/>
  <c r="H56" i="1"/>
  <c r="J56" i="1"/>
  <c r="K56" i="1"/>
  <c r="G57" i="1"/>
  <c r="H57" i="1"/>
  <c r="J57" i="1"/>
  <c r="K57" i="1"/>
  <c r="F58" i="1"/>
  <c r="H58" i="1"/>
  <c r="K58" i="1"/>
  <c r="F59" i="1"/>
  <c r="H59" i="1"/>
  <c r="K59" i="1"/>
  <c r="F60" i="1"/>
  <c r="H60" i="1"/>
  <c r="K60" i="1"/>
  <c r="F61" i="1"/>
  <c r="H61" i="1"/>
  <c r="K61" i="1"/>
  <c r="F62" i="1"/>
  <c r="H62" i="1"/>
  <c r="K62" i="1"/>
  <c r="F63" i="1"/>
  <c r="H63" i="1"/>
  <c r="K63" i="1"/>
  <c r="F64" i="1"/>
  <c r="H64" i="1"/>
  <c r="K64" i="1"/>
  <c r="F65" i="1"/>
  <c r="H65" i="1"/>
  <c r="K65" i="1"/>
  <c r="F66" i="1"/>
  <c r="H66" i="1"/>
  <c r="K66" i="1"/>
  <c r="F67" i="1"/>
  <c r="H67" i="1"/>
  <c r="K67" i="1"/>
  <c r="F68" i="1"/>
  <c r="H68" i="1"/>
  <c r="K68" i="1"/>
  <c r="F69" i="1"/>
  <c r="H69" i="1"/>
  <c r="K69" i="1"/>
  <c r="F70" i="1"/>
  <c r="H70" i="1"/>
  <c r="K70" i="1"/>
  <c r="F71" i="1"/>
  <c r="H71" i="1"/>
  <c r="K71" i="1"/>
  <c r="F72" i="1"/>
  <c r="H72" i="1"/>
  <c r="K72" i="1"/>
  <c r="F73" i="1"/>
  <c r="H73" i="1"/>
  <c r="K73" i="1"/>
  <c r="F74" i="1"/>
  <c r="H74" i="1"/>
  <c r="K74" i="1"/>
  <c r="F75" i="1"/>
  <c r="H75" i="1"/>
  <c r="K75" i="1"/>
  <c r="F76" i="1"/>
  <c r="H76" i="1"/>
  <c r="K76" i="1"/>
  <c r="F77" i="1"/>
  <c r="H77" i="1"/>
  <c r="K77" i="1"/>
  <c r="F78" i="1"/>
  <c r="H78" i="1"/>
  <c r="K78" i="1"/>
  <c r="F79" i="1"/>
  <c r="H79" i="1"/>
  <c r="K79" i="1"/>
  <c r="F80" i="1"/>
  <c r="H80" i="1"/>
  <c r="K80" i="1"/>
  <c r="E81" i="1"/>
  <c r="F81" i="1"/>
  <c r="G81" i="1"/>
  <c r="H81" i="1"/>
  <c r="I81" i="1"/>
  <c r="J81" i="1"/>
  <c r="K81" i="1"/>
  <c r="E82" i="1"/>
  <c r="F82" i="1"/>
  <c r="G82" i="1"/>
  <c r="I82" i="1"/>
  <c r="J82" i="1"/>
  <c r="E83" i="1"/>
  <c r="F83" i="1"/>
  <c r="G83" i="1"/>
  <c r="H83" i="1"/>
  <c r="I83" i="1"/>
  <c r="J83" i="1"/>
  <c r="K83" i="1"/>
  <c r="E84" i="1"/>
  <c r="F84" i="1"/>
  <c r="G84" i="1"/>
  <c r="H84" i="1"/>
  <c r="I84" i="1"/>
  <c r="J84" i="1"/>
  <c r="K84" i="1"/>
  <c r="E85" i="1"/>
  <c r="F85" i="1"/>
  <c r="G85" i="1"/>
  <c r="H85" i="1"/>
  <c r="I85" i="1"/>
  <c r="J85" i="1"/>
  <c r="K85" i="1"/>
  <c r="E86" i="1"/>
  <c r="F86" i="1"/>
  <c r="G86" i="1"/>
  <c r="H86" i="1"/>
  <c r="I86" i="1"/>
  <c r="J86" i="1"/>
  <c r="K86" i="1"/>
  <c r="E60" i="4"/>
  <c r="F60" i="4"/>
  <c r="H60" i="4"/>
  <c r="I60" i="4"/>
  <c r="K60" i="4"/>
  <c r="E61" i="4"/>
  <c r="F61" i="4"/>
  <c r="H61" i="4"/>
  <c r="I61" i="4"/>
  <c r="K61" i="4"/>
  <c r="E62" i="4"/>
  <c r="F62" i="4"/>
  <c r="H62" i="4"/>
  <c r="I62" i="4"/>
  <c r="K62" i="4"/>
  <c r="E63" i="4"/>
  <c r="F63" i="4"/>
  <c r="H63" i="4"/>
  <c r="I63" i="4"/>
  <c r="K63" i="4"/>
  <c r="E64" i="4"/>
  <c r="G64" i="4"/>
  <c r="H64" i="4"/>
  <c r="I64" i="4"/>
  <c r="K64" i="4"/>
  <c r="E65" i="4"/>
  <c r="G65" i="4"/>
  <c r="H65" i="4"/>
  <c r="I65" i="4"/>
  <c r="K65" i="4"/>
  <c r="E66" i="4"/>
  <c r="G66" i="4"/>
  <c r="H66" i="4"/>
  <c r="I66" i="4"/>
  <c r="K66" i="4"/>
  <c r="E67" i="4"/>
  <c r="G67" i="4"/>
  <c r="H67" i="4"/>
  <c r="I67" i="4"/>
  <c r="K67" i="4"/>
  <c r="E68" i="4"/>
  <c r="G68" i="4"/>
  <c r="H68" i="4"/>
  <c r="I68" i="4"/>
  <c r="K68" i="4"/>
  <c r="E69" i="4"/>
  <c r="G69" i="4"/>
  <c r="H69" i="4"/>
  <c r="I69" i="4"/>
  <c r="K69" i="4"/>
  <c r="E70" i="4"/>
  <c r="G70" i="4"/>
  <c r="H70" i="4"/>
  <c r="I70" i="4"/>
  <c r="K70" i="4"/>
  <c r="E71" i="4"/>
  <c r="G71" i="4"/>
  <c r="H71" i="4"/>
  <c r="I71" i="4"/>
  <c r="K71" i="4"/>
  <c r="E72" i="4"/>
  <c r="G72" i="4"/>
  <c r="H72" i="4"/>
  <c r="I72" i="4"/>
  <c r="K72" i="4"/>
  <c r="E73" i="4"/>
  <c r="G73" i="4"/>
  <c r="H73" i="4"/>
  <c r="I73" i="4"/>
  <c r="K73" i="4"/>
  <c r="E74" i="4"/>
  <c r="F74" i="4"/>
  <c r="G74" i="4"/>
  <c r="H74" i="4"/>
  <c r="I74" i="4"/>
  <c r="J74" i="4"/>
  <c r="K74" i="4"/>
  <c r="E75" i="4"/>
  <c r="F75" i="4"/>
  <c r="G75" i="4"/>
  <c r="H75" i="4"/>
  <c r="I75" i="4"/>
  <c r="J75" i="4"/>
  <c r="K75" i="4"/>
  <c r="E76" i="4"/>
  <c r="G76" i="4"/>
  <c r="H76" i="4"/>
  <c r="I76" i="4"/>
  <c r="K76" i="4"/>
  <c r="E77" i="4"/>
  <c r="G77" i="4"/>
  <c r="H77" i="4"/>
  <c r="I77" i="4"/>
  <c r="K77" i="4"/>
  <c r="G78" i="4"/>
  <c r="H78" i="4"/>
  <c r="I78" i="4"/>
  <c r="K78" i="4"/>
  <c r="E79" i="4"/>
  <c r="F79" i="4"/>
  <c r="G79" i="4"/>
  <c r="H79" i="4"/>
  <c r="I79" i="4"/>
  <c r="J79" i="4"/>
  <c r="K79" i="4"/>
  <c r="E80" i="4"/>
  <c r="F80" i="4"/>
  <c r="G80" i="4"/>
  <c r="H80" i="4"/>
  <c r="I80" i="4"/>
  <c r="J80" i="4"/>
  <c r="K80" i="4"/>
  <c r="E81" i="4"/>
  <c r="F81" i="4"/>
  <c r="G81" i="4"/>
  <c r="H81" i="4"/>
  <c r="I81" i="4"/>
  <c r="J81" i="4"/>
  <c r="K81" i="4"/>
  <c r="E82" i="4"/>
  <c r="F82" i="4"/>
  <c r="G82" i="4"/>
  <c r="H82" i="4"/>
  <c r="I82" i="4"/>
  <c r="J82" i="4"/>
  <c r="K82" i="4"/>
  <c r="E83" i="4"/>
  <c r="F83" i="4"/>
  <c r="G83" i="4"/>
  <c r="H83" i="4"/>
  <c r="I83" i="4"/>
  <c r="J83" i="4"/>
  <c r="K83" i="4"/>
  <c r="G47" i="4"/>
  <c r="H47" i="4"/>
  <c r="K47" i="4"/>
  <c r="G48" i="4"/>
  <c r="H48" i="4"/>
  <c r="K48" i="4"/>
  <c r="F49" i="4"/>
  <c r="G49" i="4"/>
  <c r="H49" i="4"/>
  <c r="K49" i="4"/>
  <c r="G50" i="4"/>
  <c r="H50" i="4"/>
  <c r="J50" i="4"/>
  <c r="K50" i="4"/>
  <c r="G51" i="4"/>
  <c r="H51" i="4"/>
  <c r="K51" i="4"/>
  <c r="G52" i="4"/>
  <c r="H52" i="4"/>
  <c r="K52" i="4"/>
  <c r="G53" i="4"/>
  <c r="H53" i="4"/>
  <c r="K53" i="4"/>
  <c r="G54" i="4"/>
  <c r="H54" i="4"/>
  <c r="J54" i="4"/>
  <c r="K54" i="4"/>
  <c r="G55" i="4"/>
  <c r="H55" i="4"/>
  <c r="K55" i="4"/>
  <c r="E56" i="4"/>
  <c r="G56" i="4"/>
  <c r="H56" i="4"/>
  <c r="K56" i="4"/>
  <c r="E57" i="4"/>
  <c r="H57" i="4"/>
  <c r="K57" i="4"/>
  <c r="E58" i="4"/>
  <c r="G58" i="4"/>
  <c r="H58" i="4"/>
  <c r="J58" i="4"/>
  <c r="K58" i="4"/>
  <c r="E59" i="4"/>
  <c r="G59" i="4"/>
  <c r="H59" i="4"/>
  <c r="K59" i="4"/>
  <c r="C9" i="4"/>
  <c r="E48" i="4" s="1"/>
  <c r="C10" i="4"/>
  <c r="C11" i="4"/>
  <c r="E50" i="4" s="1"/>
  <c r="C12" i="4"/>
  <c r="E51" i="4" s="1"/>
  <c r="C13" i="4"/>
  <c r="I52" i="4" s="1"/>
  <c r="C14" i="4"/>
  <c r="C15" i="4"/>
  <c r="E54" i="4" s="1"/>
  <c r="C16" i="4"/>
  <c r="E55" i="4" s="1"/>
  <c r="C17" i="4"/>
  <c r="F56" i="4" s="1"/>
  <c r="C18" i="4"/>
  <c r="C19" i="4"/>
  <c r="I58" i="4" s="1"/>
  <c r="C20" i="4"/>
  <c r="I59" i="4" s="1"/>
  <c r="C21" i="4"/>
  <c r="C22" i="4"/>
  <c r="C23" i="4"/>
  <c r="J62" i="4" s="1"/>
  <c r="C24" i="4"/>
  <c r="J63" i="4" s="1"/>
  <c r="C25" i="4"/>
  <c r="C26" i="4"/>
  <c r="C27" i="4"/>
  <c r="F66" i="4" s="1"/>
  <c r="C28" i="4"/>
  <c r="C29" i="4"/>
  <c r="C30" i="4"/>
  <c r="C31" i="4"/>
  <c r="F70" i="4" s="1"/>
  <c r="C32" i="4"/>
  <c r="F71" i="4" s="1"/>
  <c r="C33" i="4"/>
  <c r="C34" i="4"/>
  <c r="C35" i="4"/>
  <c r="C36" i="4"/>
  <c r="C37" i="4"/>
  <c r="C38" i="4"/>
  <c r="C39" i="4"/>
  <c r="F78" i="4" s="1"/>
  <c r="C8" i="4"/>
  <c r="E47" i="4" s="1"/>
  <c r="F77" i="4" l="1"/>
  <c r="J77" i="4"/>
  <c r="F73" i="4"/>
  <c r="J73" i="4"/>
  <c r="J69" i="4"/>
  <c r="F69" i="4"/>
  <c r="F65" i="4"/>
  <c r="J65" i="4"/>
  <c r="G61" i="4"/>
  <c r="J61" i="4"/>
  <c r="G57" i="4"/>
  <c r="J57" i="4"/>
  <c r="E53" i="4"/>
  <c r="J53" i="4"/>
  <c r="E49" i="4"/>
  <c r="J49" i="4"/>
  <c r="F53" i="4"/>
  <c r="F52" i="4"/>
  <c r="F48" i="4"/>
  <c r="F47" i="8"/>
  <c r="J47" i="8"/>
  <c r="F43" i="8"/>
  <c r="J43" i="8"/>
  <c r="J39" i="8"/>
  <c r="J56" i="4"/>
  <c r="F55" i="4"/>
  <c r="J48" i="4"/>
  <c r="F47" i="4"/>
  <c r="J70" i="4"/>
  <c r="J66" i="4"/>
  <c r="G62" i="4"/>
  <c r="I66" i="8"/>
  <c r="J66" i="8"/>
  <c r="F66" i="8"/>
  <c r="E58" i="8"/>
  <c r="F58" i="8"/>
  <c r="J58" i="8"/>
  <c r="J54" i="8"/>
  <c r="F54" i="8"/>
  <c r="F50" i="8"/>
  <c r="J50" i="8"/>
  <c r="F46" i="8"/>
  <c r="J46" i="8"/>
  <c r="F42" i="8"/>
  <c r="J42" i="8"/>
  <c r="F76" i="4"/>
  <c r="J76" i="4"/>
  <c r="F72" i="4"/>
  <c r="J72" i="4"/>
  <c r="F68" i="4"/>
  <c r="J68" i="4"/>
  <c r="F64" i="4"/>
  <c r="J64" i="4"/>
  <c r="J60" i="4"/>
  <c r="G60" i="4"/>
  <c r="J63" i="8"/>
  <c r="G63" i="8"/>
  <c r="F59" i="8"/>
  <c r="J59" i="8"/>
  <c r="F51" i="8"/>
  <c r="J51" i="8"/>
  <c r="F67" i="4"/>
  <c r="J67" i="4"/>
  <c r="J52" i="4"/>
  <c r="F51" i="4"/>
  <c r="J59" i="4"/>
  <c r="J55" i="4"/>
  <c r="F54" i="4"/>
  <c r="J51" i="4"/>
  <c r="F50" i="4"/>
  <c r="J47" i="4"/>
  <c r="J78" i="4"/>
  <c r="J71" i="4"/>
  <c r="G63" i="4"/>
  <c r="F55" i="8"/>
  <c r="F40" i="8"/>
  <c r="E40" i="8"/>
  <c r="I40" i="8"/>
  <c r="E53" i="8"/>
  <c r="I53" i="8"/>
  <c r="E54" i="8"/>
  <c r="I54" i="8"/>
  <c r="E55" i="8"/>
  <c r="I55" i="8"/>
  <c r="E56" i="8"/>
  <c r="I56" i="8"/>
  <c r="E57" i="8"/>
  <c r="I57" i="8"/>
  <c r="E39" i="8"/>
  <c r="I39" i="8"/>
  <c r="I57" i="4"/>
  <c r="F57" i="4"/>
  <c r="I48" i="4"/>
  <c r="F58" i="4"/>
  <c r="I53" i="4"/>
  <c r="I49" i="4"/>
  <c r="I56" i="4"/>
  <c r="E52" i="4"/>
  <c r="F59" i="4"/>
  <c r="I54" i="4"/>
  <c r="I50" i="4"/>
  <c r="I55" i="4"/>
  <c r="I51" i="4"/>
  <c r="I47" i="4"/>
  <c r="E44" i="9" l="1"/>
  <c r="C28" i="9"/>
  <c r="C29" i="9"/>
  <c r="C30" i="9"/>
  <c r="C31" i="9"/>
  <c r="C32" i="9"/>
  <c r="C33" i="9"/>
  <c r="C34" i="9"/>
  <c r="C35" i="9"/>
  <c r="C36" i="9"/>
  <c r="C37" i="9"/>
  <c r="C38" i="9"/>
  <c r="C39" i="9"/>
  <c r="C27" i="9"/>
  <c r="C24" i="9"/>
  <c r="C25" i="9"/>
  <c r="C23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8" i="9"/>
  <c r="J56" i="9" l="1"/>
  <c r="G56" i="9"/>
  <c r="J48" i="9"/>
  <c r="G48" i="9"/>
  <c r="J71" i="9"/>
  <c r="G71" i="9"/>
  <c r="G45" i="9"/>
  <c r="J45" i="9"/>
  <c r="J51" i="9"/>
  <c r="G51" i="9"/>
  <c r="J61" i="9"/>
  <c r="G61" i="9"/>
  <c r="G70" i="9"/>
  <c r="J70" i="9"/>
  <c r="G58" i="9"/>
  <c r="J58" i="9"/>
  <c r="G54" i="9"/>
  <c r="J54" i="9"/>
  <c r="G50" i="9"/>
  <c r="J50" i="9"/>
  <c r="G46" i="9"/>
  <c r="J46" i="9"/>
  <c r="J64" i="9"/>
  <c r="G64" i="9"/>
  <c r="G73" i="9"/>
  <c r="J73" i="9"/>
  <c r="G69" i="9"/>
  <c r="J69" i="9"/>
  <c r="G65" i="9"/>
  <c r="J65" i="9"/>
  <c r="J52" i="9"/>
  <c r="G52" i="9"/>
  <c r="J62" i="9"/>
  <c r="G62" i="9"/>
  <c r="J75" i="9"/>
  <c r="G75" i="9"/>
  <c r="J67" i="9"/>
  <c r="G67" i="9"/>
  <c r="J55" i="9"/>
  <c r="G55" i="9"/>
  <c r="J47" i="9"/>
  <c r="G47" i="9"/>
  <c r="G74" i="9"/>
  <c r="J74" i="9"/>
  <c r="G66" i="9"/>
  <c r="J66" i="9"/>
  <c r="G57" i="9"/>
  <c r="J57" i="9"/>
  <c r="G53" i="9"/>
  <c r="J53" i="9"/>
  <c r="G49" i="9"/>
  <c r="J49" i="9"/>
  <c r="G60" i="9"/>
  <c r="J60" i="9"/>
  <c r="J76" i="9"/>
  <c r="G76" i="9"/>
  <c r="J72" i="9"/>
  <c r="G72" i="9"/>
  <c r="J68" i="9"/>
  <c r="G68" i="9"/>
  <c r="I65" i="9"/>
  <c r="E65" i="9"/>
  <c r="I66" i="9"/>
  <c r="E66" i="9"/>
  <c r="E67" i="9"/>
  <c r="I67" i="9"/>
  <c r="I68" i="9"/>
  <c r="E68" i="9"/>
  <c r="I69" i="9"/>
  <c r="E69" i="9"/>
  <c r="I70" i="9"/>
  <c r="E70" i="9"/>
  <c r="I71" i="9"/>
  <c r="E71" i="9"/>
  <c r="E72" i="9"/>
  <c r="I72" i="9"/>
  <c r="I73" i="9"/>
  <c r="E73" i="9"/>
  <c r="I74" i="9"/>
  <c r="E74" i="9"/>
  <c r="E75" i="9"/>
  <c r="I75" i="9"/>
  <c r="I76" i="9"/>
  <c r="E76" i="9"/>
  <c r="I64" i="9"/>
  <c r="E64" i="9"/>
  <c r="F61" i="9"/>
  <c r="I61" i="9"/>
  <c r="F62" i="9"/>
  <c r="I62" i="9"/>
  <c r="F60" i="9"/>
  <c r="I60" i="9"/>
  <c r="I46" i="9"/>
  <c r="F46" i="9"/>
  <c r="I47" i="9"/>
  <c r="F47" i="9"/>
  <c r="I48" i="9"/>
  <c r="F48" i="9"/>
  <c r="I49" i="9"/>
  <c r="F49" i="9"/>
  <c r="F50" i="9"/>
  <c r="I50" i="9"/>
  <c r="I51" i="9"/>
  <c r="F51" i="9"/>
  <c r="F52" i="9"/>
  <c r="I52" i="9"/>
  <c r="F53" i="9"/>
  <c r="I53" i="9"/>
  <c r="F54" i="9"/>
  <c r="I54" i="9"/>
  <c r="I55" i="9"/>
  <c r="F55" i="9"/>
  <c r="F56" i="9"/>
  <c r="I56" i="9"/>
  <c r="F57" i="9"/>
  <c r="I57" i="9"/>
  <c r="F58" i="9"/>
  <c r="I58" i="9"/>
  <c r="I45" i="9"/>
  <c r="F45" i="9"/>
  <c r="E47" i="1"/>
  <c r="C42" i="1"/>
  <c r="C9" i="1"/>
  <c r="F49" i="1" s="1"/>
  <c r="C10" i="1"/>
  <c r="F50" i="1" s="1"/>
  <c r="C11" i="1"/>
  <c r="F51" i="1" s="1"/>
  <c r="C12" i="1"/>
  <c r="F52" i="1" s="1"/>
  <c r="C13" i="1"/>
  <c r="F53" i="1" s="1"/>
  <c r="C14" i="1"/>
  <c r="F54" i="1" s="1"/>
  <c r="C15" i="1"/>
  <c r="F55" i="1" s="1"/>
  <c r="C16" i="1"/>
  <c r="F56" i="1" s="1"/>
  <c r="C17" i="1"/>
  <c r="F57" i="1" s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E31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8" i="5"/>
  <c r="J49" i="5" l="1"/>
  <c r="G49" i="5"/>
  <c r="J45" i="5"/>
  <c r="G45" i="5"/>
  <c r="J41" i="5"/>
  <c r="G41" i="5"/>
  <c r="J37" i="5"/>
  <c r="G37" i="5"/>
  <c r="J33" i="5"/>
  <c r="G33" i="5"/>
  <c r="G78" i="1"/>
  <c r="J78" i="1"/>
  <c r="G74" i="1"/>
  <c r="J74" i="1"/>
  <c r="G70" i="1"/>
  <c r="J70" i="1"/>
  <c r="G66" i="1"/>
  <c r="J66" i="1"/>
  <c r="G62" i="1"/>
  <c r="J62" i="1"/>
  <c r="G58" i="1"/>
  <c r="J58" i="1"/>
  <c r="J48" i="5"/>
  <c r="G48" i="5"/>
  <c r="J44" i="5"/>
  <c r="G44" i="5"/>
  <c r="J40" i="5"/>
  <c r="G40" i="5"/>
  <c r="J36" i="5"/>
  <c r="G36" i="5"/>
  <c r="G77" i="1"/>
  <c r="J77" i="1"/>
  <c r="G73" i="1"/>
  <c r="J73" i="1"/>
  <c r="G65" i="1"/>
  <c r="J65" i="1"/>
  <c r="J32" i="5"/>
  <c r="G32" i="5"/>
  <c r="G47" i="5"/>
  <c r="J47" i="5"/>
  <c r="G43" i="5"/>
  <c r="J43" i="5"/>
  <c r="G39" i="5"/>
  <c r="J39" i="5"/>
  <c r="G35" i="5"/>
  <c r="J35" i="5"/>
  <c r="J80" i="1"/>
  <c r="G80" i="1"/>
  <c r="J76" i="1"/>
  <c r="G76" i="1"/>
  <c r="J72" i="1"/>
  <c r="G72" i="1"/>
  <c r="J68" i="1"/>
  <c r="G68" i="1"/>
  <c r="J64" i="1"/>
  <c r="G64" i="1"/>
  <c r="J60" i="1"/>
  <c r="G60" i="1"/>
  <c r="G69" i="1"/>
  <c r="J69" i="1"/>
  <c r="G61" i="1"/>
  <c r="J61" i="1"/>
  <c r="G50" i="5"/>
  <c r="J50" i="5"/>
  <c r="G46" i="5"/>
  <c r="J46" i="5"/>
  <c r="G42" i="5"/>
  <c r="J42" i="5"/>
  <c r="G38" i="5"/>
  <c r="J38" i="5"/>
  <c r="G34" i="5"/>
  <c r="J34" i="5"/>
  <c r="J79" i="1"/>
  <c r="G79" i="1"/>
  <c r="J75" i="1"/>
  <c r="G75" i="1"/>
  <c r="J71" i="1"/>
  <c r="G71" i="1"/>
  <c r="J67" i="1"/>
  <c r="G67" i="1"/>
  <c r="J63" i="1"/>
  <c r="G63" i="1"/>
  <c r="J59" i="1"/>
  <c r="G59" i="1"/>
  <c r="K82" i="1"/>
  <c r="H82" i="1"/>
  <c r="G49" i="1"/>
  <c r="I49" i="1"/>
  <c r="G50" i="1"/>
  <c r="I50" i="1"/>
  <c r="G51" i="1"/>
  <c r="I51" i="1"/>
  <c r="I52" i="1"/>
  <c r="G52" i="1"/>
  <c r="I53" i="1"/>
  <c r="E53" i="1"/>
  <c r="I54" i="1"/>
  <c r="E54" i="1"/>
  <c r="E55" i="1"/>
  <c r="I55" i="1"/>
  <c r="E56" i="1"/>
  <c r="I56" i="1"/>
  <c r="I57" i="1"/>
  <c r="E57" i="1"/>
  <c r="E58" i="1"/>
  <c r="I58" i="1"/>
  <c r="I59" i="1"/>
  <c r="E59" i="1"/>
  <c r="E60" i="1"/>
  <c r="I60" i="1"/>
  <c r="I61" i="1"/>
  <c r="E61" i="1"/>
  <c r="I62" i="1"/>
  <c r="E62" i="1"/>
  <c r="E63" i="1"/>
  <c r="I63" i="1"/>
  <c r="I64" i="1"/>
  <c r="E64" i="1"/>
  <c r="E65" i="1"/>
  <c r="I65" i="1"/>
  <c r="I66" i="1"/>
  <c r="E66" i="1"/>
  <c r="E67" i="1"/>
  <c r="I67" i="1"/>
  <c r="E68" i="1"/>
  <c r="I68" i="1"/>
  <c r="I69" i="1"/>
  <c r="E69" i="1"/>
  <c r="I70" i="1"/>
  <c r="E70" i="1"/>
  <c r="E71" i="1"/>
  <c r="I71" i="1"/>
  <c r="E72" i="1"/>
  <c r="I72" i="1"/>
  <c r="E73" i="1"/>
  <c r="I73" i="1"/>
  <c r="E74" i="1"/>
  <c r="I74" i="1"/>
  <c r="E75" i="1"/>
  <c r="I75" i="1"/>
  <c r="E76" i="1"/>
  <c r="I76" i="1"/>
  <c r="I77" i="1"/>
  <c r="E77" i="1"/>
  <c r="E78" i="1"/>
  <c r="I78" i="1"/>
  <c r="I79" i="1"/>
  <c r="E79" i="1"/>
  <c r="E80" i="1"/>
  <c r="I80" i="1"/>
  <c r="E33" i="5"/>
  <c r="I33" i="5"/>
  <c r="E34" i="5"/>
  <c r="I34" i="5"/>
  <c r="I35" i="5"/>
  <c r="E35" i="5"/>
  <c r="I36" i="5"/>
  <c r="E36" i="5"/>
  <c r="I37" i="5"/>
  <c r="E37" i="5"/>
  <c r="I38" i="5"/>
  <c r="E38" i="5"/>
  <c r="I39" i="5"/>
  <c r="E39" i="5"/>
  <c r="I40" i="5"/>
  <c r="E40" i="5"/>
  <c r="I41" i="5"/>
  <c r="E41" i="5"/>
  <c r="I42" i="5"/>
  <c r="E42" i="5"/>
  <c r="E43" i="5"/>
  <c r="I43" i="5"/>
  <c r="I44" i="5"/>
  <c r="E44" i="5"/>
  <c r="I45" i="5"/>
  <c r="E45" i="5"/>
  <c r="I46" i="5"/>
  <c r="E46" i="5"/>
  <c r="I47" i="5"/>
  <c r="E47" i="5"/>
  <c r="E48" i="5"/>
  <c r="I48" i="5"/>
  <c r="I49" i="5"/>
  <c r="E49" i="5"/>
  <c r="I50" i="5"/>
  <c r="E50" i="5"/>
  <c r="E32" i="5"/>
  <c r="I32" i="5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9" i="10"/>
  <c r="C10" i="10"/>
  <c r="C11" i="10"/>
  <c r="C12" i="10"/>
  <c r="C13" i="10"/>
  <c r="C14" i="10"/>
  <c r="C15" i="10"/>
  <c r="C16" i="10"/>
  <c r="C17" i="10"/>
  <c r="C8" i="1"/>
  <c r="F48" i="1" s="1"/>
  <c r="E11" i="2"/>
  <c r="F11" i="2"/>
  <c r="G11" i="2"/>
  <c r="H11" i="2"/>
  <c r="I11" i="2"/>
  <c r="J11" i="2"/>
  <c r="D11" i="2"/>
  <c r="E9" i="2"/>
  <c r="F9" i="2"/>
  <c r="G9" i="2"/>
  <c r="H9" i="2"/>
  <c r="I9" i="2"/>
  <c r="J9" i="2"/>
  <c r="D9" i="2"/>
  <c r="H275" i="13"/>
  <c r="J65" i="10" l="1"/>
  <c r="F65" i="10"/>
  <c r="J103" i="10"/>
  <c r="F103" i="10"/>
  <c r="J91" i="10"/>
  <c r="F91" i="10"/>
  <c r="J83" i="10"/>
  <c r="F83" i="10"/>
  <c r="J75" i="10"/>
  <c r="F75" i="10"/>
  <c r="F64" i="10"/>
  <c r="J64" i="10"/>
  <c r="J98" i="10"/>
  <c r="F98" i="10"/>
  <c r="J86" i="10"/>
  <c r="F86" i="10"/>
  <c r="J82" i="10"/>
  <c r="F82" i="10"/>
  <c r="J78" i="10"/>
  <c r="F78" i="10"/>
  <c r="J70" i="10"/>
  <c r="F70" i="10"/>
  <c r="J67" i="10"/>
  <c r="F67" i="10"/>
  <c r="J63" i="10"/>
  <c r="F63" i="10"/>
  <c r="J59" i="10"/>
  <c r="F59" i="10"/>
  <c r="J101" i="10"/>
  <c r="F101" i="10"/>
  <c r="J97" i="10"/>
  <c r="F97" i="10"/>
  <c r="J93" i="10"/>
  <c r="F93" i="10"/>
  <c r="J89" i="10"/>
  <c r="F89" i="10"/>
  <c r="J85" i="10"/>
  <c r="F85" i="10"/>
  <c r="J81" i="10"/>
  <c r="F81" i="10"/>
  <c r="J77" i="10"/>
  <c r="F77" i="10"/>
  <c r="J73" i="10"/>
  <c r="F73" i="10"/>
  <c r="J69" i="10"/>
  <c r="F69" i="10"/>
  <c r="J61" i="10"/>
  <c r="F61" i="10"/>
  <c r="J99" i="10"/>
  <c r="F99" i="10"/>
  <c r="J95" i="10"/>
  <c r="F95" i="10"/>
  <c r="J87" i="10"/>
  <c r="F87" i="10"/>
  <c r="J79" i="10"/>
  <c r="F79" i="10"/>
  <c r="J71" i="10"/>
  <c r="F71" i="10"/>
  <c r="F60" i="10"/>
  <c r="J60" i="10"/>
  <c r="J102" i="10"/>
  <c r="F102" i="10"/>
  <c r="J94" i="10"/>
  <c r="F94" i="10"/>
  <c r="J90" i="10"/>
  <c r="F90" i="10"/>
  <c r="J74" i="10"/>
  <c r="F74" i="10"/>
  <c r="J66" i="10"/>
  <c r="F66" i="10"/>
  <c r="J62" i="10"/>
  <c r="F62" i="10"/>
  <c r="F104" i="10"/>
  <c r="J104" i="10"/>
  <c r="F100" i="10"/>
  <c r="J100" i="10"/>
  <c r="F96" i="10"/>
  <c r="J96" i="10"/>
  <c r="F92" i="10"/>
  <c r="J92" i="10"/>
  <c r="F88" i="10"/>
  <c r="J88" i="10"/>
  <c r="F84" i="10"/>
  <c r="J84" i="10"/>
  <c r="F80" i="10"/>
  <c r="J80" i="10"/>
  <c r="F76" i="10"/>
  <c r="J76" i="10"/>
  <c r="F72" i="10"/>
  <c r="J72" i="10"/>
  <c r="F68" i="10"/>
  <c r="J68" i="10"/>
  <c r="E68" i="10"/>
  <c r="I68" i="10"/>
  <c r="E69" i="10"/>
  <c r="I69" i="10"/>
  <c r="E70" i="10"/>
  <c r="I70" i="10"/>
  <c r="E71" i="10"/>
  <c r="I71" i="10"/>
  <c r="E72" i="10"/>
  <c r="I72" i="10"/>
  <c r="E73" i="10"/>
  <c r="I73" i="10"/>
  <c r="E74" i="10"/>
  <c r="I74" i="10"/>
  <c r="E75" i="10"/>
  <c r="I75" i="10"/>
  <c r="E76" i="10"/>
  <c r="I76" i="10"/>
  <c r="E77" i="10"/>
  <c r="I77" i="10"/>
  <c r="E78" i="10"/>
  <c r="I78" i="10"/>
  <c r="E79" i="10"/>
  <c r="I79" i="10"/>
  <c r="E80" i="10"/>
  <c r="I80" i="10"/>
  <c r="E81" i="10"/>
  <c r="I81" i="10"/>
  <c r="I82" i="10"/>
  <c r="E82" i="10"/>
  <c r="E83" i="10"/>
  <c r="I83" i="10"/>
  <c r="I84" i="10"/>
  <c r="E84" i="10"/>
  <c r="E85" i="10"/>
  <c r="I85" i="10"/>
  <c r="I86" i="10"/>
  <c r="E86" i="10"/>
  <c r="E87" i="10"/>
  <c r="I87" i="10"/>
  <c r="E88" i="10"/>
  <c r="I88" i="10"/>
  <c r="E89" i="10"/>
  <c r="I89" i="10"/>
  <c r="I90" i="10"/>
  <c r="E90" i="10"/>
  <c r="E91" i="10"/>
  <c r="I91" i="10"/>
  <c r="E92" i="10"/>
  <c r="I92" i="10"/>
  <c r="E93" i="10"/>
  <c r="I93" i="10"/>
  <c r="E94" i="10"/>
  <c r="I94" i="10"/>
  <c r="E95" i="10"/>
  <c r="I95" i="10"/>
  <c r="E96" i="10"/>
  <c r="I96" i="10"/>
  <c r="E97" i="10"/>
  <c r="I97" i="10"/>
  <c r="E98" i="10"/>
  <c r="I98" i="10"/>
  <c r="E99" i="10"/>
  <c r="I99" i="10"/>
  <c r="E100" i="10"/>
  <c r="I100" i="10"/>
  <c r="E101" i="10"/>
  <c r="I101" i="10"/>
  <c r="E102" i="10"/>
  <c r="I102" i="10"/>
  <c r="E103" i="10"/>
  <c r="I103" i="10"/>
  <c r="E104" i="10"/>
  <c r="I104" i="10"/>
  <c r="I59" i="10"/>
  <c r="E59" i="10"/>
  <c r="E60" i="10"/>
  <c r="I60" i="10"/>
  <c r="I61" i="10"/>
  <c r="E61" i="10"/>
  <c r="E62" i="10"/>
  <c r="I62" i="10"/>
  <c r="E63" i="10"/>
  <c r="I63" i="10"/>
  <c r="I64" i="10"/>
  <c r="E64" i="10"/>
  <c r="E65" i="10"/>
  <c r="I65" i="10"/>
  <c r="I66" i="10"/>
  <c r="E66" i="10"/>
  <c r="I67" i="10"/>
  <c r="E67" i="10"/>
  <c r="G48" i="1"/>
  <c r="I48" i="1"/>
  <c r="B3" i="12"/>
  <c r="B3" i="11"/>
  <c r="B3" i="9"/>
  <c r="B3" i="7"/>
  <c r="B3" i="5"/>
  <c r="B3" i="3"/>
  <c r="J275" i="13"/>
  <c r="B3" i="8"/>
  <c r="C8" i="10"/>
  <c r="B3" i="10"/>
  <c r="B3" i="1"/>
  <c r="B3" i="4"/>
  <c r="I50" i="6"/>
  <c r="J50" i="6"/>
  <c r="K50" i="6"/>
  <c r="I51" i="6"/>
  <c r="J51" i="6"/>
  <c r="K51" i="6"/>
  <c r="I52" i="6"/>
  <c r="K52" i="6"/>
  <c r="I53" i="6"/>
  <c r="K53" i="6"/>
  <c r="I54" i="6"/>
  <c r="K54" i="6"/>
  <c r="I55" i="6"/>
  <c r="J55" i="6"/>
  <c r="K55" i="6"/>
  <c r="I56" i="6"/>
  <c r="K56" i="6"/>
  <c r="I57" i="6"/>
  <c r="K57" i="6"/>
  <c r="I58" i="6"/>
  <c r="J58" i="6"/>
  <c r="K58" i="6"/>
  <c r="I59" i="6"/>
  <c r="K59" i="6"/>
  <c r="I60" i="6"/>
  <c r="J60" i="6"/>
  <c r="K60" i="6"/>
  <c r="I61" i="6"/>
  <c r="K61" i="6"/>
  <c r="I62" i="6"/>
  <c r="J62" i="6"/>
  <c r="K62" i="6"/>
  <c r="I63" i="6"/>
  <c r="K63" i="6"/>
  <c r="I64" i="6"/>
  <c r="K64" i="6"/>
  <c r="I65" i="6"/>
  <c r="K65" i="6"/>
  <c r="I66" i="6"/>
  <c r="K66" i="6"/>
  <c r="I67" i="6"/>
  <c r="J67" i="6"/>
  <c r="K67" i="6"/>
  <c r="I68" i="6"/>
  <c r="K68" i="6"/>
  <c r="I69" i="6"/>
  <c r="K69" i="6"/>
  <c r="I70" i="6"/>
  <c r="K70" i="6"/>
  <c r="I71" i="6"/>
  <c r="J71" i="6"/>
  <c r="K71" i="6"/>
  <c r="I72" i="6"/>
  <c r="K72" i="6"/>
  <c r="I73" i="6"/>
  <c r="K73" i="6"/>
  <c r="I74" i="6"/>
  <c r="K74" i="6"/>
  <c r="I75" i="6"/>
  <c r="J75" i="6"/>
  <c r="K75" i="6"/>
  <c r="I76" i="6"/>
  <c r="K76" i="6"/>
  <c r="I77" i="6"/>
  <c r="K77" i="6"/>
  <c r="I78" i="6"/>
  <c r="K78" i="6"/>
  <c r="I79" i="6"/>
  <c r="J79" i="6"/>
  <c r="K79" i="6"/>
  <c r="I80" i="6"/>
  <c r="K80" i="6"/>
  <c r="I81" i="6"/>
  <c r="K81" i="6"/>
  <c r="I82" i="6"/>
  <c r="K82" i="6"/>
  <c r="I83" i="6"/>
  <c r="K83" i="6"/>
  <c r="E65" i="6"/>
  <c r="G65" i="6"/>
  <c r="H65" i="6"/>
  <c r="E66" i="6"/>
  <c r="G66" i="6"/>
  <c r="H66" i="6"/>
  <c r="E67" i="6"/>
  <c r="F67" i="6"/>
  <c r="G67" i="6"/>
  <c r="H67" i="6"/>
  <c r="E68" i="6"/>
  <c r="G68" i="6"/>
  <c r="H68" i="6"/>
  <c r="E69" i="6"/>
  <c r="G69" i="6"/>
  <c r="H69" i="6"/>
  <c r="E70" i="6"/>
  <c r="G70" i="6"/>
  <c r="H70" i="6"/>
  <c r="E71" i="6"/>
  <c r="F71" i="6"/>
  <c r="G71" i="6"/>
  <c r="H71" i="6"/>
  <c r="E72" i="6"/>
  <c r="G72" i="6"/>
  <c r="H72" i="6"/>
  <c r="E73" i="6"/>
  <c r="G73" i="6"/>
  <c r="H73" i="6"/>
  <c r="E74" i="6"/>
  <c r="G74" i="6"/>
  <c r="H74" i="6"/>
  <c r="E75" i="6"/>
  <c r="G75" i="6"/>
  <c r="H75" i="6"/>
  <c r="E76" i="6"/>
  <c r="G76" i="6"/>
  <c r="H76" i="6"/>
  <c r="E77" i="6"/>
  <c r="G77" i="6"/>
  <c r="H77" i="6"/>
  <c r="E78" i="6"/>
  <c r="G78" i="6"/>
  <c r="H78" i="6"/>
  <c r="E79" i="6"/>
  <c r="G79" i="6"/>
  <c r="H79" i="6"/>
  <c r="E80" i="6"/>
  <c r="F80" i="6"/>
  <c r="G80" i="6"/>
  <c r="H80" i="6"/>
  <c r="E81" i="6"/>
  <c r="G81" i="6"/>
  <c r="H81" i="6"/>
  <c r="E82" i="6"/>
  <c r="G82" i="6"/>
  <c r="H82" i="6"/>
  <c r="E83" i="6"/>
  <c r="G83" i="6"/>
  <c r="H83" i="6"/>
  <c r="E64" i="6"/>
  <c r="F64" i="6"/>
  <c r="H64" i="6"/>
  <c r="C41" i="6"/>
  <c r="F83" i="6" s="1"/>
  <c r="C24" i="6"/>
  <c r="F66" i="6" s="1"/>
  <c r="C25" i="6"/>
  <c r="C26" i="6"/>
  <c r="J68" i="6" s="1"/>
  <c r="C27" i="6"/>
  <c r="J69" i="6" s="1"/>
  <c r="C28" i="6"/>
  <c r="F70" i="6" s="1"/>
  <c r="C29" i="6"/>
  <c r="C30" i="6"/>
  <c r="J72" i="6" s="1"/>
  <c r="C31" i="6"/>
  <c r="J73" i="6" s="1"/>
  <c r="C32" i="6"/>
  <c r="F74" i="6" s="1"/>
  <c r="C33" i="6"/>
  <c r="F75" i="6" s="1"/>
  <c r="C34" i="6"/>
  <c r="J76" i="6" s="1"/>
  <c r="C35" i="6"/>
  <c r="J77" i="6" s="1"/>
  <c r="C36" i="6"/>
  <c r="F78" i="6" s="1"/>
  <c r="C37" i="6"/>
  <c r="F79" i="6" s="1"/>
  <c r="C38" i="6"/>
  <c r="J80" i="6" s="1"/>
  <c r="C39" i="6"/>
  <c r="J81" i="6" s="1"/>
  <c r="C40" i="6"/>
  <c r="F82" i="6" s="1"/>
  <c r="C23" i="6"/>
  <c r="J65" i="6" s="1"/>
  <c r="C20" i="6"/>
  <c r="C21" i="6"/>
  <c r="J63" i="6" s="1"/>
  <c r="C22" i="6"/>
  <c r="G64" i="6" s="1"/>
  <c r="C19" i="6"/>
  <c r="J61" i="6" s="1"/>
  <c r="C15" i="6"/>
  <c r="J57" i="6" s="1"/>
  <c r="C16" i="6"/>
  <c r="C17" i="6"/>
  <c r="J59" i="6" s="1"/>
  <c r="C9" i="6"/>
  <c r="C10" i="6"/>
  <c r="J52" i="6" s="1"/>
  <c r="C11" i="6"/>
  <c r="J53" i="6" s="1"/>
  <c r="C12" i="6"/>
  <c r="J54" i="6" s="1"/>
  <c r="C13" i="6"/>
  <c r="C14" i="6"/>
  <c r="J56" i="6" s="1"/>
  <c r="C8" i="6"/>
  <c r="H87" i="13"/>
  <c r="J78" i="6" l="1"/>
  <c r="J70" i="6"/>
  <c r="J74" i="6"/>
  <c r="J66" i="6"/>
  <c r="J83" i="6"/>
  <c r="J58" i="10"/>
  <c r="F58" i="10"/>
  <c r="F77" i="6"/>
  <c r="F76" i="6"/>
  <c r="F73" i="6"/>
  <c r="F72" i="6"/>
  <c r="F69" i="6"/>
  <c r="F68" i="6"/>
  <c r="F65" i="6"/>
  <c r="J64" i="6"/>
  <c r="J82" i="6"/>
  <c r="F81" i="6"/>
  <c r="I58" i="10"/>
  <c r="E58" i="10"/>
  <c r="J276" i="13"/>
  <c r="K61" i="12"/>
  <c r="J61" i="12"/>
  <c r="I61" i="12"/>
  <c r="H61" i="12"/>
  <c r="G61" i="12"/>
  <c r="F61" i="12"/>
  <c r="E61" i="12"/>
  <c r="K60" i="12"/>
  <c r="J60" i="12"/>
  <c r="I60" i="12"/>
  <c r="H60" i="12"/>
  <c r="G60" i="12"/>
  <c r="F60" i="12"/>
  <c r="E60" i="12"/>
  <c r="K59" i="12"/>
  <c r="J59" i="12"/>
  <c r="I59" i="12"/>
  <c r="H59" i="12"/>
  <c r="G59" i="12"/>
  <c r="F59" i="12"/>
  <c r="E59" i="12"/>
  <c r="K58" i="12"/>
  <c r="J58" i="12"/>
  <c r="I58" i="12"/>
  <c r="H58" i="12"/>
  <c r="G58" i="12"/>
  <c r="F58" i="12"/>
  <c r="E58" i="12"/>
  <c r="K57" i="12"/>
  <c r="J57" i="12"/>
  <c r="I57" i="12"/>
  <c r="H57" i="12"/>
  <c r="G57" i="12"/>
  <c r="F57" i="12"/>
  <c r="E57" i="12"/>
  <c r="K56" i="12"/>
  <c r="J56" i="12"/>
  <c r="I56" i="12"/>
  <c r="H56" i="12"/>
  <c r="G56" i="12"/>
  <c r="F56" i="12"/>
  <c r="E56" i="12"/>
  <c r="K55" i="12"/>
  <c r="J55" i="12"/>
  <c r="I55" i="12"/>
  <c r="H55" i="12"/>
  <c r="G55" i="12"/>
  <c r="F55" i="12"/>
  <c r="E55" i="12"/>
  <c r="K54" i="12"/>
  <c r="J54" i="12"/>
  <c r="I54" i="12"/>
  <c r="H54" i="12"/>
  <c r="G54" i="12"/>
  <c r="F54" i="12"/>
  <c r="E54" i="12"/>
  <c r="K53" i="12"/>
  <c r="J53" i="12"/>
  <c r="I53" i="12"/>
  <c r="H53" i="12"/>
  <c r="G53" i="12"/>
  <c r="F53" i="12"/>
  <c r="E53" i="12"/>
  <c r="K52" i="12"/>
  <c r="J52" i="12"/>
  <c r="I52" i="12"/>
  <c r="H52" i="12"/>
  <c r="G52" i="12"/>
  <c r="F52" i="12"/>
  <c r="E52" i="12"/>
  <c r="K51" i="12"/>
  <c r="J51" i="12"/>
  <c r="I51" i="12"/>
  <c r="H51" i="12"/>
  <c r="G51" i="12"/>
  <c r="F51" i="12"/>
  <c r="E51" i="12"/>
  <c r="K50" i="12"/>
  <c r="J50" i="12"/>
  <c r="I50" i="12"/>
  <c r="H50" i="12"/>
  <c r="G50" i="12"/>
  <c r="F50" i="12"/>
  <c r="E50" i="12"/>
  <c r="K49" i="12"/>
  <c r="J49" i="12"/>
  <c r="I49" i="12"/>
  <c r="H49" i="12"/>
  <c r="G49" i="12"/>
  <c r="F49" i="12"/>
  <c r="E49" i="12"/>
  <c r="K48" i="12"/>
  <c r="J48" i="12"/>
  <c r="I48" i="12"/>
  <c r="H48" i="12"/>
  <c r="G48" i="12"/>
  <c r="F48" i="12"/>
  <c r="E48" i="12"/>
  <c r="K47" i="12"/>
  <c r="J47" i="12"/>
  <c r="I47" i="12"/>
  <c r="H47" i="12"/>
  <c r="G47" i="12"/>
  <c r="F47" i="12"/>
  <c r="E47" i="12"/>
  <c r="K46" i="12"/>
  <c r="I46" i="12"/>
  <c r="H46" i="12"/>
  <c r="G46" i="12"/>
  <c r="E46" i="12"/>
  <c r="K45" i="12"/>
  <c r="J45" i="12"/>
  <c r="I45" i="12"/>
  <c r="H45" i="12"/>
  <c r="G45" i="12"/>
  <c r="F45" i="12"/>
  <c r="E45" i="12"/>
  <c r="K44" i="12"/>
  <c r="I44" i="12"/>
  <c r="H44" i="12"/>
  <c r="F44" i="12"/>
  <c r="E44" i="12"/>
  <c r="K43" i="12"/>
  <c r="J43" i="12"/>
  <c r="I43" i="12"/>
  <c r="H43" i="12"/>
  <c r="G43" i="12"/>
  <c r="F43" i="12"/>
  <c r="E43" i="12"/>
  <c r="K42" i="12"/>
  <c r="J42" i="12"/>
  <c r="I42" i="12"/>
  <c r="H42" i="12"/>
  <c r="G42" i="12"/>
  <c r="E42" i="12"/>
  <c r="K41" i="12"/>
  <c r="I41" i="12"/>
  <c r="H41" i="12"/>
  <c r="G41" i="12"/>
  <c r="F41" i="12"/>
  <c r="E41" i="12"/>
  <c r="K40" i="12"/>
  <c r="I40" i="12"/>
  <c r="H40" i="12"/>
  <c r="F40" i="12"/>
  <c r="E40" i="12"/>
  <c r="K39" i="12"/>
  <c r="I39" i="12"/>
  <c r="H39" i="12"/>
  <c r="F39" i="12"/>
  <c r="E39" i="12"/>
  <c r="K38" i="12"/>
  <c r="I38" i="12"/>
  <c r="H38" i="12"/>
  <c r="G38" i="12"/>
  <c r="F38" i="12"/>
  <c r="E38" i="12"/>
  <c r="K37" i="12"/>
  <c r="J37" i="12"/>
  <c r="I37" i="12"/>
  <c r="H37" i="12"/>
  <c r="G37" i="12"/>
  <c r="F37" i="12"/>
  <c r="E37" i="12"/>
  <c r="K36" i="12"/>
  <c r="J36" i="12"/>
  <c r="I36" i="12"/>
  <c r="H36" i="12"/>
  <c r="G36" i="12"/>
  <c r="F36" i="12"/>
  <c r="E36" i="12"/>
  <c r="J46" i="12"/>
  <c r="G44" i="12"/>
  <c r="F42" i="12"/>
  <c r="J41" i="12"/>
  <c r="J40" i="12"/>
  <c r="J39" i="12"/>
  <c r="G39" i="12"/>
  <c r="J38" i="12"/>
  <c r="K61" i="11"/>
  <c r="J61" i="11"/>
  <c r="I61" i="11"/>
  <c r="H61" i="11"/>
  <c r="G61" i="11"/>
  <c r="F61" i="11"/>
  <c r="E61" i="11"/>
  <c r="K60" i="11"/>
  <c r="J60" i="11"/>
  <c r="I60" i="11"/>
  <c r="H60" i="11"/>
  <c r="G60" i="11"/>
  <c r="F60" i="11"/>
  <c r="E60" i="11"/>
  <c r="K59" i="11"/>
  <c r="J59" i="11"/>
  <c r="I59" i="11"/>
  <c r="H59" i="11"/>
  <c r="G59" i="11"/>
  <c r="F59" i="11"/>
  <c r="E59" i="11"/>
  <c r="K58" i="11"/>
  <c r="J58" i="11"/>
  <c r="I58" i="11"/>
  <c r="H58" i="11"/>
  <c r="G58" i="11"/>
  <c r="F58" i="11"/>
  <c r="E58" i="11"/>
  <c r="K57" i="1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I55" i="11"/>
  <c r="H55" i="11"/>
  <c r="G55" i="11"/>
  <c r="F55" i="11"/>
  <c r="E55" i="11"/>
  <c r="K54" i="11"/>
  <c r="J54" i="11"/>
  <c r="I54" i="11"/>
  <c r="H54" i="11"/>
  <c r="G54" i="11"/>
  <c r="F54" i="11"/>
  <c r="E54" i="11"/>
  <c r="K53" i="11"/>
  <c r="J53" i="11"/>
  <c r="I53" i="11"/>
  <c r="H53" i="11"/>
  <c r="G53" i="11"/>
  <c r="F53" i="11"/>
  <c r="E53" i="11"/>
  <c r="K52" i="11"/>
  <c r="J52" i="11"/>
  <c r="I52" i="11"/>
  <c r="H52" i="11"/>
  <c r="G52" i="11"/>
  <c r="F52" i="11"/>
  <c r="E52" i="11"/>
  <c r="K51" i="11"/>
  <c r="J51" i="11"/>
  <c r="I51" i="11"/>
  <c r="H51" i="11"/>
  <c r="G51" i="11"/>
  <c r="F51" i="11"/>
  <c r="E51" i="11"/>
  <c r="K50" i="11"/>
  <c r="J50" i="11"/>
  <c r="I50" i="11"/>
  <c r="H50" i="11"/>
  <c r="G50" i="11"/>
  <c r="F50" i="11"/>
  <c r="E50" i="1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J47" i="11"/>
  <c r="I47" i="11"/>
  <c r="H47" i="11"/>
  <c r="G47" i="11"/>
  <c r="F47" i="11"/>
  <c r="E47" i="11"/>
  <c r="K46" i="11"/>
  <c r="I46" i="11"/>
  <c r="H46" i="11"/>
  <c r="G46" i="11"/>
  <c r="E46" i="11"/>
  <c r="K45" i="11"/>
  <c r="I45" i="11"/>
  <c r="H45" i="11"/>
  <c r="F45" i="11"/>
  <c r="E45" i="11"/>
  <c r="K44" i="11"/>
  <c r="J44" i="11"/>
  <c r="I44" i="11"/>
  <c r="H44" i="11"/>
  <c r="F44" i="11"/>
  <c r="E44" i="11"/>
  <c r="K43" i="11"/>
  <c r="J43" i="11"/>
  <c r="I43" i="11"/>
  <c r="G43" i="11"/>
  <c r="F43" i="11"/>
  <c r="E43" i="11"/>
  <c r="K42" i="11"/>
  <c r="J42" i="11"/>
  <c r="I42" i="11"/>
  <c r="H42" i="11"/>
  <c r="G42" i="11"/>
  <c r="E42" i="11"/>
  <c r="K41" i="11"/>
  <c r="I41" i="11"/>
  <c r="H41" i="11"/>
  <c r="G41" i="11"/>
  <c r="F41" i="11"/>
  <c r="K40" i="11"/>
  <c r="I40" i="11"/>
  <c r="H40" i="11"/>
  <c r="F40" i="11"/>
  <c r="E40" i="11"/>
  <c r="K39" i="11"/>
  <c r="J39" i="11"/>
  <c r="I39" i="11"/>
  <c r="H39" i="11"/>
  <c r="F39" i="11"/>
  <c r="E39" i="11"/>
  <c r="K38" i="11"/>
  <c r="I38" i="11"/>
  <c r="H38" i="11"/>
  <c r="F38" i="11"/>
  <c r="E38" i="11"/>
  <c r="K37" i="11"/>
  <c r="J37" i="11"/>
  <c r="I37" i="11"/>
  <c r="H37" i="11"/>
  <c r="G37" i="11"/>
  <c r="F37" i="11"/>
  <c r="E37" i="11"/>
  <c r="K36" i="11"/>
  <c r="J36" i="11"/>
  <c r="I36" i="11"/>
  <c r="H36" i="11"/>
  <c r="G36" i="11"/>
  <c r="F36" i="11"/>
  <c r="E36" i="11"/>
  <c r="J46" i="11"/>
  <c r="J45" i="11"/>
  <c r="G44" i="11"/>
  <c r="H43" i="11"/>
  <c r="F42" i="11"/>
  <c r="J41" i="11"/>
  <c r="J38" i="11"/>
  <c r="K57" i="10"/>
  <c r="K107" i="10" s="1"/>
  <c r="J57" i="10"/>
  <c r="J107" i="10" s="1"/>
  <c r="I57" i="10"/>
  <c r="I107" i="10" s="1"/>
  <c r="H57" i="10"/>
  <c r="H107" i="10" s="1"/>
  <c r="G57" i="10"/>
  <c r="G107" i="10" s="1"/>
  <c r="F57" i="10"/>
  <c r="F107" i="10" s="1"/>
  <c r="E57" i="10"/>
  <c r="E107" i="10" s="1"/>
  <c r="K44" i="9"/>
  <c r="J44" i="9"/>
  <c r="I44" i="9"/>
  <c r="H44" i="9"/>
  <c r="G44" i="9"/>
  <c r="F44" i="9"/>
  <c r="K38" i="8"/>
  <c r="J38" i="8"/>
  <c r="I38" i="8"/>
  <c r="H38" i="8"/>
  <c r="G38" i="8"/>
  <c r="F38" i="8"/>
  <c r="E38" i="8"/>
  <c r="K61" i="7"/>
  <c r="J61" i="7"/>
  <c r="I61" i="7"/>
  <c r="H61" i="7"/>
  <c r="G61" i="7"/>
  <c r="F61" i="7"/>
  <c r="E61" i="7"/>
  <c r="K60" i="7"/>
  <c r="J60" i="7"/>
  <c r="I60" i="7"/>
  <c r="H60" i="7"/>
  <c r="G60" i="7"/>
  <c r="F60" i="7"/>
  <c r="E60" i="7"/>
  <c r="K59" i="7"/>
  <c r="J59" i="7"/>
  <c r="I59" i="7"/>
  <c r="H59" i="7"/>
  <c r="G59" i="7"/>
  <c r="F59" i="7"/>
  <c r="E59" i="7"/>
  <c r="K58" i="7"/>
  <c r="J58" i="7"/>
  <c r="I58" i="7"/>
  <c r="H58" i="7"/>
  <c r="G58" i="7"/>
  <c r="F58" i="7"/>
  <c r="E58" i="7"/>
  <c r="K57" i="7"/>
  <c r="J57" i="7"/>
  <c r="I57" i="7"/>
  <c r="H57" i="7"/>
  <c r="G57" i="7"/>
  <c r="F57" i="7"/>
  <c r="E57" i="7"/>
  <c r="K56" i="7"/>
  <c r="J56" i="7"/>
  <c r="I56" i="7"/>
  <c r="H56" i="7"/>
  <c r="G56" i="7"/>
  <c r="F56" i="7"/>
  <c r="E56" i="7"/>
  <c r="K55" i="7"/>
  <c r="J55" i="7"/>
  <c r="I55" i="7"/>
  <c r="H55" i="7"/>
  <c r="G55" i="7"/>
  <c r="F55" i="7"/>
  <c r="E55" i="7"/>
  <c r="K54" i="7"/>
  <c r="J54" i="7"/>
  <c r="I54" i="7"/>
  <c r="H54" i="7"/>
  <c r="G54" i="7"/>
  <c r="F54" i="7"/>
  <c r="E54" i="7"/>
  <c r="K53" i="7"/>
  <c r="J53" i="7"/>
  <c r="I53" i="7"/>
  <c r="H53" i="7"/>
  <c r="G53" i="7"/>
  <c r="F53" i="7"/>
  <c r="E53" i="7"/>
  <c r="K52" i="7"/>
  <c r="J52" i="7"/>
  <c r="I52" i="7"/>
  <c r="H52" i="7"/>
  <c r="G52" i="7"/>
  <c r="F52" i="7"/>
  <c r="E52" i="7"/>
  <c r="K51" i="7"/>
  <c r="J51" i="7"/>
  <c r="I51" i="7"/>
  <c r="H51" i="7"/>
  <c r="G51" i="7"/>
  <c r="F51" i="7"/>
  <c r="E51" i="7"/>
  <c r="K50" i="7"/>
  <c r="J50" i="7"/>
  <c r="I50" i="7"/>
  <c r="H50" i="7"/>
  <c r="G50" i="7"/>
  <c r="F50" i="7"/>
  <c r="E50" i="7"/>
  <c r="K49" i="7"/>
  <c r="J49" i="7"/>
  <c r="I49" i="7"/>
  <c r="H49" i="7"/>
  <c r="G49" i="7"/>
  <c r="F49" i="7"/>
  <c r="E49" i="7"/>
  <c r="K48" i="7"/>
  <c r="J48" i="7"/>
  <c r="I48" i="7"/>
  <c r="H48" i="7"/>
  <c r="G48" i="7"/>
  <c r="F48" i="7"/>
  <c r="E48" i="7"/>
  <c r="K47" i="7"/>
  <c r="J47" i="7"/>
  <c r="I47" i="7"/>
  <c r="H47" i="7"/>
  <c r="G47" i="7"/>
  <c r="F47" i="7"/>
  <c r="E47" i="7"/>
  <c r="K46" i="7"/>
  <c r="I46" i="7"/>
  <c r="H46" i="7"/>
  <c r="G46" i="7"/>
  <c r="E46" i="7"/>
  <c r="K45" i="7"/>
  <c r="I45" i="7"/>
  <c r="H45" i="7"/>
  <c r="F45" i="7"/>
  <c r="E45" i="7"/>
  <c r="K44" i="7"/>
  <c r="I44" i="7"/>
  <c r="H44" i="7"/>
  <c r="F44" i="7"/>
  <c r="E44" i="7"/>
  <c r="K43" i="7"/>
  <c r="I43" i="7"/>
  <c r="G43" i="7"/>
  <c r="F43" i="7"/>
  <c r="E43" i="7"/>
  <c r="K42" i="7"/>
  <c r="J42" i="7"/>
  <c r="I42" i="7"/>
  <c r="H42" i="7"/>
  <c r="G42" i="7"/>
  <c r="E42" i="7"/>
  <c r="K41" i="7"/>
  <c r="I41" i="7"/>
  <c r="H41" i="7"/>
  <c r="G41" i="7"/>
  <c r="F41" i="7"/>
  <c r="K40" i="7"/>
  <c r="I40" i="7"/>
  <c r="H40" i="7"/>
  <c r="F40" i="7"/>
  <c r="E40" i="7"/>
  <c r="K39" i="7"/>
  <c r="I39" i="7"/>
  <c r="H39" i="7"/>
  <c r="F39" i="7"/>
  <c r="E39" i="7"/>
  <c r="K38" i="7"/>
  <c r="J38" i="7"/>
  <c r="I38" i="7"/>
  <c r="H38" i="7"/>
  <c r="G38" i="7"/>
  <c r="F38" i="7"/>
  <c r="E38" i="7"/>
  <c r="K37" i="7"/>
  <c r="J37" i="7"/>
  <c r="I37" i="7"/>
  <c r="H37" i="7"/>
  <c r="G37" i="7"/>
  <c r="F37" i="7"/>
  <c r="E37" i="7"/>
  <c r="K36" i="7"/>
  <c r="J36" i="7"/>
  <c r="I36" i="7"/>
  <c r="H36" i="7"/>
  <c r="G36" i="7"/>
  <c r="F36" i="7"/>
  <c r="E36" i="7"/>
  <c r="J46" i="7"/>
  <c r="J45" i="7"/>
  <c r="G44" i="7"/>
  <c r="J43" i="7"/>
  <c r="F42" i="7"/>
  <c r="J41" i="7"/>
  <c r="J40" i="7"/>
  <c r="J39" i="7"/>
  <c r="H63" i="6"/>
  <c r="G63" i="6"/>
  <c r="F63" i="6"/>
  <c r="E63" i="6"/>
  <c r="H62" i="6"/>
  <c r="G62" i="6"/>
  <c r="F62" i="6"/>
  <c r="E62" i="6"/>
  <c r="H61" i="6"/>
  <c r="G61" i="6"/>
  <c r="F61" i="6"/>
  <c r="E61" i="6"/>
  <c r="H60" i="6"/>
  <c r="G60" i="6"/>
  <c r="F60" i="6"/>
  <c r="E60" i="6"/>
  <c r="H59" i="6"/>
  <c r="G59" i="6"/>
  <c r="E59" i="6"/>
  <c r="H58" i="6"/>
  <c r="G58" i="6"/>
  <c r="F58" i="6"/>
  <c r="E58" i="6"/>
  <c r="H57" i="6"/>
  <c r="F57" i="6"/>
  <c r="E57" i="6"/>
  <c r="G56" i="6"/>
  <c r="F56" i="6"/>
  <c r="E56" i="6"/>
  <c r="H55" i="6"/>
  <c r="G55" i="6"/>
  <c r="E55" i="6"/>
  <c r="H54" i="6"/>
  <c r="G54" i="6"/>
  <c r="F54" i="6"/>
  <c r="E54" i="6"/>
  <c r="H53" i="6"/>
  <c r="F53" i="6"/>
  <c r="E53" i="6"/>
  <c r="H52" i="6"/>
  <c r="F52" i="6"/>
  <c r="E52" i="6"/>
  <c r="H51" i="6"/>
  <c r="F51" i="6"/>
  <c r="E51" i="6"/>
  <c r="H50" i="6"/>
  <c r="G50" i="6"/>
  <c r="F50" i="6"/>
  <c r="E50" i="6"/>
  <c r="K49" i="6"/>
  <c r="K89" i="6" s="1"/>
  <c r="J8" i="2" s="1"/>
  <c r="J49" i="6"/>
  <c r="J89" i="6" s="1"/>
  <c r="I8" i="2" s="1"/>
  <c r="I49" i="6"/>
  <c r="I89" i="6" s="1"/>
  <c r="H8" i="2" s="1"/>
  <c r="H49" i="6"/>
  <c r="G49" i="6"/>
  <c r="F49" i="6"/>
  <c r="E49" i="6"/>
  <c r="G57" i="6"/>
  <c r="H56" i="6"/>
  <c r="F55" i="6"/>
  <c r="G53" i="6"/>
  <c r="K31" i="5"/>
  <c r="J31" i="5"/>
  <c r="I31" i="5"/>
  <c r="H31" i="5"/>
  <c r="G31" i="5"/>
  <c r="F31" i="5"/>
  <c r="K46" i="4"/>
  <c r="J46" i="4"/>
  <c r="I46" i="4"/>
  <c r="H46" i="4"/>
  <c r="G46" i="4"/>
  <c r="F46" i="4"/>
  <c r="E46" i="4"/>
  <c r="K61" i="3"/>
  <c r="J61" i="3"/>
  <c r="I61" i="3"/>
  <c r="H61" i="3"/>
  <c r="G61" i="3"/>
  <c r="F61" i="3"/>
  <c r="E61" i="3"/>
  <c r="K60" i="3"/>
  <c r="J60" i="3"/>
  <c r="I60" i="3"/>
  <c r="H60" i="3"/>
  <c r="G60" i="3"/>
  <c r="F60" i="3"/>
  <c r="E60" i="3"/>
  <c r="K59" i="3"/>
  <c r="J59" i="3"/>
  <c r="I59" i="3"/>
  <c r="H59" i="3"/>
  <c r="G59" i="3"/>
  <c r="F59" i="3"/>
  <c r="E59" i="3"/>
  <c r="K58" i="3"/>
  <c r="J58" i="3"/>
  <c r="I58" i="3"/>
  <c r="H58" i="3"/>
  <c r="G58" i="3"/>
  <c r="F58" i="3"/>
  <c r="E58" i="3"/>
  <c r="K57" i="3"/>
  <c r="J57" i="3"/>
  <c r="I57" i="3"/>
  <c r="H57" i="3"/>
  <c r="G57" i="3"/>
  <c r="F57" i="3"/>
  <c r="E57" i="3"/>
  <c r="K56" i="3"/>
  <c r="J56" i="3"/>
  <c r="I56" i="3"/>
  <c r="H56" i="3"/>
  <c r="G56" i="3"/>
  <c r="F56" i="3"/>
  <c r="E56" i="3"/>
  <c r="K55" i="3"/>
  <c r="J55" i="3"/>
  <c r="I55" i="3"/>
  <c r="H55" i="3"/>
  <c r="G55" i="3"/>
  <c r="F55" i="3"/>
  <c r="E55" i="3"/>
  <c r="K54" i="3"/>
  <c r="J54" i="3"/>
  <c r="I54" i="3"/>
  <c r="H54" i="3"/>
  <c r="G54" i="3"/>
  <c r="F54" i="3"/>
  <c r="E54" i="3"/>
  <c r="K53" i="3"/>
  <c r="J53" i="3"/>
  <c r="I53" i="3"/>
  <c r="H53" i="3"/>
  <c r="G53" i="3"/>
  <c r="F53" i="3"/>
  <c r="E53" i="3"/>
  <c r="K52" i="3"/>
  <c r="J52" i="3"/>
  <c r="I52" i="3"/>
  <c r="H52" i="3"/>
  <c r="G52" i="3"/>
  <c r="F52" i="3"/>
  <c r="E52" i="3"/>
  <c r="K51" i="3"/>
  <c r="J51" i="3"/>
  <c r="I51" i="3"/>
  <c r="H51" i="3"/>
  <c r="G51" i="3"/>
  <c r="F51" i="3"/>
  <c r="E51" i="3"/>
  <c r="K50" i="3"/>
  <c r="J50" i="3"/>
  <c r="I50" i="3"/>
  <c r="H50" i="3"/>
  <c r="G50" i="3"/>
  <c r="F50" i="3"/>
  <c r="E50" i="3"/>
  <c r="K49" i="3"/>
  <c r="J49" i="3"/>
  <c r="I49" i="3"/>
  <c r="H49" i="3"/>
  <c r="G49" i="3"/>
  <c r="F49" i="3"/>
  <c r="E49" i="3"/>
  <c r="K48" i="3"/>
  <c r="J48" i="3"/>
  <c r="I48" i="3"/>
  <c r="H48" i="3"/>
  <c r="G48" i="3"/>
  <c r="F48" i="3"/>
  <c r="E48" i="3"/>
  <c r="K47" i="3"/>
  <c r="J47" i="3"/>
  <c r="I47" i="3"/>
  <c r="H47" i="3"/>
  <c r="G47" i="3"/>
  <c r="F47" i="3"/>
  <c r="E47" i="3"/>
  <c r="K46" i="3"/>
  <c r="I46" i="3"/>
  <c r="H46" i="3"/>
  <c r="G46" i="3"/>
  <c r="F46" i="3"/>
  <c r="E46" i="3"/>
  <c r="K45" i="3"/>
  <c r="J45" i="3"/>
  <c r="I45" i="3"/>
  <c r="H45" i="3"/>
  <c r="F45" i="3"/>
  <c r="E45" i="3"/>
  <c r="K44" i="3"/>
  <c r="I44" i="3"/>
  <c r="H44" i="3"/>
  <c r="G44" i="3"/>
  <c r="F44" i="3"/>
  <c r="E44" i="3"/>
  <c r="K43" i="3"/>
  <c r="I43" i="3"/>
  <c r="G43" i="3"/>
  <c r="F43" i="3"/>
  <c r="E43" i="3"/>
  <c r="K42" i="3"/>
  <c r="I42" i="3"/>
  <c r="H42" i="3"/>
  <c r="G42" i="3"/>
  <c r="E42" i="3"/>
  <c r="K41" i="3"/>
  <c r="J41" i="3"/>
  <c r="I41" i="3"/>
  <c r="H41" i="3"/>
  <c r="G41" i="3"/>
  <c r="F41" i="3"/>
  <c r="K40" i="3"/>
  <c r="I40" i="3"/>
  <c r="H40" i="3"/>
  <c r="F40" i="3"/>
  <c r="E40" i="3"/>
  <c r="K39" i="3"/>
  <c r="I39" i="3"/>
  <c r="H39" i="3"/>
  <c r="F39" i="3"/>
  <c r="E39" i="3"/>
  <c r="K38" i="3"/>
  <c r="I38" i="3"/>
  <c r="H38" i="3"/>
  <c r="G38" i="3"/>
  <c r="F38" i="3"/>
  <c r="E38" i="3"/>
  <c r="K37" i="3"/>
  <c r="J37" i="3"/>
  <c r="I37" i="3"/>
  <c r="H37" i="3"/>
  <c r="G37" i="3"/>
  <c r="F37" i="3"/>
  <c r="E37" i="3"/>
  <c r="K36" i="3"/>
  <c r="J36" i="3"/>
  <c r="I36" i="3"/>
  <c r="H36" i="3"/>
  <c r="G36" i="3"/>
  <c r="F36" i="3"/>
  <c r="E36" i="3"/>
  <c r="J46" i="3"/>
  <c r="G45" i="3"/>
  <c r="J44" i="3"/>
  <c r="J43" i="3"/>
  <c r="J42" i="3"/>
  <c r="E41" i="3"/>
  <c r="J39" i="3"/>
  <c r="G39" i="3"/>
  <c r="J38" i="3"/>
  <c r="K47" i="1"/>
  <c r="J47" i="1"/>
  <c r="I47" i="1"/>
  <c r="H47" i="1"/>
  <c r="G47" i="1"/>
  <c r="F47" i="1"/>
  <c r="H89" i="6" l="1"/>
  <c r="G8" i="2" s="1"/>
  <c r="E89" i="6"/>
  <c r="D8" i="2" s="1"/>
  <c r="E69" i="8"/>
  <c r="I87" i="1"/>
  <c r="H5" i="2" s="1"/>
  <c r="E87" i="1"/>
  <c r="D5" i="2" s="1"/>
  <c r="H87" i="1"/>
  <c r="G5" i="2" s="1"/>
  <c r="F87" i="1"/>
  <c r="E5" i="2" s="1"/>
  <c r="J87" i="1"/>
  <c r="I5" i="2" s="1"/>
  <c r="G87" i="1"/>
  <c r="F5" i="2" s="1"/>
  <c r="K87" i="1"/>
  <c r="J5" i="2" s="1"/>
  <c r="K62" i="12"/>
  <c r="J14" i="2" s="1"/>
  <c r="I62" i="12"/>
  <c r="H14" i="2" s="1"/>
  <c r="K62" i="7"/>
  <c r="I108" i="10"/>
  <c r="H12" i="2" s="1"/>
  <c r="K62" i="3"/>
  <c r="J4" i="2" s="1"/>
  <c r="I62" i="3"/>
  <c r="H4" i="2" s="1"/>
  <c r="H62" i="12"/>
  <c r="G14" i="2" s="1"/>
  <c r="E62" i="12"/>
  <c r="D14" i="2" s="1"/>
  <c r="K62" i="11"/>
  <c r="J13" i="2" s="1"/>
  <c r="I62" i="11"/>
  <c r="H13" i="2" s="1"/>
  <c r="K108" i="10"/>
  <c r="J12" i="2" s="1"/>
  <c r="E108" i="10"/>
  <c r="D12" i="2" s="1"/>
  <c r="E79" i="9"/>
  <c r="H79" i="9"/>
  <c r="I79" i="9"/>
  <c r="K79" i="9"/>
  <c r="D10" i="2"/>
  <c r="H69" i="8"/>
  <c r="G10" i="2" s="1"/>
  <c r="I69" i="8"/>
  <c r="H10" i="2" s="1"/>
  <c r="K69" i="8"/>
  <c r="J10" i="2" s="1"/>
  <c r="I62" i="7"/>
  <c r="E53" i="5"/>
  <c r="D7" i="2" s="1"/>
  <c r="H53" i="5"/>
  <c r="G7" i="2" s="1"/>
  <c r="I53" i="5"/>
  <c r="H7" i="2" s="1"/>
  <c r="K53" i="5"/>
  <c r="J7" i="2" s="1"/>
  <c r="I84" i="4"/>
  <c r="H6" i="2" s="1"/>
  <c r="K84" i="4"/>
  <c r="J6" i="2" s="1"/>
  <c r="J44" i="12"/>
  <c r="J62" i="12" s="1"/>
  <c r="I14" i="2" s="1"/>
  <c r="G40" i="12"/>
  <c r="G62" i="12" s="1"/>
  <c r="F14" i="2" s="1"/>
  <c r="F46" i="12"/>
  <c r="F62" i="12" s="1"/>
  <c r="E14" i="2" s="1"/>
  <c r="G40" i="11"/>
  <c r="J40" i="11"/>
  <c r="J62" i="11" s="1"/>
  <c r="I13" i="2" s="1"/>
  <c r="H62" i="11"/>
  <c r="G13" i="2" s="1"/>
  <c r="G38" i="11"/>
  <c r="G45" i="11"/>
  <c r="E41" i="11"/>
  <c r="E62" i="11" s="1"/>
  <c r="D13" i="2" s="1"/>
  <c r="G39" i="11"/>
  <c r="F46" i="11"/>
  <c r="F62" i="11" s="1"/>
  <c r="E13" i="2" s="1"/>
  <c r="F108" i="10"/>
  <c r="E12" i="2" s="1"/>
  <c r="J108" i="10"/>
  <c r="I12" i="2" s="1"/>
  <c r="G108" i="10"/>
  <c r="F12" i="2" s="1"/>
  <c r="H108" i="10"/>
  <c r="G12" i="2" s="1"/>
  <c r="F79" i="9"/>
  <c r="F69" i="8"/>
  <c r="E10" i="2" s="1"/>
  <c r="J44" i="7"/>
  <c r="J62" i="7" s="1"/>
  <c r="G40" i="7"/>
  <c r="G45" i="7"/>
  <c r="E41" i="7"/>
  <c r="E62" i="7" s="1"/>
  <c r="H43" i="7"/>
  <c r="H62" i="7" s="1"/>
  <c r="G39" i="7"/>
  <c r="F46" i="7"/>
  <c r="F62" i="7" s="1"/>
  <c r="G51" i="6"/>
  <c r="G52" i="6"/>
  <c r="F59" i="6"/>
  <c r="F89" i="6" s="1"/>
  <c r="E8" i="2" s="1"/>
  <c r="F53" i="5"/>
  <c r="E7" i="2" s="1"/>
  <c r="F84" i="4"/>
  <c r="E6" i="2" s="1"/>
  <c r="E84" i="4"/>
  <c r="D6" i="2" s="1"/>
  <c r="H84" i="4"/>
  <c r="G6" i="2" s="1"/>
  <c r="E62" i="3"/>
  <c r="D4" i="2" s="1"/>
  <c r="F42" i="3"/>
  <c r="F62" i="3" s="1"/>
  <c r="E4" i="2" s="1"/>
  <c r="H43" i="3"/>
  <c r="H62" i="3" s="1"/>
  <c r="G4" i="2" s="1"/>
  <c r="G89" i="6" l="1"/>
  <c r="F8" i="2" s="1"/>
  <c r="D16" i="2"/>
  <c r="J16" i="2"/>
  <c r="H16" i="2"/>
  <c r="E16" i="2"/>
  <c r="G16" i="2"/>
  <c r="G84" i="4"/>
  <c r="F6" i="2" s="1"/>
  <c r="J84" i="4"/>
  <c r="I6" i="2" s="1"/>
  <c r="G62" i="11"/>
  <c r="F13" i="2" s="1"/>
  <c r="G62" i="7"/>
  <c r="J79" i="9"/>
  <c r="G79" i="9"/>
  <c r="J69" i="8"/>
  <c r="I10" i="2" s="1"/>
  <c r="G69" i="8"/>
  <c r="F10" i="2" s="1"/>
  <c r="J53" i="5"/>
  <c r="I7" i="2" s="1"/>
  <c r="G53" i="5"/>
  <c r="F7" i="2" s="1"/>
  <c r="J40" i="3"/>
  <c r="J62" i="3" s="1"/>
  <c r="I4" i="2" s="1"/>
  <c r="G40" i="3"/>
  <c r="G62" i="3" s="1"/>
  <c r="F4" i="2" s="1"/>
  <c r="F16" i="2" l="1"/>
  <c r="G17" i="2" s="1"/>
  <c r="G18" i="2" s="1"/>
  <c r="I16" i="2"/>
</calcChain>
</file>

<file path=xl/sharedStrings.xml><?xml version="1.0" encoding="utf-8"?>
<sst xmlns="http://schemas.openxmlformats.org/spreadsheetml/2006/main" count="1461" uniqueCount="363">
  <si>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</si>
  <si>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</si>
  <si>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</si>
  <si>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</si>
  <si>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</si>
  <si>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</si>
  <si>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</si>
  <si>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</si>
  <si>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</si>
  <si>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</si>
  <si>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</si>
  <si>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</si>
  <si>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</si>
  <si>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</si>
  <si>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</si>
  <si>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</si>
  <si>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</si>
  <si>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</si>
  <si>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010ETO0380</t>
  </si>
  <si>
    <t>010ETO0400</t>
  </si>
  <si>
    <t>C</t>
  </si>
  <si>
    <t>X</t>
  </si>
  <si>
    <t>RESUMO</t>
  </si>
  <si>
    <t>TRECHO</t>
  </si>
  <si>
    <t>RODOVIA TO-010 - TRECHO ENTR. BR-010 (ITACAJÁ) - PALMEIRANTE</t>
  </si>
  <si>
    <t>RODOVIA TO-010 - TRECHO ENTR. TO-222 (POVOADO FARTURÃO) - BABAÇULÂNDIA</t>
  </si>
  <si>
    <t>RODOVIA TO-020 - TRECHO RECURSOLÂNDIA - CAMPOS LINDOS</t>
  </si>
  <si>
    <t>RODOVIA TO-130 - TRECHO ENTR. TO-424 - TRECHO ENTR. TO-222</t>
  </si>
  <si>
    <t>RODOVIA TO-226 - TRECHO NOVA OLINDA - ENTR. TO-010</t>
  </si>
  <si>
    <t>RODOVIA TO-226 - TRECHO ENTR. TO-010 (POVOADO CAMPOS) - ENTR. BR-010</t>
  </si>
  <si>
    <t>RODOVIA TO-423 - TRECHO ARAGUAÍNA - ENTR. TO-424</t>
  </si>
  <si>
    <t>RODOVIA TO-424 - TRECHO ENTR. TO-010 (BABAÇULÂNDIA) - ENTR. TO-222</t>
  </si>
  <si>
    <t>RODOVIA TO-425 - TRECHO ENTR. TO-130 (BARRA DO OURO) - GOIATINS</t>
  </si>
  <si>
    <t>RODOVIA TO-426 - TRECHO POVOADO CRAOLÂNDIA - ENTR. TO-226</t>
  </si>
  <si>
    <t>RODOVIA TO-428 - TRECHO POVOADO BANDEIRA - ENTR. TO-226</t>
  </si>
  <si>
    <t>Nº DO TRECHO</t>
  </si>
  <si>
    <t>FICHA DE INSPEÇÃO:</t>
  </si>
  <si>
    <t>RELAÇÃO DOS TRECHOS DAS REGIÕES DE MANUTENÇÃO</t>
  </si>
  <si>
    <t>LOTE</t>
  </si>
  <si>
    <t>REGIÃO DE CONSERVAÇÃO</t>
  </si>
  <si>
    <t>CIDADE SEDE</t>
  </si>
  <si>
    <t>N°</t>
  </si>
  <si>
    <t>TRECHOS</t>
  </si>
  <si>
    <t>Tocantinópolis</t>
  </si>
  <si>
    <t>RODOVIA TO-010 - TRECHO ANANÁS - ENTR. BR-230</t>
  </si>
  <si>
    <t>RODOVIA TO-010 - TRECHO ENTR. BR-230 - ARAGUATINS</t>
  </si>
  <si>
    <t>RODOVIA TO-010 - TRECHO ARAGUATINS - ENTR. TO-201</t>
  </si>
  <si>
    <t>RODOVIA TO-010 - TRECHO BURITI DO TOCANTINS (ENTR. TO-201) - SÃO SEBASTIÃO DO TOCANTINS</t>
  </si>
  <si>
    <t>RODOVIA TO-126 - TRECHO TOCANTINÓPOLIS - ENTR. BR-230 (AGUIARNÓPOLIS)</t>
  </si>
  <si>
    <t>RODOVIA TO-126 - TRECHO MAURILÂNDIA - TOCANTINÓPOLIS</t>
  </si>
  <si>
    <t>RODOVIA TO-126 - TRECHO ITAGUATINS - MAURILÂNDIA DO TOCANTINS</t>
  </si>
  <si>
    <t xml:space="preserve">RODOVIA TO-126 - TRECHO SÍTIO NOVO DO TOCANTINS - ITAGUATINS </t>
  </si>
  <si>
    <t>RODOVIA TO-126 - TRECHO SUMAUMA - SÍTIO NOVO DO TOCANTINS</t>
  </si>
  <si>
    <t>RODOVIA TO-134 - TRECHO ANGICO - DARCINÓPOLIS</t>
  </si>
  <si>
    <t>RODOVIA TO-134 - TRECHO LUZINÓPOLIS - ANGICO</t>
  </si>
  <si>
    <t>RODOVIA TO-134 - TRECHO RIO TOCANTINS (JATOBAL) - AXIXÁ DO TOCANTINS</t>
  </si>
  <si>
    <t>RODOVIA TO-134 - TRECHO AXIXÁ DO TOCANTINS - ENTR. BR-230</t>
  </si>
  <si>
    <t>RODOVIA TO-201 - TRECHO DIV. TO-MA - SÃO MIGUEL DO TOCANTINS</t>
  </si>
  <si>
    <t>RODOVIA TO-201 - TRECHO SÃO MIGUEL DO TOCANTINS - SÍTIO NOVO DO TOCANTINS</t>
  </si>
  <si>
    <t>RODOVIA TO-201 - TRECHO SÍTIO NOVO DO TOCANTINS - AXIXÁ DO TOCANTINS</t>
  </si>
  <si>
    <t>RODOVIA TO-201 - TRECHO AXIXÁ DO TOCANTINS - AUGUSTINÓPOLIS</t>
  </si>
  <si>
    <t>RODOVIA TO-201 - TRECHO AUGUSTINÓPOLIS - BURITI DO TOCANTINS</t>
  </si>
  <si>
    <t>RODOVIA TO-201 - TRECHO BURITI DO TOCANTINS - ESPERANTINA</t>
  </si>
  <si>
    <t>RODOVIA TO-201 - TRECHO ESPERANTINA - DIVISA TO-MA</t>
  </si>
  <si>
    <t>RODOVIA TO-205 - TRECHO SÃO BENTO DO TOCANTINS - ENTR. TO-010</t>
  </si>
  <si>
    <t>RODOVIA TO-210 - TRECHO ENTR. TO-010 - DIVISA TO-PA (VILA ANTONINA)</t>
  </si>
  <si>
    <t>RODOVIA TO-210 - TRECHO ANGICO - ANANÁS</t>
  </si>
  <si>
    <t>RODOVIA TO-210 - TRECHO NAZARÉ - ENTR. TO-134 (POVOADO GROTÃO DE NAZARÉ)</t>
  </si>
  <si>
    <t>RODOVIA TO-210 - TRECHO TOCANTINÓPOLIS - NAZARÉ</t>
  </si>
  <si>
    <t>RODOVIA TO-402 - TRECHO DIVISA TO-MA (VILA JURANDIR BELIZARIO) - ENTR. TO-201</t>
  </si>
  <si>
    <t>RODOVIA TO-403 - TRECHO CARRASCO BONITO - SAMPAIO</t>
  </si>
  <si>
    <t>RODOVIA TO-403 - TRECHO SAMPAIO - ENTR. TO-404 (ITAÚBA)</t>
  </si>
  <si>
    <t>RODOVIA TO-404 - TRECHO AUGUSTINÓPOLIS - ENTR. TO-010 (POVOADO MATA VELHA)</t>
  </si>
  <si>
    <t xml:space="preserve">RODOVIA TO-404 - TRECHO AUGUSTINÓPOLIS - PRAIA NORTE </t>
  </si>
  <si>
    <t>RODOVIA TO-405 - TRECHO AXIXÁ DO TOCANTINS - ENTR. BR-230</t>
  </si>
  <si>
    <t>RODOVIA TO-407 - TRECHO CARRASCO BONITO - ENTR. TO-201 (POVOADO CENTRO DOS FIRMINOS)</t>
  </si>
  <si>
    <t>RODOVIA TO-409 - TRECHO MAURILÂNDIA - ENTR. TO-134</t>
  </si>
  <si>
    <t>RODOVIA TO-414 - TRECHO CACHOEIRINHA - ENTR. TO-010 (TAPUIO)</t>
  </si>
  <si>
    <t>RODOVIA TO-415 - TRECHO SANTA TEREZINHA DO TOCANTINS - PALMEIRAS DO TOCANTINS</t>
  </si>
  <si>
    <t>RODOVIA TO-415 - TRECHO NAZARÉ - SANTA TEREZINHA DO TOCANTINS</t>
  </si>
  <si>
    <t>RODOVIA TO-415 - TRECHO ENTR. RODOVIA VICINAL - NAZARÉ</t>
  </si>
  <si>
    <t>RODOVIA TO-416 - TRECHO ANANÁS - ENTR. TO-010</t>
  </si>
  <si>
    <t>Araguaína I</t>
  </si>
  <si>
    <t>RODOVIA TO-010 - TRECHO RIACHINHO - ANANÁS</t>
  </si>
  <si>
    <t>RODOVIA TO-010 - TRECHO WANDERLÂNDIA - RIACHINHO</t>
  </si>
  <si>
    <t>RODOVIA TO-164 - TRECHO ENTR. BR-153 (XAMBIOÁ) - ARAGUANÃ</t>
  </si>
  <si>
    <t>RODOVIA TO-164 - TRECHO FÁBRICA DE CIMENTO - XAMBIOÁ - ENTR. BR-153</t>
  </si>
  <si>
    <t>RODOVIA TO-164 - TRECHO ARAGOMINAS - MURICILÂNDIA</t>
  </si>
  <si>
    <t>RODOVIA TO-164 - TRECHO ARAGUANÃ - CARMOLÂNDIA</t>
  </si>
  <si>
    <t>RODOVIA TO-164 - TRECHO CARMOLÂNDIA - ENTR. TO-222 - ARAGOMINAS</t>
  </si>
  <si>
    <t>RODOVIA TO-164 - TRECHO ENTR. TO-226 - POVOADO DEZENOVE - BERNARDO SAYÃO</t>
  </si>
  <si>
    <t>RODOVIA TO-164 - TRECHO MURICILÂNDIA - ENTR. TO-226</t>
  </si>
  <si>
    <t>RODOVIA TO-165 - TRECHO SANTA FÉ DO ARAGUAIA - ENTR. TO-226 - ARAPOEMA</t>
  </si>
  <si>
    <t>RODOVIA TO-166 - TRECHO ENTR. TO-222 - ENTR. TO-226 - ARAPOEMA</t>
  </si>
  <si>
    <t>RODOVIA TO-222 - TRECHO ARAGUAÍNA - ENTR. TO-164 (NOVO HORIZONTE)</t>
  </si>
  <si>
    <t>RODOVIA TO-222 - TRECHO MURICILÂNDIA - SANTA FÉ DO ARAGUAIA</t>
  </si>
  <si>
    <t>RODOVIA TO-222 - TRECHO SANTA FÉ DO ARAGUAIA - DIVISA TO-PA (POVOADO PORTO LEMOS)</t>
  </si>
  <si>
    <t>RODOVIA TO-226 - TRECHO ENTR. BR-153 (POVOADO RIO PRETO) - DIVISA TO-PA (POVOADO GARIMPINHO)</t>
  </si>
  <si>
    <t>RODOVIA TO-230 - TRECHO ARAPOEMA - PAU D'ARCO (DIVISA TO-PA)</t>
  </si>
  <si>
    <t>RODOVIA TO-230 - TRECHO BANDEIRANTES DO TOCANTINS - ARAPOEMA</t>
  </si>
  <si>
    <t>RODOVIA TO-230 - TRECHO ENTR. BR-153 - BANDEIRANTES DO TOCANTINS</t>
  </si>
  <si>
    <t>RODOVIA TO-416 - TRECHO ENTR. BR-153 - RIACHINHO</t>
  </si>
  <si>
    <t>RODOVIA TO-416 - TRECHO ENTR. TO-222 - POVOADO COCALINHO</t>
  </si>
  <si>
    <t>RODOVIA TO-418 - TRECHO ENTR. BR-153 - ENTR. TO-164</t>
  </si>
  <si>
    <t>RODOVIA TO-419 - TRECHO POVOADO BARRA DA GROTA - ENTR. TO-222</t>
  </si>
  <si>
    <t>RODOVIA TO-420 - TRECHO ENTR. BR-153 (POVOADO XAMBERLÂNDIA) - PIRAQUÊ - ENTR. BR-153</t>
  </si>
  <si>
    <t>RODOVIA TO-421 - TRECHO ARAGUAÍNA - POVOADO GROTÃO</t>
  </si>
  <si>
    <t>RODOVIA TO-427 - TRECHO PAU D'ARCO (DIVISA TO-PA) - ENTR. TO-226</t>
  </si>
  <si>
    <t>RODOVIA TO-429 - TRECHO ENTR. TO-230 (ARAPOEMA) - POVOADO ARACAJI</t>
  </si>
  <si>
    <t>RODOVIA TO-430 - TRECHO POVOADO CORIOLANDO (ENTR. TO-230 - ARAPOEMA) - ENTR. TO-164</t>
  </si>
  <si>
    <t>RODOVIA TO-433 - TRECHO ENTR. TO-230 (POVOADO BRASILENE) - BERNARDO SAYÃO (ENTR. TO-164)</t>
  </si>
  <si>
    <t>Guaraí I</t>
  </si>
  <si>
    <t>RODOVIA TO-164 - TRECHO ENTR. TO-335 - ITAPORÃ DO TOCANTINS</t>
  </si>
  <si>
    <t>RODOVIA TO-164 - TRECHO ITAPORÃ DO TOCANTINS - COLMEIA</t>
  </si>
  <si>
    <t>RODOVIA TO-164 - TRECHO ENTR. TO-336 (POVOADO GOIANI DOS CAMPOS) - GOIANORTE</t>
  </si>
  <si>
    <t>RODOVIA TO-164 - TRECHO GOIANORTE - DOIS IRMÃOS</t>
  </si>
  <si>
    <t>RODOVIA TO-239 - TRECHO ENTR. BR-153 - PRESIDENTE KENNEDY</t>
  </si>
  <si>
    <t>RODOVIA TO-239 - TRECHO PRESIDENTE KENNEDY - ITAPORÃ DO TOCANTINS</t>
  </si>
  <si>
    <t>RODOVIA TO-239 - TRECHO ITAPORÃ DO TOCANTINS - PEQUIZEIRO</t>
  </si>
  <si>
    <t>RODOVIA TO-239 - TRECHO PEQUIZEIRO - POVOADO TARUMÃ</t>
  </si>
  <si>
    <t>RODOVIA TO-335 - TRECHO COLINAS DO TOCANTINS - COUTO MAGALHÃES</t>
  </si>
  <si>
    <t>RODOVIA TO-335 - TRECHO COUTO MAGALHÃES - DIVISA TO-PA</t>
  </si>
  <si>
    <t>RODOVIA TO-336 - TRECHO GUARAÍ - COLMÉIA</t>
  </si>
  <si>
    <t>RODOVIA TO-336 - TRECHO COLMÉIA - PEQUIZEIRO</t>
  </si>
  <si>
    <t>RODOVIA TO-336 - TRECHO PEQUIZEIRO - COUTO MAGALHÃES</t>
  </si>
  <si>
    <t>RODOVIA TO-430 - TRECHO BERNARDO SAYÃO - JUARINA</t>
  </si>
  <si>
    <t>RODOVIA TO-430 - TRECHO JUARINA - ENTR. TO-335</t>
  </si>
  <si>
    <t>RODOVIA TO-431 - TRECHO TABOCÃO - ENTR. TO-342</t>
  </si>
  <si>
    <t>RODOVIA TO-434 - TRECHO ENTR. TO-164 - ENTR. TO-336 (COLMÉIA)</t>
  </si>
  <si>
    <t>RODOVIA TO-434 - ENTR. TO-164 - ENTR. BR-153</t>
  </si>
  <si>
    <t>RODOVIA TO-437 - TRECHO ENTR. TO-239 - ENTR. TO-164 (POVOADO BOA SORTE)</t>
  </si>
  <si>
    <t>RODOVIA TO-437 - TRECHO ENTR. TO-162 (POVOADO ESPERANÇA BENDITA) - ENTR. TO-431</t>
  </si>
  <si>
    <t>RODOVIA TO-438 - TRECHO ENTR. TO-239 - ENTR. TO-164</t>
  </si>
  <si>
    <t>Guaraí II</t>
  </si>
  <si>
    <t>RODOVIA TO-010 - TRECHO PALMAS - LAJEADO</t>
  </si>
  <si>
    <t>RODOVIA TO-010 - TRECHO LAJEADO - TOCANTÍNIA</t>
  </si>
  <si>
    <t>RODOVIA TO-010 - TRECHO TOCANTÍNIA -PEDRO AFONSO</t>
  </si>
  <si>
    <t>RODOVIA TO-010 - TRECHO PEDRO AFONSO - BOM JESUS DO TOCANTINS - SANTA MARIA DO TOCANTINS</t>
  </si>
  <si>
    <t>RODOVIA TO-020 - TRECHO CENTENÁRIO - RECURSOLÂNDIA</t>
  </si>
  <si>
    <t>RODOVIA TO-130 - TRECHO ENTR. BR-010 (RIO SONO) - ENTR. BR-235</t>
  </si>
  <si>
    <t>RODOVIA TO-239 - TRECHO ENTR. BR-153 - TUPIRATINS - ITAPIRATINS</t>
  </si>
  <si>
    <t>RODOVIA TO-239 - TRECHO TUPIRATINS - ITAPIRATINS - ITACAJÁ</t>
  </si>
  <si>
    <t>RODOVIA TO-245 - TRECHO ENTR. TO-010 - RIO SONO - ENTR. BR-010</t>
  </si>
  <si>
    <t>RODOVIA TO-335 - TRECHO COLINAS DO TOCANTINS - ENTR. TO-010</t>
  </si>
  <si>
    <t>RODOVIA TO-342 - TRECHO TOCANTÍNIA - ENTR. BR-010 (APARECIDA DO RIO NEGRO)</t>
  </si>
  <si>
    <t>RODOVIA TO-428 - TRECHO SANTA MARIA DO TOCANTINS - ENTR. TO-020</t>
  </si>
  <si>
    <t>RODOVIA TO-431 - TRECHO GUARAÍ - ENTR. TO-239</t>
  </si>
  <si>
    <t>RODOVIA TO-431 - TRECHO ITAPIRATINS - ACESSO AO RIO TOCANTINS (POVOADO PROJETO GURITA)</t>
  </si>
  <si>
    <t>RODOVIA TO-432 - TRECHO ENTR. BR-153 - ENTR. TO-239 (TUPIRATINS)</t>
  </si>
  <si>
    <t xml:space="preserve">RODOVIA TO-432 - TRECHO ENTR. BR-010 - ENTR. TO-428 </t>
  </si>
  <si>
    <t>Paraíso do Tocantins I</t>
  </si>
  <si>
    <t>RODOVIA TO-080 - TRECHO ENTR. BR-153 (PARAISO DO TOCANTINS) - MONTE SANTO</t>
  </si>
  <si>
    <t>RODOVIA TO-080 - TRECHO MONTE SANTO - DIVINÓPOLIS</t>
  </si>
  <si>
    <t>RODOVIA TO-080 - TRECHO DIVINOPOLIS - MARIANÓPOLIS</t>
  </si>
  <si>
    <t>RODOVIA TO-080 - TRECHO MARIANÓPOLIS - CASEARA - DIV TO-PA</t>
  </si>
  <si>
    <t>RODOVIA TO-164 - TRECHO ABREULÂNDIA - DIVINÓPOLIS</t>
  </si>
  <si>
    <t>RODOVIA TO-164 - TRECHO DOIS IRMÃOS DO TOCANTINS - ABREULÂNDIA</t>
  </si>
  <si>
    <t>RODOVIA TO-239 - TRECHO ARAGUACEMA - TARUMÃ</t>
  </si>
  <si>
    <t>RODOVIA TO-245 - TRECHO ENTR. BR-153 - MIRACEMA</t>
  </si>
  <si>
    <t>RODOVIA TO-342 - TRECHO ENTR. BR-153 (MIRANORTE) - DOIS IRMÃOS DO TOCANTINS</t>
  </si>
  <si>
    <t>RODOVIA TO-342 - TRECHO DOIS IRMÃOS DO TOCANTINS - ENTR. TO-348</t>
  </si>
  <si>
    <t>RODOVIA TO-342 - TRECHO MIRANORTE - MIRACEMA DO TOCANTINS</t>
  </si>
  <si>
    <t>RODOVIA TO-347 - TRECHO ENTR. TO-348 (POVOADO IRMÃ ADELAIDE) - ENTR. TO-445</t>
  </si>
  <si>
    <t>RODOVIA TO-348 - TRECHO ENTR. TO-080 - BARROLÂNDIA (ENTR. BR-153)</t>
  </si>
  <si>
    <t>RODOVIA TO-348 - TRECHO BARROLÂNDIA (ENTR. BR-153) - ENTR. TO-164 (ABREULÂNDIA)</t>
  </si>
  <si>
    <t>RODOVIA TO-348 - TRECHO ABREULÂNDIA - ARAGUACEMA</t>
  </si>
  <si>
    <t>RODOVIA TO-436 - TRECHO TARUMÃ - SENHOR DO BONFIM</t>
  </si>
  <si>
    <t>RODOVIA TO-442 - TRECHO CASEARA - ENTR. TO-348</t>
  </si>
  <si>
    <t>RODOVIA TO-445 - TRECHO MIRACEMA DO TOCANTINS - ENTR. TO-010 (LAJEADO)</t>
  </si>
  <si>
    <t>RODOVIA TO-446 - TRECHO ENTR. BR-153 (MIRANORTE) - ABREULÂNDIA</t>
  </si>
  <si>
    <t>Novo Acordo</t>
  </si>
  <si>
    <t>RODOVIA TO-020 - TRECHO NOVO ACORDO - CENTENÁRIO</t>
  </si>
  <si>
    <t>RODOVIA TO-030 - TRECHO NOVO ACORDO - ENTR. TO-110 (MANSINHA)</t>
  </si>
  <si>
    <t>RODOVIA TO-110 - TRECHO ENTR. TO-245 - ENTR. TO-030 (MANSINHA)</t>
  </si>
  <si>
    <t>RODOVIA TO-130 - TRECHO ENTR. BR-010 - ENTR. TO-020 (NOVO ACORDO)</t>
  </si>
  <si>
    <t>RODOVIA TO-245 - TRECHO ENTR. TO-130 - MANSINHA - LIZARDA - DIVISA TO-MA</t>
  </si>
  <si>
    <t>RODOVIA TO-330 - TRECHO ENTR. TO-020 - MANSINHA - ENTR. TO-130</t>
  </si>
  <si>
    <t>RODOVIA TO-452 - TRECHO LAGOA DO TOCANTINS - ENTR. TO-030</t>
  </si>
  <si>
    <t>RODOVIA TO-456 - TRECHO LAGOA DO TOCANTINS - ENTR. TO-030</t>
  </si>
  <si>
    <t>Paraíso do Tocantins II</t>
  </si>
  <si>
    <t>RODOVIA TO-080 - TRECHO PARAÍSO DO TOCANTINS - PALMAS</t>
  </si>
  <si>
    <t>RODOVIA TO-164 - TRECHO CRISTALÂNDIA - ENTR. TO-070</t>
  </si>
  <si>
    <t>RODOVIA TO-164 - TRECHO ENTR. TO-447 - PIUM</t>
  </si>
  <si>
    <t>RODOVIA TO-164 - TRECHO PIUM - CRISTALÂNDIA</t>
  </si>
  <si>
    <t>RODOVIA TO-251 - TRECHO ENTR. TO-374 - ENTR. TO-164 (PIUM)</t>
  </si>
  <si>
    <t>RODOVIA TO-255 - TRECHO CRISTALÂNDIA - ENTR. TO-374 (LAGOA DA CONFUSÃO)</t>
  </si>
  <si>
    <t>RODOVIA TO-255 - TRECHO ENTR. TO-374 (LAGOA DA CONFUSÃO) - RIO JAVAÉS</t>
  </si>
  <si>
    <t>RODOVIA TO-255 - TRECHO NOVA ROSALÂNDIA - CRISTALÂNDIA</t>
  </si>
  <si>
    <t>RODOVIA TO-354 - TRECHO PROJETO CANGUÇU (RIO JAVAÉS) - ENTR. TO-164 (PIUM)</t>
  </si>
  <si>
    <t>RODOVIA TO-354 - TRECHO PUGMIL - PIUM</t>
  </si>
  <si>
    <t>RODOVIA TO-374 - TRECHO ENTR. TO-255 (LAGOA DA CONFUSÃO) - CAFÉ DA ROÇA - ENTR. TO-080 (MARIANÓPOLIS DO TOCANTINS)</t>
  </si>
  <si>
    <t>RODOVIA TO-374 - TRECHO ENTR. TO-255 - ENTR. TO-070 (DUERÈ)</t>
  </si>
  <si>
    <t>RODOVIA TO-444 - TRECHO CHAPADA DE AREIA - PARAÍSO DO TOCANTINS</t>
  </si>
  <si>
    <t>RODOVIA TO-447 - TRECHO CHAPADA DE AREIA - ENTR. TO-354</t>
  </si>
  <si>
    <t xml:space="preserve">RODOVIA TO-447 - TRECHO CHAPADA DE AREIA - ENTR. TO-444 </t>
  </si>
  <si>
    <t>RODOVIA TO-454 - TRECHO ENTR. TO-455 - ENTR. BR-153 (PARAÍSO DO TOCANTINS)</t>
  </si>
  <si>
    <t>RODOVIA TO-455 - TRECHO ENTR. TO-080 (LUZIMANGUES) - ENTR. TO-454</t>
  </si>
  <si>
    <t>Porto Nacional</t>
  </si>
  <si>
    <t>RODOVIA TO-020, TRECHO APARECIDA DO RIO NEGRO - NOVO ACORDO</t>
  </si>
  <si>
    <t>RODOVIA TO-030, TRECHO PALMAS - TAQUARUÇU - SANTA TEREZA DO TOCANTINS</t>
  </si>
  <si>
    <t>RODOVIA TO-030, TRECHO ENTR. TO-247 (SANTA TEREZA DO TOCANTINS) - NOVO ACORDO</t>
  </si>
  <si>
    <t>RODOVIA TO-040, TRECHO ENTR. BR-010 - ENTR. TO-255</t>
  </si>
  <si>
    <t xml:space="preserve">RODOVIA TO-040, TRECHO ENTR. TO-365 - ENTR. TO-262 </t>
  </si>
  <si>
    <t>RODOVIA TO-040, TRECHO ENTR. BR-010 - PINDORAMA DO TOCANTINS</t>
  </si>
  <si>
    <t xml:space="preserve">RODOVIA TO-040, TRECHO PINDORAMA DO TOCANTINS - ENTR. TO-369 </t>
  </si>
  <si>
    <t>RODOVIA TO-070, TRECHO BREJINHO DE NAZARÉ - PORTO NACIONAL</t>
  </si>
  <si>
    <t>RODOVIA TO-130, TRECHO PINDORAMA DO TOCANTINS - ENTR. BR-010</t>
  </si>
  <si>
    <t>RODOVIA TO-130, TRECHO PONTE ALTA DO TOCANTINS - PINDORAMA DO TOCANTINS</t>
  </si>
  <si>
    <t>RODOVIA TO-130, TRECHO SANTA TEREZA DO TOCANTINS - PONTE ALTA DO TOCANTINS</t>
  </si>
  <si>
    <t xml:space="preserve">RODOVIA TO-247, TRECHO SANTA TEREZA DO TOCANTINS - LAGOA DO TOCANTINS </t>
  </si>
  <si>
    <t>RODOVIA TO-247, TRECHO LAGOA DO TOCANTINS - ENTR. TO-030</t>
  </si>
  <si>
    <t>RODOVIA TO-255, TRECHO MONTE DO CARMO - ENTR. TO-130</t>
  </si>
  <si>
    <t>RODOVIA TO-255, TRECHO PORTO NACIONAL - MONTE DO CARMO</t>
  </si>
  <si>
    <t>RODOVIA TO-255, TRECHO OLIVEIRA DE FÁTIMA (ENTR. BR-153) - PINHEIRÓPOLIS</t>
  </si>
  <si>
    <t>RODOVIA TO-365, TRECHO ENTR.TO-255 (MONTE DO CARMO) - ENTR. BR-010</t>
  </si>
  <si>
    <t>RODOVIA TO-365, TRECHO ENTR. TO-030 (TAQUARUÇU) - ENTR. TO-255</t>
  </si>
  <si>
    <t>RODOVIA TO-453, TRECHO ENTR. TO-030 (SANTA TEREZA DO TOCANTINS) - ENTR. TO-365</t>
  </si>
  <si>
    <t>RODOVIA TO-454, TRECHO ENTR. TO-455 - ENTR. TO-255 (PINHEIRÓPOLIS)</t>
  </si>
  <si>
    <t>RODOVIA TO-457, TRECHO ENTR. TO-255 - ENTR. TO-464 (PONTE ALTA DO TOCANTINS)</t>
  </si>
  <si>
    <t>RODOVIA TO-458, TRECHO ENTR. BR-010 - IPUEIRAS</t>
  </si>
  <si>
    <t>RODOVIA TO-464, TRECHO ENTR. TO-040 - ENTR. TO-457 (PONTE ALTA DO TOCANTINS)</t>
  </si>
  <si>
    <t>ACESSO - TRECHO ENTR. BR-010 - AGROTINS</t>
  </si>
  <si>
    <t>ACESSO - TRECHO ENTR. TO-455 - PRAINHA</t>
  </si>
  <si>
    <t>Ponte Alta do Tocantins</t>
  </si>
  <si>
    <t>RODOVIA TO-030 - TRECHO ENTR. TO-247 - SÃO FÉLIX DO TOCANTINS - DIVISA TO-MA</t>
  </si>
  <si>
    <t>RODOVIA TO-110 - TRECHO MATEIROS - ENTR. TO-030 (POVOADO PRATA)</t>
  </si>
  <si>
    <t xml:space="preserve">RODOVIA TO-110 - TRECHO MATEIROS - GARGANTA </t>
  </si>
  <si>
    <t>RODOVIA TO-255 - TRECHO ENTR. TO-110 - DIVISA TO-BA</t>
  </si>
  <si>
    <t>RODOVIA TO-255 - TRECHO PONTE ALTA DO TOCANTINS - MATEIROS</t>
  </si>
  <si>
    <t>RODOVIA TO-455 - TRECHO ENTR. TO-255 - CACHOEIRA DA VELHA</t>
  </si>
  <si>
    <t>RODOVIA TO-456 - TRECHO LAGOA DO TOCANTINS - ENTR. TO-130</t>
  </si>
  <si>
    <t>RODOVIA TO-476 - TRECHO ENTR. TO-130 - FUNIL-RIO SONINHO - CACH. FUMAÇA - ENTR. TO-477</t>
  </si>
  <si>
    <t>Gurupi</t>
  </si>
  <si>
    <t>RODOVIA TO-070 - TRECHO SANDOLÂNDIA - FORMOSO DO ARAGUAIA</t>
  </si>
  <si>
    <t>RODOVIA TO-373 - TRECHO ALVORADA - ARAGUAÇU</t>
  </si>
  <si>
    <t>RODOVIA TO-070 - TRECHO ALIANÇA DO TOCANTINS - BREJINHO DE NAZARÉ</t>
  </si>
  <si>
    <t>RODOVIA TO-070 - TRECHO DUERÉ - ALIANÇA DO TOCANTINS</t>
  </si>
  <si>
    <t>RODOVIA TO-070 - TRECHO FORMOSO DO ARAGUAIA - DUERÉ</t>
  </si>
  <si>
    <t>RODOVIA TO-181 - TRECHO ENTR. TO-255 - ENTR. TO-481 (CAPAO DO COCO)</t>
  </si>
  <si>
    <t>RODOVIA TO-181 - TRECHO ENTR. TO-481 (CAPAO DO COCO) - FAZENDA COBRAPE</t>
  </si>
  <si>
    <t>RODOVIA TO-181 - TRECHO FAZENDA COBRAPE - ENTR. BR-242</t>
  </si>
  <si>
    <t>RODOVIA TO-181 - TRECHO ENTR. BR-242 - FUNDAÇÃO BRADESCO</t>
  </si>
  <si>
    <t>RODOVIA TO-181 - TRECHO FUNDAÇÃO BRADESCO - ENTR. TO-070</t>
  </si>
  <si>
    <t>RODOVIA TO-181 - TRECHO ARAGUAÇU - SANDOLÂNDIA</t>
  </si>
  <si>
    <t>RODOVIA TO-181 - TRECHO ARAGUAÇU - DIVISA TO-GO</t>
  </si>
  <si>
    <t>RODOVIA TO-362 - TRECHO SANTA RITA DO TOCANTINS - BREJINHO DE NAZARÉ</t>
  </si>
  <si>
    <t>RODOVIA TO-362 - TRECHO BREJINHO DE NAZARÉ - ENTR. TO-365 (ACESSO BALSA)</t>
  </si>
  <si>
    <t>RODOVIA TO-365 - TRECHO RIO TOCANTINS (BALSA) - TREVO DA PRAIA - ENTR. BR-153</t>
  </si>
  <si>
    <t>RODOVIA TO-373 - TRECHO ENTR. TO-365 - RIO TOCANTINS (BALSA)</t>
  </si>
  <si>
    <t>RODOVIA TO-373 - TRECHO ALVORADA - ARAGUAÇU - DIVISA TO-GO</t>
  </si>
  <si>
    <t>RODOVIA TO-374 - TRECHO DUERÉ - GURUPI</t>
  </si>
  <si>
    <t xml:space="preserve">RODOVIA TO-460 - TRECHO BR-242 (VILA QUIXABA) - SUCUPIRA </t>
  </si>
  <si>
    <t>RODOVIA TO-481 - TRECHO DUERÉ - ENTR. TO-181 (CAPAO DO COCO)</t>
  </si>
  <si>
    <t>RODOVIA TO-483 - TRECHO SUCUPIRA - FIGUEIRÓPOLIS</t>
  </si>
  <si>
    <t>RODOVIA TO-484 - TRECHO FIGUEIRÓPOLIS - KM 64 (RIO FORMOSO)</t>
  </si>
  <si>
    <t>Peixe</t>
  </si>
  <si>
    <t>RODOVIA TO-141 - TRECHO PALMEIRÓPOLIS - DIVISA TO-GO</t>
  </si>
  <si>
    <t>RODOVIA TO-280 - TRECHO NATIVIDADE - ALMAS</t>
  </si>
  <si>
    <t>RODOVIA TO-280 - TRECHO SÃO VALÉRIO DE NATIVIDADE - NATIVIDADE</t>
  </si>
  <si>
    <t>RODOVIA TO-280 - TRECHO ENTR. BR-242 - SÃO VALÉRIO DE NATIVIDADE</t>
  </si>
  <si>
    <t>RODOVIA TO-296 - TRECHO SÃO SALVADOR DO TOCANTINS - PARANÃ</t>
  </si>
  <si>
    <t>RODOVIA TO-296 - TRECHO JAÚ DO TOCANTINS - SÃO SALVADOR DO TOCANTINS</t>
  </si>
  <si>
    <t>RODOVIA TO-296 - TALISMÃ - ENTR. TO-498 (JAÚ DO TOCANTINS)</t>
  </si>
  <si>
    <t>RODOVIA TO-365 - TRECHO IPUEIRAS - SILVANÓPOLIS</t>
  </si>
  <si>
    <t>RODOVIA TO-373 - TRECHO ENTR. TO-365 (BALSA) - SÃO MIGUEL - LAGOA DO ROMÃO -ENTR. TO-280</t>
  </si>
  <si>
    <t>RODOVIA TO-373 - TRECHO ALVORADA - ENTR. BR-242</t>
  </si>
  <si>
    <t>RODOVIA TO-387 - TRECHO PALMEIRÓPOLIS - SÃO SALVADOR DO TOCANTINS</t>
  </si>
  <si>
    <t>RODOVIA TO-387 - TRECHO PALMEIRÓPOLIS - DIVISA TO-GO</t>
  </si>
  <si>
    <t>RODOVIA TO-458 - TRECHO ENTR. TO-365 (IPUEIRAS) - ENTR. BR-010</t>
  </si>
  <si>
    <t>RODOVIA TO-479 - TRECHO PEIXE - POVOADO LAGOA DO ROMÃO (ENTR. TO-373)</t>
  </si>
  <si>
    <t>RODOVIA TO-482 - TRECHO: ENTR. TO-280 (SÃO VALÉRIO DE NATIVIDADE) / ENTR. TO-458</t>
  </si>
  <si>
    <t>RODOVIA TO-486 - TRECHO SANTA ROSA DO TOCANTINS - ENTR. TO-280 (NATIVIDADE)</t>
  </si>
  <si>
    <t>RODOVIA TO-490 - TRECHO SÃO VALÉRIO DE NATIVIDADE - ENTR. BR-242</t>
  </si>
  <si>
    <t>RODOVIA TO-491 - TRECHO ENTR. BR-242 - ENTR. TO-296 (POVOADO RETIRO)</t>
  </si>
  <si>
    <t>RODOVIA TO-495 - TRECHO DIVISA TO-GO - LOURENÇO BORGES - ENTR. TO-296</t>
  </si>
  <si>
    <t>RODOVIA TO-498 - TRECHO JAÚ DO TOCANTINS - ENTR. TO-373 (SANTA CRUZ)</t>
  </si>
  <si>
    <t>RODOVIA TO-498 - TRECHO JAÚ DO TOCANTINS - ENTR. TO-387</t>
  </si>
  <si>
    <t>Dianópolis</t>
  </si>
  <si>
    <t>RODOVIA TO-040 - TRECHO ENTR. TO-369 - ENTR. TO-280 (ALMAS)</t>
  </si>
  <si>
    <t>RODOVIA TO-040 - TRECHO ALMAS - PORTO ALEGRE DO TOCANTINS</t>
  </si>
  <si>
    <t>RODOVIA TO-040 - TRECHO DIANÓPOLIS - NOVO JARDIM</t>
  </si>
  <si>
    <t>RODOVIA TO-040 - TRECHO NOVO JARDIM - DIVISA TO-BA</t>
  </si>
  <si>
    <t>RODOVIA TO-040 - TRECHO PORTO ALEGRE DO TOCANTINS - DIANÓPOLIS</t>
  </si>
  <si>
    <t>RODOVIA TO-050 - TRECHO ARRAIAS - DIVISA TO-GO</t>
  </si>
  <si>
    <t>RODOVIA TO-050 - TRECHO CONCEIÇÃO DO TOCANTINS - ARRAIAS</t>
  </si>
  <si>
    <t>RODOVIA TO-050 - TRECHO ENTR. BR-010 (POVOADO PRÍNCIPE) - CONCEIÇÃO DO TOCANTINS</t>
  </si>
  <si>
    <t>RODOVIA TO-110 - TRECHO AURORA DO TOCANTINS - LAVANDEIRA</t>
  </si>
  <si>
    <t>RODOVIA TO-110 - TRECHO COMBINADO - NOVO ALEGRE - DIVISA TO-GO</t>
  </si>
  <si>
    <t>RODOVIA TO-110 - TRECHO ENTR. TO-040 (DIANÓPOLIS) - DIVISA TO-BA (GARGANTA)</t>
  </si>
  <si>
    <t>RODOVIA TO-110 - TRECHO ENTR. TO-040 - PONTE ALTA DO BOM JESUS</t>
  </si>
  <si>
    <t>RODOVIA TO-110 - TRECHO LAVANDEIRA - COMBINADO</t>
  </si>
  <si>
    <t>RODOVIA TO-110 - TRECHO PONTE ALTA DO BOM JESUS - ENTR. BR-242(TAGUATINGA)</t>
  </si>
  <si>
    <t>RODOVIA TO-110 - TRECHO TAGUATINGA - AURORA DO TOCANTINS</t>
  </si>
  <si>
    <t>RODOVIA TO-296 - TRECHO ENTR. TO-050 - ENTR. TO-110 (COMBINADO)</t>
  </si>
  <si>
    <t>RODOVIA TO-296 - TRECHO ENTR. BR-242 (POVOADO SÃO BOM JESUS DAS PALMAS) - ENTR. TO-050</t>
  </si>
  <si>
    <t>RODOVIA TO-369 - TRECHO ENTR. TO-040 - ENTR. TO-476 (FUNIL - RIO SONINHO)</t>
  </si>
  <si>
    <t>RODOVIA TO-387 - TRECHO CONCEIÇÃO DO TOCANTINS - TAIPAS DO TOCANTINS</t>
  </si>
  <si>
    <t>RODOVIA TO-387 - TRECHO ENTR. BR-010 - ENTR. TO-050 (CONCEIÇÃO DO TOCANTINS)</t>
  </si>
  <si>
    <t>RODOVIA TO-387 - TRECHO ENTR. TO-040 - TAIPAS DO TOCANTINS</t>
  </si>
  <si>
    <t>RODOVIA TO-476 - TRECHO RIO DA CONCEIÇÃO - DIANÓPOLIS</t>
  </si>
  <si>
    <t>RODOVIA TO-476 - TRECHO RIO DA CONCEIÇÃO - ENTR. TO-477</t>
  </si>
  <si>
    <t>RODOVIA TO-477 - TRECHO ALMAS - ENTR. TO-476</t>
  </si>
  <si>
    <t>RODOVIA TO-477 - TRECHO ENTR. BR-010 (POVOADO BONFIM) - ALMAS</t>
  </si>
  <si>
    <t>RODOVIA TO-485 - TRECHO TAIPAS DO TOCANTINS - ENTR. TO-110</t>
  </si>
  <si>
    <t>RODOVIA TO-487 - TRECHO ENTR. TO-485 (MIMOSA DOS MARINS) - ENTR. BR-242</t>
  </si>
  <si>
    <t>RODOVIA TO-497 - TRECHO ENTR. BR-242 - ENTR. TO-296 (POVOADO JACARÉ)</t>
  </si>
  <si>
    <t>RODOVIA TO-499 - TRECHO ENTR. TO-050 - DIVISA TO-GO</t>
  </si>
  <si>
    <t>TIPO</t>
  </si>
  <si>
    <t>ARAGUAÍNA II</t>
  </si>
  <si>
    <t>67</t>
  </si>
  <si>
    <t>010ETO0250</t>
  </si>
  <si>
    <t>ENTR. BR-010 - TRECHO ENTR. TO-226 (POV. CAMPOS)</t>
  </si>
  <si>
    <t>LEN</t>
  </si>
  <si>
    <t>010ETO0290</t>
  </si>
  <si>
    <t>ENTR. TO-226 (CAMPOS) - RIO TOCANTINS ( BALSA PALMEIRANTE)</t>
  </si>
  <si>
    <t>69</t>
  </si>
  <si>
    <t>POV. FARTURAO - ENTR. TO-424</t>
  </si>
  <si>
    <t>ENTR. TO-424 - TRECHO BABAÇULÂNDIA *TRECHO URBANO*</t>
  </si>
  <si>
    <t>71</t>
  </si>
  <si>
    <t>020ETO0210</t>
  </si>
  <si>
    <t>FIM PAVIMENTAÇÃO - INICIO PAVIMENTACAO (CAMPOS LINDOS)</t>
  </si>
  <si>
    <t>EOP</t>
  </si>
  <si>
    <t>72</t>
  </si>
  <si>
    <t>130ETO0010</t>
  </si>
  <si>
    <t>ENTR. TO-424 - TRECHO ENTR. TO-222 (A)</t>
  </si>
  <si>
    <t>75</t>
  </si>
  <si>
    <t>226ETO0190</t>
  </si>
  <si>
    <t>ENTR.TO-010 - TRECHO POV. ALTO BONITO</t>
  </si>
  <si>
    <t>226ETO0200</t>
  </si>
  <si>
    <t>POV. ALTO BONITO - NOVA OLINDA *TRECHO URBANO*</t>
  </si>
  <si>
    <t>76</t>
  </si>
  <si>
    <t>226ETO0120</t>
  </si>
  <si>
    <t>ENTR. BR-010-TO-130 - TRECHO BARRO VERMELHO</t>
  </si>
  <si>
    <t>226ETO0130</t>
  </si>
  <si>
    <t>BARRO VERMELHO - ENTR. TO-010 (CAMPOS)</t>
  </si>
  <si>
    <t>79</t>
  </si>
  <si>
    <t>423ETO0020</t>
  </si>
  <si>
    <t>ARAGUAINA *TRECHO URBANO* - ENTR. TO-424</t>
  </si>
  <si>
    <t>81</t>
  </si>
  <si>
    <t>424ETO0010</t>
  </si>
  <si>
    <t>ENTR. TO-222 - TRECHO CANA BRAVA</t>
  </si>
  <si>
    <t>424ETO0015</t>
  </si>
  <si>
    <t>CANA BRAVA - ENTR. TO-130</t>
  </si>
  <si>
    <t>424ETO0020</t>
  </si>
  <si>
    <t>ENTR. TO-130 - TRECHO ENTR. TO-010</t>
  </si>
  <si>
    <t>82</t>
  </si>
  <si>
    <t>425ETO0010</t>
  </si>
  <si>
    <t>GOIATINS *TRECHO URBANO* - ENTR. TO-130</t>
  </si>
  <si>
    <t>83</t>
  </si>
  <si>
    <t>426ETO0010</t>
  </si>
  <si>
    <t>ENTR. TO-226 - TRECHO POV. CRAOLÂNDIA</t>
  </si>
  <si>
    <t>84</t>
  </si>
  <si>
    <t>428ETO0010</t>
  </si>
  <si>
    <t>ENTR. TO-226 - TRECHO RANCHARIA</t>
  </si>
  <si>
    <t>428ETO0020</t>
  </si>
  <si>
    <t>RANCHARIA - BANDEIRA</t>
  </si>
  <si>
    <t>SUBTRECHOS</t>
  </si>
  <si>
    <t>EXT. (KM)</t>
  </si>
  <si>
    <t>D</t>
  </si>
  <si>
    <t>PERCORRIDO NO MÊS:</t>
  </si>
  <si>
    <t>TOTAL:</t>
  </si>
  <si>
    <t>% DA EXTENSÃO DA MALHA:</t>
  </si>
  <si>
    <t>ENG. VINICIUS RODRIGUES FERREIRA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</si>
</sst>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5"/>
      <name val="Times New Roman"/>
      <family val="1"/>
    </font>
    <font>
      <sz val="18"/>
      <name val="Times New Roman"/>
      <family val="1"/>
    </font>
    <font>
      <b/>
      <sz val="1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2" borderId="17" xfId="0" applyFont="1" applyFill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8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20" xfId="0" applyFont="1" applyFill="1" applyBorder="1"/>
    <xf numFmtId="0" fontId="4" fillId="2" borderId="18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2" fontId="8" fillId="0" borderId="25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0" fillId="2" borderId="0" xfId="0" applyFont="1" applyFill="1"/>
    <xf numFmtId="0" fontId="9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4" fontId="1" fillId="0" borderId="0" xfId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4" fontId="9" fillId="0" borderId="2" xfId="1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2" xfId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/>
    </xf>
    <xf numFmtId="44" fontId="10" fillId="2" borderId="0" xfId="0" applyNumberFormat="1" applyFont="1" applyFill="1"/>
    <xf numFmtId="10" fontId="1" fillId="0" borderId="0" xfId="3" applyNumberFormat="1" applyFont="1" applyAlignment="1">
      <alignment horizontal="center" vertical="center"/>
    </xf>
    <xf numFmtId="17" fontId="9" fillId="0" borderId="0" xfId="0" applyNumberFormat="1" applyFont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2" fontId="6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0" fontId="6" fillId="0" borderId="2" xfId="3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4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4" fontId="1" fillId="3" borderId="2" xfId="1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4" fontId="1" fillId="2" borderId="2" xfId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2" applyFont="1" applyFill="1" applyBorder="1" applyAlignment="1">
      <alignment vertical="center" wrapText="1"/>
    </xf>
    <xf numFmtId="0" fontId="11" fillId="2" borderId="2" xfId="2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12" fillId="2" borderId="9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44" fontId="3" fillId="2" borderId="9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Normal 9" xfId="2" xr:uid="{00000000-0005-0000-0000-000002000000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A5-4D94-A00F-381E4ECBED5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A5-4D94-A00F-381E4ECBED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A5-4D94-A00F-381E4ECBED5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'67'!$E$62:$H$62</c:f>
              <c:numCache>
                <c:formatCode>0.00</c:formatCode>
                <c:ptCount val="4"/>
                <c:pt idx="0">
                  <c:v>0</c:v>
                </c:pt>
                <c:pt idx="1">
                  <c:v>77.592132807300004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5-41EB-BBF4-96C1005090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5-41EB-BBF4-96C10050901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'67'!$I$62:$K$62</c:f>
              <c:numCache>
                <c:formatCode>0.00</c:formatCode>
                <c:ptCount val="3"/>
                <c:pt idx="0">
                  <c:v>0</c:v>
                </c:pt>
                <c:pt idx="1">
                  <c:v>77.592132807300004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192-4402-AD9D-6190FBACCD2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92-4402-AD9D-6190FBACCD2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192-4402-AD9D-6190FBACCD2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92-4402-AD9D-6190FBACCD2A}"/>
              </c:ext>
            </c:extLst>
          </c:dPt>
          <c:dLbls>
            <c:dLbl>
              <c:idx val="0"/>
              <c:layout>
                <c:manualLayout>
                  <c:x val="-0.20321908459764609"/>
                  <c:y val="-0.138475601938581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92-4402-AD9D-6190FBACCD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92-4402-AD9D-6190FBACCD2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'69'!$E$87:$H$87</c:f>
              <c:numCache>
                <c:formatCode>0.00</c:formatCode>
                <c:ptCount val="4"/>
                <c:pt idx="0">
                  <c:v>38.430000000000007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2-4402-AD9D-6190FBACC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73895543379043"/>
          <c:y val="0.16525342530723955"/>
          <c:w val="0.55962355531391161"/>
          <c:h val="0.796557757920078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68-41CF-AB17-F9CFFC42693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68-41CF-AB17-F9CFFC42693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68-41CF-AB17-F9CFFC426930}"/>
              </c:ext>
            </c:extLst>
          </c:dPt>
          <c:dLbls>
            <c:dLbl>
              <c:idx val="0"/>
              <c:layout>
                <c:manualLayout>
                  <c:x val="-0.14553017547586133"/>
                  <c:y val="-0.299929554344435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68-41CF-AB17-F9CFFC4269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68-41CF-AB17-F9CFFC42693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'69'!$I$87:$K$87</c:f>
              <c:numCache>
                <c:formatCode>0.00</c:formatCode>
                <c:ptCount val="3"/>
                <c:pt idx="0">
                  <c:v>33.590000000000003</c:v>
                </c:pt>
                <c:pt idx="1">
                  <c:v>0</c:v>
                </c:pt>
                <c:pt idx="2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68-41CF-AB17-F9CFFC4269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0C-480B-ABAE-DDF9E8A96D94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0C-480B-ABAE-DDF9E8A96D9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0C-480B-ABAE-DDF9E8A96D9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0C-480B-ABAE-DDF9E8A96D94}"/>
              </c:ext>
            </c:extLst>
          </c:dPt>
          <c:dLbls>
            <c:dLbl>
              <c:idx val="0"/>
              <c:layout>
                <c:manualLayout>
                  <c:x val="-0.19924171940393834"/>
                  <c:y val="-0.178404336265129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0C-480B-ABAE-DDF9E8A96D94}"/>
                </c:ext>
              </c:extLst>
            </c:dLbl>
            <c:dLbl>
              <c:idx val="1"/>
              <c:layout>
                <c:manualLayout>
                  <c:x val="0.14484594882565535"/>
                  <c:y val="0.1591531067212875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0C-480B-ABAE-DDF9E8A96D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0C-480B-ABAE-DDF9E8A96D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0C-480B-ABAE-DDF9E8A96D9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'71'!$E$84:$H$84</c:f>
              <c:numCache>
                <c:formatCode>0.00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0C-480B-ABAE-DDF9E8A96D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DC-4896-92AE-E78F2B97CE9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DC-4896-92AE-E78F2B97CE9B}"/>
              </c:ext>
            </c:extLst>
          </c:dPt>
          <c:dPt>
            <c:idx val="2"/>
            <c:bubble3D val="0"/>
            <c:explosion val="1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DC-4896-92AE-E78F2B97CE9B}"/>
              </c:ext>
            </c:extLst>
          </c:dPt>
          <c:dLbls>
            <c:dLbl>
              <c:idx val="0"/>
              <c:layout>
                <c:manualLayout>
                  <c:x val="3.5397225334619325E-3"/>
                  <c:y val="-0.3880932353855334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DC-4896-92AE-E78F2B97CE9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DC-4896-92AE-E78F2B97CE9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DC-4896-92AE-E78F2B97CE9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'71'!$I$84:$K$84</c:f>
              <c:numCache>
                <c:formatCode>0.00</c:formatCode>
                <c:ptCount val="3"/>
                <c:pt idx="0">
                  <c:v>0</c:v>
                </c:pt>
                <c:pt idx="1">
                  <c:v>33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DC-4896-92AE-E78F2B97CE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AC-43BA-A081-675C0243943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AC-43BA-A081-675C0243943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AC-43BA-A081-675C0243943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AC-43BA-A081-675C02439439}"/>
              </c:ext>
            </c:extLst>
          </c:dPt>
          <c:dLbls>
            <c:dLbl>
              <c:idx val="0"/>
              <c:layout>
                <c:manualLayout>
                  <c:x val="6.2792373556496608E-3"/>
                  <c:y val="-0.396845822150668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AC-43BA-A081-675C0243943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AC-43BA-A081-675C0243943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AC-43BA-A081-675C0243943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AC-43BA-A081-675C0243943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'72'!$E$53:$H$53</c:f>
              <c:numCache>
                <c:formatCode>0.00</c:formatCode>
                <c:ptCount val="4"/>
                <c:pt idx="0">
                  <c:v>0</c:v>
                </c:pt>
                <c:pt idx="1">
                  <c:v>19.329999999999998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AC-43BA-A081-675C024394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6C-446E-8F64-0BC46A789F7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6C-446E-8F64-0BC46A789F7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6C-446E-8F64-0BC46A789F7A}"/>
              </c:ext>
            </c:extLst>
          </c:dPt>
          <c:dLbls>
            <c:dLbl>
              <c:idx val="0"/>
              <c:layout>
                <c:manualLayout>
                  <c:x val="1.5958082723064623E-3"/>
                  <c:y val="-0.3860023652950982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6C-446E-8F64-0BC46A789F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6C-446E-8F64-0BC46A789F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6C-446E-8F64-0BC46A789F7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'72'!$I$53:$K$53</c:f>
              <c:numCache>
                <c:formatCode>0.00</c:formatCode>
                <c:ptCount val="3"/>
                <c:pt idx="0">
                  <c:v>0</c:v>
                </c:pt>
                <c:pt idx="1">
                  <c:v>19.329999999999998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6C-446E-8F64-0BC46A789F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43-485C-AD04-BF207836DD8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43-485C-AD04-BF207836DD85}"/>
              </c:ext>
            </c:extLst>
          </c:dPt>
          <c:dPt>
            <c:idx val="2"/>
            <c:bubble3D val="0"/>
            <c:explosion val="1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43-485C-AD04-BF207836DD8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43-485C-AD04-BF207836DD85}"/>
              </c:ext>
            </c:extLst>
          </c:dPt>
          <c:dLbls>
            <c:dLbl>
              <c:idx val="0"/>
              <c:layout>
                <c:manualLayout>
                  <c:x val="2.5067240891375412E-3"/>
                  <c:y val="0.2556274648654835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43-485C-AD04-BF207836DD85}"/>
                </c:ext>
              </c:extLst>
            </c:dLbl>
            <c:dLbl>
              <c:idx val="3"/>
              <c:layout>
                <c:manualLayout>
                  <c:x val="1.7953002312299307E-2"/>
                  <c:y val="0.1698960135515915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43-485C-AD04-BF207836DD8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'75'!$E$89:$H$89</c:f>
              <c:numCache>
                <c:formatCode>0.00</c:formatCode>
                <c:ptCount val="4"/>
                <c:pt idx="0">
                  <c:v>0</c:v>
                </c:pt>
                <c:pt idx="1">
                  <c:v>54.389999999999993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43-485C-AD04-BF207836DD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18-447E-90D2-4BD267FEB3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18-447E-90D2-4BD267FEB36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18-447E-90D2-4BD267FEB36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18-447E-90D2-4BD267FEB36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'75'!$I$89:$K$89</c:f>
              <c:numCache>
                <c:formatCode>0.00</c:formatCode>
                <c:ptCount val="3"/>
                <c:pt idx="0">
                  <c:v>0</c:v>
                </c:pt>
                <c:pt idx="1">
                  <c:v>54.389999999999993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18-447E-90D2-4BD267FEB3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C0-4F52-913E-20942B59E2E6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C0-4F52-913E-20942B59E2E6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C0-4F52-913E-20942B59E2E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C0-4F52-913E-20942B59E2E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C0-4F52-913E-20942B59E2E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C0-4F52-913E-20942B59E2E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C0-4F52-913E-20942B59E2E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'76'!$E$62:$H$62</c:f>
              <c:numCache>
                <c:formatCode>0.00</c:formatCode>
                <c:ptCount val="4"/>
                <c:pt idx="0">
                  <c:v>0</c:v>
                </c:pt>
                <c:pt idx="1">
                  <c:v>28.343878059399998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C0-4F52-913E-20942B59E2E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E9-4339-8262-82E54A0CB20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E9-4339-8262-82E54A0CB2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E9-4339-8262-82E54A0CB20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E9-4339-8262-82E54A0CB2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E9-4339-8262-82E54A0CB20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'76'!$I$62:$K$62</c:f>
              <c:numCache>
                <c:formatCode>0.00</c:formatCode>
                <c:ptCount val="3"/>
                <c:pt idx="0">
                  <c:v>0</c:v>
                </c:pt>
                <c:pt idx="1">
                  <c:v>28.343878059399998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9-4339-8262-82E54A0CB2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</a:t>
            </a: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98-4B5E-9E0C-00897BB46B8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98-4B5E-9E0C-00897BB46B8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98-4B5E-9E0C-00897BB46B8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98-4B5E-9E0C-00897BB46B8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8-4B5E-9E0C-00897BB46B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98-4B5E-9E0C-00897BB46B8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'79'!$E$69:$H$69</c:f>
              <c:numCache>
                <c:formatCode>0.00</c:formatCode>
                <c:ptCount val="4"/>
                <c:pt idx="0">
                  <c:v>0</c:v>
                </c:pt>
                <c:pt idx="1">
                  <c:v>26.59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98-4B5E-9E0C-00897BB46B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</a:t>
            </a:r>
            <a:r>
              <a:rPr lang="pt-BR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EXT. (KM); %)</a:t>
            </a:r>
            <a:endParaRPr lang="pt-BR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20415185532241"/>
          <c:y val="1.5636549140831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A3-4A9E-BB79-C2041171C23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A3-4A9E-BB79-C2041171C23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A3-4A9E-BB79-C2041171C23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3-4A9E-BB79-C2041171C23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3-4A9E-BB79-C2041171C23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'79'!$I$69:$K$69</c:f>
              <c:numCache>
                <c:formatCode>0.00</c:formatCode>
                <c:ptCount val="3"/>
                <c:pt idx="0">
                  <c:v>0</c:v>
                </c:pt>
                <c:pt idx="1">
                  <c:v>28.59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A3-4A9E-BB79-C2041171C2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212792204402602"/>
          <c:y val="0.17495515877813073"/>
          <c:w val="0.51172041723088635"/>
          <c:h val="0.7292859264478148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F6-46B2-9953-A278A1B8C63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F6-46B2-9953-A278A1B8C63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F6-46B2-9953-A278A1B8C63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F6-46B2-9953-A278A1B8C63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F6-46B2-9953-A278A1B8C63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F6-46B2-9953-A278A1B8C63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'81'!$E$79:$H$79</c:f>
              <c:numCache>
                <c:formatCode>0.00</c:formatCode>
                <c:ptCount val="4"/>
                <c:pt idx="0">
                  <c:v>0</c:v>
                </c:pt>
                <c:pt idx="1">
                  <c:v>31.49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F6-46B2-9953-A278A1B8C6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71-44CA-A7E6-F629F620DC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71-44CA-A7E6-F629F620DC6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71-44CA-A7E6-F629F620DC6D}"/>
              </c:ext>
            </c:extLst>
          </c:dPt>
          <c:dLbls>
            <c:dLbl>
              <c:idx val="0"/>
              <c:layout>
                <c:manualLayout>
                  <c:x val="-2.4157050790226172E-2"/>
                  <c:y val="-0.2956844680733239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71-44CA-A7E6-F629F620DC6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71-44CA-A7E6-F629F620DC6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71-44CA-A7E6-F629F620DC6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'81'!$I$79:$K$79</c:f>
              <c:numCache>
                <c:formatCode>0.00</c:formatCode>
                <c:ptCount val="3"/>
                <c:pt idx="0">
                  <c:v>31.49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1-44CA-A7E6-F629F620DC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72-4C03-B4FE-A11D9F1CCA0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72-4C03-B4FE-A11D9F1CCA0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72-4C03-B4FE-A11D9F1CCA0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72-4C03-B4FE-A11D9F1CCA00}"/>
              </c:ext>
            </c:extLst>
          </c:dPt>
          <c:dLbls>
            <c:dLbl>
              <c:idx val="0"/>
              <c:layout>
                <c:manualLayout>
                  <c:x val="2.4207991554757542E-3"/>
                  <c:y val="-0.3758324891366125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72-4C03-B4FE-A11D9F1CCA0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72-4C03-B4FE-A11D9F1CCA0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72-4C03-B4FE-A11D9F1CCA0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72-4C03-B4FE-A11D9F1CCA0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'82'!$E$108:$H$108</c:f>
              <c:numCache>
                <c:formatCode>0.00</c:formatCode>
                <c:ptCount val="4"/>
                <c:pt idx="0">
                  <c:v>0</c:v>
                </c:pt>
                <c:pt idx="1">
                  <c:v>47.36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72-4C03-B4FE-A11D9F1CCA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1C-460D-8A0C-4B0572104E0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1C-460D-8A0C-4B0572104E0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1C-460D-8A0C-4B0572104E0F}"/>
              </c:ext>
            </c:extLst>
          </c:dPt>
          <c:dLbls>
            <c:dLbl>
              <c:idx val="0"/>
              <c:layout>
                <c:manualLayout>
                  <c:x val="7.2065422047610976E-3"/>
                  <c:y val="-0.349664216083454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1C-460D-8A0C-4B0572104E0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1C-460D-8A0C-4B0572104E0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1C-460D-8A0C-4B0572104E0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'82'!$I$108:$K$108</c:f>
              <c:numCache>
                <c:formatCode>0.00</c:formatCode>
                <c:ptCount val="3"/>
                <c:pt idx="0">
                  <c:v>0</c:v>
                </c:pt>
                <c:pt idx="1">
                  <c:v>47.36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1C-460D-8A0C-4B0572104E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DE-47ED-B2A0-9E5E6F8A1E26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DE-47ED-B2A0-9E5E6F8A1E26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DE-47ED-B2A0-9E5E6F8A1E2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DE-47ED-B2A0-9E5E6F8A1E2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DE-47ED-B2A0-9E5E6F8A1E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DE-47ED-B2A0-9E5E6F8A1E2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DE-47ED-B2A0-9E5E6F8A1E2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'83'!$E$62:$H$62</c:f>
              <c:numCache>
                <c:formatCode>0.00</c:formatCode>
                <c:ptCount val="4"/>
                <c:pt idx="0">
                  <c:v>0</c:v>
                </c:pt>
                <c:pt idx="1">
                  <c:v>31.73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DE-47ED-B2A0-9E5E6F8A1E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CB-43A3-B71D-5271534A77D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CB-43A3-B71D-5271534A77D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CB-43A3-B71D-5271534A77D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CB-43A3-B71D-5271534A77D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CB-43A3-B71D-5271534A77D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'83'!$I$62:$K$62</c:f>
              <c:numCache>
                <c:formatCode>0.00</c:formatCode>
                <c:ptCount val="3"/>
                <c:pt idx="0">
                  <c:v>0</c:v>
                </c:pt>
                <c:pt idx="1">
                  <c:v>31.73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B-43A3-B71D-5271534A77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E9-4336-BE01-CD196DA86DC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E9-4336-BE01-CD196DA86DC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E9-4336-BE01-CD196DA86DC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E9-4336-BE01-CD196DA86DC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E9-4336-BE01-CD196DA86D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E9-4336-BE01-CD196DA86D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E9-4336-BE01-CD196DA86DC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'84'!$E$62:$H$62</c:f>
              <c:numCache>
                <c:formatCode>0.00</c:formatCode>
                <c:ptCount val="4"/>
                <c:pt idx="0">
                  <c:v>0</c:v>
                </c:pt>
                <c:pt idx="1">
                  <c:v>41.521689058500002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E9-4336-BE01-CD196DA86D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E6-4977-AC52-0FD383E013D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E6-4977-AC52-0FD383E013D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E6-4977-AC52-0FD383E013D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E6-4977-AC52-0FD383E013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E6-4977-AC52-0FD383E013D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'84'!$I$62:$K$62</c:f>
              <c:numCache>
                <c:formatCode>0.00</c:formatCode>
                <c:ptCount val="3"/>
                <c:pt idx="0">
                  <c:v>0</c:v>
                </c:pt>
                <c:pt idx="1">
                  <c:v>41.521689058500002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E6-4977-AC52-0FD383E013D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B1-4DDA-A18E-328B61EBE9C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B1-4DDA-A18E-328B61EBE9C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B1-4DDA-A18E-328B61EBE9C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B1-4DDA-A18E-328B61EBE9C7}"/>
              </c:ext>
            </c:extLst>
          </c:dPt>
          <c:dLbls>
            <c:dLbl>
              <c:idx val="0"/>
              <c:layout>
                <c:manualLayout>
                  <c:x val="-0.18925090454416982"/>
                  <c:y val="0.1034370253511639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DDA-A18E-328B61EBE9C7}"/>
                </c:ext>
              </c:extLst>
            </c:dLbl>
            <c:dLbl>
              <c:idx val="1"/>
              <c:layout>
                <c:manualLayout>
                  <c:x val="0.14734245899150172"/>
                  <c:y val="-0.198418861983889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B1-4DDA-A18E-328B61EBE9C7}"/>
                </c:ext>
              </c:extLst>
            </c:dLbl>
            <c:dLbl>
              <c:idx val="2"/>
              <c:layout>
                <c:manualLayout>
                  <c:x val="-3.1296744892100159E-2"/>
                  <c:y val="-3.840120269298647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28930589658349"/>
                      <c:h val="6.41935719737968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6B1-4DDA-A18E-328B61EBE9C7}"/>
                </c:ext>
              </c:extLst>
            </c:dLbl>
            <c:dLbl>
              <c:idx val="3"/>
              <c:layout>
                <c:manualLayout>
                  <c:x val="1.2151326111892213E-2"/>
                  <c:y val="-1.31328512664503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B1-4DDA-A18E-328B61EBE9C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TT!$D$3:$G$3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TT!$D$16:$G$16</c:f>
              <c:numCache>
                <c:formatCode>0.00</c:formatCode>
                <c:ptCount val="4"/>
                <c:pt idx="0">
                  <c:v>38.430000000000007</c:v>
                </c:pt>
                <c:pt idx="1">
                  <c:v>323.51382186580003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B1-4DDA-A18E-328B61EBE9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41-43DC-97D4-82A60803C80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41-43DC-97D4-82A60803C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41-43DC-97D4-82A60803C80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TT!$H$3:$J$3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TT!$H$16:$J$16</c:f>
              <c:numCache>
                <c:formatCode>0.00</c:formatCode>
                <c:ptCount val="3"/>
                <c:pt idx="0">
                  <c:v>33.590000000000003</c:v>
                </c:pt>
                <c:pt idx="1">
                  <c:v>333.51382186579997</c:v>
                </c:pt>
                <c:pt idx="2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41-43DC-97D4-82A60803C8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382368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451707</xdr:colOff>
      <xdr:row>5</xdr:row>
      <xdr:rowOff>313062</xdr:rowOff>
    </xdr:from>
    <xdr:to>
      <xdr:col>36</xdr:col>
      <xdr:colOff>340814</xdr:colOff>
      <xdr:row>11</xdr:row>
      <xdr:rowOff>252740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105047</xdr:colOff>
      <xdr:row>15</xdr:row>
      <xdr:rowOff>486048</xdr:rowOff>
    </xdr:from>
    <xdr:to>
      <xdr:col>29</xdr:col>
      <xdr:colOff>571500</xdr:colOff>
      <xdr:row>16</xdr:row>
      <xdr:rowOff>268941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20D4FC0-90C4-4C8A-B20A-62B42DEA8056}"/>
            </a:ext>
          </a:extLst>
        </xdr:cNvPr>
        <xdr:cNvSpPr txBox="1"/>
      </xdr:nvSpPr>
      <xdr:spPr>
        <a:xfrm>
          <a:off x="34563135" y="7904342"/>
          <a:ext cx="1071571" cy="309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314596</xdr:rowOff>
    </xdr:from>
    <xdr:to>
      <xdr:col>27</xdr:col>
      <xdr:colOff>438032</xdr:colOff>
      <xdr:row>11</xdr:row>
      <xdr:rowOff>312414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63C1D3-FBE7-9FEF-3D9A-18B05FD3A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559029</xdr:colOff>
      <xdr:row>5</xdr:row>
      <xdr:rowOff>309351</xdr:rowOff>
    </xdr:from>
    <xdr:to>
      <xdr:col>36</xdr:col>
      <xdr:colOff>499992</xdr:colOff>
      <xdr:row>11</xdr:row>
      <xdr:rowOff>307169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05ADA5-AD8B-4FD9-9A82-2F9C4EB22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108856</xdr:colOff>
      <xdr:row>15</xdr:row>
      <xdr:rowOff>489858</xdr:rowOff>
    </xdr:from>
    <xdr:to>
      <xdr:col>30</xdr:col>
      <xdr:colOff>318653</xdr:colOff>
      <xdr:row>16</xdr:row>
      <xdr:rowOff>207818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1233C2A-8200-4AEA-9E44-0C267BC92585}"/>
            </a:ext>
          </a:extLst>
        </xdr:cNvPr>
        <xdr:cNvSpPr txBox="1"/>
      </xdr:nvSpPr>
      <xdr:spPr>
        <a:xfrm>
          <a:off x="34648238" y="7929749"/>
          <a:ext cx="1428997" cy="2444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CB965-1231-4074-8ACE-36A9FC325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517072</xdr:colOff>
      <xdr:row>5</xdr:row>
      <xdr:rowOff>310379</xdr:rowOff>
    </xdr:from>
    <xdr:to>
      <xdr:col>36</xdr:col>
      <xdr:colOff>482874</xdr:colOff>
      <xdr:row>11</xdr:row>
      <xdr:rowOff>308197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C6428E-42F8-488D-9F70-A627A958F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108856</xdr:colOff>
      <xdr:row>15</xdr:row>
      <xdr:rowOff>489858</xdr:rowOff>
    </xdr:from>
    <xdr:to>
      <xdr:col>29</xdr:col>
      <xdr:colOff>568035</xdr:colOff>
      <xdr:row>16</xdr:row>
      <xdr:rowOff>235527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A8C2707-AAB2-483F-89E5-499AB6479281}"/>
            </a:ext>
          </a:extLst>
        </xdr:cNvPr>
        <xdr:cNvSpPr txBox="1"/>
      </xdr:nvSpPr>
      <xdr:spPr>
        <a:xfrm>
          <a:off x="34648238" y="7929749"/>
          <a:ext cx="1068779" cy="272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382368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3068D-9E5F-470D-B1CF-903D660D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449037</xdr:colOff>
      <xdr:row>5</xdr:row>
      <xdr:rowOff>292962</xdr:rowOff>
    </xdr:from>
    <xdr:to>
      <xdr:col>36</xdr:col>
      <xdr:colOff>340049</xdr:colOff>
      <xdr:row>11</xdr:row>
      <xdr:rowOff>228830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C3650-1BD6-4D75-8E79-D4B3E5584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106951</xdr:colOff>
      <xdr:row>15</xdr:row>
      <xdr:rowOff>487953</xdr:rowOff>
    </xdr:from>
    <xdr:to>
      <xdr:col>29</xdr:col>
      <xdr:colOff>466724</xdr:colOff>
      <xdr:row>16</xdr:row>
      <xdr:rowOff>161925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CEC04D4-37AE-4264-AE75-D693A62558C1}"/>
            </a:ext>
          </a:extLst>
        </xdr:cNvPr>
        <xdr:cNvSpPr txBox="1"/>
      </xdr:nvSpPr>
      <xdr:spPr>
        <a:xfrm>
          <a:off x="34625551" y="7888878"/>
          <a:ext cx="969373" cy="197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469360</xdr:colOff>
      <xdr:row>6</xdr:row>
      <xdr:rowOff>354256</xdr:rowOff>
    </xdr:from>
    <xdr:to>
      <xdr:col>27</xdr:col>
      <xdr:colOff>414132</xdr:colOff>
      <xdr:row>13</xdr:row>
      <xdr:rowOff>317438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DE42DD-CF5D-48C5-BCA3-E5DDE7631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478673</xdr:colOff>
      <xdr:row>6</xdr:row>
      <xdr:rowOff>359526</xdr:rowOff>
    </xdr:from>
    <xdr:to>
      <xdr:col>36</xdr:col>
      <xdr:colOff>427256</xdr:colOff>
      <xdr:row>13</xdr:row>
      <xdr:rowOff>322708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C304B6D-627D-4CBA-93E2-02C68E98C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382368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E53F4B-A2BF-45A3-A48B-11BA6CDF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433116</xdr:colOff>
      <xdr:row>5</xdr:row>
      <xdr:rowOff>306568</xdr:rowOff>
    </xdr:from>
    <xdr:to>
      <xdr:col>36</xdr:col>
      <xdr:colOff>324128</xdr:colOff>
      <xdr:row>11</xdr:row>
      <xdr:rowOff>242436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9B3999-27D0-4DA3-9CC6-DFD4AD38E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487953</xdr:rowOff>
    </xdr:from>
    <xdr:to>
      <xdr:col>30</xdr:col>
      <xdr:colOff>121227</xdr:colOff>
      <xdr:row>16</xdr:row>
      <xdr:rowOff>225136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0943C67-7653-4A6C-8291-21FB1C9206F9}"/>
            </a:ext>
          </a:extLst>
        </xdr:cNvPr>
        <xdr:cNvSpPr txBox="1"/>
      </xdr:nvSpPr>
      <xdr:spPr>
        <a:xfrm>
          <a:off x="34587452" y="7830862"/>
          <a:ext cx="1226548" cy="256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447201</xdr:colOff>
      <xdr:row>11</xdr:row>
      <xdr:rowOff>268874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2AAFD-55E2-42E9-8309-8777D7077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532807</xdr:colOff>
      <xdr:row>5</xdr:row>
      <xdr:rowOff>305542</xdr:rowOff>
    </xdr:from>
    <xdr:to>
      <xdr:col>36</xdr:col>
      <xdr:colOff>494369</xdr:colOff>
      <xdr:row>11</xdr:row>
      <xdr:rowOff>263630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8086A7-2BE6-4B73-B8BD-85BB2FBE1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108857</xdr:colOff>
      <xdr:row>15</xdr:row>
      <xdr:rowOff>489858</xdr:rowOff>
    </xdr:from>
    <xdr:to>
      <xdr:col>29</xdr:col>
      <xdr:colOff>537883</xdr:colOff>
      <xdr:row>16</xdr:row>
      <xdr:rowOff>233082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FE6A1D8-C8E1-494C-BBED-B6123F9B035B}"/>
            </a:ext>
          </a:extLst>
        </xdr:cNvPr>
        <xdr:cNvSpPr txBox="1"/>
      </xdr:nvSpPr>
      <xdr:spPr>
        <a:xfrm>
          <a:off x="34631939" y="7930564"/>
          <a:ext cx="1038626" cy="272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F04CB3-49E9-41C5-A790-0FCD4E295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504911</xdr:colOff>
      <xdr:row>5</xdr:row>
      <xdr:rowOff>320176</xdr:rowOff>
    </xdr:from>
    <xdr:to>
      <xdr:col>36</xdr:col>
      <xdr:colOff>445874</xdr:colOff>
      <xdr:row>11</xdr:row>
      <xdr:rowOff>325614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4B9C8D-6482-4604-BBC4-43B44F85B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106951</xdr:colOff>
      <xdr:row>15</xdr:row>
      <xdr:rowOff>487954</xdr:rowOff>
    </xdr:from>
    <xdr:to>
      <xdr:col>29</xdr:col>
      <xdr:colOff>484908</xdr:colOff>
      <xdr:row>16</xdr:row>
      <xdr:rowOff>155864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3A19B12-DFF1-4238-8176-9AC2C1E386EC}"/>
            </a:ext>
          </a:extLst>
        </xdr:cNvPr>
        <xdr:cNvSpPr txBox="1"/>
      </xdr:nvSpPr>
      <xdr:spPr>
        <a:xfrm>
          <a:off x="34587451" y="7830863"/>
          <a:ext cx="984093" cy="1874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EEA83F-5D41-4427-B15F-43B6C26C8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559029</xdr:colOff>
      <xdr:row>5</xdr:row>
      <xdr:rowOff>322861</xdr:rowOff>
    </xdr:from>
    <xdr:to>
      <xdr:col>36</xdr:col>
      <xdr:colOff>499992</xdr:colOff>
      <xdr:row>11</xdr:row>
      <xdr:rowOff>320679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4007FB-874D-46AD-888B-756D409D4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108857</xdr:colOff>
      <xdr:row>36</xdr:row>
      <xdr:rowOff>489857</xdr:rowOff>
    </xdr:from>
    <xdr:to>
      <xdr:col>29</xdr:col>
      <xdr:colOff>468085</xdr:colOff>
      <xdr:row>37</xdr:row>
      <xdr:rowOff>185056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E9F0F8C-C539-429D-8E2D-3B978CDB6703}"/>
            </a:ext>
          </a:extLst>
        </xdr:cNvPr>
        <xdr:cNvSpPr txBox="1"/>
      </xdr:nvSpPr>
      <xdr:spPr>
        <a:xfrm>
          <a:off x="34638343" y="7859486"/>
          <a:ext cx="968828" cy="217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8BEDCE-AB39-4C25-A78C-23D16AA3B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495040</xdr:colOff>
      <xdr:row>5</xdr:row>
      <xdr:rowOff>320176</xdr:rowOff>
    </xdr:from>
    <xdr:to>
      <xdr:col>36</xdr:col>
      <xdr:colOff>434098</xdr:colOff>
      <xdr:row>11</xdr:row>
      <xdr:rowOff>325614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7E58DD-8D1E-443E-AA98-22795F453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487953</xdr:rowOff>
    </xdr:from>
    <xdr:to>
      <xdr:col>29</xdr:col>
      <xdr:colOff>517072</xdr:colOff>
      <xdr:row>16</xdr:row>
      <xdr:rowOff>190500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4FB6254-F666-4BAD-814C-4899FB430065}"/>
            </a:ext>
          </a:extLst>
        </xdr:cNvPr>
        <xdr:cNvSpPr txBox="1"/>
      </xdr:nvSpPr>
      <xdr:spPr>
        <a:xfrm>
          <a:off x="34669095" y="7931060"/>
          <a:ext cx="1022441" cy="233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0A38FC-5D9F-48FB-94F5-419514F30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512359</xdr:colOff>
      <xdr:row>5</xdr:row>
      <xdr:rowOff>302858</xdr:rowOff>
    </xdr:from>
    <xdr:to>
      <xdr:col>36</xdr:col>
      <xdr:colOff>451417</xdr:colOff>
      <xdr:row>11</xdr:row>
      <xdr:rowOff>308296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B15CE7-AD40-449C-A039-3FF56CCA5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487953</xdr:rowOff>
    </xdr:from>
    <xdr:to>
      <xdr:col>29</xdr:col>
      <xdr:colOff>557893</xdr:colOff>
      <xdr:row>16</xdr:row>
      <xdr:rowOff>122464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AEB23EF-63DD-4D82-B8CD-CF1D140365FB}"/>
            </a:ext>
          </a:extLst>
        </xdr:cNvPr>
        <xdr:cNvSpPr txBox="1"/>
      </xdr:nvSpPr>
      <xdr:spPr>
        <a:xfrm>
          <a:off x="34669095" y="7931060"/>
          <a:ext cx="1063262" cy="165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34939</xdr:colOff>
      <xdr:row>1</xdr:row>
      <xdr:rowOff>17929</xdr:rowOff>
    </xdr:from>
    <xdr:to>
      <xdr:col>23</xdr:col>
      <xdr:colOff>585848</xdr:colOff>
      <xdr:row>7</xdr:row>
      <xdr:rowOff>104243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9EC945-7A8B-4737-B36F-3D10BFE6F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77067</xdr:colOff>
      <xdr:row>1</xdr:row>
      <xdr:rowOff>7398</xdr:rowOff>
    </xdr:from>
    <xdr:to>
      <xdr:col>33</xdr:col>
      <xdr:colOff>27554</xdr:colOff>
      <xdr:row>7</xdr:row>
      <xdr:rowOff>103237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F9C71B-3F39-4E18-9A93-DFFA2C9AB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6"/>
  <sheetViews>
    <sheetView zoomScale="85" zoomScaleNormal="85" workbookViewId="0">
      <pane ySplit="68" topLeftCell="A69" activePane="bottomLeft" state="frozen"/>
      <selection pane="bottomLeft" activeCell="A79" sqref="A79:I79"/>
    </sheetView>
  </sheetViews>
  <sheetFormatPr defaultColWidth="8.875" defaultRowHeight="15" x14ac:dyDescent="0.2"/>
  <cols>
    <col min="1" max="1" width="7.75" style="32" customWidth="1"/>
    <col min="2" max="2" width="11.25" style="32" hidden="1" customWidth="1"/>
    <col min="3" max="3" width="13.75" style="32" hidden="1" customWidth="1"/>
    <col min="4" max="4" width="8.75" style="32" customWidth="1"/>
    <col min="5" max="5" width="66.125" style="40" customWidth="1"/>
    <col min="6" max="6" width="15.25" style="40" bestFit="1" customWidth="1"/>
    <col min="7" max="7" width="57.875" style="40" bestFit="1" customWidth="1"/>
    <col min="8" max="8" width="10.875" style="38" customWidth="1"/>
    <col min="9" max="15" width="8.875" style="32"/>
    <col min="16" max="16384" width="8.875" style="31"/>
  </cols>
  <sheetData>
    <row r="1" spans="1:15" x14ac:dyDescent="0.2">
      <c r="A1" s="37" t="s">
        <v>37</v>
      </c>
    </row>
    <row r="2" spans="1:15" s="39" customFormat="1" ht="23.45" customHeight="1" x14ac:dyDescent="0.2">
      <c r="A2" s="41" t="s">
        <v>38</v>
      </c>
      <c r="B2" s="41" t="s">
        <v>39</v>
      </c>
      <c r="C2" s="41" t="s">
        <v>40</v>
      </c>
      <c r="D2" s="41" t="s">
        <v>41</v>
      </c>
      <c r="E2" s="42" t="s">
        <v>42</v>
      </c>
      <c r="F2" s="42" t="s">
        <v>1</v>
      </c>
      <c r="G2" s="42" t="s">
        <v>356</v>
      </c>
      <c r="H2" s="43" t="s">
        <v>357</v>
      </c>
      <c r="I2" s="41" t="s">
        <v>307</v>
      </c>
      <c r="J2" s="49">
        <v>45839</v>
      </c>
      <c r="K2" s="49">
        <v>45870</v>
      </c>
      <c r="L2" s="49">
        <v>45901</v>
      </c>
      <c r="M2" s="49">
        <v>45931</v>
      </c>
      <c r="N2" s="49">
        <v>45962</v>
      </c>
      <c r="O2" s="49">
        <v>45992</v>
      </c>
    </row>
    <row r="3" spans="1:15" s="33" customFormat="1" ht="14.25" hidden="1" x14ac:dyDescent="0.2">
      <c r="A3" s="34">
        <v>1</v>
      </c>
      <c r="B3" s="33">
        <v>1</v>
      </c>
      <c r="C3" s="33" t="s">
        <v>43</v>
      </c>
      <c r="D3" s="34">
        <v>1</v>
      </c>
      <c r="E3" s="33" t="s">
        <v>44</v>
      </c>
      <c r="F3" s="35">
        <v>85.32942934597601</v>
      </c>
    </row>
    <row r="4" spans="1:15" s="33" customFormat="1" ht="14.25" hidden="1" x14ac:dyDescent="0.2">
      <c r="A4" s="34">
        <v>1</v>
      </c>
      <c r="B4" s="33">
        <v>1</v>
      </c>
      <c r="C4" s="33" t="s">
        <v>43</v>
      </c>
      <c r="D4" s="34">
        <v>2</v>
      </c>
      <c r="E4" s="33" t="s">
        <v>45</v>
      </c>
      <c r="F4" s="35">
        <v>9.6381707120200009</v>
      </c>
    </row>
    <row r="5" spans="1:15" s="33" customFormat="1" ht="14.25" hidden="1" x14ac:dyDescent="0.2">
      <c r="A5" s="34">
        <v>1</v>
      </c>
      <c r="B5" s="33">
        <v>1</v>
      </c>
      <c r="C5" s="33" t="s">
        <v>43</v>
      </c>
      <c r="D5" s="34">
        <v>3</v>
      </c>
      <c r="E5" s="33" t="s">
        <v>46</v>
      </c>
      <c r="F5" s="35">
        <v>41.607009497179995</v>
      </c>
    </row>
    <row r="6" spans="1:15" s="33" customFormat="1" ht="14.25" hidden="1" x14ac:dyDescent="0.2">
      <c r="A6" s="34">
        <v>1</v>
      </c>
      <c r="B6" s="33">
        <v>1</v>
      </c>
      <c r="C6" s="33" t="s">
        <v>43</v>
      </c>
      <c r="D6" s="34">
        <v>4</v>
      </c>
      <c r="E6" s="33" t="s">
        <v>47</v>
      </c>
      <c r="F6" s="35">
        <v>9.2499338304900007</v>
      </c>
    </row>
    <row r="7" spans="1:15" s="33" customFormat="1" ht="14.25" hidden="1" x14ac:dyDescent="0.2">
      <c r="A7" s="34">
        <v>1</v>
      </c>
      <c r="B7" s="33">
        <v>1</v>
      </c>
      <c r="C7" s="33" t="s">
        <v>43</v>
      </c>
      <c r="D7" s="34">
        <v>5</v>
      </c>
      <c r="E7" s="33" t="s">
        <v>48</v>
      </c>
      <c r="F7" s="35">
        <v>30.239179768080003</v>
      </c>
    </row>
    <row r="8" spans="1:15" s="33" customFormat="1" ht="14.25" hidden="1" x14ac:dyDescent="0.2">
      <c r="A8" s="34">
        <v>1</v>
      </c>
      <c r="B8" s="33">
        <v>1</v>
      </c>
      <c r="C8" s="33" t="s">
        <v>43</v>
      </c>
      <c r="D8" s="34">
        <v>6</v>
      </c>
      <c r="E8" s="33" t="s">
        <v>49</v>
      </c>
      <c r="F8" s="35">
        <v>43.993596483360008</v>
      </c>
    </row>
    <row r="9" spans="1:15" s="33" customFormat="1" ht="14.25" hidden="1" x14ac:dyDescent="0.2">
      <c r="A9" s="34">
        <v>1</v>
      </c>
      <c r="B9" s="33">
        <v>1</v>
      </c>
      <c r="C9" s="33" t="s">
        <v>43</v>
      </c>
      <c r="D9" s="34">
        <v>7</v>
      </c>
      <c r="E9" s="33" t="s">
        <v>50</v>
      </c>
      <c r="F9" s="35">
        <v>21.660088410963002</v>
      </c>
    </row>
    <row r="10" spans="1:15" s="33" customFormat="1" ht="14.25" hidden="1" x14ac:dyDescent="0.2">
      <c r="A10" s="34">
        <v>1</v>
      </c>
      <c r="B10" s="33">
        <v>1</v>
      </c>
      <c r="C10" s="33" t="s">
        <v>43</v>
      </c>
      <c r="D10" s="34">
        <v>8</v>
      </c>
      <c r="E10" s="33" t="s">
        <v>51</v>
      </c>
      <c r="F10" s="35">
        <v>25.376613198199998</v>
      </c>
    </row>
    <row r="11" spans="1:15" s="33" customFormat="1" ht="14.25" hidden="1" x14ac:dyDescent="0.2">
      <c r="A11" s="34">
        <v>1</v>
      </c>
      <c r="B11" s="33">
        <v>1</v>
      </c>
      <c r="C11" s="33" t="s">
        <v>43</v>
      </c>
      <c r="D11" s="34">
        <v>9</v>
      </c>
      <c r="E11" s="33" t="s">
        <v>52</v>
      </c>
      <c r="F11" s="35">
        <v>16.674967863439999</v>
      </c>
    </row>
    <row r="12" spans="1:15" s="33" customFormat="1" ht="14.25" hidden="1" x14ac:dyDescent="0.2">
      <c r="A12" s="34">
        <v>1</v>
      </c>
      <c r="B12" s="33">
        <v>1</v>
      </c>
      <c r="C12" s="33" t="s">
        <v>43</v>
      </c>
      <c r="D12" s="34">
        <v>10</v>
      </c>
      <c r="E12" s="33" t="s">
        <v>53</v>
      </c>
      <c r="F12" s="35">
        <v>45.347801936700002</v>
      </c>
    </row>
    <row r="13" spans="1:15" s="33" customFormat="1" ht="14.25" hidden="1" x14ac:dyDescent="0.2">
      <c r="A13" s="34">
        <v>1</v>
      </c>
      <c r="B13" s="33">
        <v>1</v>
      </c>
      <c r="C13" s="33" t="s">
        <v>43</v>
      </c>
      <c r="D13" s="34">
        <v>11</v>
      </c>
      <c r="E13" s="33" t="s">
        <v>54</v>
      </c>
      <c r="F13" s="35">
        <v>24.440194167589997</v>
      </c>
    </row>
    <row r="14" spans="1:15" s="33" customFormat="1" ht="14.25" hidden="1" x14ac:dyDescent="0.2">
      <c r="A14" s="34">
        <v>1</v>
      </c>
      <c r="B14" s="33">
        <v>1</v>
      </c>
      <c r="C14" s="33" t="s">
        <v>43</v>
      </c>
      <c r="D14" s="34">
        <v>12</v>
      </c>
      <c r="E14" s="33" t="s">
        <v>55</v>
      </c>
      <c r="F14" s="35">
        <v>26.301107772550001</v>
      </c>
    </row>
    <row r="15" spans="1:15" s="33" customFormat="1" ht="14.25" hidden="1" x14ac:dyDescent="0.2">
      <c r="A15" s="34">
        <v>1</v>
      </c>
      <c r="B15" s="33">
        <v>1</v>
      </c>
      <c r="C15" s="33" t="s">
        <v>43</v>
      </c>
      <c r="D15" s="34">
        <v>13</v>
      </c>
      <c r="E15" s="33" t="s">
        <v>56</v>
      </c>
      <c r="F15" s="35">
        <v>46.217170891289001</v>
      </c>
    </row>
    <row r="16" spans="1:15" s="33" customFormat="1" ht="14.25" hidden="1" x14ac:dyDescent="0.2">
      <c r="A16" s="34">
        <v>1</v>
      </c>
      <c r="B16" s="33">
        <v>1</v>
      </c>
      <c r="C16" s="33" t="s">
        <v>43</v>
      </c>
      <c r="D16" s="34">
        <v>14</v>
      </c>
      <c r="E16" s="33" t="s">
        <v>57</v>
      </c>
      <c r="F16" s="35">
        <v>15.9106578317</v>
      </c>
    </row>
    <row r="17" spans="1:6" s="33" customFormat="1" ht="14.25" hidden="1" x14ac:dyDescent="0.2">
      <c r="A17" s="34">
        <v>1</v>
      </c>
      <c r="B17" s="33">
        <v>1</v>
      </c>
      <c r="C17" s="33" t="s">
        <v>43</v>
      </c>
      <c r="D17" s="34">
        <v>15</v>
      </c>
      <c r="E17" s="33" t="s">
        <v>58</v>
      </c>
      <c r="F17" s="35">
        <v>7.275142457087</v>
      </c>
    </row>
    <row r="18" spans="1:6" s="33" customFormat="1" ht="14.25" hidden="1" x14ac:dyDescent="0.2">
      <c r="A18" s="34">
        <v>1</v>
      </c>
      <c r="B18" s="33">
        <v>1</v>
      </c>
      <c r="C18" s="33" t="s">
        <v>43</v>
      </c>
      <c r="D18" s="34">
        <v>16</v>
      </c>
      <c r="E18" s="33" t="s">
        <v>59</v>
      </c>
      <c r="F18" s="35">
        <v>14.071587130520001</v>
      </c>
    </row>
    <row r="19" spans="1:6" s="33" customFormat="1" ht="14.25" hidden="1" x14ac:dyDescent="0.2">
      <c r="A19" s="34">
        <v>1</v>
      </c>
      <c r="B19" s="33">
        <v>1</v>
      </c>
      <c r="C19" s="33" t="s">
        <v>43</v>
      </c>
      <c r="D19" s="34">
        <v>17</v>
      </c>
      <c r="E19" s="33" t="s">
        <v>60</v>
      </c>
      <c r="F19" s="35">
        <v>20.06831737133</v>
      </c>
    </row>
    <row r="20" spans="1:6" s="33" customFormat="1" ht="14.25" hidden="1" x14ac:dyDescent="0.2">
      <c r="A20" s="34">
        <v>1</v>
      </c>
      <c r="B20" s="33">
        <v>1</v>
      </c>
      <c r="C20" s="33" t="s">
        <v>43</v>
      </c>
      <c r="D20" s="34">
        <v>18</v>
      </c>
      <c r="E20" s="33" t="s">
        <v>61</v>
      </c>
      <c r="F20" s="35">
        <v>40.314886855479998</v>
      </c>
    </row>
    <row r="21" spans="1:6" s="33" customFormat="1" ht="14.25" hidden="1" x14ac:dyDescent="0.2">
      <c r="A21" s="34">
        <v>1</v>
      </c>
      <c r="B21" s="33">
        <v>1</v>
      </c>
      <c r="C21" s="33" t="s">
        <v>43</v>
      </c>
      <c r="D21" s="34">
        <v>19</v>
      </c>
      <c r="E21" s="33" t="s">
        <v>62</v>
      </c>
      <c r="F21" s="35">
        <v>43.104486922489997</v>
      </c>
    </row>
    <row r="22" spans="1:6" s="33" customFormat="1" ht="14.25" hidden="1" x14ac:dyDescent="0.2">
      <c r="A22" s="34">
        <v>1</v>
      </c>
      <c r="B22" s="33">
        <v>1</v>
      </c>
      <c r="C22" s="33" t="s">
        <v>43</v>
      </c>
      <c r="D22" s="34">
        <v>20</v>
      </c>
      <c r="E22" s="33" t="s">
        <v>63</v>
      </c>
      <c r="F22" s="35">
        <v>22.698015330410001</v>
      </c>
    </row>
    <row r="23" spans="1:6" s="33" customFormat="1" ht="14.25" hidden="1" x14ac:dyDescent="0.2">
      <c r="A23" s="34">
        <v>1</v>
      </c>
      <c r="B23" s="33">
        <v>1</v>
      </c>
      <c r="C23" s="33" t="s">
        <v>43</v>
      </c>
      <c r="D23" s="34">
        <v>21</v>
      </c>
      <c r="E23" s="33" t="s">
        <v>64</v>
      </c>
      <c r="F23" s="35">
        <v>25.6739322335</v>
      </c>
    </row>
    <row r="24" spans="1:6" s="33" customFormat="1" ht="14.25" hidden="1" x14ac:dyDescent="0.2">
      <c r="A24" s="34">
        <v>1</v>
      </c>
      <c r="B24" s="33">
        <v>1</v>
      </c>
      <c r="C24" s="33" t="s">
        <v>43</v>
      </c>
      <c r="D24" s="34">
        <v>22</v>
      </c>
      <c r="E24" s="33" t="s">
        <v>65</v>
      </c>
      <c r="F24" s="35">
        <v>38.250854647799997</v>
      </c>
    </row>
    <row r="25" spans="1:6" s="33" customFormat="1" ht="14.25" hidden="1" x14ac:dyDescent="0.2">
      <c r="A25" s="34">
        <v>1</v>
      </c>
      <c r="B25" s="33">
        <v>1</v>
      </c>
      <c r="C25" s="33" t="s">
        <v>43</v>
      </c>
      <c r="D25" s="34">
        <v>23</v>
      </c>
      <c r="E25" s="33" t="s">
        <v>66</v>
      </c>
      <c r="F25" s="35">
        <v>26.5302769579</v>
      </c>
    </row>
    <row r="26" spans="1:6" s="33" customFormat="1" ht="14.25" hidden="1" x14ac:dyDescent="0.2">
      <c r="A26" s="34">
        <v>1</v>
      </c>
      <c r="B26" s="33">
        <v>1</v>
      </c>
      <c r="C26" s="33" t="s">
        <v>43</v>
      </c>
      <c r="D26" s="34">
        <v>24</v>
      </c>
      <c r="E26" s="33" t="s">
        <v>67</v>
      </c>
      <c r="F26" s="35">
        <v>25.447538718850002</v>
      </c>
    </row>
    <row r="27" spans="1:6" s="33" customFormat="1" ht="14.25" hidden="1" x14ac:dyDescent="0.2">
      <c r="A27" s="34">
        <v>1</v>
      </c>
      <c r="B27" s="33">
        <v>1</v>
      </c>
      <c r="C27" s="33" t="s">
        <v>43</v>
      </c>
      <c r="D27" s="34">
        <v>25</v>
      </c>
      <c r="E27" s="33" t="s">
        <v>68</v>
      </c>
      <c r="F27" s="35">
        <v>33.067597515740005</v>
      </c>
    </row>
    <row r="28" spans="1:6" s="33" customFormat="1" ht="14.25" hidden="1" x14ac:dyDescent="0.2">
      <c r="A28" s="34">
        <v>1</v>
      </c>
      <c r="B28" s="33">
        <v>1</v>
      </c>
      <c r="C28" s="33" t="s">
        <v>43</v>
      </c>
      <c r="D28" s="34">
        <v>26</v>
      </c>
      <c r="E28" s="33" t="s">
        <v>69</v>
      </c>
      <c r="F28" s="35">
        <v>14.2746532935</v>
      </c>
    </row>
    <row r="29" spans="1:6" s="33" customFormat="1" ht="14.25" hidden="1" x14ac:dyDescent="0.2">
      <c r="A29" s="34">
        <v>1</v>
      </c>
      <c r="B29" s="33">
        <v>1</v>
      </c>
      <c r="C29" s="33" t="s">
        <v>43</v>
      </c>
      <c r="D29" s="34">
        <v>27</v>
      </c>
      <c r="E29" s="33" t="s">
        <v>70</v>
      </c>
      <c r="F29" s="35">
        <v>19.219655703000001</v>
      </c>
    </row>
    <row r="30" spans="1:6" s="33" customFormat="1" ht="14.25" hidden="1" x14ac:dyDescent="0.2">
      <c r="A30" s="34">
        <v>1</v>
      </c>
      <c r="B30" s="33">
        <v>1</v>
      </c>
      <c r="C30" s="33" t="s">
        <v>43</v>
      </c>
      <c r="D30" s="34">
        <v>28</v>
      </c>
      <c r="E30" s="33" t="s">
        <v>71</v>
      </c>
      <c r="F30" s="35">
        <v>9.450495640282</v>
      </c>
    </row>
    <row r="31" spans="1:6" s="33" customFormat="1" ht="14.25" hidden="1" x14ac:dyDescent="0.2">
      <c r="A31" s="34">
        <v>1</v>
      </c>
      <c r="B31" s="33">
        <v>1</v>
      </c>
      <c r="C31" s="33" t="s">
        <v>43</v>
      </c>
      <c r="D31" s="34">
        <v>29</v>
      </c>
      <c r="E31" s="33" t="s">
        <v>72</v>
      </c>
      <c r="F31" s="35">
        <v>25.84284495859</v>
      </c>
    </row>
    <row r="32" spans="1:6" s="33" customFormat="1" ht="14.25" hidden="1" x14ac:dyDescent="0.2">
      <c r="A32" s="34">
        <v>1</v>
      </c>
      <c r="B32" s="33">
        <v>1</v>
      </c>
      <c r="C32" s="33" t="s">
        <v>43</v>
      </c>
      <c r="D32" s="34">
        <v>30</v>
      </c>
      <c r="E32" s="33" t="s">
        <v>73</v>
      </c>
      <c r="F32" s="35">
        <v>12.103764594360001</v>
      </c>
    </row>
    <row r="33" spans="1:6" s="33" customFormat="1" ht="14.25" hidden="1" x14ac:dyDescent="0.2">
      <c r="A33" s="34">
        <v>1</v>
      </c>
      <c r="B33" s="33">
        <v>1</v>
      </c>
      <c r="C33" s="33" t="s">
        <v>43</v>
      </c>
      <c r="D33" s="34">
        <v>31</v>
      </c>
      <c r="E33" s="33" t="s">
        <v>74</v>
      </c>
      <c r="F33" s="35">
        <v>35.95559022095</v>
      </c>
    </row>
    <row r="34" spans="1:6" s="33" customFormat="1" ht="14.25" hidden="1" x14ac:dyDescent="0.2">
      <c r="A34" s="34">
        <v>1</v>
      </c>
      <c r="B34" s="33">
        <v>1</v>
      </c>
      <c r="C34" s="33" t="s">
        <v>43</v>
      </c>
      <c r="D34" s="34">
        <v>32</v>
      </c>
      <c r="E34" s="33" t="s">
        <v>75</v>
      </c>
      <c r="F34" s="35">
        <v>7.6877450416000004</v>
      </c>
    </row>
    <row r="35" spans="1:6" s="33" customFormat="1" ht="14.25" hidden="1" x14ac:dyDescent="0.2">
      <c r="A35" s="34">
        <v>1</v>
      </c>
      <c r="B35" s="33">
        <v>1</v>
      </c>
      <c r="C35" s="33" t="s">
        <v>43</v>
      </c>
      <c r="D35" s="34">
        <v>33</v>
      </c>
      <c r="E35" s="33" t="s">
        <v>76</v>
      </c>
      <c r="F35" s="35">
        <v>44.892780973299999</v>
      </c>
    </row>
    <row r="36" spans="1:6" s="33" customFormat="1" ht="14.25" hidden="1" x14ac:dyDescent="0.2">
      <c r="A36" s="34">
        <v>1</v>
      </c>
      <c r="B36" s="33">
        <v>1</v>
      </c>
      <c r="C36" s="33" t="s">
        <v>43</v>
      </c>
      <c r="D36" s="34">
        <v>34</v>
      </c>
      <c r="E36" s="33" t="s">
        <v>77</v>
      </c>
      <c r="F36" s="35">
        <v>32.812788573200002</v>
      </c>
    </row>
    <row r="37" spans="1:6" s="33" customFormat="1" ht="14.25" hidden="1" x14ac:dyDescent="0.2">
      <c r="A37" s="34">
        <v>1</v>
      </c>
      <c r="B37" s="33">
        <v>1</v>
      </c>
      <c r="C37" s="33" t="s">
        <v>43</v>
      </c>
      <c r="D37" s="34">
        <v>35</v>
      </c>
      <c r="E37" s="33" t="s">
        <v>78</v>
      </c>
      <c r="F37" s="35">
        <v>24.997735133300001</v>
      </c>
    </row>
    <row r="38" spans="1:6" s="33" customFormat="1" ht="14.25" hidden="1" x14ac:dyDescent="0.2">
      <c r="A38" s="34">
        <v>1</v>
      </c>
      <c r="B38" s="33">
        <v>1</v>
      </c>
      <c r="C38" s="33" t="s">
        <v>43</v>
      </c>
      <c r="D38" s="34">
        <v>36</v>
      </c>
      <c r="E38" s="33" t="s">
        <v>79</v>
      </c>
      <c r="F38" s="35">
        <v>6.2442192621799997</v>
      </c>
    </row>
    <row r="39" spans="1:6" s="33" customFormat="1" ht="14.25" hidden="1" x14ac:dyDescent="0.2">
      <c r="A39" s="34">
        <v>1</v>
      </c>
      <c r="B39" s="33">
        <v>1</v>
      </c>
      <c r="C39" s="33" t="s">
        <v>43</v>
      </c>
      <c r="D39" s="34">
        <v>37</v>
      </c>
      <c r="E39" s="33" t="s">
        <v>80</v>
      </c>
      <c r="F39" s="35">
        <v>12.135700452</v>
      </c>
    </row>
    <row r="40" spans="1:6" s="33" customFormat="1" ht="14.25" hidden="1" x14ac:dyDescent="0.2">
      <c r="A40" s="34">
        <v>1</v>
      </c>
      <c r="B40" s="33">
        <v>1</v>
      </c>
      <c r="C40" s="33" t="s">
        <v>43</v>
      </c>
      <c r="D40" s="34">
        <v>38</v>
      </c>
      <c r="E40" s="33" t="s">
        <v>81</v>
      </c>
      <c r="F40" s="35">
        <v>8.0232805681299997</v>
      </c>
    </row>
    <row r="41" spans="1:6" s="33" customFormat="1" ht="14.25" hidden="1" x14ac:dyDescent="0.2">
      <c r="A41" s="34">
        <v>2</v>
      </c>
      <c r="B41" s="33">
        <v>2</v>
      </c>
      <c r="C41" s="33" t="s">
        <v>82</v>
      </c>
      <c r="D41" s="34">
        <v>39</v>
      </c>
      <c r="E41" s="33" t="s">
        <v>83</v>
      </c>
      <c r="F41" s="35">
        <v>10.45280680067</v>
      </c>
    </row>
    <row r="42" spans="1:6" s="33" customFormat="1" ht="14.25" hidden="1" x14ac:dyDescent="0.2">
      <c r="A42" s="34">
        <v>2</v>
      </c>
      <c r="B42" s="33">
        <v>2</v>
      </c>
      <c r="C42" s="33" t="s">
        <v>82</v>
      </c>
      <c r="D42" s="34">
        <v>40</v>
      </c>
      <c r="E42" s="33" t="s">
        <v>84</v>
      </c>
      <c r="F42" s="35">
        <v>60.748882236645002</v>
      </c>
    </row>
    <row r="43" spans="1:6" s="33" customFormat="1" ht="14.25" hidden="1" x14ac:dyDescent="0.2">
      <c r="A43" s="34">
        <v>2</v>
      </c>
      <c r="B43" s="33">
        <v>2</v>
      </c>
      <c r="C43" s="33" t="s">
        <v>82</v>
      </c>
      <c r="D43" s="34">
        <v>41</v>
      </c>
      <c r="E43" s="33" t="s">
        <v>85</v>
      </c>
      <c r="F43" s="35">
        <v>25.715092982809999</v>
      </c>
    </row>
    <row r="44" spans="1:6" s="33" customFormat="1" ht="14.25" hidden="1" x14ac:dyDescent="0.2">
      <c r="A44" s="34">
        <v>2</v>
      </c>
      <c r="B44" s="33">
        <v>2</v>
      </c>
      <c r="C44" s="33" t="s">
        <v>82</v>
      </c>
      <c r="D44" s="34">
        <v>42</v>
      </c>
      <c r="E44" s="33" t="s">
        <v>86</v>
      </c>
      <c r="F44" s="35">
        <v>13.450609853449999</v>
      </c>
    </row>
    <row r="45" spans="1:6" s="33" customFormat="1" ht="14.25" hidden="1" x14ac:dyDescent="0.2">
      <c r="A45" s="34">
        <v>2</v>
      </c>
      <c r="B45" s="33">
        <v>2</v>
      </c>
      <c r="C45" s="33" t="s">
        <v>82</v>
      </c>
      <c r="D45" s="34">
        <v>43</v>
      </c>
      <c r="E45" s="33" t="s">
        <v>87</v>
      </c>
      <c r="F45" s="35">
        <v>21.14779036358</v>
      </c>
    </row>
    <row r="46" spans="1:6" s="33" customFormat="1" ht="14.25" hidden="1" x14ac:dyDescent="0.2">
      <c r="A46" s="34">
        <v>2</v>
      </c>
      <c r="B46" s="33">
        <v>2</v>
      </c>
      <c r="C46" s="33" t="s">
        <v>82</v>
      </c>
      <c r="D46" s="34">
        <v>44</v>
      </c>
      <c r="E46" s="33" t="s">
        <v>88</v>
      </c>
      <c r="F46" s="35">
        <v>60.402238862100006</v>
      </c>
    </row>
    <row r="47" spans="1:6" s="33" customFormat="1" ht="14.25" hidden="1" x14ac:dyDescent="0.2">
      <c r="A47" s="34">
        <v>2</v>
      </c>
      <c r="B47" s="33">
        <v>2</v>
      </c>
      <c r="C47" s="33" t="s">
        <v>82</v>
      </c>
      <c r="D47" s="34">
        <v>45</v>
      </c>
      <c r="E47" s="33" t="s">
        <v>89</v>
      </c>
      <c r="F47" s="35">
        <v>42.611402577</v>
      </c>
    </row>
    <row r="48" spans="1:6" s="33" customFormat="1" ht="14.25" hidden="1" x14ac:dyDescent="0.2">
      <c r="A48" s="34">
        <v>2</v>
      </c>
      <c r="B48" s="33">
        <v>2</v>
      </c>
      <c r="C48" s="33" t="s">
        <v>82</v>
      </c>
      <c r="D48" s="34">
        <v>46</v>
      </c>
      <c r="E48" s="33" t="s">
        <v>90</v>
      </c>
      <c r="F48" s="35">
        <v>68.96339607601</v>
      </c>
    </row>
    <row r="49" spans="1:6" s="33" customFormat="1" ht="14.25" hidden="1" x14ac:dyDescent="0.2">
      <c r="A49" s="34">
        <v>2</v>
      </c>
      <c r="B49" s="33">
        <v>2</v>
      </c>
      <c r="C49" s="33" t="s">
        <v>82</v>
      </c>
      <c r="D49" s="34">
        <v>47</v>
      </c>
      <c r="E49" s="33" t="s">
        <v>91</v>
      </c>
      <c r="F49" s="35">
        <v>45.216185051740005</v>
      </c>
    </row>
    <row r="50" spans="1:6" s="33" customFormat="1" ht="14.25" hidden="1" x14ac:dyDescent="0.2">
      <c r="A50" s="34">
        <v>2</v>
      </c>
      <c r="B50" s="33">
        <v>2</v>
      </c>
      <c r="C50" s="33" t="s">
        <v>82</v>
      </c>
      <c r="D50" s="34">
        <v>48</v>
      </c>
      <c r="E50" s="33" t="s">
        <v>92</v>
      </c>
      <c r="F50" s="35">
        <v>92.523276156099996</v>
      </c>
    </row>
    <row r="51" spans="1:6" s="33" customFormat="1" ht="14.25" hidden="1" x14ac:dyDescent="0.2">
      <c r="A51" s="34">
        <v>2</v>
      </c>
      <c r="B51" s="33">
        <v>2</v>
      </c>
      <c r="C51" s="33" t="s">
        <v>82</v>
      </c>
      <c r="D51" s="34">
        <v>49</v>
      </c>
      <c r="E51" s="33" t="s">
        <v>93</v>
      </c>
      <c r="F51" s="35">
        <v>91.536749372299994</v>
      </c>
    </row>
    <row r="52" spans="1:6" s="33" customFormat="1" ht="14.25" hidden="1" x14ac:dyDescent="0.2">
      <c r="A52" s="34">
        <v>2</v>
      </c>
      <c r="B52" s="33">
        <v>2</v>
      </c>
      <c r="C52" s="33" t="s">
        <v>82</v>
      </c>
      <c r="D52" s="34">
        <v>50</v>
      </c>
      <c r="E52" s="33" t="s">
        <v>94</v>
      </c>
      <c r="F52" s="35">
        <v>13.381598988459999</v>
      </c>
    </row>
    <row r="53" spans="1:6" s="33" customFormat="1" ht="14.25" hidden="1" x14ac:dyDescent="0.2">
      <c r="A53" s="34">
        <v>2</v>
      </c>
      <c r="B53" s="33">
        <v>2</v>
      </c>
      <c r="C53" s="33" t="s">
        <v>82</v>
      </c>
      <c r="D53" s="34">
        <v>51</v>
      </c>
      <c r="E53" s="33" t="s">
        <v>95</v>
      </c>
      <c r="F53" s="35">
        <v>9.7059136417299996</v>
      </c>
    </row>
    <row r="54" spans="1:6" s="33" customFormat="1" ht="14.25" hidden="1" x14ac:dyDescent="0.2">
      <c r="A54" s="34">
        <v>2</v>
      </c>
      <c r="B54" s="33">
        <v>2</v>
      </c>
      <c r="C54" s="33" t="s">
        <v>82</v>
      </c>
      <c r="D54" s="34">
        <v>52</v>
      </c>
      <c r="E54" s="33" t="s">
        <v>96</v>
      </c>
      <c r="F54" s="35">
        <v>57.036246919640007</v>
      </c>
    </row>
    <row r="55" spans="1:6" s="33" customFormat="1" ht="14.25" hidden="1" x14ac:dyDescent="0.2">
      <c r="A55" s="34">
        <v>2</v>
      </c>
      <c r="B55" s="33">
        <v>2</v>
      </c>
      <c r="C55" s="33" t="s">
        <v>82</v>
      </c>
      <c r="D55" s="34">
        <v>53</v>
      </c>
      <c r="E55" s="33" t="s">
        <v>97</v>
      </c>
      <c r="F55" s="35">
        <v>102.64502061262</v>
      </c>
    </row>
    <row r="56" spans="1:6" s="33" customFormat="1" ht="14.25" hidden="1" x14ac:dyDescent="0.2">
      <c r="A56" s="34">
        <v>2</v>
      </c>
      <c r="B56" s="33">
        <v>2</v>
      </c>
      <c r="C56" s="33" t="s">
        <v>82</v>
      </c>
      <c r="D56" s="34">
        <v>54</v>
      </c>
      <c r="E56" s="33" t="s">
        <v>98</v>
      </c>
      <c r="F56" s="35">
        <v>36.53418882471</v>
      </c>
    </row>
    <row r="57" spans="1:6" s="33" customFormat="1" ht="14.25" hidden="1" x14ac:dyDescent="0.2">
      <c r="A57" s="34">
        <v>2</v>
      </c>
      <c r="B57" s="33">
        <v>2</v>
      </c>
      <c r="C57" s="33" t="s">
        <v>82</v>
      </c>
      <c r="D57" s="34">
        <v>55</v>
      </c>
      <c r="E57" s="33" t="s">
        <v>99</v>
      </c>
      <c r="F57" s="35">
        <v>61.884362258121996</v>
      </c>
    </row>
    <row r="58" spans="1:6" s="33" customFormat="1" ht="14.25" hidden="1" x14ac:dyDescent="0.2">
      <c r="A58" s="34">
        <v>2</v>
      </c>
      <c r="B58" s="33">
        <v>2</v>
      </c>
      <c r="C58" s="33" t="s">
        <v>82</v>
      </c>
      <c r="D58" s="34">
        <v>56</v>
      </c>
      <c r="E58" s="33" t="s">
        <v>100</v>
      </c>
      <c r="F58" s="35">
        <v>15.7684938844</v>
      </c>
    </row>
    <row r="59" spans="1:6" s="33" customFormat="1" ht="14.25" hidden="1" x14ac:dyDescent="0.2">
      <c r="A59" s="34">
        <v>2</v>
      </c>
      <c r="B59" s="33">
        <v>2</v>
      </c>
      <c r="C59" s="33" t="s">
        <v>82</v>
      </c>
      <c r="D59" s="34">
        <v>57</v>
      </c>
      <c r="E59" s="33" t="s">
        <v>101</v>
      </c>
      <c r="F59" s="35">
        <v>32.246741340600003</v>
      </c>
    </row>
    <row r="60" spans="1:6" s="33" customFormat="1" ht="14.25" hidden="1" x14ac:dyDescent="0.2">
      <c r="A60" s="34">
        <v>2</v>
      </c>
      <c r="B60" s="33">
        <v>2</v>
      </c>
      <c r="C60" s="33" t="s">
        <v>82</v>
      </c>
      <c r="D60" s="34">
        <v>58</v>
      </c>
      <c r="E60" s="33" t="s">
        <v>102</v>
      </c>
      <c r="F60" s="35">
        <v>3.86802932762</v>
      </c>
    </row>
    <row r="61" spans="1:6" s="33" customFormat="1" ht="14.25" hidden="1" x14ac:dyDescent="0.2">
      <c r="A61" s="34">
        <v>2</v>
      </c>
      <c r="B61" s="33">
        <v>2</v>
      </c>
      <c r="C61" s="33" t="s">
        <v>82</v>
      </c>
      <c r="D61" s="34">
        <v>59</v>
      </c>
      <c r="E61" s="33" t="s">
        <v>103</v>
      </c>
      <c r="F61" s="35">
        <v>43.086791463899999</v>
      </c>
    </row>
    <row r="62" spans="1:6" s="33" customFormat="1" ht="14.25" hidden="1" x14ac:dyDescent="0.2">
      <c r="A62" s="34">
        <v>2</v>
      </c>
      <c r="B62" s="33">
        <v>2</v>
      </c>
      <c r="C62" s="33" t="s">
        <v>82</v>
      </c>
      <c r="D62" s="34">
        <v>60</v>
      </c>
      <c r="E62" s="33" t="s">
        <v>104</v>
      </c>
      <c r="F62" s="35">
        <v>29.115564879200001</v>
      </c>
    </row>
    <row r="63" spans="1:6" s="33" customFormat="1" ht="14.25" hidden="1" x14ac:dyDescent="0.2">
      <c r="A63" s="34">
        <v>2</v>
      </c>
      <c r="B63" s="33">
        <v>2</v>
      </c>
      <c r="C63" s="33" t="s">
        <v>82</v>
      </c>
      <c r="D63" s="34">
        <v>61</v>
      </c>
      <c r="E63" s="33" t="s">
        <v>105</v>
      </c>
      <c r="F63" s="35">
        <v>38.142041879129998</v>
      </c>
    </row>
    <row r="64" spans="1:6" s="33" customFormat="1" ht="14.25" hidden="1" x14ac:dyDescent="0.2">
      <c r="A64" s="34">
        <v>2</v>
      </c>
      <c r="B64" s="33">
        <v>2</v>
      </c>
      <c r="C64" s="33" t="s">
        <v>82</v>
      </c>
      <c r="D64" s="34">
        <v>62</v>
      </c>
      <c r="E64" s="33" t="s">
        <v>106</v>
      </c>
      <c r="F64" s="35">
        <v>13.554416368129999</v>
      </c>
    </row>
    <row r="65" spans="1:10" s="33" customFormat="1" ht="14.25" hidden="1" x14ac:dyDescent="0.2">
      <c r="A65" s="34">
        <v>2</v>
      </c>
      <c r="B65" s="33">
        <v>2</v>
      </c>
      <c r="C65" s="33" t="s">
        <v>82</v>
      </c>
      <c r="D65" s="34">
        <v>63</v>
      </c>
      <c r="E65" s="33" t="s">
        <v>107</v>
      </c>
      <c r="F65" s="35">
        <v>28.9906485132</v>
      </c>
    </row>
    <row r="66" spans="1:10" s="33" customFormat="1" ht="14.25" hidden="1" x14ac:dyDescent="0.2">
      <c r="A66" s="34">
        <v>2</v>
      </c>
      <c r="B66" s="33">
        <v>2</v>
      </c>
      <c r="C66" s="33" t="s">
        <v>82</v>
      </c>
      <c r="D66" s="34">
        <v>64</v>
      </c>
      <c r="E66" s="33" t="s">
        <v>108</v>
      </c>
      <c r="F66" s="35">
        <v>16.852537210800001</v>
      </c>
    </row>
    <row r="67" spans="1:10" s="33" customFormat="1" ht="14.25" hidden="1" x14ac:dyDescent="0.2">
      <c r="A67" s="34">
        <v>2</v>
      </c>
      <c r="B67" s="33">
        <v>2</v>
      </c>
      <c r="C67" s="33" t="s">
        <v>82</v>
      </c>
      <c r="D67" s="34">
        <v>65</v>
      </c>
      <c r="E67" s="33" t="s">
        <v>109</v>
      </c>
      <c r="F67" s="35">
        <v>16.639885323600001</v>
      </c>
    </row>
    <row r="68" spans="1:10" s="33" customFormat="1" ht="14.25" hidden="1" x14ac:dyDescent="0.2">
      <c r="A68" s="34">
        <v>2</v>
      </c>
      <c r="B68" s="33">
        <v>2</v>
      </c>
      <c r="C68" s="33" t="s">
        <v>82</v>
      </c>
      <c r="D68" s="34">
        <v>66</v>
      </c>
      <c r="E68" s="33" t="s">
        <v>110</v>
      </c>
      <c r="F68" s="35">
        <v>32.279870488500002</v>
      </c>
    </row>
    <row r="69" spans="1:10" x14ac:dyDescent="0.2">
      <c r="A69" s="44">
        <v>3</v>
      </c>
      <c r="B69" s="44">
        <v>3</v>
      </c>
      <c r="C69" s="44" t="s">
        <v>308</v>
      </c>
      <c r="D69" s="44" t="s">
        <v>309</v>
      </c>
      <c r="E69" s="45" t="s">
        <v>24</v>
      </c>
      <c r="F69" s="45" t="s">
        <v>310</v>
      </c>
      <c r="G69" s="45" t="s">
        <v>311</v>
      </c>
      <c r="H69" s="46">
        <v>58.164330475299998</v>
      </c>
      <c r="I69" s="44" t="s">
        <v>312</v>
      </c>
    </row>
    <row r="70" spans="1:10" ht="30" x14ac:dyDescent="0.2">
      <c r="A70" s="67">
        <v>3</v>
      </c>
      <c r="B70" s="44">
        <v>3</v>
      </c>
      <c r="C70" s="44" t="s">
        <v>308</v>
      </c>
      <c r="D70" s="67" t="s">
        <v>309</v>
      </c>
      <c r="E70" s="68" t="s">
        <v>24</v>
      </c>
      <c r="F70" s="68" t="s">
        <v>313</v>
      </c>
      <c r="G70" s="68" t="s">
        <v>314</v>
      </c>
      <c r="H70" s="69">
        <v>19.427802331999999</v>
      </c>
      <c r="I70" s="67" t="s">
        <v>312</v>
      </c>
    </row>
    <row r="71" spans="1:10" ht="30" x14ac:dyDescent="0.2">
      <c r="A71" s="67">
        <v>3</v>
      </c>
      <c r="B71" s="44">
        <v>3</v>
      </c>
      <c r="C71" s="44" t="s">
        <v>308</v>
      </c>
      <c r="D71" s="67" t="s">
        <v>315</v>
      </c>
      <c r="E71" s="68" t="s">
        <v>25</v>
      </c>
      <c r="F71" s="68" t="s">
        <v>18</v>
      </c>
      <c r="G71" s="68" t="s">
        <v>316</v>
      </c>
      <c r="H71" s="69">
        <v>33.5912005036</v>
      </c>
      <c r="I71" s="67" t="s">
        <v>312</v>
      </c>
      <c r="J71" s="32" t="s">
        <v>21</v>
      </c>
    </row>
    <row r="72" spans="1:10" ht="30" x14ac:dyDescent="0.2">
      <c r="A72" s="67">
        <v>3</v>
      </c>
      <c r="B72" s="44">
        <v>3</v>
      </c>
      <c r="C72" s="44" t="s">
        <v>308</v>
      </c>
      <c r="D72" s="67" t="s">
        <v>315</v>
      </c>
      <c r="E72" s="68" t="s">
        <v>25</v>
      </c>
      <c r="F72" s="68" t="s">
        <v>19</v>
      </c>
      <c r="G72" s="68" t="s">
        <v>317</v>
      </c>
      <c r="H72" s="69">
        <v>4.8384683478900001</v>
      </c>
      <c r="I72" s="67" t="s">
        <v>312</v>
      </c>
      <c r="J72" s="32" t="s">
        <v>21</v>
      </c>
    </row>
    <row r="73" spans="1:10" ht="30" x14ac:dyDescent="0.2">
      <c r="A73" s="67">
        <v>3</v>
      </c>
      <c r="B73" s="44">
        <v>3</v>
      </c>
      <c r="C73" s="44" t="s">
        <v>308</v>
      </c>
      <c r="D73" s="67" t="s">
        <v>318</v>
      </c>
      <c r="E73" s="68" t="s">
        <v>26</v>
      </c>
      <c r="F73" s="68" t="s">
        <v>319</v>
      </c>
      <c r="G73" s="68" t="s">
        <v>320</v>
      </c>
      <c r="H73" s="69">
        <v>148.40782601500001</v>
      </c>
      <c r="I73" s="67" t="s">
        <v>321</v>
      </c>
      <c r="J73" s="32" t="s">
        <v>21</v>
      </c>
    </row>
    <row r="74" spans="1:10" x14ac:dyDescent="0.2">
      <c r="A74" s="67">
        <v>3</v>
      </c>
      <c r="B74" s="44">
        <v>3</v>
      </c>
      <c r="C74" s="44" t="s">
        <v>308</v>
      </c>
      <c r="D74" s="67" t="s">
        <v>322</v>
      </c>
      <c r="E74" s="68" t="s">
        <v>27</v>
      </c>
      <c r="F74" s="68" t="s">
        <v>323</v>
      </c>
      <c r="G74" s="68" t="s">
        <v>324</v>
      </c>
      <c r="H74" s="69">
        <v>19.3265161498</v>
      </c>
      <c r="I74" s="67" t="s">
        <v>312</v>
      </c>
    </row>
    <row r="75" spans="1:10" x14ac:dyDescent="0.2">
      <c r="A75" s="67">
        <v>3</v>
      </c>
      <c r="B75" s="44">
        <v>3</v>
      </c>
      <c r="C75" s="44" t="s">
        <v>308</v>
      </c>
      <c r="D75" s="67" t="s">
        <v>325</v>
      </c>
      <c r="E75" s="68" t="s">
        <v>28</v>
      </c>
      <c r="F75" s="68" t="s">
        <v>326</v>
      </c>
      <c r="G75" s="68" t="s">
        <v>327</v>
      </c>
      <c r="H75" s="69">
        <v>36.7682307002</v>
      </c>
      <c r="I75" s="67" t="s">
        <v>312</v>
      </c>
      <c r="J75" s="32" t="s">
        <v>21</v>
      </c>
    </row>
    <row r="76" spans="1:10" x14ac:dyDescent="0.2">
      <c r="A76" s="67">
        <v>3</v>
      </c>
      <c r="B76" s="44">
        <v>3</v>
      </c>
      <c r="C76" s="44" t="s">
        <v>308</v>
      </c>
      <c r="D76" s="67" t="s">
        <v>325</v>
      </c>
      <c r="E76" s="68" t="s">
        <v>28</v>
      </c>
      <c r="F76" s="68" t="s">
        <v>328</v>
      </c>
      <c r="G76" s="68" t="s">
        <v>329</v>
      </c>
      <c r="H76" s="69">
        <v>17.621405181099998</v>
      </c>
      <c r="I76" s="67" t="s">
        <v>312</v>
      </c>
      <c r="J76" s="32" t="s">
        <v>21</v>
      </c>
    </row>
    <row r="77" spans="1:10" ht="30" x14ac:dyDescent="0.2">
      <c r="A77" s="67">
        <v>3</v>
      </c>
      <c r="B77" s="44">
        <v>3</v>
      </c>
      <c r="C77" s="44" t="s">
        <v>308</v>
      </c>
      <c r="D77" s="67" t="s">
        <v>330</v>
      </c>
      <c r="E77" s="68" t="s">
        <v>29</v>
      </c>
      <c r="F77" s="68" t="s">
        <v>331</v>
      </c>
      <c r="G77" s="68" t="s">
        <v>332</v>
      </c>
      <c r="H77" s="69">
        <v>14.646521651400001</v>
      </c>
      <c r="I77" s="67" t="s">
        <v>312</v>
      </c>
    </row>
    <row r="78" spans="1:10" ht="30" x14ac:dyDescent="0.2">
      <c r="A78" s="67">
        <v>3</v>
      </c>
      <c r="B78" s="44">
        <v>3</v>
      </c>
      <c r="C78" s="44" t="s">
        <v>308</v>
      </c>
      <c r="D78" s="67" t="s">
        <v>330</v>
      </c>
      <c r="E78" s="68" t="s">
        <v>29</v>
      </c>
      <c r="F78" s="68" t="s">
        <v>333</v>
      </c>
      <c r="G78" s="68" t="s">
        <v>334</v>
      </c>
      <c r="H78" s="69">
        <v>13.697356407999999</v>
      </c>
      <c r="I78" s="67" t="s">
        <v>312</v>
      </c>
    </row>
    <row r="79" spans="1:10" x14ac:dyDescent="0.2">
      <c r="A79" s="63">
        <v>3</v>
      </c>
      <c r="B79" s="44">
        <v>3</v>
      </c>
      <c r="C79" s="44" t="s">
        <v>308</v>
      </c>
      <c r="D79" s="63" t="s">
        <v>335</v>
      </c>
      <c r="E79" s="64" t="s">
        <v>30</v>
      </c>
      <c r="F79" s="64" t="s">
        <v>336</v>
      </c>
      <c r="G79" s="64" t="s">
        <v>337</v>
      </c>
      <c r="H79" s="65">
        <v>28.5889587747</v>
      </c>
      <c r="I79" s="63" t="s">
        <v>312</v>
      </c>
      <c r="J79" s="32" t="s">
        <v>21</v>
      </c>
    </row>
    <row r="80" spans="1:10" ht="30" x14ac:dyDescent="0.2">
      <c r="A80" s="67">
        <v>3</v>
      </c>
      <c r="B80" s="44">
        <v>3</v>
      </c>
      <c r="C80" s="44" t="s">
        <v>308</v>
      </c>
      <c r="D80" s="67" t="s">
        <v>338</v>
      </c>
      <c r="E80" s="68" t="s">
        <v>31</v>
      </c>
      <c r="F80" s="68" t="s">
        <v>339</v>
      </c>
      <c r="G80" s="68" t="s">
        <v>340</v>
      </c>
      <c r="H80" s="69">
        <v>13.6139219472</v>
      </c>
      <c r="I80" s="67" t="s">
        <v>312</v>
      </c>
    </row>
    <row r="81" spans="1:15" ht="30" x14ac:dyDescent="0.2">
      <c r="A81" s="67">
        <v>3</v>
      </c>
      <c r="B81" s="44">
        <v>3</v>
      </c>
      <c r="C81" s="44" t="s">
        <v>308</v>
      </c>
      <c r="D81" s="67" t="s">
        <v>338</v>
      </c>
      <c r="E81" s="68" t="s">
        <v>31</v>
      </c>
      <c r="F81" s="68" t="s">
        <v>341</v>
      </c>
      <c r="G81" s="68" t="s">
        <v>342</v>
      </c>
      <c r="H81" s="69">
        <v>3.8645041201599999</v>
      </c>
      <c r="I81" s="67" t="s">
        <v>312</v>
      </c>
    </row>
    <row r="82" spans="1:15" ht="30" x14ac:dyDescent="0.2">
      <c r="A82" s="67">
        <v>3</v>
      </c>
      <c r="B82" s="44">
        <v>3</v>
      </c>
      <c r="C82" s="44" t="s">
        <v>308</v>
      </c>
      <c r="D82" s="67" t="s">
        <v>338</v>
      </c>
      <c r="E82" s="68" t="s">
        <v>31</v>
      </c>
      <c r="F82" s="68" t="s">
        <v>343</v>
      </c>
      <c r="G82" s="68" t="s">
        <v>344</v>
      </c>
      <c r="H82" s="69">
        <v>14.0212787634</v>
      </c>
      <c r="I82" s="67" t="s">
        <v>312</v>
      </c>
    </row>
    <row r="83" spans="1:15" ht="30" x14ac:dyDescent="0.2">
      <c r="A83" s="67">
        <v>3</v>
      </c>
      <c r="B83" s="44">
        <v>3</v>
      </c>
      <c r="C83" s="44" t="s">
        <v>308</v>
      </c>
      <c r="D83" s="67" t="s">
        <v>345</v>
      </c>
      <c r="E83" s="68" t="s">
        <v>32</v>
      </c>
      <c r="F83" s="68" t="s">
        <v>346</v>
      </c>
      <c r="G83" s="68" t="s">
        <v>347</v>
      </c>
      <c r="H83" s="69">
        <v>47.358811885000001</v>
      </c>
      <c r="I83" s="67" t="s">
        <v>312</v>
      </c>
      <c r="J83" s="32" t="s">
        <v>21</v>
      </c>
    </row>
    <row r="84" spans="1:15" x14ac:dyDescent="0.2">
      <c r="A84" s="67">
        <v>3</v>
      </c>
      <c r="B84" s="44">
        <v>3</v>
      </c>
      <c r="C84" s="44" t="s">
        <v>308</v>
      </c>
      <c r="D84" s="67" t="s">
        <v>348</v>
      </c>
      <c r="E84" s="68" t="s">
        <v>33</v>
      </c>
      <c r="F84" s="68" t="s">
        <v>349</v>
      </c>
      <c r="G84" s="68" t="s">
        <v>350</v>
      </c>
      <c r="H84" s="69">
        <v>31.730768261000001</v>
      </c>
      <c r="I84" s="67" t="s">
        <v>312</v>
      </c>
    </row>
    <row r="85" spans="1:15" x14ac:dyDescent="0.2">
      <c r="A85" s="67">
        <v>3</v>
      </c>
      <c r="B85" s="44">
        <v>3</v>
      </c>
      <c r="C85" s="44" t="s">
        <v>308</v>
      </c>
      <c r="D85" s="67" t="s">
        <v>351</v>
      </c>
      <c r="E85" s="68" t="s">
        <v>34</v>
      </c>
      <c r="F85" s="68" t="s">
        <v>352</v>
      </c>
      <c r="G85" s="68" t="s">
        <v>353</v>
      </c>
      <c r="H85" s="69">
        <v>28.070200140400001</v>
      </c>
      <c r="I85" s="67" t="s">
        <v>312</v>
      </c>
    </row>
    <row r="86" spans="1:15" ht="30" x14ac:dyDescent="0.2">
      <c r="A86" s="44">
        <v>3</v>
      </c>
      <c r="B86" s="44">
        <v>3</v>
      </c>
      <c r="C86" s="45" t="s">
        <v>308</v>
      </c>
      <c r="D86" s="45" t="s">
        <v>351</v>
      </c>
      <c r="E86" s="45" t="s">
        <v>34</v>
      </c>
      <c r="F86" s="46" t="s">
        <v>354</v>
      </c>
      <c r="G86" s="44" t="s">
        <v>355</v>
      </c>
      <c r="H86" s="46">
        <v>13.451488918100001</v>
      </c>
      <c r="I86" s="44" t="s">
        <v>312</v>
      </c>
      <c r="J86" s="31"/>
      <c r="K86" s="31"/>
      <c r="L86" s="31"/>
      <c r="M86" s="31"/>
      <c r="N86" s="31"/>
      <c r="O86" s="31"/>
    </row>
    <row r="87" spans="1:15" s="33" customFormat="1" ht="14.25" hidden="1" x14ac:dyDescent="0.2">
      <c r="A87" s="34"/>
      <c r="D87" s="34"/>
      <c r="F87" s="35"/>
      <c r="H87" s="33">
        <f>SUBTOTAL(9,H69:H85)</f>
        <v>533.73810165615009</v>
      </c>
    </row>
    <row r="88" spans="1:15" s="33" customFormat="1" ht="14.25" hidden="1" x14ac:dyDescent="0.2">
      <c r="A88" s="34"/>
      <c r="D88" s="34"/>
      <c r="F88" s="35"/>
      <c r="H88" s="33">
        <v>969.28714980159589</v>
      </c>
    </row>
    <row r="89" spans="1:15" s="33" customFormat="1" ht="14.25" hidden="1" x14ac:dyDescent="0.2">
      <c r="A89" s="34">
        <v>4</v>
      </c>
      <c r="B89" s="33">
        <v>4</v>
      </c>
      <c r="C89" s="33" t="s">
        <v>111</v>
      </c>
      <c r="D89" s="34">
        <v>88</v>
      </c>
      <c r="E89" s="33" t="s">
        <v>112</v>
      </c>
      <c r="F89" s="35">
        <v>65.895962020799999</v>
      </c>
    </row>
    <row r="90" spans="1:15" s="33" customFormat="1" ht="14.25" hidden="1" x14ac:dyDescent="0.2">
      <c r="A90" s="34">
        <v>4</v>
      </c>
      <c r="B90" s="33">
        <v>4</v>
      </c>
      <c r="C90" s="33" t="s">
        <v>111</v>
      </c>
      <c r="D90" s="34">
        <v>89</v>
      </c>
      <c r="E90" s="33" t="s">
        <v>113</v>
      </c>
      <c r="F90" s="35">
        <v>25.073989653702</v>
      </c>
    </row>
    <row r="91" spans="1:15" s="33" customFormat="1" ht="14.25" hidden="1" x14ac:dyDescent="0.2">
      <c r="A91" s="34">
        <v>4</v>
      </c>
      <c r="B91" s="33">
        <v>4</v>
      </c>
      <c r="C91" s="33" t="s">
        <v>111</v>
      </c>
      <c r="D91" s="34">
        <v>90</v>
      </c>
      <c r="E91" s="33" t="s">
        <v>114</v>
      </c>
      <c r="F91" s="35">
        <v>17.498486755670001</v>
      </c>
    </row>
    <row r="92" spans="1:15" s="33" customFormat="1" ht="14.25" hidden="1" x14ac:dyDescent="0.2">
      <c r="A92" s="34">
        <v>4</v>
      </c>
      <c r="B92" s="33">
        <v>4</v>
      </c>
      <c r="C92" s="33" t="s">
        <v>111</v>
      </c>
      <c r="D92" s="34">
        <v>91</v>
      </c>
      <c r="E92" s="33" t="s">
        <v>115</v>
      </c>
      <c r="F92" s="35">
        <v>68.233967674900001</v>
      </c>
    </row>
    <row r="93" spans="1:15" s="33" customFormat="1" ht="14.25" hidden="1" x14ac:dyDescent="0.2">
      <c r="A93" s="34">
        <v>4</v>
      </c>
      <c r="B93" s="33">
        <v>4</v>
      </c>
      <c r="C93" s="33" t="s">
        <v>111</v>
      </c>
      <c r="D93" s="34">
        <v>92</v>
      </c>
      <c r="E93" s="33" t="s">
        <v>116</v>
      </c>
      <c r="F93" s="35">
        <v>2.9517943244759999</v>
      </c>
    </row>
    <row r="94" spans="1:15" s="33" customFormat="1" ht="14.25" hidden="1" x14ac:dyDescent="0.2">
      <c r="A94" s="34">
        <v>4</v>
      </c>
      <c r="B94" s="33">
        <v>4</v>
      </c>
      <c r="C94" s="33" t="s">
        <v>111</v>
      </c>
      <c r="D94" s="34">
        <v>93</v>
      </c>
      <c r="E94" s="33" t="s">
        <v>117</v>
      </c>
      <c r="F94" s="35">
        <v>31.927675628088</v>
      </c>
    </row>
    <row r="95" spans="1:15" s="33" customFormat="1" ht="14.25" hidden="1" x14ac:dyDescent="0.2">
      <c r="A95" s="34">
        <v>4</v>
      </c>
      <c r="B95" s="33">
        <v>4</v>
      </c>
      <c r="C95" s="33" t="s">
        <v>111</v>
      </c>
      <c r="D95" s="34">
        <v>94</v>
      </c>
      <c r="E95" s="33" t="s">
        <v>118</v>
      </c>
      <c r="F95" s="35">
        <v>40.498984407400002</v>
      </c>
    </row>
    <row r="96" spans="1:15" s="33" customFormat="1" ht="14.25" hidden="1" x14ac:dyDescent="0.2">
      <c r="A96" s="34">
        <v>4</v>
      </c>
      <c r="B96" s="33">
        <v>4</v>
      </c>
      <c r="C96" s="33" t="s">
        <v>111</v>
      </c>
      <c r="D96" s="34">
        <v>95</v>
      </c>
      <c r="E96" s="33" t="s">
        <v>119</v>
      </c>
      <c r="F96" s="35">
        <v>61.842199805500002</v>
      </c>
    </row>
    <row r="97" spans="1:6" s="33" customFormat="1" ht="14.25" hidden="1" x14ac:dyDescent="0.2">
      <c r="A97" s="34">
        <v>4</v>
      </c>
      <c r="B97" s="33">
        <v>4</v>
      </c>
      <c r="C97" s="33" t="s">
        <v>111</v>
      </c>
      <c r="D97" s="34">
        <v>96</v>
      </c>
      <c r="E97" s="33" t="s">
        <v>120</v>
      </c>
      <c r="F97" s="35">
        <v>96.187872004900001</v>
      </c>
    </row>
    <row r="98" spans="1:6" s="33" customFormat="1" ht="14.25" hidden="1" x14ac:dyDescent="0.2">
      <c r="A98" s="34">
        <v>4</v>
      </c>
      <c r="B98" s="33">
        <v>4</v>
      </c>
      <c r="C98" s="33" t="s">
        <v>111</v>
      </c>
      <c r="D98" s="34">
        <v>97</v>
      </c>
      <c r="E98" s="33" t="s">
        <v>121</v>
      </c>
      <c r="F98" s="35">
        <v>10.831047288700001</v>
      </c>
    </row>
    <row r="99" spans="1:6" s="33" customFormat="1" ht="14.25" hidden="1" x14ac:dyDescent="0.2">
      <c r="A99" s="34">
        <v>4</v>
      </c>
      <c r="B99" s="33">
        <v>4</v>
      </c>
      <c r="C99" s="33" t="s">
        <v>111</v>
      </c>
      <c r="D99" s="34">
        <v>98</v>
      </c>
      <c r="E99" s="33" t="s">
        <v>122</v>
      </c>
      <c r="F99" s="35">
        <v>35.596923869619005</v>
      </c>
    </row>
    <row r="100" spans="1:6" s="33" customFormat="1" ht="14.25" hidden="1" x14ac:dyDescent="0.2">
      <c r="A100" s="34">
        <v>4</v>
      </c>
      <c r="B100" s="33">
        <v>4</v>
      </c>
      <c r="C100" s="33" t="s">
        <v>111</v>
      </c>
      <c r="D100" s="34">
        <v>99</v>
      </c>
      <c r="E100" s="33" t="s">
        <v>123</v>
      </c>
      <c r="F100" s="35">
        <v>24.931681050470001</v>
      </c>
    </row>
    <row r="101" spans="1:6" s="33" customFormat="1" ht="14.25" hidden="1" x14ac:dyDescent="0.2">
      <c r="A101" s="34">
        <v>4</v>
      </c>
      <c r="B101" s="33">
        <v>4</v>
      </c>
      <c r="C101" s="33" t="s">
        <v>111</v>
      </c>
      <c r="D101" s="34">
        <v>100</v>
      </c>
      <c r="E101" s="33" t="s">
        <v>124</v>
      </c>
      <c r="F101" s="35">
        <v>42.756345338300001</v>
      </c>
    </row>
    <row r="102" spans="1:6" s="33" customFormat="1" ht="14.25" hidden="1" x14ac:dyDescent="0.2">
      <c r="A102" s="34">
        <v>4</v>
      </c>
      <c r="B102" s="33">
        <v>4</v>
      </c>
      <c r="C102" s="33" t="s">
        <v>111</v>
      </c>
      <c r="D102" s="34">
        <v>101</v>
      </c>
      <c r="E102" s="33" t="s">
        <v>125</v>
      </c>
      <c r="F102" s="35">
        <v>60.60206968</v>
      </c>
    </row>
    <row r="103" spans="1:6" s="33" customFormat="1" ht="14.25" hidden="1" x14ac:dyDescent="0.2">
      <c r="A103" s="34">
        <v>4</v>
      </c>
      <c r="B103" s="33">
        <v>4</v>
      </c>
      <c r="C103" s="33" t="s">
        <v>111</v>
      </c>
      <c r="D103" s="34">
        <v>102</v>
      </c>
      <c r="E103" s="33" t="s">
        <v>126</v>
      </c>
      <c r="F103" s="35">
        <v>13.933547283599999</v>
      </c>
    </row>
    <row r="104" spans="1:6" s="33" customFormat="1" ht="14.25" hidden="1" x14ac:dyDescent="0.2">
      <c r="A104" s="34">
        <v>4</v>
      </c>
      <c r="B104" s="33">
        <v>4</v>
      </c>
      <c r="C104" s="33" t="s">
        <v>111</v>
      </c>
      <c r="D104" s="34">
        <v>103</v>
      </c>
      <c r="E104" s="33" t="s">
        <v>127</v>
      </c>
      <c r="F104" s="35">
        <v>44.765471399920003</v>
      </c>
    </row>
    <row r="105" spans="1:6" s="33" customFormat="1" ht="14.25" hidden="1" x14ac:dyDescent="0.2">
      <c r="A105" s="34">
        <v>4</v>
      </c>
      <c r="B105" s="33">
        <v>4</v>
      </c>
      <c r="C105" s="33" t="s">
        <v>111</v>
      </c>
      <c r="D105" s="34">
        <v>104</v>
      </c>
      <c r="E105" s="33" t="s">
        <v>128</v>
      </c>
      <c r="F105" s="35">
        <v>16.233705080699998</v>
      </c>
    </row>
    <row r="106" spans="1:6" s="33" customFormat="1" ht="14.25" hidden="1" x14ac:dyDescent="0.2">
      <c r="A106" s="34">
        <v>4</v>
      </c>
      <c r="B106" s="33">
        <v>4</v>
      </c>
      <c r="C106" s="33" t="s">
        <v>111</v>
      </c>
      <c r="D106" s="34">
        <v>105</v>
      </c>
      <c r="E106" s="33" t="s">
        <v>129</v>
      </c>
      <c r="F106" s="35">
        <v>29.217101730500001</v>
      </c>
    </row>
    <row r="107" spans="1:6" s="33" customFormat="1" ht="14.25" hidden="1" x14ac:dyDescent="0.2">
      <c r="A107" s="34">
        <v>4</v>
      </c>
      <c r="B107" s="33">
        <v>4</v>
      </c>
      <c r="C107" s="33" t="s">
        <v>111</v>
      </c>
      <c r="D107" s="34">
        <v>106</v>
      </c>
      <c r="E107" s="33" t="s">
        <v>130</v>
      </c>
      <c r="F107" s="35">
        <v>33.113592789169999</v>
      </c>
    </row>
    <row r="108" spans="1:6" s="33" customFormat="1" ht="14.25" hidden="1" x14ac:dyDescent="0.2">
      <c r="A108" s="34">
        <v>4</v>
      </c>
      <c r="B108" s="33">
        <v>4</v>
      </c>
      <c r="C108" s="33" t="s">
        <v>111</v>
      </c>
      <c r="D108" s="34">
        <v>107</v>
      </c>
      <c r="E108" s="33" t="s">
        <v>131</v>
      </c>
      <c r="F108" s="35">
        <v>50.141199483920005</v>
      </c>
    </row>
    <row r="109" spans="1:6" s="33" customFormat="1" ht="14.25" hidden="1" x14ac:dyDescent="0.2">
      <c r="A109" s="34">
        <v>4</v>
      </c>
      <c r="B109" s="33">
        <v>4</v>
      </c>
      <c r="C109" s="33" t="s">
        <v>111</v>
      </c>
      <c r="D109" s="34">
        <v>108</v>
      </c>
      <c r="E109" s="33" t="s">
        <v>132</v>
      </c>
      <c r="F109" s="35">
        <v>56.957540603799998</v>
      </c>
    </row>
    <row r="110" spans="1:6" s="33" customFormat="1" ht="14.25" hidden="1" x14ac:dyDescent="0.2">
      <c r="A110" s="34">
        <v>5</v>
      </c>
      <c r="B110" s="33">
        <v>5</v>
      </c>
      <c r="C110" s="33" t="s">
        <v>133</v>
      </c>
      <c r="D110" s="34">
        <v>109</v>
      </c>
      <c r="E110" s="33" t="s">
        <v>134</v>
      </c>
      <c r="F110" s="35">
        <v>56.266929341810005</v>
      </c>
    </row>
    <row r="111" spans="1:6" s="33" customFormat="1" ht="14.25" hidden="1" x14ac:dyDescent="0.2">
      <c r="A111" s="34">
        <v>5</v>
      </c>
      <c r="B111" s="33">
        <v>5</v>
      </c>
      <c r="C111" s="33" t="s">
        <v>133</v>
      </c>
      <c r="D111" s="34">
        <v>110</v>
      </c>
      <c r="E111" s="33" t="s">
        <v>135</v>
      </c>
      <c r="F111" s="35">
        <v>18.457192848209001</v>
      </c>
    </row>
    <row r="112" spans="1:6" s="33" customFormat="1" ht="14.25" hidden="1" x14ac:dyDescent="0.2">
      <c r="A112" s="34">
        <v>5</v>
      </c>
      <c r="B112" s="33">
        <v>5</v>
      </c>
      <c r="C112" s="33" t="s">
        <v>133</v>
      </c>
      <c r="D112" s="34">
        <v>111</v>
      </c>
      <c r="E112" s="33" t="s">
        <v>136</v>
      </c>
      <c r="F112" s="35">
        <v>87.13053330612</v>
      </c>
    </row>
    <row r="113" spans="1:6" s="33" customFormat="1" ht="14.25" hidden="1" x14ac:dyDescent="0.2">
      <c r="A113" s="34">
        <v>5</v>
      </c>
      <c r="B113" s="33">
        <v>5</v>
      </c>
      <c r="C113" s="33" t="s">
        <v>133</v>
      </c>
      <c r="D113" s="34">
        <v>112</v>
      </c>
      <c r="E113" s="33" t="s">
        <v>137</v>
      </c>
      <c r="F113" s="35">
        <v>56.054881780921001</v>
      </c>
    </row>
    <row r="114" spans="1:6" s="33" customFormat="1" ht="14.25" hidden="1" x14ac:dyDescent="0.2">
      <c r="A114" s="34">
        <v>5</v>
      </c>
      <c r="B114" s="33">
        <v>5</v>
      </c>
      <c r="C114" s="33" t="s">
        <v>133</v>
      </c>
      <c r="D114" s="34">
        <v>113</v>
      </c>
      <c r="E114" s="33" t="s">
        <v>138</v>
      </c>
      <c r="F114" s="35">
        <v>62.931725547100001</v>
      </c>
    </row>
    <row r="115" spans="1:6" s="33" customFormat="1" ht="14.25" hidden="1" x14ac:dyDescent="0.2">
      <c r="A115" s="34">
        <v>5</v>
      </c>
      <c r="B115" s="33">
        <v>5</v>
      </c>
      <c r="C115" s="33" t="s">
        <v>133</v>
      </c>
      <c r="D115" s="34">
        <v>114</v>
      </c>
      <c r="E115" s="33" t="s">
        <v>139</v>
      </c>
      <c r="F115" s="35">
        <v>38.650492816099998</v>
      </c>
    </row>
    <row r="116" spans="1:6" s="33" customFormat="1" ht="14.25" hidden="1" x14ac:dyDescent="0.2">
      <c r="A116" s="34">
        <v>5</v>
      </c>
      <c r="B116" s="33">
        <v>5</v>
      </c>
      <c r="C116" s="33" t="s">
        <v>133</v>
      </c>
      <c r="D116" s="34">
        <v>115</v>
      </c>
      <c r="E116" s="33" t="s">
        <v>140</v>
      </c>
      <c r="F116" s="35">
        <v>43.536401783800002</v>
      </c>
    </row>
    <row r="117" spans="1:6" s="33" customFormat="1" ht="14.25" hidden="1" x14ac:dyDescent="0.2">
      <c r="A117" s="34">
        <v>5</v>
      </c>
      <c r="B117" s="33">
        <v>5</v>
      </c>
      <c r="C117" s="33" t="s">
        <v>133</v>
      </c>
      <c r="D117" s="34">
        <v>116</v>
      </c>
      <c r="E117" s="33" t="s">
        <v>141</v>
      </c>
      <c r="F117" s="35">
        <v>45.555170367191003</v>
      </c>
    </row>
    <row r="118" spans="1:6" s="33" customFormat="1" ht="14.25" hidden="1" x14ac:dyDescent="0.2">
      <c r="A118" s="34">
        <v>5</v>
      </c>
      <c r="B118" s="33">
        <v>5</v>
      </c>
      <c r="C118" s="33" t="s">
        <v>133</v>
      </c>
      <c r="D118" s="34">
        <v>117</v>
      </c>
      <c r="E118" s="33" t="s">
        <v>142</v>
      </c>
      <c r="F118" s="35">
        <v>36.250850710729999</v>
      </c>
    </row>
    <row r="119" spans="1:6" s="33" customFormat="1" ht="14.25" hidden="1" x14ac:dyDescent="0.2">
      <c r="A119" s="34">
        <v>5</v>
      </c>
      <c r="B119" s="33">
        <v>5</v>
      </c>
      <c r="C119" s="33" t="s">
        <v>133</v>
      </c>
      <c r="D119" s="34">
        <v>118</v>
      </c>
      <c r="E119" s="33" t="s">
        <v>143</v>
      </c>
      <c r="F119" s="35">
        <v>71.853420376480003</v>
      </c>
    </row>
    <row r="120" spans="1:6" s="33" customFormat="1" ht="14.25" hidden="1" x14ac:dyDescent="0.2">
      <c r="A120" s="34">
        <v>5</v>
      </c>
      <c r="B120" s="33">
        <v>5</v>
      </c>
      <c r="C120" s="33" t="s">
        <v>133</v>
      </c>
      <c r="D120" s="34">
        <v>119</v>
      </c>
      <c r="E120" s="33" t="s">
        <v>144</v>
      </c>
      <c r="F120" s="35">
        <v>69.491126168999998</v>
      </c>
    </row>
    <row r="121" spans="1:6" s="33" customFormat="1" ht="14.25" hidden="1" x14ac:dyDescent="0.2">
      <c r="A121" s="34">
        <v>5</v>
      </c>
      <c r="B121" s="33">
        <v>5</v>
      </c>
      <c r="C121" s="33" t="s">
        <v>133</v>
      </c>
      <c r="D121" s="34">
        <v>120</v>
      </c>
      <c r="E121" s="33" t="s">
        <v>145</v>
      </c>
      <c r="F121" s="35">
        <v>43.660957594470005</v>
      </c>
    </row>
    <row r="122" spans="1:6" s="33" customFormat="1" ht="14.25" hidden="1" x14ac:dyDescent="0.2">
      <c r="A122" s="34">
        <v>5</v>
      </c>
      <c r="B122" s="33">
        <v>5</v>
      </c>
      <c r="C122" s="33" t="s">
        <v>133</v>
      </c>
      <c r="D122" s="34">
        <v>121</v>
      </c>
      <c r="E122" s="33" t="s">
        <v>146</v>
      </c>
      <c r="F122" s="35">
        <v>96.755439235889995</v>
      </c>
    </row>
    <row r="123" spans="1:6" s="33" customFormat="1" ht="14.25" hidden="1" x14ac:dyDescent="0.2">
      <c r="A123" s="34">
        <v>5</v>
      </c>
      <c r="B123" s="33">
        <v>5</v>
      </c>
      <c r="C123" s="33" t="s">
        <v>133</v>
      </c>
      <c r="D123" s="34">
        <v>122</v>
      </c>
      <c r="E123" s="33" t="s">
        <v>147</v>
      </c>
      <c r="F123" s="35">
        <v>30.067543082050001</v>
      </c>
    </row>
    <row r="124" spans="1:6" s="33" customFormat="1" ht="14.25" hidden="1" x14ac:dyDescent="0.2">
      <c r="A124" s="34">
        <v>5</v>
      </c>
      <c r="B124" s="33">
        <v>5</v>
      </c>
      <c r="C124" s="33" t="s">
        <v>133</v>
      </c>
      <c r="D124" s="34">
        <v>123</v>
      </c>
      <c r="E124" s="33" t="s">
        <v>148</v>
      </c>
      <c r="F124" s="35">
        <v>58.1183408853</v>
      </c>
    </row>
    <row r="125" spans="1:6" s="33" customFormat="1" ht="14.25" hidden="1" x14ac:dyDescent="0.2">
      <c r="A125" s="34">
        <v>5</v>
      </c>
      <c r="B125" s="33">
        <v>5</v>
      </c>
      <c r="C125" s="33" t="s">
        <v>133</v>
      </c>
      <c r="D125" s="34">
        <v>124</v>
      </c>
      <c r="E125" s="33" t="s">
        <v>149</v>
      </c>
      <c r="F125" s="35">
        <v>43.904122335460002</v>
      </c>
    </row>
    <row r="126" spans="1:6" s="33" customFormat="1" ht="14.25" hidden="1" x14ac:dyDescent="0.2">
      <c r="A126" s="34">
        <v>6</v>
      </c>
      <c r="B126" s="33">
        <v>6</v>
      </c>
      <c r="C126" s="33" t="s">
        <v>150</v>
      </c>
      <c r="D126" s="34">
        <v>125</v>
      </c>
      <c r="E126" s="33" t="s">
        <v>151</v>
      </c>
      <c r="F126" s="35">
        <v>22.494785010203998</v>
      </c>
    </row>
    <row r="127" spans="1:6" s="33" customFormat="1" ht="14.25" hidden="1" x14ac:dyDescent="0.2">
      <c r="A127" s="34">
        <v>6</v>
      </c>
      <c r="B127" s="33">
        <v>6</v>
      </c>
      <c r="C127" s="33" t="s">
        <v>150</v>
      </c>
      <c r="D127" s="34">
        <v>126</v>
      </c>
      <c r="E127" s="33" t="s">
        <v>152</v>
      </c>
      <c r="F127" s="35">
        <v>35.952035637549997</v>
      </c>
    </row>
    <row r="128" spans="1:6" s="33" customFormat="1" ht="14.25" hidden="1" x14ac:dyDescent="0.2">
      <c r="A128" s="34">
        <v>6</v>
      </c>
      <c r="B128" s="33">
        <v>6</v>
      </c>
      <c r="C128" s="33" t="s">
        <v>150</v>
      </c>
      <c r="D128" s="34">
        <v>127</v>
      </c>
      <c r="E128" s="33" t="s">
        <v>153</v>
      </c>
      <c r="F128" s="35">
        <v>50.790130925781007</v>
      </c>
    </row>
    <row r="129" spans="1:6" s="33" customFormat="1" ht="14.25" hidden="1" x14ac:dyDescent="0.2">
      <c r="A129" s="34">
        <v>6</v>
      </c>
      <c r="B129" s="33">
        <v>6</v>
      </c>
      <c r="C129" s="33" t="s">
        <v>150</v>
      </c>
      <c r="D129" s="34">
        <v>128</v>
      </c>
      <c r="E129" s="33" t="s">
        <v>154</v>
      </c>
      <c r="F129" s="35">
        <v>81.616814514149993</v>
      </c>
    </row>
    <row r="130" spans="1:6" s="33" customFormat="1" ht="14.25" hidden="1" x14ac:dyDescent="0.2">
      <c r="A130" s="34">
        <v>6</v>
      </c>
      <c r="B130" s="33">
        <v>6</v>
      </c>
      <c r="C130" s="33" t="s">
        <v>150</v>
      </c>
      <c r="D130" s="34">
        <v>129</v>
      </c>
      <c r="E130" s="33" t="s">
        <v>155</v>
      </c>
      <c r="F130" s="35">
        <v>20.965796242139998</v>
      </c>
    </row>
    <row r="131" spans="1:6" s="33" customFormat="1" ht="14.25" hidden="1" x14ac:dyDescent="0.2">
      <c r="A131" s="34">
        <v>6</v>
      </c>
      <c r="B131" s="33">
        <v>6</v>
      </c>
      <c r="C131" s="33" t="s">
        <v>150</v>
      </c>
      <c r="D131" s="34">
        <v>130</v>
      </c>
      <c r="E131" s="33" t="s">
        <v>156</v>
      </c>
      <c r="F131" s="35">
        <v>42.950992758120002</v>
      </c>
    </row>
    <row r="132" spans="1:6" s="33" customFormat="1" ht="14.25" hidden="1" x14ac:dyDescent="0.2">
      <c r="A132" s="34">
        <v>6</v>
      </c>
      <c r="B132" s="33">
        <v>6</v>
      </c>
      <c r="C132" s="33" t="s">
        <v>150</v>
      </c>
      <c r="D132" s="34">
        <v>131</v>
      </c>
      <c r="E132" s="33" t="s">
        <v>157</v>
      </c>
      <c r="F132" s="35">
        <v>25.701037641109998</v>
      </c>
    </row>
    <row r="133" spans="1:6" s="33" customFormat="1" ht="14.25" hidden="1" x14ac:dyDescent="0.2">
      <c r="A133" s="34">
        <v>6</v>
      </c>
      <c r="B133" s="33">
        <v>6</v>
      </c>
      <c r="C133" s="33" t="s">
        <v>150</v>
      </c>
      <c r="D133" s="34">
        <v>132</v>
      </c>
      <c r="E133" s="33" t="s">
        <v>158</v>
      </c>
      <c r="F133" s="35">
        <v>44.404449479600004</v>
      </c>
    </row>
    <row r="134" spans="1:6" s="33" customFormat="1" ht="14.25" hidden="1" x14ac:dyDescent="0.2">
      <c r="A134" s="34">
        <v>6</v>
      </c>
      <c r="B134" s="33">
        <v>6</v>
      </c>
      <c r="C134" s="33" t="s">
        <v>150</v>
      </c>
      <c r="D134" s="34">
        <v>133</v>
      </c>
      <c r="E134" s="33" t="s">
        <v>159</v>
      </c>
      <c r="F134" s="35">
        <v>76.595691127999999</v>
      </c>
    </row>
    <row r="135" spans="1:6" s="33" customFormat="1" ht="14.25" hidden="1" x14ac:dyDescent="0.2">
      <c r="A135" s="34">
        <v>6</v>
      </c>
      <c r="B135" s="33">
        <v>6</v>
      </c>
      <c r="C135" s="33" t="s">
        <v>150</v>
      </c>
      <c r="D135" s="34">
        <v>134</v>
      </c>
      <c r="E135" s="33" t="s">
        <v>160</v>
      </c>
      <c r="F135" s="35">
        <v>48.365860783199999</v>
      </c>
    </row>
    <row r="136" spans="1:6" s="33" customFormat="1" ht="14.25" hidden="1" x14ac:dyDescent="0.2">
      <c r="A136" s="34">
        <v>6</v>
      </c>
      <c r="B136" s="33">
        <v>6</v>
      </c>
      <c r="C136" s="33" t="s">
        <v>150</v>
      </c>
      <c r="D136" s="34">
        <v>135</v>
      </c>
      <c r="E136" s="33" t="s">
        <v>161</v>
      </c>
      <c r="F136" s="35">
        <v>19.842873460608999</v>
      </c>
    </row>
    <row r="137" spans="1:6" s="33" customFormat="1" ht="14.25" hidden="1" x14ac:dyDescent="0.2">
      <c r="A137" s="34">
        <v>6</v>
      </c>
      <c r="B137" s="33">
        <v>6</v>
      </c>
      <c r="C137" s="33" t="s">
        <v>150</v>
      </c>
      <c r="D137" s="34">
        <v>136</v>
      </c>
      <c r="E137" s="33" t="s">
        <v>162</v>
      </c>
      <c r="F137" s="35">
        <v>54.5742717587</v>
      </c>
    </row>
    <row r="138" spans="1:6" s="33" customFormat="1" ht="14.25" hidden="1" x14ac:dyDescent="0.2">
      <c r="A138" s="34">
        <v>6</v>
      </c>
      <c r="B138" s="33">
        <v>6</v>
      </c>
      <c r="C138" s="33" t="s">
        <v>150</v>
      </c>
      <c r="D138" s="34">
        <v>137</v>
      </c>
      <c r="E138" s="33" t="s">
        <v>163</v>
      </c>
      <c r="F138" s="35">
        <v>62.117361461559994</v>
      </c>
    </row>
    <row r="139" spans="1:6" s="33" customFormat="1" ht="14.25" hidden="1" x14ac:dyDescent="0.2">
      <c r="A139" s="34">
        <v>6</v>
      </c>
      <c r="B139" s="33">
        <v>6</v>
      </c>
      <c r="C139" s="33" t="s">
        <v>150</v>
      </c>
      <c r="D139" s="34">
        <v>138</v>
      </c>
      <c r="E139" s="33" t="s">
        <v>164</v>
      </c>
      <c r="F139" s="35">
        <v>64.6891758119</v>
      </c>
    </row>
    <row r="140" spans="1:6" s="33" customFormat="1" ht="14.25" hidden="1" x14ac:dyDescent="0.2">
      <c r="A140" s="34">
        <v>6</v>
      </c>
      <c r="B140" s="33">
        <v>6</v>
      </c>
      <c r="C140" s="33" t="s">
        <v>150</v>
      </c>
      <c r="D140" s="34">
        <v>139</v>
      </c>
      <c r="E140" s="33" t="s">
        <v>165</v>
      </c>
      <c r="F140" s="35">
        <v>119.54954015502</v>
      </c>
    </row>
    <row r="141" spans="1:6" s="33" customFormat="1" ht="14.25" hidden="1" x14ac:dyDescent="0.2">
      <c r="A141" s="34">
        <v>6</v>
      </c>
      <c r="B141" s="33">
        <v>6</v>
      </c>
      <c r="C141" s="33" t="s">
        <v>150</v>
      </c>
      <c r="D141" s="34">
        <v>140</v>
      </c>
      <c r="E141" s="33" t="s">
        <v>166</v>
      </c>
      <c r="F141" s="35">
        <v>12.4353178209</v>
      </c>
    </row>
    <row r="142" spans="1:6" s="33" customFormat="1" ht="14.25" hidden="1" x14ac:dyDescent="0.2">
      <c r="A142" s="34">
        <v>6</v>
      </c>
      <c r="B142" s="33">
        <v>6</v>
      </c>
      <c r="C142" s="33" t="s">
        <v>150</v>
      </c>
      <c r="D142" s="34">
        <v>141</v>
      </c>
      <c r="E142" s="33" t="s">
        <v>167</v>
      </c>
      <c r="F142" s="35">
        <v>63.779194165600003</v>
      </c>
    </row>
    <row r="143" spans="1:6" s="33" customFormat="1" ht="14.25" hidden="1" x14ac:dyDescent="0.2">
      <c r="A143" s="34">
        <v>6</v>
      </c>
      <c r="B143" s="33">
        <v>6</v>
      </c>
      <c r="C143" s="33" t="s">
        <v>150</v>
      </c>
      <c r="D143" s="34">
        <v>142</v>
      </c>
      <c r="E143" s="33" t="s">
        <v>168</v>
      </c>
      <c r="F143" s="35">
        <v>23.633107520860001</v>
      </c>
    </row>
    <row r="144" spans="1:6" s="33" customFormat="1" ht="14.25" hidden="1" x14ac:dyDescent="0.2">
      <c r="A144" s="34">
        <v>6</v>
      </c>
      <c r="B144" s="33">
        <v>6</v>
      </c>
      <c r="C144" s="33" t="s">
        <v>150</v>
      </c>
      <c r="D144" s="34">
        <v>143</v>
      </c>
      <c r="E144" s="33" t="s">
        <v>169</v>
      </c>
      <c r="F144" s="35">
        <v>71.212405859200004</v>
      </c>
    </row>
    <row r="145" spans="1:6" s="33" customFormat="1" ht="14.25" hidden="1" x14ac:dyDescent="0.2">
      <c r="A145" s="34">
        <v>7</v>
      </c>
      <c r="B145" s="33">
        <v>7</v>
      </c>
      <c r="C145" s="33" t="s">
        <v>170</v>
      </c>
      <c r="D145" s="34">
        <v>144</v>
      </c>
      <c r="E145" s="33" t="s">
        <v>171</v>
      </c>
      <c r="F145" s="35">
        <v>212.03279807391999</v>
      </c>
    </row>
    <row r="146" spans="1:6" s="33" customFormat="1" ht="14.25" hidden="1" x14ac:dyDescent="0.2">
      <c r="A146" s="34">
        <v>7</v>
      </c>
      <c r="B146" s="33">
        <v>7</v>
      </c>
      <c r="C146" s="33" t="s">
        <v>170</v>
      </c>
      <c r="D146" s="34">
        <v>145</v>
      </c>
      <c r="E146" s="33" t="s">
        <v>172</v>
      </c>
      <c r="F146" s="35">
        <v>75.734486134199997</v>
      </c>
    </row>
    <row r="147" spans="1:6" s="33" customFormat="1" ht="14.25" hidden="1" x14ac:dyDescent="0.2">
      <c r="A147" s="34">
        <v>7</v>
      </c>
      <c r="B147" s="33">
        <v>7</v>
      </c>
      <c r="C147" s="33" t="s">
        <v>170</v>
      </c>
      <c r="D147" s="34">
        <v>146</v>
      </c>
      <c r="E147" s="33" t="s">
        <v>173</v>
      </c>
      <c r="F147" s="35">
        <v>65.774417720380001</v>
      </c>
    </row>
    <row r="148" spans="1:6" s="33" customFormat="1" ht="14.25" hidden="1" x14ac:dyDescent="0.2">
      <c r="A148" s="34">
        <v>7</v>
      </c>
      <c r="B148" s="33">
        <v>7</v>
      </c>
      <c r="C148" s="33" t="s">
        <v>170</v>
      </c>
      <c r="D148" s="34">
        <v>147</v>
      </c>
      <c r="E148" s="33" t="s">
        <v>174</v>
      </c>
      <c r="F148" s="35">
        <v>67.763835413120006</v>
      </c>
    </row>
    <row r="149" spans="1:6" s="33" customFormat="1" ht="14.25" hidden="1" x14ac:dyDescent="0.2">
      <c r="A149" s="34">
        <v>7</v>
      </c>
      <c r="B149" s="33">
        <v>7</v>
      </c>
      <c r="C149" s="33" t="s">
        <v>170</v>
      </c>
      <c r="D149" s="34">
        <v>148</v>
      </c>
      <c r="E149" s="33" t="s">
        <v>175</v>
      </c>
      <c r="F149" s="35">
        <v>158.70959044881999</v>
      </c>
    </row>
    <row r="150" spans="1:6" s="33" customFormat="1" ht="14.25" hidden="1" x14ac:dyDescent="0.2">
      <c r="A150" s="34">
        <v>7</v>
      </c>
      <c r="B150" s="33">
        <v>7</v>
      </c>
      <c r="C150" s="33" t="s">
        <v>170</v>
      </c>
      <c r="D150" s="34">
        <v>149</v>
      </c>
      <c r="E150" s="33" t="s">
        <v>176</v>
      </c>
      <c r="F150" s="35">
        <v>126.36757825250001</v>
      </c>
    </row>
    <row r="151" spans="1:6" s="33" customFormat="1" ht="14.25" hidden="1" x14ac:dyDescent="0.2">
      <c r="A151" s="34">
        <v>7</v>
      </c>
      <c r="B151" s="33">
        <v>7</v>
      </c>
      <c r="C151" s="33" t="s">
        <v>170</v>
      </c>
      <c r="D151" s="34">
        <v>150</v>
      </c>
      <c r="E151" s="33" t="s">
        <v>177</v>
      </c>
      <c r="F151" s="35">
        <v>28.296063043699998</v>
      </c>
    </row>
    <row r="152" spans="1:6" s="33" customFormat="1" ht="14.25" hidden="1" x14ac:dyDescent="0.2">
      <c r="A152" s="34">
        <v>7</v>
      </c>
      <c r="B152" s="33">
        <v>7</v>
      </c>
      <c r="C152" s="33" t="s">
        <v>170</v>
      </c>
      <c r="D152" s="34">
        <v>151</v>
      </c>
      <c r="E152" s="33" t="s">
        <v>178</v>
      </c>
      <c r="F152" s="35">
        <v>21.174350326500001</v>
      </c>
    </row>
    <row r="153" spans="1:6" s="33" customFormat="1" ht="14.25" hidden="1" x14ac:dyDescent="0.2">
      <c r="A153" s="34">
        <v>8</v>
      </c>
      <c r="B153" s="33">
        <v>8</v>
      </c>
      <c r="C153" s="33" t="s">
        <v>179</v>
      </c>
      <c r="D153" s="34">
        <v>152</v>
      </c>
      <c r="E153" s="33" t="s">
        <v>180</v>
      </c>
      <c r="F153" s="35">
        <v>65.628280868221111</v>
      </c>
    </row>
    <row r="154" spans="1:6" s="33" customFormat="1" ht="14.25" hidden="1" x14ac:dyDescent="0.2">
      <c r="A154" s="34">
        <v>8</v>
      </c>
      <c r="B154" s="33">
        <v>8</v>
      </c>
      <c r="C154" s="33" t="s">
        <v>179</v>
      </c>
      <c r="D154" s="34">
        <v>153</v>
      </c>
      <c r="E154" s="33" t="s">
        <v>181</v>
      </c>
      <c r="F154" s="35">
        <v>86.304994812499999</v>
      </c>
    </row>
    <row r="155" spans="1:6" s="33" customFormat="1" ht="14.25" hidden="1" x14ac:dyDescent="0.2">
      <c r="A155" s="34">
        <v>8</v>
      </c>
      <c r="B155" s="33">
        <v>8</v>
      </c>
      <c r="C155" s="33" t="s">
        <v>179</v>
      </c>
      <c r="D155" s="34">
        <v>154</v>
      </c>
      <c r="E155" s="33" t="s">
        <v>182</v>
      </c>
      <c r="F155" s="35">
        <v>27.192484931159999</v>
      </c>
    </row>
    <row r="156" spans="1:6" s="33" customFormat="1" ht="14.25" hidden="1" x14ac:dyDescent="0.2">
      <c r="A156" s="34">
        <v>8</v>
      </c>
      <c r="B156" s="33">
        <v>8</v>
      </c>
      <c r="C156" s="33" t="s">
        <v>179</v>
      </c>
      <c r="D156" s="34">
        <v>155</v>
      </c>
      <c r="E156" s="33" t="s">
        <v>183</v>
      </c>
      <c r="F156" s="35">
        <v>21.274041025157</v>
      </c>
    </row>
    <row r="157" spans="1:6" s="33" customFormat="1" ht="14.25" hidden="1" x14ac:dyDescent="0.2">
      <c r="A157" s="34">
        <v>8</v>
      </c>
      <c r="B157" s="33">
        <v>8</v>
      </c>
      <c r="C157" s="33" t="s">
        <v>179</v>
      </c>
      <c r="D157" s="34">
        <v>156</v>
      </c>
      <c r="E157" s="33" t="s">
        <v>184</v>
      </c>
      <c r="F157" s="35">
        <v>50.770452929999998</v>
      </c>
    </row>
    <row r="158" spans="1:6" s="33" customFormat="1" ht="14.25" hidden="1" x14ac:dyDescent="0.2">
      <c r="A158" s="34">
        <v>8</v>
      </c>
      <c r="B158" s="33">
        <v>8</v>
      </c>
      <c r="C158" s="33" t="s">
        <v>179</v>
      </c>
      <c r="D158" s="34">
        <v>157</v>
      </c>
      <c r="E158" s="33" t="s">
        <v>185</v>
      </c>
      <c r="F158" s="35">
        <v>62.189373472330004</v>
      </c>
    </row>
    <row r="159" spans="1:6" s="33" customFormat="1" ht="14.25" hidden="1" x14ac:dyDescent="0.2">
      <c r="A159" s="34">
        <v>8</v>
      </c>
      <c r="B159" s="33">
        <v>8</v>
      </c>
      <c r="C159" s="33" t="s">
        <v>179</v>
      </c>
      <c r="D159" s="34">
        <v>158</v>
      </c>
      <c r="E159" s="33" t="s">
        <v>186</v>
      </c>
      <c r="F159" s="35">
        <v>47.800807277099999</v>
      </c>
    </row>
    <row r="160" spans="1:6" s="33" customFormat="1" ht="14.25" hidden="1" x14ac:dyDescent="0.2">
      <c r="A160" s="34">
        <v>8</v>
      </c>
      <c r="B160" s="33">
        <v>8</v>
      </c>
      <c r="C160" s="33" t="s">
        <v>179</v>
      </c>
      <c r="D160" s="34">
        <v>159</v>
      </c>
      <c r="E160" s="33" t="s">
        <v>187</v>
      </c>
      <c r="F160" s="35">
        <v>31.172104241556998</v>
      </c>
    </row>
    <row r="161" spans="1:6" s="33" customFormat="1" ht="14.25" hidden="1" x14ac:dyDescent="0.2">
      <c r="A161" s="34">
        <v>8</v>
      </c>
      <c r="B161" s="33">
        <v>8</v>
      </c>
      <c r="C161" s="33" t="s">
        <v>179</v>
      </c>
      <c r="D161" s="34">
        <v>160</v>
      </c>
      <c r="E161" s="33" t="s">
        <v>188</v>
      </c>
      <c r="F161" s="35">
        <v>113.80730358839999</v>
      </c>
    </row>
    <row r="162" spans="1:6" s="33" customFormat="1" ht="14.25" hidden="1" x14ac:dyDescent="0.2">
      <c r="A162" s="34">
        <v>8</v>
      </c>
      <c r="B162" s="33">
        <v>8</v>
      </c>
      <c r="C162" s="33" t="s">
        <v>179</v>
      </c>
      <c r="D162" s="34">
        <v>161</v>
      </c>
      <c r="E162" s="33" t="s">
        <v>189</v>
      </c>
      <c r="F162" s="35">
        <v>30.884658622899998</v>
      </c>
    </row>
    <row r="163" spans="1:6" s="33" customFormat="1" ht="14.25" hidden="1" x14ac:dyDescent="0.2">
      <c r="A163" s="34">
        <v>8</v>
      </c>
      <c r="B163" s="33">
        <v>8</v>
      </c>
      <c r="C163" s="33" t="s">
        <v>179</v>
      </c>
      <c r="D163" s="34">
        <v>162</v>
      </c>
      <c r="E163" s="33" t="s">
        <v>190</v>
      </c>
      <c r="F163" s="35">
        <v>116.0105919149</v>
      </c>
    </row>
    <row r="164" spans="1:6" s="33" customFormat="1" ht="14.25" hidden="1" x14ac:dyDescent="0.2">
      <c r="A164" s="34">
        <v>8</v>
      </c>
      <c r="B164" s="33">
        <v>8</v>
      </c>
      <c r="C164" s="33" t="s">
        <v>179</v>
      </c>
      <c r="D164" s="34">
        <v>163</v>
      </c>
      <c r="E164" s="33" t="s">
        <v>191</v>
      </c>
      <c r="F164" s="35">
        <v>82.487528261899996</v>
      </c>
    </row>
    <row r="165" spans="1:6" s="33" customFormat="1" ht="14.25" hidden="1" x14ac:dyDescent="0.2">
      <c r="A165" s="34">
        <v>8</v>
      </c>
      <c r="B165" s="33">
        <v>8</v>
      </c>
      <c r="C165" s="33" t="s">
        <v>179</v>
      </c>
      <c r="D165" s="34">
        <v>164</v>
      </c>
      <c r="E165" s="33" t="s">
        <v>192</v>
      </c>
      <c r="F165" s="35">
        <v>36.792542611149997</v>
      </c>
    </row>
    <row r="166" spans="1:6" s="33" customFormat="1" ht="14.25" hidden="1" x14ac:dyDescent="0.2">
      <c r="A166" s="34">
        <v>8</v>
      </c>
      <c r="B166" s="33">
        <v>8</v>
      </c>
      <c r="C166" s="33" t="s">
        <v>179</v>
      </c>
      <c r="D166" s="34">
        <v>165</v>
      </c>
      <c r="E166" s="33" t="s">
        <v>193</v>
      </c>
      <c r="F166" s="35">
        <v>34.076907000699997</v>
      </c>
    </row>
    <row r="167" spans="1:6" s="33" customFormat="1" ht="14.25" hidden="1" x14ac:dyDescent="0.2">
      <c r="A167" s="34">
        <v>8</v>
      </c>
      <c r="B167" s="33">
        <v>8</v>
      </c>
      <c r="C167" s="33" t="s">
        <v>179</v>
      </c>
      <c r="D167" s="34">
        <v>166</v>
      </c>
      <c r="E167" s="33" t="s">
        <v>194</v>
      </c>
      <c r="F167" s="35">
        <v>36.574401979909993</v>
      </c>
    </row>
    <row r="168" spans="1:6" s="33" customFormat="1" ht="14.25" hidden="1" x14ac:dyDescent="0.2">
      <c r="A168" s="34">
        <v>8</v>
      </c>
      <c r="B168" s="33">
        <v>8</v>
      </c>
      <c r="C168" s="33" t="s">
        <v>179</v>
      </c>
      <c r="D168" s="34">
        <v>167</v>
      </c>
      <c r="E168" s="33" t="s">
        <v>195</v>
      </c>
      <c r="F168" s="35">
        <v>60.939849786700002</v>
      </c>
    </row>
    <row r="169" spans="1:6" s="33" customFormat="1" ht="14.25" hidden="1" x14ac:dyDescent="0.2">
      <c r="A169" s="34">
        <v>8</v>
      </c>
      <c r="B169" s="33">
        <v>8</v>
      </c>
      <c r="C169" s="33" t="s">
        <v>179</v>
      </c>
      <c r="D169" s="34">
        <v>168</v>
      </c>
      <c r="E169" s="33" t="s">
        <v>196</v>
      </c>
      <c r="F169" s="35">
        <v>40.191536116199998</v>
      </c>
    </row>
    <row r="170" spans="1:6" s="33" customFormat="1" ht="14.25" hidden="1" x14ac:dyDescent="0.2">
      <c r="A170" s="34">
        <v>9</v>
      </c>
      <c r="B170" s="33">
        <v>9</v>
      </c>
      <c r="C170" s="33" t="s">
        <v>197</v>
      </c>
      <c r="D170" s="34">
        <v>169</v>
      </c>
      <c r="E170" s="33" t="s">
        <v>198</v>
      </c>
      <c r="F170" s="35">
        <v>40.767404547386995</v>
      </c>
    </row>
    <row r="171" spans="1:6" s="33" customFormat="1" ht="14.25" hidden="1" x14ac:dyDescent="0.2">
      <c r="A171" s="34">
        <v>9</v>
      </c>
      <c r="B171" s="33">
        <v>9</v>
      </c>
      <c r="C171" s="33" t="s">
        <v>197</v>
      </c>
      <c r="D171" s="34">
        <v>170</v>
      </c>
      <c r="E171" s="33" t="s">
        <v>199</v>
      </c>
      <c r="F171" s="35">
        <v>60.030078066984998</v>
      </c>
    </row>
    <row r="172" spans="1:6" s="33" customFormat="1" ht="14.25" hidden="1" x14ac:dyDescent="0.2">
      <c r="A172" s="34">
        <v>9</v>
      </c>
      <c r="B172" s="33">
        <v>9</v>
      </c>
      <c r="C172" s="33" t="s">
        <v>197</v>
      </c>
      <c r="D172" s="34">
        <v>171</v>
      </c>
      <c r="E172" s="33" t="s">
        <v>200</v>
      </c>
      <c r="F172" s="35">
        <v>46.651314308959996</v>
      </c>
    </row>
    <row r="173" spans="1:6" s="33" customFormat="1" ht="14.25" hidden="1" x14ac:dyDescent="0.2">
      <c r="A173" s="34">
        <v>9</v>
      </c>
      <c r="B173" s="33">
        <v>9</v>
      </c>
      <c r="C173" s="33" t="s">
        <v>197</v>
      </c>
      <c r="D173" s="34">
        <v>172</v>
      </c>
      <c r="E173" s="33" t="s">
        <v>201</v>
      </c>
      <c r="F173" s="35">
        <v>44.661667911999999</v>
      </c>
    </row>
    <row r="174" spans="1:6" s="33" customFormat="1" ht="14.25" hidden="1" x14ac:dyDescent="0.2">
      <c r="A174" s="34">
        <v>9</v>
      </c>
      <c r="B174" s="33">
        <v>9</v>
      </c>
      <c r="C174" s="33" t="s">
        <v>197</v>
      </c>
      <c r="D174" s="34">
        <v>173</v>
      </c>
      <c r="E174" s="33" t="s">
        <v>202</v>
      </c>
      <c r="F174" s="35">
        <v>54.733454142100001</v>
      </c>
    </row>
    <row r="175" spans="1:6" s="33" customFormat="1" ht="14.25" hidden="1" x14ac:dyDescent="0.2">
      <c r="A175" s="34">
        <v>9</v>
      </c>
      <c r="B175" s="33">
        <v>9</v>
      </c>
      <c r="C175" s="33" t="s">
        <v>197</v>
      </c>
      <c r="D175" s="34">
        <v>174</v>
      </c>
      <c r="E175" s="33" t="s">
        <v>203</v>
      </c>
      <c r="F175" s="35">
        <v>83.566577583319997</v>
      </c>
    </row>
    <row r="176" spans="1:6" s="33" customFormat="1" ht="14.25" hidden="1" x14ac:dyDescent="0.2">
      <c r="A176" s="34">
        <v>9</v>
      </c>
      <c r="B176" s="33">
        <v>9</v>
      </c>
      <c r="C176" s="33" t="s">
        <v>197</v>
      </c>
      <c r="D176" s="34">
        <v>175</v>
      </c>
      <c r="E176" s="33" t="s">
        <v>204</v>
      </c>
      <c r="F176" s="35">
        <v>37.366702739899999</v>
      </c>
    </row>
    <row r="177" spans="1:6" s="33" customFormat="1" ht="14.25" hidden="1" x14ac:dyDescent="0.2">
      <c r="A177" s="34">
        <v>9</v>
      </c>
      <c r="B177" s="33">
        <v>9</v>
      </c>
      <c r="C177" s="33" t="s">
        <v>197</v>
      </c>
      <c r="D177" s="34">
        <v>176</v>
      </c>
      <c r="E177" s="33" t="s">
        <v>205</v>
      </c>
      <c r="F177" s="35">
        <v>42.442420344526994</v>
      </c>
    </row>
    <row r="178" spans="1:6" s="33" customFormat="1" ht="14.25" hidden="1" x14ac:dyDescent="0.2">
      <c r="A178" s="34">
        <v>9</v>
      </c>
      <c r="B178" s="33">
        <v>9</v>
      </c>
      <c r="C178" s="33" t="s">
        <v>197</v>
      </c>
      <c r="D178" s="34">
        <v>177</v>
      </c>
      <c r="E178" s="33" t="s">
        <v>206</v>
      </c>
      <c r="F178" s="35">
        <v>65.503772377800004</v>
      </c>
    </row>
    <row r="179" spans="1:6" s="33" customFormat="1" ht="14.25" hidden="1" x14ac:dyDescent="0.2">
      <c r="A179" s="34">
        <v>9</v>
      </c>
      <c r="B179" s="33">
        <v>9</v>
      </c>
      <c r="C179" s="33" t="s">
        <v>197</v>
      </c>
      <c r="D179" s="34">
        <v>178</v>
      </c>
      <c r="E179" s="33" t="s">
        <v>207</v>
      </c>
      <c r="F179" s="35">
        <v>54.526754891700001</v>
      </c>
    </row>
    <row r="180" spans="1:6" s="33" customFormat="1" ht="14.25" hidden="1" x14ac:dyDescent="0.2">
      <c r="A180" s="34">
        <v>9</v>
      </c>
      <c r="B180" s="33">
        <v>9</v>
      </c>
      <c r="C180" s="33" t="s">
        <v>197</v>
      </c>
      <c r="D180" s="34">
        <v>179</v>
      </c>
      <c r="E180" s="33" t="s">
        <v>208</v>
      </c>
      <c r="F180" s="35">
        <v>69.742332815920008</v>
      </c>
    </row>
    <row r="181" spans="1:6" s="33" customFormat="1" ht="14.25" hidden="1" x14ac:dyDescent="0.2">
      <c r="A181" s="34">
        <v>9</v>
      </c>
      <c r="B181" s="33">
        <v>9</v>
      </c>
      <c r="C181" s="33" t="s">
        <v>197</v>
      </c>
      <c r="D181" s="34">
        <v>180</v>
      </c>
      <c r="E181" s="33" t="s">
        <v>209</v>
      </c>
      <c r="F181" s="35">
        <v>30.604204210602003</v>
      </c>
    </row>
    <row r="182" spans="1:6" s="33" customFormat="1" ht="14.25" hidden="1" x14ac:dyDescent="0.2">
      <c r="A182" s="34">
        <v>9</v>
      </c>
      <c r="B182" s="33">
        <v>9</v>
      </c>
      <c r="C182" s="33" t="s">
        <v>197</v>
      </c>
      <c r="D182" s="34">
        <v>181</v>
      </c>
      <c r="E182" s="33" t="s">
        <v>210</v>
      </c>
      <c r="F182" s="35">
        <v>50.27</v>
      </c>
    </row>
    <row r="183" spans="1:6" s="33" customFormat="1" ht="14.25" hidden="1" x14ac:dyDescent="0.2">
      <c r="A183" s="34">
        <v>9</v>
      </c>
      <c r="B183" s="33">
        <v>9</v>
      </c>
      <c r="C183" s="33" t="s">
        <v>197</v>
      </c>
      <c r="D183" s="34">
        <v>182</v>
      </c>
      <c r="E183" s="33" t="s">
        <v>211</v>
      </c>
      <c r="F183" s="35">
        <v>73.278686981031996</v>
      </c>
    </row>
    <row r="184" spans="1:6" s="33" customFormat="1" ht="14.25" hidden="1" x14ac:dyDescent="0.2">
      <c r="A184" s="34">
        <v>9</v>
      </c>
      <c r="B184" s="33">
        <v>9</v>
      </c>
      <c r="C184" s="33" t="s">
        <v>197</v>
      </c>
      <c r="D184" s="34">
        <v>183</v>
      </c>
      <c r="E184" s="33" t="s">
        <v>212</v>
      </c>
      <c r="F184" s="35">
        <v>38.850089190529999</v>
      </c>
    </row>
    <row r="185" spans="1:6" s="33" customFormat="1" ht="14.25" hidden="1" x14ac:dyDescent="0.2">
      <c r="A185" s="34">
        <v>9</v>
      </c>
      <c r="B185" s="33">
        <v>9</v>
      </c>
      <c r="C185" s="33" t="s">
        <v>197</v>
      </c>
      <c r="D185" s="34">
        <v>184</v>
      </c>
      <c r="E185" s="33" t="s">
        <v>213</v>
      </c>
      <c r="F185" s="35">
        <v>56.81590589903</v>
      </c>
    </row>
    <row r="186" spans="1:6" s="33" customFormat="1" ht="14.25" hidden="1" x14ac:dyDescent="0.2">
      <c r="A186" s="34">
        <v>9</v>
      </c>
      <c r="B186" s="33">
        <v>9</v>
      </c>
      <c r="C186" s="33" t="s">
        <v>197</v>
      </c>
      <c r="D186" s="34">
        <v>185</v>
      </c>
      <c r="E186" s="33" t="s">
        <v>214</v>
      </c>
      <c r="F186" s="35">
        <v>36.900323157789998</v>
      </c>
    </row>
    <row r="187" spans="1:6" s="33" customFormat="1" ht="14.25" hidden="1" x14ac:dyDescent="0.2">
      <c r="A187" s="34">
        <v>9</v>
      </c>
      <c r="B187" s="33">
        <v>9</v>
      </c>
      <c r="C187" s="33" t="s">
        <v>197</v>
      </c>
      <c r="D187" s="34">
        <v>186</v>
      </c>
      <c r="E187" s="33" t="s">
        <v>215</v>
      </c>
      <c r="F187" s="35">
        <v>67.893600989899994</v>
      </c>
    </row>
    <row r="188" spans="1:6" s="33" customFormat="1" ht="14.25" hidden="1" x14ac:dyDescent="0.2">
      <c r="A188" s="34">
        <v>9</v>
      </c>
      <c r="B188" s="33">
        <v>9</v>
      </c>
      <c r="C188" s="33" t="s">
        <v>197</v>
      </c>
      <c r="D188" s="34">
        <v>187</v>
      </c>
      <c r="E188" s="33" t="s">
        <v>216</v>
      </c>
      <c r="F188" s="35">
        <v>38.5466095309</v>
      </c>
    </row>
    <row r="189" spans="1:6" s="33" customFormat="1" ht="14.25" hidden="1" x14ac:dyDescent="0.2">
      <c r="A189" s="34">
        <v>9</v>
      </c>
      <c r="B189" s="33">
        <v>9</v>
      </c>
      <c r="C189" s="33" t="s">
        <v>197</v>
      </c>
      <c r="D189" s="34">
        <v>188</v>
      </c>
      <c r="E189" s="33" t="s">
        <v>217</v>
      </c>
      <c r="F189" s="35">
        <v>31.212042251300002</v>
      </c>
    </row>
    <row r="190" spans="1:6" s="33" customFormat="1" ht="14.25" hidden="1" x14ac:dyDescent="0.2">
      <c r="A190" s="34">
        <v>9</v>
      </c>
      <c r="B190" s="33">
        <v>9</v>
      </c>
      <c r="C190" s="33" t="s">
        <v>197</v>
      </c>
      <c r="D190" s="34">
        <v>189</v>
      </c>
      <c r="E190" s="33" t="s">
        <v>218</v>
      </c>
      <c r="F190" s="35">
        <v>80.876924317309999</v>
      </c>
    </row>
    <row r="191" spans="1:6" s="33" customFormat="1" ht="14.25" hidden="1" x14ac:dyDescent="0.2">
      <c r="A191" s="34">
        <v>9</v>
      </c>
      <c r="B191" s="33">
        <v>9</v>
      </c>
      <c r="C191" s="33" t="s">
        <v>197</v>
      </c>
      <c r="D191" s="34">
        <v>190</v>
      </c>
      <c r="E191" s="33" t="s">
        <v>219</v>
      </c>
      <c r="F191" s="35">
        <v>41.776042954299996</v>
      </c>
    </row>
    <row r="192" spans="1:6" s="33" customFormat="1" ht="14.25" hidden="1" x14ac:dyDescent="0.2">
      <c r="A192" s="34">
        <v>9</v>
      </c>
      <c r="B192" s="33">
        <v>9</v>
      </c>
      <c r="C192" s="33" t="s">
        <v>197</v>
      </c>
      <c r="D192" s="34">
        <v>191</v>
      </c>
      <c r="E192" s="33" t="s">
        <v>220</v>
      </c>
      <c r="F192" s="35">
        <v>58.183295690100003</v>
      </c>
    </row>
    <row r="193" spans="1:6" s="33" customFormat="1" ht="14.25" hidden="1" x14ac:dyDescent="0.2">
      <c r="A193" s="34">
        <v>9</v>
      </c>
      <c r="B193" s="33">
        <v>9</v>
      </c>
      <c r="C193" s="33" t="s">
        <v>197</v>
      </c>
      <c r="D193" s="34">
        <v>192</v>
      </c>
      <c r="E193" s="33" t="s">
        <v>221</v>
      </c>
      <c r="F193" s="35">
        <v>9.8477034056899999</v>
      </c>
    </row>
    <row r="194" spans="1:6" s="33" customFormat="1" ht="14.25" hidden="1" x14ac:dyDescent="0.2">
      <c r="A194" s="34">
        <v>9</v>
      </c>
      <c r="B194" s="33">
        <v>9</v>
      </c>
      <c r="C194" s="33" t="s">
        <v>197</v>
      </c>
      <c r="D194" s="34">
        <v>193</v>
      </c>
      <c r="E194" s="33" t="s">
        <v>222</v>
      </c>
      <c r="F194" s="35">
        <v>0.59867915777699998</v>
      </c>
    </row>
    <row r="195" spans="1:6" s="33" customFormat="1" ht="14.25" hidden="1" x14ac:dyDescent="0.2">
      <c r="A195" s="34">
        <v>10</v>
      </c>
      <c r="B195" s="33">
        <v>10</v>
      </c>
      <c r="C195" s="33" t="s">
        <v>223</v>
      </c>
      <c r="D195" s="34">
        <v>194</v>
      </c>
      <c r="E195" s="33" t="s">
        <v>224</v>
      </c>
      <c r="F195" s="35">
        <v>103.9733658582</v>
      </c>
    </row>
    <row r="196" spans="1:6" s="33" customFormat="1" ht="14.25" hidden="1" x14ac:dyDescent="0.2">
      <c r="A196" s="34">
        <v>10</v>
      </c>
      <c r="B196" s="33">
        <v>10</v>
      </c>
      <c r="C196" s="33" t="s">
        <v>223</v>
      </c>
      <c r="D196" s="34">
        <v>195</v>
      </c>
      <c r="E196" s="33" t="s">
        <v>225</v>
      </c>
      <c r="F196" s="35">
        <v>56.993607299269996</v>
      </c>
    </row>
    <row r="197" spans="1:6" s="33" customFormat="1" ht="14.25" hidden="1" x14ac:dyDescent="0.2">
      <c r="A197" s="34">
        <v>10</v>
      </c>
      <c r="B197" s="33">
        <v>10</v>
      </c>
      <c r="C197" s="33" t="s">
        <v>223</v>
      </c>
      <c r="D197" s="34">
        <v>196</v>
      </c>
      <c r="E197" s="33" t="s">
        <v>226</v>
      </c>
      <c r="F197" s="35">
        <v>141.59216391050001</v>
      </c>
    </row>
    <row r="198" spans="1:6" s="33" customFormat="1" ht="14.25" hidden="1" x14ac:dyDescent="0.2">
      <c r="A198" s="34">
        <v>10</v>
      </c>
      <c r="B198" s="33">
        <v>10</v>
      </c>
      <c r="C198" s="33" t="s">
        <v>223</v>
      </c>
      <c r="D198" s="34">
        <v>197</v>
      </c>
      <c r="E198" s="33" t="s">
        <v>227</v>
      </c>
      <c r="F198" s="35">
        <v>33.0863952877</v>
      </c>
    </row>
    <row r="199" spans="1:6" s="33" customFormat="1" ht="14.25" hidden="1" x14ac:dyDescent="0.2">
      <c r="A199" s="34">
        <v>10</v>
      </c>
      <c r="B199" s="33">
        <v>10</v>
      </c>
      <c r="C199" s="33" t="s">
        <v>223</v>
      </c>
      <c r="D199" s="34">
        <v>198</v>
      </c>
      <c r="E199" s="33" t="s">
        <v>228</v>
      </c>
      <c r="F199" s="35">
        <v>158.18835902199999</v>
      </c>
    </row>
    <row r="200" spans="1:6" s="33" customFormat="1" ht="14.25" hidden="1" x14ac:dyDescent="0.2">
      <c r="A200" s="34">
        <v>10</v>
      </c>
      <c r="B200" s="33">
        <v>10</v>
      </c>
      <c r="C200" s="33" t="s">
        <v>223</v>
      </c>
      <c r="D200" s="34">
        <v>199</v>
      </c>
      <c r="E200" s="33" t="s">
        <v>229</v>
      </c>
      <c r="F200" s="35">
        <v>29.415598527050001</v>
      </c>
    </row>
    <row r="201" spans="1:6" s="33" customFormat="1" ht="14.25" hidden="1" x14ac:dyDescent="0.2">
      <c r="A201" s="34">
        <v>10</v>
      </c>
      <c r="B201" s="33">
        <v>10</v>
      </c>
      <c r="C201" s="33" t="s">
        <v>223</v>
      </c>
      <c r="D201" s="34">
        <v>200</v>
      </c>
      <c r="E201" s="33" t="s">
        <v>230</v>
      </c>
      <c r="F201" s="35">
        <v>43.171413121199997</v>
      </c>
    </row>
    <row r="202" spans="1:6" s="33" customFormat="1" ht="14.25" hidden="1" x14ac:dyDescent="0.2">
      <c r="A202" s="34">
        <v>10</v>
      </c>
      <c r="B202" s="33">
        <v>10</v>
      </c>
      <c r="C202" s="33" t="s">
        <v>223</v>
      </c>
      <c r="D202" s="34">
        <v>201</v>
      </c>
      <c r="E202" s="33" t="s">
        <v>231</v>
      </c>
      <c r="F202" s="35">
        <v>95.242333692399995</v>
      </c>
    </row>
    <row r="203" spans="1:6" s="33" customFormat="1" ht="14.25" hidden="1" x14ac:dyDescent="0.2">
      <c r="A203" s="34">
        <v>11</v>
      </c>
      <c r="B203" s="33">
        <v>11</v>
      </c>
      <c r="C203" s="33" t="s">
        <v>232</v>
      </c>
      <c r="D203" s="34">
        <v>202</v>
      </c>
      <c r="E203" s="33" t="s">
        <v>233</v>
      </c>
      <c r="F203" s="35">
        <v>102.39693093293999</v>
      </c>
    </row>
    <row r="204" spans="1:6" s="33" customFormat="1" ht="14.25" hidden="1" x14ac:dyDescent="0.2">
      <c r="A204" s="34">
        <v>11</v>
      </c>
      <c r="B204" s="33">
        <v>11</v>
      </c>
      <c r="C204" s="33" t="s">
        <v>232</v>
      </c>
      <c r="D204" s="34">
        <v>203</v>
      </c>
      <c r="E204" s="33" t="s">
        <v>234</v>
      </c>
      <c r="F204" s="35">
        <v>0.99985588713600004</v>
      </c>
    </row>
    <row r="205" spans="1:6" s="33" customFormat="1" ht="14.25" hidden="1" x14ac:dyDescent="0.2">
      <c r="A205" s="34">
        <v>11</v>
      </c>
      <c r="B205" s="33">
        <v>11</v>
      </c>
      <c r="C205" s="33" t="s">
        <v>232</v>
      </c>
      <c r="D205" s="34">
        <v>204</v>
      </c>
      <c r="E205" s="33" t="s">
        <v>235</v>
      </c>
      <c r="F205" s="35">
        <v>59.745611787828999</v>
      </c>
    </row>
    <row r="206" spans="1:6" s="33" customFormat="1" ht="14.25" hidden="1" x14ac:dyDescent="0.2">
      <c r="A206" s="34">
        <v>11</v>
      </c>
      <c r="B206" s="33">
        <v>11</v>
      </c>
      <c r="C206" s="33" t="s">
        <v>232</v>
      </c>
      <c r="D206" s="34">
        <v>205</v>
      </c>
      <c r="E206" s="33" t="s">
        <v>236</v>
      </c>
      <c r="F206" s="35">
        <v>46.836115982579997</v>
      </c>
    </row>
    <row r="207" spans="1:6" s="33" customFormat="1" ht="14.25" hidden="1" x14ac:dyDescent="0.2">
      <c r="A207" s="34">
        <v>11</v>
      </c>
      <c r="B207" s="33">
        <v>11</v>
      </c>
      <c r="C207" s="33" t="s">
        <v>232</v>
      </c>
      <c r="D207" s="34">
        <v>206</v>
      </c>
      <c r="E207" s="33" t="s">
        <v>237</v>
      </c>
      <c r="F207" s="35">
        <v>64.925691401661993</v>
      </c>
    </row>
    <row r="208" spans="1:6" s="33" customFormat="1" ht="14.25" hidden="1" x14ac:dyDescent="0.2">
      <c r="A208" s="34">
        <v>11</v>
      </c>
      <c r="B208" s="33">
        <v>11</v>
      </c>
      <c r="C208" s="33" t="s">
        <v>232</v>
      </c>
      <c r="D208" s="34">
        <v>207</v>
      </c>
      <c r="E208" s="33" t="s">
        <v>238</v>
      </c>
      <c r="F208" s="35">
        <v>65.901646228800004</v>
      </c>
    </row>
    <row r="209" spans="1:6" s="33" customFormat="1" ht="14.25" hidden="1" x14ac:dyDescent="0.2">
      <c r="A209" s="34">
        <v>11</v>
      </c>
      <c r="B209" s="33">
        <v>11</v>
      </c>
      <c r="C209" s="33" t="s">
        <v>232</v>
      </c>
      <c r="D209" s="34">
        <v>208</v>
      </c>
      <c r="E209" s="33" t="s">
        <v>239</v>
      </c>
      <c r="F209" s="35">
        <v>41.632983258199999</v>
      </c>
    </row>
    <row r="210" spans="1:6" s="33" customFormat="1" ht="14.25" hidden="1" x14ac:dyDescent="0.2">
      <c r="A210" s="34">
        <v>11</v>
      </c>
      <c r="B210" s="33">
        <v>11</v>
      </c>
      <c r="C210" s="33" t="s">
        <v>232</v>
      </c>
      <c r="D210" s="34">
        <v>209</v>
      </c>
      <c r="E210" s="33" t="s">
        <v>240</v>
      </c>
      <c r="F210" s="35">
        <v>35.675885174000001</v>
      </c>
    </row>
    <row r="211" spans="1:6" s="33" customFormat="1" ht="14.25" hidden="1" x14ac:dyDescent="0.2">
      <c r="A211" s="34">
        <v>11</v>
      </c>
      <c r="B211" s="33">
        <v>11</v>
      </c>
      <c r="C211" s="33" t="s">
        <v>232</v>
      </c>
      <c r="D211" s="34">
        <v>210</v>
      </c>
      <c r="E211" s="33" t="s">
        <v>241</v>
      </c>
      <c r="F211" s="35">
        <v>26.160324791800001</v>
      </c>
    </row>
    <row r="212" spans="1:6" s="33" customFormat="1" ht="14.25" hidden="1" x14ac:dyDescent="0.2">
      <c r="A212" s="34">
        <v>11</v>
      </c>
      <c r="B212" s="33">
        <v>11</v>
      </c>
      <c r="C212" s="33" t="s">
        <v>232</v>
      </c>
      <c r="D212" s="34">
        <v>211</v>
      </c>
      <c r="E212" s="33" t="s">
        <v>242</v>
      </c>
      <c r="F212" s="35">
        <v>41.818855395600004</v>
      </c>
    </row>
    <row r="213" spans="1:6" s="33" customFormat="1" ht="14.25" hidden="1" x14ac:dyDescent="0.2">
      <c r="A213" s="34">
        <v>11</v>
      </c>
      <c r="B213" s="33">
        <v>11</v>
      </c>
      <c r="C213" s="33" t="s">
        <v>232</v>
      </c>
      <c r="D213" s="34">
        <v>212</v>
      </c>
      <c r="E213" s="33" t="s">
        <v>243</v>
      </c>
      <c r="F213" s="35">
        <v>48.649724135100001</v>
      </c>
    </row>
    <row r="214" spans="1:6" s="33" customFormat="1" ht="14.25" hidden="1" x14ac:dyDescent="0.2">
      <c r="A214" s="34">
        <v>11</v>
      </c>
      <c r="B214" s="33">
        <v>11</v>
      </c>
      <c r="C214" s="33" t="s">
        <v>232</v>
      </c>
      <c r="D214" s="34">
        <v>213</v>
      </c>
      <c r="E214" s="33" t="s">
        <v>244</v>
      </c>
      <c r="F214" s="35">
        <v>40.379494933700002</v>
      </c>
    </row>
    <row r="215" spans="1:6" s="33" customFormat="1" ht="14.25" hidden="1" x14ac:dyDescent="0.2">
      <c r="A215" s="34">
        <v>11</v>
      </c>
      <c r="B215" s="33">
        <v>11</v>
      </c>
      <c r="C215" s="33" t="s">
        <v>232</v>
      </c>
      <c r="D215" s="34">
        <v>214</v>
      </c>
      <c r="E215" s="33" t="s">
        <v>245</v>
      </c>
      <c r="F215" s="35">
        <v>45.589244648967004</v>
      </c>
    </row>
    <row r="216" spans="1:6" s="33" customFormat="1" ht="14.25" hidden="1" x14ac:dyDescent="0.2">
      <c r="A216" s="34">
        <v>11</v>
      </c>
      <c r="B216" s="33">
        <v>11</v>
      </c>
      <c r="C216" s="33" t="s">
        <v>232</v>
      </c>
      <c r="D216" s="34">
        <v>215</v>
      </c>
      <c r="E216" s="33" t="s">
        <v>246</v>
      </c>
      <c r="F216" s="35">
        <v>36.2810952038</v>
      </c>
    </row>
    <row r="217" spans="1:6" s="33" customFormat="1" ht="14.25" hidden="1" x14ac:dyDescent="0.2">
      <c r="A217" s="34">
        <v>11</v>
      </c>
      <c r="B217" s="33">
        <v>11</v>
      </c>
      <c r="C217" s="33" t="s">
        <v>232</v>
      </c>
      <c r="D217" s="34">
        <v>216</v>
      </c>
      <c r="E217" s="33" t="s">
        <v>247</v>
      </c>
      <c r="F217" s="35">
        <v>89.379776516709995</v>
      </c>
    </row>
    <row r="218" spans="1:6" s="33" customFormat="1" ht="14.25" hidden="1" x14ac:dyDescent="0.2">
      <c r="A218" s="34">
        <v>11</v>
      </c>
      <c r="B218" s="33">
        <v>11</v>
      </c>
      <c r="C218" s="33" t="s">
        <v>232</v>
      </c>
      <c r="D218" s="34">
        <v>217</v>
      </c>
      <c r="E218" s="33" t="s">
        <v>248</v>
      </c>
      <c r="F218" s="35">
        <v>2.3779246433500001</v>
      </c>
    </row>
    <row r="219" spans="1:6" s="33" customFormat="1" ht="14.25" hidden="1" x14ac:dyDescent="0.2">
      <c r="A219" s="34">
        <v>11</v>
      </c>
      <c r="B219" s="33">
        <v>11</v>
      </c>
      <c r="C219" s="33" t="s">
        <v>232</v>
      </c>
      <c r="D219" s="34">
        <v>218</v>
      </c>
      <c r="E219" s="33" t="s">
        <v>249</v>
      </c>
      <c r="F219" s="35">
        <v>112.30914418946</v>
      </c>
    </row>
    <row r="220" spans="1:6" s="33" customFormat="1" ht="14.25" hidden="1" x14ac:dyDescent="0.2">
      <c r="A220" s="34">
        <v>11</v>
      </c>
      <c r="B220" s="33">
        <v>11</v>
      </c>
      <c r="C220" s="33" t="s">
        <v>232</v>
      </c>
      <c r="D220" s="34">
        <v>219</v>
      </c>
      <c r="E220" s="33" t="s">
        <v>250</v>
      </c>
      <c r="F220" s="35">
        <v>50.300052115100002</v>
      </c>
    </row>
    <row r="221" spans="1:6" s="33" customFormat="1" ht="14.25" hidden="1" x14ac:dyDescent="0.2">
      <c r="A221" s="34">
        <v>11</v>
      </c>
      <c r="B221" s="33">
        <v>11</v>
      </c>
      <c r="C221" s="33" t="s">
        <v>232</v>
      </c>
      <c r="D221" s="34">
        <v>220</v>
      </c>
      <c r="E221" s="33" t="s">
        <v>251</v>
      </c>
      <c r="F221" s="35">
        <v>14.0411420562</v>
      </c>
    </row>
    <row r="222" spans="1:6" s="33" customFormat="1" ht="14.25" hidden="1" x14ac:dyDescent="0.2">
      <c r="A222" s="34">
        <v>11</v>
      </c>
      <c r="B222" s="33">
        <v>11</v>
      </c>
      <c r="C222" s="33" t="s">
        <v>232</v>
      </c>
      <c r="D222" s="34">
        <v>221</v>
      </c>
      <c r="E222" s="33" t="s">
        <v>252</v>
      </c>
      <c r="F222" s="35">
        <v>77.104768097999994</v>
      </c>
    </row>
    <row r="223" spans="1:6" s="33" customFormat="1" ht="14.25" hidden="1" x14ac:dyDescent="0.2">
      <c r="A223" s="34">
        <v>11</v>
      </c>
      <c r="B223" s="33">
        <v>11</v>
      </c>
      <c r="C223" s="33" t="s">
        <v>232</v>
      </c>
      <c r="D223" s="34">
        <v>222</v>
      </c>
      <c r="E223" s="33" t="s">
        <v>253</v>
      </c>
      <c r="F223" s="35">
        <v>38.992867703915998</v>
      </c>
    </row>
    <row r="224" spans="1:6" s="33" customFormat="1" ht="14.25" hidden="1" x14ac:dyDescent="0.2">
      <c r="A224" s="34">
        <v>11</v>
      </c>
      <c r="B224" s="33">
        <v>11</v>
      </c>
      <c r="C224" s="33" t="s">
        <v>232</v>
      </c>
      <c r="D224" s="34">
        <v>223</v>
      </c>
      <c r="E224" s="33" t="s">
        <v>254</v>
      </c>
      <c r="F224" s="35">
        <v>63.874573671500002</v>
      </c>
    </row>
    <row r="225" spans="1:6" s="33" customFormat="1" ht="14.25" hidden="1" x14ac:dyDescent="0.2">
      <c r="A225" s="34">
        <v>12</v>
      </c>
      <c r="B225" s="33">
        <v>12</v>
      </c>
      <c r="C225" s="33" t="s">
        <v>255</v>
      </c>
      <c r="D225" s="34">
        <v>224</v>
      </c>
      <c r="E225" s="33" t="s">
        <v>256</v>
      </c>
      <c r="F225" s="35">
        <v>26.24</v>
      </c>
    </row>
    <row r="226" spans="1:6" s="33" customFormat="1" ht="14.25" hidden="1" x14ac:dyDescent="0.2">
      <c r="A226" s="34">
        <v>12</v>
      </c>
      <c r="B226" s="33">
        <v>12</v>
      </c>
      <c r="C226" s="33" t="s">
        <v>255</v>
      </c>
      <c r="D226" s="34">
        <v>225</v>
      </c>
      <c r="E226" s="33" t="s">
        <v>257</v>
      </c>
      <c r="F226" s="35">
        <v>76.278130035900006</v>
      </c>
    </row>
    <row r="227" spans="1:6" s="33" customFormat="1" ht="14.25" hidden="1" x14ac:dyDescent="0.2">
      <c r="A227" s="34">
        <v>12</v>
      </c>
      <c r="B227" s="33">
        <v>12</v>
      </c>
      <c r="C227" s="33" t="s">
        <v>255</v>
      </c>
      <c r="D227" s="34">
        <v>226</v>
      </c>
      <c r="E227" s="33" t="s">
        <v>258</v>
      </c>
      <c r="F227" s="35">
        <v>65.030612465090002</v>
      </c>
    </row>
    <row r="228" spans="1:6" s="33" customFormat="1" ht="14.25" hidden="1" x14ac:dyDescent="0.2">
      <c r="A228" s="34">
        <v>12</v>
      </c>
      <c r="B228" s="33">
        <v>12</v>
      </c>
      <c r="C228" s="33" t="s">
        <v>255</v>
      </c>
      <c r="D228" s="34">
        <v>227</v>
      </c>
      <c r="E228" s="33" t="s">
        <v>259</v>
      </c>
      <c r="F228" s="35">
        <v>43.157861427390003</v>
      </c>
    </row>
    <row r="229" spans="1:6" s="33" customFormat="1" ht="14.25" hidden="1" x14ac:dyDescent="0.2">
      <c r="A229" s="34">
        <v>12</v>
      </c>
      <c r="B229" s="33">
        <v>12</v>
      </c>
      <c r="C229" s="33" t="s">
        <v>255</v>
      </c>
      <c r="D229" s="34">
        <v>228</v>
      </c>
      <c r="E229" s="33" t="s">
        <v>260</v>
      </c>
      <c r="F229" s="35">
        <v>67.259324357400004</v>
      </c>
    </row>
    <row r="230" spans="1:6" s="33" customFormat="1" ht="14.25" hidden="1" x14ac:dyDescent="0.2">
      <c r="A230" s="34">
        <v>12</v>
      </c>
      <c r="B230" s="33">
        <v>12</v>
      </c>
      <c r="C230" s="33" t="s">
        <v>255</v>
      </c>
      <c r="D230" s="34">
        <v>229</v>
      </c>
      <c r="E230" s="33" t="s">
        <v>261</v>
      </c>
      <c r="F230" s="35">
        <v>84.126460305653993</v>
      </c>
    </row>
    <row r="231" spans="1:6" s="33" customFormat="1" ht="14.25" hidden="1" x14ac:dyDescent="0.2">
      <c r="A231" s="34">
        <v>12</v>
      </c>
      <c r="B231" s="33">
        <v>12</v>
      </c>
      <c r="C231" s="33" t="s">
        <v>255</v>
      </c>
      <c r="D231" s="34">
        <v>230</v>
      </c>
      <c r="E231" s="33" t="s">
        <v>262</v>
      </c>
      <c r="F231" s="35">
        <v>62.903735438799998</v>
      </c>
    </row>
    <row r="232" spans="1:6" s="33" customFormat="1" ht="14.25" hidden="1" x14ac:dyDescent="0.2">
      <c r="A232" s="34">
        <v>12</v>
      </c>
      <c r="B232" s="33">
        <v>12</v>
      </c>
      <c r="C232" s="33" t="s">
        <v>255</v>
      </c>
      <c r="D232" s="34">
        <v>231</v>
      </c>
      <c r="E232" s="33" t="s">
        <v>263</v>
      </c>
      <c r="F232" s="35">
        <v>35.380106770810002</v>
      </c>
    </row>
    <row r="233" spans="1:6" s="33" customFormat="1" ht="14.25" hidden="1" x14ac:dyDescent="0.2">
      <c r="A233" s="34">
        <v>12</v>
      </c>
      <c r="B233" s="33">
        <v>12</v>
      </c>
      <c r="C233" s="33" t="s">
        <v>255</v>
      </c>
      <c r="D233" s="34">
        <v>232</v>
      </c>
      <c r="E233" s="33" t="s">
        <v>264</v>
      </c>
      <c r="F233" s="35">
        <v>87.831044979669983</v>
      </c>
    </row>
    <row r="234" spans="1:6" s="33" customFormat="1" ht="14.25" hidden="1" x14ac:dyDescent="0.2">
      <c r="A234" s="34">
        <v>12</v>
      </c>
      <c r="B234" s="33">
        <v>12</v>
      </c>
      <c r="C234" s="33" t="s">
        <v>255</v>
      </c>
      <c r="D234" s="34">
        <v>233</v>
      </c>
      <c r="E234" s="33" t="s">
        <v>265</v>
      </c>
      <c r="F234" s="35">
        <v>81.849492247299992</v>
      </c>
    </row>
    <row r="235" spans="1:6" s="33" customFormat="1" ht="14.25" hidden="1" x14ac:dyDescent="0.2">
      <c r="A235" s="34">
        <v>12</v>
      </c>
      <c r="B235" s="33">
        <v>12</v>
      </c>
      <c r="C235" s="33" t="s">
        <v>255</v>
      </c>
      <c r="D235" s="34">
        <v>234</v>
      </c>
      <c r="E235" s="33" t="s">
        <v>266</v>
      </c>
      <c r="F235" s="35">
        <v>37.422325510199997</v>
      </c>
    </row>
    <row r="236" spans="1:6" s="33" customFormat="1" ht="14.25" hidden="1" x14ac:dyDescent="0.2">
      <c r="A236" s="34">
        <v>12</v>
      </c>
      <c r="B236" s="33">
        <v>12</v>
      </c>
      <c r="C236" s="33" t="s">
        <v>255</v>
      </c>
      <c r="D236" s="34">
        <v>235</v>
      </c>
      <c r="E236" s="33" t="s">
        <v>267</v>
      </c>
      <c r="F236" s="35">
        <v>30.117603159838001</v>
      </c>
    </row>
    <row r="237" spans="1:6" s="33" customFormat="1" ht="14.25" hidden="1" x14ac:dyDescent="0.2">
      <c r="A237" s="34">
        <v>12</v>
      </c>
      <c r="B237" s="33">
        <v>12</v>
      </c>
      <c r="C237" s="33" t="s">
        <v>255</v>
      </c>
      <c r="D237" s="34">
        <v>236</v>
      </c>
      <c r="E237" s="33" t="s">
        <v>268</v>
      </c>
      <c r="F237" s="35">
        <v>33.966639632469999</v>
      </c>
    </row>
    <row r="238" spans="1:6" s="33" customFormat="1" ht="14.25" hidden="1" x14ac:dyDescent="0.2">
      <c r="A238" s="34">
        <v>12</v>
      </c>
      <c r="B238" s="33">
        <v>12</v>
      </c>
      <c r="C238" s="33" t="s">
        <v>255</v>
      </c>
      <c r="D238" s="34">
        <v>237</v>
      </c>
      <c r="E238" s="33" t="s">
        <v>269</v>
      </c>
      <c r="F238" s="35">
        <v>26.043992977599999</v>
      </c>
    </row>
    <row r="239" spans="1:6" s="33" customFormat="1" ht="14.25" hidden="1" x14ac:dyDescent="0.2">
      <c r="A239" s="34">
        <v>12</v>
      </c>
      <c r="B239" s="33">
        <v>12</v>
      </c>
      <c r="C239" s="33" t="s">
        <v>255</v>
      </c>
      <c r="D239" s="34">
        <v>238</v>
      </c>
      <c r="E239" s="33" t="s">
        <v>270</v>
      </c>
      <c r="F239" s="35">
        <v>73.554481171600003</v>
      </c>
    </row>
    <row r="240" spans="1:6" s="33" customFormat="1" ht="14.25" hidden="1" x14ac:dyDescent="0.2">
      <c r="A240" s="34">
        <v>12</v>
      </c>
      <c r="B240" s="33">
        <v>12</v>
      </c>
      <c r="C240" s="33" t="s">
        <v>255</v>
      </c>
      <c r="D240" s="34">
        <v>239</v>
      </c>
      <c r="E240" s="33" t="s">
        <v>271</v>
      </c>
      <c r="F240" s="35">
        <v>63.930071377099999</v>
      </c>
    </row>
    <row r="241" spans="1:6" s="33" customFormat="1" ht="14.25" hidden="1" x14ac:dyDescent="0.2">
      <c r="A241" s="34">
        <v>12</v>
      </c>
      <c r="B241" s="33">
        <v>12</v>
      </c>
      <c r="C241" s="33" t="s">
        <v>255</v>
      </c>
      <c r="D241" s="34">
        <v>240</v>
      </c>
      <c r="E241" s="33" t="s">
        <v>272</v>
      </c>
      <c r="F241" s="35">
        <v>81.076208041699999</v>
      </c>
    </row>
    <row r="242" spans="1:6" s="33" customFormat="1" ht="14.25" hidden="1" x14ac:dyDescent="0.2">
      <c r="A242" s="34">
        <v>12</v>
      </c>
      <c r="B242" s="33">
        <v>12</v>
      </c>
      <c r="C242" s="33" t="s">
        <v>255</v>
      </c>
      <c r="D242" s="34">
        <v>241</v>
      </c>
      <c r="E242" s="33" t="s">
        <v>273</v>
      </c>
      <c r="F242" s="35">
        <v>60.310112592999999</v>
      </c>
    </row>
    <row r="243" spans="1:6" s="33" customFormat="1" ht="14.25" hidden="1" x14ac:dyDescent="0.2">
      <c r="A243" s="34">
        <v>12</v>
      </c>
      <c r="B243" s="33">
        <v>12</v>
      </c>
      <c r="C243" s="33" t="s">
        <v>255</v>
      </c>
      <c r="D243" s="34">
        <v>242</v>
      </c>
      <c r="E243" s="33" t="s">
        <v>274</v>
      </c>
      <c r="F243" s="35">
        <v>21.676392598300001</v>
      </c>
    </row>
    <row r="244" spans="1:6" s="33" customFormat="1" ht="14.25" hidden="1" x14ac:dyDescent="0.2">
      <c r="A244" s="34">
        <v>12</v>
      </c>
      <c r="B244" s="33">
        <v>12</v>
      </c>
      <c r="C244" s="33" t="s">
        <v>255</v>
      </c>
      <c r="D244" s="34">
        <v>243</v>
      </c>
      <c r="E244" s="33" t="s">
        <v>275</v>
      </c>
      <c r="F244" s="35">
        <v>36.060559758229999</v>
      </c>
    </row>
    <row r="245" spans="1:6" s="33" customFormat="1" ht="14.25" hidden="1" x14ac:dyDescent="0.2">
      <c r="A245" s="34">
        <v>12</v>
      </c>
      <c r="B245" s="33">
        <v>12</v>
      </c>
      <c r="C245" s="33" t="s">
        <v>255</v>
      </c>
      <c r="D245" s="34">
        <v>244</v>
      </c>
      <c r="E245" s="33" t="s">
        <v>276</v>
      </c>
      <c r="F245" s="35">
        <v>42.086626595669998</v>
      </c>
    </row>
    <row r="246" spans="1:6" s="33" customFormat="1" ht="14.25" hidden="1" x14ac:dyDescent="0.2">
      <c r="A246" s="34">
        <v>13</v>
      </c>
      <c r="B246" s="33">
        <v>13</v>
      </c>
      <c r="C246" s="33" t="s">
        <v>277</v>
      </c>
      <c r="D246" s="34">
        <v>245</v>
      </c>
      <c r="E246" s="33" t="s">
        <v>278</v>
      </c>
      <c r="F246" s="35">
        <v>56.716371924999997</v>
      </c>
    </row>
    <row r="247" spans="1:6" s="33" customFormat="1" ht="14.25" hidden="1" x14ac:dyDescent="0.2">
      <c r="A247" s="34">
        <v>13</v>
      </c>
      <c r="B247" s="33">
        <v>13</v>
      </c>
      <c r="C247" s="33" t="s">
        <v>277</v>
      </c>
      <c r="D247" s="34">
        <v>246</v>
      </c>
      <c r="E247" s="33" t="s">
        <v>279</v>
      </c>
      <c r="F247" s="35">
        <v>14.89361216961</v>
      </c>
    </row>
    <row r="248" spans="1:6" s="33" customFormat="1" ht="14.25" hidden="1" x14ac:dyDescent="0.2">
      <c r="A248" s="34">
        <v>13</v>
      </c>
      <c r="B248" s="33">
        <v>13</v>
      </c>
      <c r="C248" s="33" t="s">
        <v>277</v>
      </c>
      <c r="D248" s="34">
        <v>247</v>
      </c>
      <c r="E248" s="33" t="s">
        <v>280</v>
      </c>
      <c r="F248" s="35">
        <v>36.04650905103</v>
      </c>
    </row>
    <row r="249" spans="1:6" s="33" customFormat="1" ht="14.25" hidden="1" x14ac:dyDescent="0.2">
      <c r="A249" s="34">
        <v>13</v>
      </c>
      <c r="B249" s="33">
        <v>13</v>
      </c>
      <c r="C249" s="33" t="s">
        <v>277</v>
      </c>
      <c r="D249" s="34">
        <v>248</v>
      </c>
      <c r="E249" s="33" t="s">
        <v>281</v>
      </c>
      <c r="F249" s="35">
        <v>43.005991032679994</v>
      </c>
    </row>
    <row r="250" spans="1:6" s="33" customFormat="1" ht="14.25" hidden="1" x14ac:dyDescent="0.2">
      <c r="A250" s="34">
        <v>13</v>
      </c>
      <c r="B250" s="33">
        <v>13</v>
      </c>
      <c r="C250" s="33" t="s">
        <v>277</v>
      </c>
      <c r="D250" s="34">
        <v>249</v>
      </c>
      <c r="E250" s="33" t="s">
        <v>282</v>
      </c>
      <c r="F250" s="35">
        <v>34.93526666284</v>
      </c>
    </row>
    <row r="251" spans="1:6" s="33" customFormat="1" ht="14.25" hidden="1" x14ac:dyDescent="0.2">
      <c r="A251" s="34">
        <v>13</v>
      </c>
      <c r="B251" s="33">
        <v>13</v>
      </c>
      <c r="C251" s="33" t="s">
        <v>277</v>
      </c>
      <c r="D251" s="34">
        <v>250</v>
      </c>
      <c r="E251" s="33" t="s">
        <v>283</v>
      </c>
      <c r="F251" s="35">
        <v>15.388407505330001</v>
      </c>
    </row>
    <row r="252" spans="1:6" s="33" customFormat="1" ht="14.25" hidden="1" x14ac:dyDescent="0.2">
      <c r="A252" s="34">
        <v>13</v>
      </c>
      <c r="B252" s="33">
        <v>13</v>
      </c>
      <c r="C252" s="33" t="s">
        <v>277</v>
      </c>
      <c r="D252" s="34">
        <v>251</v>
      </c>
      <c r="E252" s="33" t="s">
        <v>284</v>
      </c>
      <c r="F252" s="35">
        <v>104.51176444001001</v>
      </c>
    </row>
    <row r="253" spans="1:6" s="33" customFormat="1" ht="14.25" hidden="1" x14ac:dyDescent="0.2">
      <c r="A253" s="34">
        <v>13</v>
      </c>
      <c r="B253" s="33">
        <v>13</v>
      </c>
      <c r="C253" s="33" t="s">
        <v>277</v>
      </c>
      <c r="D253" s="34">
        <v>252</v>
      </c>
      <c r="E253" s="33" t="s">
        <v>285</v>
      </c>
      <c r="F253" s="35">
        <v>52.672671397629998</v>
      </c>
    </row>
    <row r="254" spans="1:6" s="33" customFormat="1" ht="14.25" hidden="1" x14ac:dyDescent="0.2">
      <c r="A254" s="34">
        <v>13</v>
      </c>
      <c r="B254" s="33">
        <v>13</v>
      </c>
      <c r="C254" s="33" t="s">
        <v>277</v>
      </c>
      <c r="D254" s="34">
        <v>253</v>
      </c>
      <c r="E254" s="33" t="s">
        <v>286</v>
      </c>
      <c r="F254" s="35">
        <v>15.560727356799999</v>
      </c>
    </row>
    <row r="255" spans="1:6" s="33" customFormat="1" ht="14.25" hidden="1" x14ac:dyDescent="0.2">
      <c r="A255" s="34">
        <v>13</v>
      </c>
      <c r="B255" s="33">
        <v>13</v>
      </c>
      <c r="C255" s="33" t="s">
        <v>277</v>
      </c>
      <c r="D255" s="34">
        <v>254</v>
      </c>
      <c r="E255" s="33" t="s">
        <v>287</v>
      </c>
      <c r="F255" s="35">
        <v>17.97823776437</v>
      </c>
    </row>
    <row r="256" spans="1:6" s="33" customFormat="1" ht="14.25" hidden="1" x14ac:dyDescent="0.2">
      <c r="A256" s="34">
        <v>13</v>
      </c>
      <c r="B256" s="33">
        <v>13</v>
      </c>
      <c r="C256" s="33" t="s">
        <v>277</v>
      </c>
      <c r="D256" s="34">
        <v>255</v>
      </c>
      <c r="E256" s="33" t="s">
        <v>288</v>
      </c>
      <c r="F256" s="35">
        <v>57.452308968700002</v>
      </c>
    </row>
    <row r="257" spans="1:6" s="33" customFormat="1" ht="14.25" hidden="1" x14ac:dyDescent="0.2">
      <c r="A257" s="34">
        <v>13</v>
      </c>
      <c r="B257" s="33">
        <v>13</v>
      </c>
      <c r="C257" s="33" t="s">
        <v>277</v>
      </c>
      <c r="D257" s="34">
        <v>256</v>
      </c>
      <c r="E257" s="33" t="s">
        <v>289</v>
      </c>
      <c r="F257" s="35">
        <v>38.006084876729993</v>
      </c>
    </row>
    <row r="258" spans="1:6" s="33" customFormat="1" ht="14.25" hidden="1" x14ac:dyDescent="0.2">
      <c r="A258" s="34">
        <v>13</v>
      </c>
      <c r="B258" s="33">
        <v>13</v>
      </c>
      <c r="C258" s="33" t="s">
        <v>277</v>
      </c>
      <c r="D258" s="34">
        <v>257</v>
      </c>
      <c r="E258" s="33" t="s">
        <v>290</v>
      </c>
      <c r="F258" s="35">
        <v>6.3844721453100002</v>
      </c>
    </row>
    <row r="259" spans="1:6" s="33" customFormat="1" ht="14.25" hidden="1" x14ac:dyDescent="0.2">
      <c r="A259" s="34">
        <v>13</v>
      </c>
      <c r="B259" s="33">
        <v>13</v>
      </c>
      <c r="C259" s="33" t="s">
        <v>277</v>
      </c>
      <c r="D259" s="34">
        <v>258</v>
      </c>
      <c r="E259" s="33" t="s">
        <v>291</v>
      </c>
      <c r="F259" s="35">
        <v>35.496799002260005</v>
      </c>
    </row>
    <row r="260" spans="1:6" s="33" customFormat="1" ht="14.25" hidden="1" x14ac:dyDescent="0.2">
      <c r="A260" s="34">
        <v>13</v>
      </c>
      <c r="B260" s="33">
        <v>13</v>
      </c>
      <c r="C260" s="33" t="s">
        <v>277</v>
      </c>
      <c r="D260" s="34">
        <v>259</v>
      </c>
      <c r="E260" s="33" t="s">
        <v>292</v>
      </c>
      <c r="F260" s="35">
        <v>48.367487987600001</v>
      </c>
    </row>
    <row r="261" spans="1:6" s="33" customFormat="1" ht="14.25" hidden="1" x14ac:dyDescent="0.2">
      <c r="A261" s="34">
        <v>13</v>
      </c>
      <c r="B261" s="33">
        <v>13</v>
      </c>
      <c r="C261" s="33" t="s">
        <v>277</v>
      </c>
      <c r="D261" s="34">
        <v>260</v>
      </c>
      <c r="E261" s="33" t="s">
        <v>293</v>
      </c>
      <c r="F261" s="35">
        <v>52.135569311399998</v>
      </c>
    </row>
    <row r="262" spans="1:6" s="33" customFormat="1" ht="14.25" hidden="1" x14ac:dyDescent="0.2">
      <c r="A262" s="34">
        <v>13</v>
      </c>
      <c r="B262" s="33">
        <v>13</v>
      </c>
      <c r="C262" s="33" t="s">
        <v>277</v>
      </c>
      <c r="D262" s="34">
        <v>261</v>
      </c>
      <c r="E262" s="33" t="s">
        <v>294</v>
      </c>
      <c r="F262" s="35">
        <v>50.619704282800001</v>
      </c>
    </row>
    <row r="263" spans="1:6" s="33" customFormat="1" ht="14.25" hidden="1" x14ac:dyDescent="0.2">
      <c r="A263" s="34">
        <v>13</v>
      </c>
      <c r="B263" s="33">
        <v>13</v>
      </c>
      <c r="C263" s="33" t="s">
        <v>277</v>
      </c>
      <c r="D263" s="34">
        <v>262</v>
      </c>
      <c r="E263" s="33" t="s">
        <v>295</v>
      </c>
      <c r="F263" s="35">
        <v>23.9510365581</v>
      </c>
    </row>
    <row r="264" spans="1:6" s="33" customFormat="1" ht="14.25" hidden="1" x14ac:dyDescent="0.2">
      <c r="A264" s="34">
        <v>13</v>
      </c>
      <c r="B264" s="33">
        <v>13</v>
      </c>
      <c r="C264" s="33" t="s">
        <v>277</v>
      </c>
      <c r="D264" s="34">
        <v>263</v>
      </c>
      <c r="E264" s="33" t="s">
        <v>296</v>
      </c>
      <c r="F264" s="35">
        <v>39.501800082499997</v>
      </c>
    </row>
    <row r="265" spans="1:6" s="33" customFormat="1" ht="14.25" hidden="1" x14ac:dyDescent="0.2">
      <c r="A265" s="34">
        <v>13</v>
      </c>
      <c r="B265" s="33">
        <v>13</v>
      </c>
      <c r="C265" s="33" t="s">
        <v>277</v>
      </c>
      <c r="D265" s="34">
        <v>264</v>
      </c>
      <c r="E265" s="33" t="s">
        <v>297</v>
      </c>
      <c r="F265" s="35">
        <v>42.464392694399997</v>
      </c>
    </row>
    <row r="266" spans="1:6" s="33" customFormat="1" ht="14.25" hidden="1" x14ac:dyDescent="0.2">
      <c r="A266" s="34">
        <v>13</v>
      </c>
      <c r="B266" s="33">
        <v>13</v>
      </c>
      <c r="C266" s="33" t="s">
        <v>277</v>
      </c>
      <c r="D266" s="34">
        <v>265</v>
      </c>
      <c r="E266" s="33" t="s">
        <v>298</v>
      </c>
      <c r="F266" s="35">
        <v>68.904468529889996</v>
      </c>
    </row>
    <row r="267" spans="1:6" s="33" customFormat="1" ht="14.25" hidden="1" x14ac:dyDescent="0.2">
      <c r="A267" s="34">
        <v>13</v>
      </c>
      <c r="B267" s="33">
        <v>13</v>
      </c>
      <c r="C267" s="33" t="s">
        <v>277</v>
      </c>
      <c r="D267" s="34">
        <v>266</v>
      </c>
      <c r="E267" s="33" t="s">
        <v>299</v>
      </c>
      <c r="F267" s="35">
        <v>26.737320614079998</v>
      </c>
    </row>
    <row r="268" spans="1:6" s="33" customFormat="1" ht="14.25" hidden="1" x14ac:dyDescent="0.2">
      <c r="A268" s="34">
        <v>13</v>
      </c>
      <c r="B268" s="33">
        <v>13</v>
      </c>
      <c r="C268" s="33" t="s">
        <v>277</v>
      </c>
      <c r="D268" s="34">
        <v>267</v>
      </c>
      <c r="E268" s="33" t="s">
        <v>300</v>
      </c>
      <c r="F268" s="35">
        <v>14.4762033839</v>
      </c>
    </row>
    <row r="269" spans="1:6" s="33" customFormat="1" ht="14.25" hidden="1" x14ac:dyDescent="0.2">
      <c r="A269" s="34">
        <v>13</v>
      </c>
      <c r="B269" s="33">
        <v>13</v>
      </c>
      <c r="C269" s="33" t="s">
        <v>277</v>
      </c>
      <c r="D269" s="34">
        <v>268</v>
      </c>
      <c r="E269" s="33" t="s">
        <v>301</v>
      </c>
      <c r="F269" s="35">
        <v>34.769106100999998</v>
      </c>
    </row>
    <row r="270" spans="1:6" s="33" customFormat="1" ht="14.25" hidden="1" x14ac:dyDescent="0.2">
      <c r="A270" s="34">
        <v>13</v>
      </c>
      <c r="B270" s="33">
        <v>13</v>
      </c>
      <c r="C270" s="33" t="s">
        <v>277</v>
      </c>
      <c r="D270" s="34">
        <v>269</v>
      </c>
      <c r="E270" s="33" t="s">
        <v>302</v>
      </c>
      <c r="F270" s="35">
        <v>73.03957648558</v>
      </c>
    </row>
    <row r="271" spans="1:6" s="33" customFormat="1" ht="14.25" hidden="1" x14ac:dyDescent="0.2">
      <c r="A271" s="34">
        <v>13</v>
      </c>
      <c r="B271" s="33">
        <v>13</v>
      </c>
      <c r="C271" s="33" t="s">
        <v>277</v>
      </c>
      <c r="D271" s="34">
        <v>270</v>
      </c>
      <c r="E271" s="33" t="s">
        <v>303</v>
      </c>
      <c r="F271" s="35">
        <v>98.762685201699995</v>
      </c>
    </row>
    <row r="272" spans="1:6" s="33" customFormat="1" ht="14.25" hidden="1" x14ac:dyDescent="0.2">
      <c r="A272" s="34">
        <v>13</v>
      </c>
      <c r="B272" s="33">
        <v>13</v>
      </c>
      <c r="C272" s="33" t="s">
        <v>277</v>
      </c>
      <c r="D272" s="34">
        <v>271</v>
      </c>
      <c r="E272" s="33" t="s">
        <v>304</v>
      </c>
      <c r="F272" s="35">
        <v>21.621530415900001</v>
      </c>
    </row>
    <row r="273" spans="1:10" s="33" customFormat="1" ht="14.25" hidden="1" x14ac:dyDescent="0.2">
      <c r="A273" s="34">
        <v>13</v>
      </c>
      <c r="B273" s="33">
        <v>13</v>
      </c>
      <c r="C273" s="33" t="s">
        <v>277</v>
      </c>
      <c r="D273" s="34">
        <v>272</v>
      </c>
      <c r="E273" s="33" t="s">
        <v>305</v>
      </c>
      <c r="F273" s="35">
        <v>75.786951088480009</v>
      </c>
    </row>
    <row r="274" spans="1:10" s="33" customFormat="1" ht="14.25" hidden="1" x14ac:dyDescent="0.2">
      <c r="A274" s="34">
        <v>13</v>
      </c>
      <c r="B274" s="33">
        <v>13</v>
      </c>
      <c r="C274" s="33" t="s">
        <v>277</v>
      </c>
      <c r="D274" s="34">
        <v>273</v>
      </c>
      <c r="E274" s="33" t="s">
        <v>306</v>
      </c>
      <c r="F274" s="35">
        <v>11.2079170884</v>
      </c>
    </row>
    <row r="275" spans="1:10" x14ac:dyDescent="0.2">
      <c r="H275" s="38">
        <f>SUM(H69:H86)</f>
        <v>547.18959057425013</v>
      </c>
      <c r="J275" s="38">
        <f>H83+H76+H75+H73+H72+H71+H79</f>
        <v>317.17490140749004</v>
      </c>
    </row>
    <row r="276" spans="1:10" x14ac:dyDescent="0.2">
      <c r="J276" s="48">
        <f>J275/H275</f>
        <v>0.57964352186347268</v>
      </c>
    </row>
  </sheetData>
  <autoFilter ref="A2:F274" xr:uid="{00000000-0009-0000-0000-000000000000}">
    <filterColumn colId="0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68"/>
  <sheetViews>
    <sheetView tabSelected="1" view="pageBreakPreview" zoomScale="55" zoomScaleNormal="55" zoomScaleSheetLayoutView="55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v>46204</v>
      </c>
      <c r="K1" s="11"/>
      <c r="L1" s="87" t="s">
        <v>4</v>
      </c>
      <c r="M1" s="87"/>
      <c r="N1" s="89" t="s">
        <v>362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Trechos!E69</f>
        <v>RODOVIA TO-010 - TRECHO ENTR. BR-010 (ITACAJÁ) - PALMEIRANTE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310</v>
      </c>
      <c r="B7" s="21" t="s">
        <v>20</v>
      </c>
      <c r="C7" s="22">
        <v>0</v>
      </c>
      <c r="D7" s="60">
        <v>58.164330475299998</v>
      </c>
      <c r="E7" s="21"/>
      <c r="F7" s="21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 t="s">
        <v>313</v>
      </c>
      <c r="B8" s="21" t="s">
        <v>20</v>
      </c>
      <c r="C8" s="22">
        <v>0</v>
      </c>
      <c r="D8" s="60">
        <v>19.427802331999999</v>
      </c>
      <c r="E8" s="21"/>
      <c r="F8" s="21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/>
      <c r="D9" s="22"/>
      <c r="E9" s="21"/>
      <c r="F9" s="21"/>
      <c r="G9" s="21"/>
      <c r="H9" s="21"/>
      <c r="I9" s="21"/>
      <c r="J9" s="21"/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23"/>
      <c r="B36" s="24"/>
      <c r="C36" s="25"/>
      <c r="D36" s="25"/>
      <c r="E36" s="25" t="str">
        <f>IF(E7="X",(D7-C7),"0")</f>
        <v>0</v>
      </c>
      <c r="F36" s="25">
        <f>IF(F7="X",(D7-C7),"0")</f>
        <v>58.164330475299998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58.164330475299998</v>
      </c>
      <c r="K36" s="25" t="str">
        <f>IF(K7="X",(D7-C7),"0")</f>
        <v>0</v>
      </c>
      <c r="L36" s="104"/>
      <c r="M36" s="105"/>
      <c r="N36" s="105"/>
      <c r="O36" s="105"/>
      <c r="P36" s="105"/>
      <c r="Q36" s="105"/>
      <c r="R36" s="106"/>
    </row>
    <row r="37" spans="1:18" ht="41.45" customHeight="1" x14ac:dyDescent="0.25">
      <c r="A37" s="19"/>
      <c r="B37" s="3"/>
      <c r="C37" s="22"/>
      <c r="D37" s="22"/>
      <c r="E37" s="25" t="str">
        <f t="shared" ref="E37:E61" si="0">IF(E8="X",(D8-C8),"0")</f>
        <v>0</v>
      </c>
      <c r="F37" s="25">
        <f t="shared" ref="F37:F61" si="1">IF(F8="X",(D8-C8),"0")</f>
        <v>19.427802331999999</v>
      </c>
      <c r="G37" s="25" t="str">
        <f t="shared" ref="G37:G61" si="2">IF(G8="X",(D8-C8),"0")</f>
        <v>0</v>
      </c>
      <c r="H37" s="25" t="str">
        <f t="shared" ref="H37:H61" si="3">IF(H8="X",(D8-C8),"0")</f>
        <v>0</v>
      </c>
      <c r="I37" s="25" t="str">
        <f t="shared" ref="I37:I61" si="4">IF(I8="X",(D8-C8),"0")</f>
        <v>0</v>
      </c>
      <c r="J37" s="25">
        <f t="shared" ref="J37:J61" si="5">IF(J8="X",(D8-C8),"0")</f>
        <v>19.427802331999999</v>
      </c>
      <c r="K37" s="25" t="str">
        <f t="shared" ref="K37:K61" si="6">IF(K8="X",(D8-C8),"0")</f>
        <v>0</v>
      </c>
      <c r="L37" s="102"/>
      <c r="M37" s="102"/>
      <c r="N37" s="102"/>
      <c r="O37" s="102"/>
      <c r="P37" s="102"/>
      <c r="Q37" s="102"/>
      <c r="R37" s="103"/>
    </row>
    <row r="38" spans="1:18" ht="41.45" customHeight="1" x14ac:dyDescent="0.25">
      <c r="A38" s="19"/>
      <c r="B38" s="3"/>
      <c r="C38" s="22"/>
      <c r="D38" s="22"/>
      <c r="E38" s="25" t="str">
        <f t="shared" si="0"/>
        <v>0</v>
      </c>
      <c r="F38" s="25" t="str">
        <f t="shared" si="1"/>
        <v>0</v>
      </c>
      <c r="G38" s="25" t="str">
        <f t="shared" si="2"/>
        <v>0</v>
      </c>
      <c r="H38" s="25" t="str">
        <f t="shared" si="3"/>
        <v>0</v>
      </c>
      <c r="I38" s="25" t="str">
        <f t="shared" si="4"/>
        <v>0</v>
      </c>
      <c r="J38" s="25" t="str">
        <f t="shared" si="5"/>
        <v>0</v>
      </c>
      <c r="K38" s="25" t="str">
        <f t="shared" si="6"/>
        <v>0</v>
      </c>
      <c r="L38" s="102"/>
      <c r="M38" s="102"/>
      <c r="N38" s="102"/>
      <c r="O38" s="102"/>
      <c r="P38" s="102"/>
      <c r="Q38" s="102"/>
      <c r="R38" s="103"/>
    </row>
    <row r="39" spans="1:18" ht="41.45" customHeight="1" x14ac:dyDescent="0.25">
      <c r="A39" s="19"/>
      <c r="B39" s="3"/>
      <c r="C39" s="22"/>
      <c r="D39" s="22"/>
      <c r="E39" s="25" t="str">
        <f t="shared" si="0"/>
        <v>0</v>
      </c>
      <c r="F39" s="25" t="str">
        <f t="shared" si="1"/>
        <v>0</v>
      </c>
      <c r="G39" s="25" t="str">
        <f t="shared" si="2"/>
        <v>0</v>
      </c>
      <c r="H39" s="25" t="str">
        <f t="shared" si="3"/>
        <v>0</v>
      </c>
      <c r="I39" s="25" t="str">
        <f t="shared" si="4"/>
        <v>0</v>
      </c>
      <c r="J39" s="25" t="str">
        <f t="shared" si="5"/>
        <v>0</v>
      </c>
      <c r="K39" s="25" t="str">
        <f t="shared" si="6"/>
        <v>0</v>
      </c>
      <c r="L39" s="102"/>
      <c r="M39" s="102"/>
      <c r="N39" s="102"/>
      <c r="O39" s="102"/>
      <c r="P39" s="102"/>
      <c r="Q39" s="102"/>
      <c r="R39" s="103"/>
    </row>
    <row r="40" spans="1:18" ht="41.45" customHeight="1" x14ac:dyDescent="0.25">
      <c r="A40" s="19"/>
      <c r="B40" s="3"/>
      <c r="C40" s="22"/>
      <c r="D40" s="22"/>
      <c r="E40" s="25" t="str">
        <f t="shared" si="0"/>
        <v>0</v>
      </c>
      <c r="F40" s="25" t="str">
        <f t="shared" si="1"/>
        <v>0</v>
      </c>
      <c r="G40" s="25" t="str">
        <f t="shared" si="2"/>
        <v>0</v>
      </c>
      <c r="H40" s="25" t="str">
        <f t="shared" si="3"/>
        <v>0</v>
      </c>
      <c r="I40" s="25" t="str">
        <f t="shared" si="4"/>
        <v>0</v>
      </c>
      <c r="J40" s="25" t="str">
        <f t="shared" si="5"/>
        <v>0</v>
      </c>
      <c r="K40" s="25" t="str">
        <f t="shared" si="6"/>
        <v>0</v>
      </c>
      <c r="L40" s="102"/>
      <c r="M40" s="102"/>
      <c r="N40" s="102"/>
      <c r="O40" s="102"/>
      <c r="P40" s="102"/>
      <c r="Q40" s="102"/>
      <c r="R40" s="103"/>
    </row>
    <row r="41" spans="1:18" ht="41.45" customHeight="1" x14ac:dyDescent="0.25">
      <c r="A41" s="19"/>
      <c r="B41" s="3"/>
      <c r="C41" s="22"/>
      <c r="D41" s="22"/>
      <c r="E41" s="25" t="str">
        <f t="shared" si="0"/>
        <v>0</v>
      </c>
      <c r="F41" s="25" t="str">
        <f t="shared" si="1"/>
        <v>0</v>
      </c>
      <c r="G41" s="25" t="str">
        <f t="shared" si="2"/>
        <v>0</v>
      </c>
      <c r="H41" s="25" t="str">
        <f t="shared" si="3"/>
        <v>0</v>
      </c>
      <c r="I41" s="25" t="str">
        <f t="shared" si="4"/>
        <v>0</v>
      </c>
      <c r="J41" s="25" t="str">
        <f t="shared" si="5"/>
        <v>0</v>
      </c>
      <c r="K41" s="25" t="str">
        <f t="shared" si="6"/>
        <v>0</v>
      </c>
      <c r="L41" s="102"/>
      <c r="M41" s="102"/>
      <c r="N41" s="102"/>
      <c r="O41" s="102"/>
      <c r="P41" s="102"/>
      <c r="Q41" s="102"/>
      <c r="R41" s="103"/>
    </row>
    <row r="42" spans="1:18" ht="41.45" customHeight="1" x14ac:dyDescent="0.25">
      <c r="A42" s="19"/>
      <c r="B42" s="3"/>
      <c r="C42" s="22"/>
      <c r="D42" s="22"/>
      <c r="E42" s="25" t="str">
        <f t="shared" si="0"/>
        <v>0</v>
      </c>
      <c r="F42" s="25" t="str">
        <f t="shared" si="1"/>
        <v>0</v>
      </c>
      <c r="G42" s="25" t="str">
        <f t="shared" si="2"/>
        <v>0</v>
      </c>
      <c r="H42" s="25" t="str">
        <f t="shared" si="3"/>
        <v>0</v>
      </c>
      <c r="I42" s="25" t="str">
        <f t="shared" si="4"/>
        <v>0</v>
      </c>
      <c r="J42" s="25" t="str">
        <f t="shared" si="5"/>
        <v>0</v>
      </c>
      <c r="K42" s="25" t="str">
        <f t="shared" si="6"/>
        <v>0</v>
      </c>
      <c r="L42" s="102"/>
      <c r="M42" s="102"/>
      <c r="N42" s="102"/>
      <c r="O42" s="102"/>
      <c r="P42" s="102"/>
      <c r="Q42" s="102"/>
      <c r="R42" s="103"/>
    </row>
    <row r="43" spans="1:18" ht="41.45" customHeight="1" x14ac:dyDescent="0.25">
      <c r="A43" s="19"/>
      <c r="B43" s="3"/>
      <c r="C43" s="22"/>
      <c r="D43" s="22"/>
      <c r="E43" s="25" t="str">
        <f t="shared" si="0"/>
        <v>0</v>
      </c>
      <c r="F43" s="25" t="str">
        <f t="shared" si="1"/>
        <v>0</v>
      </c>
      <c r="G43" s="25" t="str">
        <f t="shared" si="2"/>
        <v>0</v>
      </c>
      <c r="H43" s="25" t="str">
        <f t="shared" si="3"/>
        <v>0</v>
      </c>
      <c r="I43" s="25" t="str">
        <f t="shared" si="4"/>
        <v>0</v>
      </c>
      <c r="J43" s="25" t="str">
        <f t="shared" si="5"/>
        <v>0</v>
      </c>
      <c r="K43" s="25" t="str">
        <f t="shared" si="6"/>
        <v>0</v>
      </c>
      <c r="L43" s="102"/>
      <c r="M43" s="102"/>
      <c r="N43" s="102"/>
      <c r="O43" s="102"/>
      <c r="P43" s="102"/>
      <c r="Q43" s="102"/>
      <c r="R43" s="103"/>
    </row>
    <row r="44" spans="1:18" ht="41.45" customHeight="1" x14ac:dyDescent="0.25">
      <c r="A44" s="19"/>
      <c r="B44" s="3"/>
      <c r="C44" s="22"/>
      <c r="D44" s="22"/>
      <c r="E44" s="25" t="str">
        <f t="shared" si="0"/>
        <v>0</v>
      </c>
      <c r="F44" s="25" t="str">
        <f t="shared" si="1"/>
        <v>0</v>
      </c>
      <c r="G44" s="25" t="str">
        <f t="shared" si="2"/>
        <v>0</v>
      </c>
      <c r="H44" s="25" t="str">
        <f t="shared" si="3"/>
        <v>0</v>
      </c>
      <c r="I44" s="25" t="str">
        <f t="shared" si="4"/>
        <v>0</v>
      </c>
      <c r="J44" s="25" t="str">
        <f t="shared" si="5"/>
        <v>0</v>
      </c>
      <c r="K44" s="25" t="str">
        <f t="shared" si="6"/>
        <v>0</v>
      </c>
      <c r="L44" s="102"/>
      <c r="M44" s="102"/>
      <c r="N44" s="102"/>
      <c r="O44" s="102"/>
      <c r="P44" s="102"/>
      <c r="Q44" s="102"/>
      <c r="R44" s="103"/>
    </row>
    <row r="45" spans="1:18" ht="41.45" customHeight="1" x14ac:dyDescent="0.25">
      <c r="A45" s="19"/>
      <c r="B45" s="3"/>
      <c r="C45" s="22"/>
      <c r="D45" s="22"/>
      <c r="E45" s="25" t="str">
        <f t="shared" si="0"/>
        <v>0</v>
      </c>
      <c r="F45" s="25" t="str">
        <f t="shared" si="1"/>
        <v>0</v>
      </c>
      <c r="G45" s="25" t="str">
        <f t="shared" si="2"/>
        <v>0</v>
      </c>
      <c r="H45" s="25" t="str">
        <f t="shared" si="3"/>
        <v>0</v>
      </c>
      <c r="I45" s="25" t="str">
        <f t="shared" si="4"/>
        <v>0</v>
      </c>
      <c r="J45" s="25" t="str">
        <f t="shared" si="5"/>
        <v>0</v>
      </c>
      <c r="K45" s="25" t="str">
        <f t="shared" si="6"/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0"/>
        <v>0</v>
      </c>
      <c r="F46" s="25" t="str">
        <f t="shared" si="1"/>
        <v>0</v>
      </c>
      <c r="G46" s="25" t="str">
        <f t="shared" si="2"/>
        <v>0</v>
      </c>
      <c r="H46" s="25" t="str">
        <f t="shared" si="3"/>
        <v>0</v>
      </c>
      <c r="I46" s="25" t="str">
        <f t="shared" si="4"/>
        <v>0</v>
      </c>
      <c r="J46" s="25" t="str">
        <f t="shared" si="5"/>
        <v>0</v>
      </c>
      <c r="K46" s="25" t="str">
        <f t="shared" si="6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0"/>
        <v>0</v>
      </c>
      <c r="F47" s="25" t="str">
        <f t="shared" si="1"/>
        <v>0</v>
      </c>
      <c r="G47" s="25" t="str">
        <f t="shared" si="2"/>
        <v>0</v>
      </c>
      <c r="H47" s="25" t="str">
        <f t="shared" si="3"/>
        <v>0</v>
      </c>
      <c r="I47" s="25" t="str">
        <f t="shared" si="4"/>
        <v>0</v>
      </c>
      <c r="J47" s="25" t="str">
        <f t="shared" si="5"/>
        <v>0</v>
      </c>
      <c r="K47" s="25" t="str">
        <f t="shared" si="6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0"/>
        <v>0</v>
      </c>
      <c r="F48" s="25" t="str">
        <f t="shared" si="1"/>
        <v>0</v>
      </c>
      <c r="G48" s="25" t="str">
        <f t="shared" si="2"/>
        <v>0</v>
      </c>
      <c r="H48" s="25" t="str">
        <f t="shared" si="3"/>
        <v>0</v>
      </c>
      <c r="I48" s="25" t="str">
        <f t="shared" si="4"/>
        <v>0</v>
      </c>
      <c r="J48" s="25" t="str">
        <f t="shared" si="5"/>
        <v>0</v>
      </c>
      <c r="K48" s="25" t="str">
        <f t="shared" si="6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0"/>
        <v>0</v>
      </c>
      <c r="F49" s="25" t="str">
        <f t="shared" si="1"/>
        <v>0</v>
      </c>
      <c r="G49" s="25" t="str">
        <f t="shared" si="2"/>
        <v>0</v>
      </c>
      <c r="H49" s="25" t="str">
        <f t="shared" si="3"/>
        <v>0</v>
      </c>
      <c r="I49" s="25" t="str">
        <f t="shared" si="4"/>
        <v>0</v>
      </c>
      <c r="J49" s="25" t="str">
        <f t="shared" si="5"/>
        <v>0</v>
      </c>
      <c r="K49" s="25" t="str">
        <f t="shared" si="6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0"/>
        <v>0</v>
      </c>
      <c r="F50" s="25" t="str">
        <f t="shared" si="1"/>
        <v>0</v>
      </c>
      <c r="G50" s="25" t="str">
        <f t="shared" si="2"/>
        <v>0</v>
      </c>
      <c r="H50" s="25" t="str">
        <f t="shared" si="3"/>
        <v>0</v>
      </c>
      <c r="I50" s="25" t="str">
        <f t="shared" si="4"/>
        <v>0</v>
      </c>
      <c r="J50" s="25" t="str">
        <f t="shared" si="5"/>
        <v>0</v>
      </c>
      <c r="K50" s="25" t="str">
        <f t="shared" si="6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0"/>
        <v>0</v>
      </c>
      <c r="F51" s="25" t="str">
        <f t="shared" si="1"/>
        <v>0</v>
      </c>
      <c r="G51" s="25" t="str">
        <f t="shared" si="2"/>
        <v>0</v>
      </c>
      <c r="H51" s="25" t="str">
        <f t="shared" si="3"/>
        <v>0</v>
      </c>
      <c r="I51" s="25" t="str">
        <f t="shared" si="4"/>
        <v>0</v>
      </c>
      <c r="J51" s="25" t="str">
        <f t="shared" si="5"/>
        <v>0</v>
      </c>
      <c r="K51" s="25" t="str">
        <f t="shared" si="6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0"/>
        <v>0</v>
      </c>
      <c r="F52" s="25" t="str">
        <f t="shared" si="1"/>
        <v>0</v>
      </c>
      <c r="G52" s="25" t="str">
        <f t="shared" si="2"/>
        <v>0</v>
      </c>
      <c r="H52" s="25" t="str">
        <f t="shared" si="3"/>
        <v>0</v>
      </c>
      <c r="I52" s="25" t="str">
        <f t="shared" si="4"/>
        <v>0</v>
      </c>
      <c r="J52" s="25" t="str">
        <f t="shared" si="5"/>
        <v>0</v>
      </c>
      <c r="K52" s="25" t="str">
        <f t="shared" si="6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0"/>
        <v>0</v>
      </c>
      <c r="F53" s="25" t="str">
        <f t="shared" si="1"/>
        <v>0</v>
      </c>
      <c r="G53" s="25" t="str">
        <f t="shared" si="2"/>
        <v>0</v>
      </c>
      <c r="H53" s="25" t="str">
        <f t="shared" si="3"/>
        <v>0</v>
      </c>
      <c r="I53" s="25" t="str">
        <f t="shared" si="4"/>
        <v>0</v>
      </c>
      <c r="J53" s="25" t="str">
        <f t="shared" si="5"/>
        <v>0</v>
      </c>
      <c r="K53" s="25" t="str">
        <f t="shared" si="6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0"/>
        <v>0</v>
      </c>
      <c r="F54" s="25" t="str">
        <f t="shared" si="1"/>
        <v>0</v>
      </c>
      <c r="G54" s="25" t="str">
        <f t="shared" si="2"/>
        <v>0</v>
      </c>
      <c r="H54" s="25" t="str">
        <f t="shared" si="3"/>
        <v>0</v>
      </c>
      <c r="I54" s="25" t="str">
        <f t="shared" si="4"/>
        <v>0</v>
      </c>
      <c r="J54" s="25" t="str">
        <f t="shared" si="5"/>
        <v>0</v>
      </c>
      <c r="K54" s="25" t="str">
        <f t="shared" si="6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0"/>
        <v>0</v>
      </c>
      <c r="F55" s="25" t="str">
        <f t="shared" si="1"/>
        <v>0</v>
      </c>
      <c r="G55" s="25" t="str">
        <f t="shared" si="2"/>
        <v>0</v>
      </c>
      <c r="H55" s="25" t="str">
        <f t="shared" si="3"/>
        <v>0</v>
      </c>
      <c r="I55" s="25" t="str">
        <f t="shared" si="4"/>
        <v>0</v>
      </c>
      <c r="J55" s="25" t="str">
        <f t="shared" si="5"/>
        <v>0</v>
      </c>
      <c r="K55" s="25" t="str">
        <f t="shared" si="6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0"/>
        <v>0</v>
      </c>
      <c r="F56" s="25" t="str">
        <f t="shared" si="1"/>
        <v>0</v>
      </c>
      <c r="G56" s="25" t="str">
        <f t="shared" si="2"/>
        <v>0</v>
      </c>
      <c r="H56" s="25" t="str">
        <f t="shared" si="3"/>
        <v>0</v>
      </c>
      <c r="I56" s="25" t="str">
        <f t="shared" si="4"/>
        <v>0</v>
      </c>
      <c r="J56" s="25" t="str">
        <f t="shared" si="5"/>
        <v>0</v>
      </c>
      <c r="K56" s="25" t="str">
        <f t="shared" si="6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0"/>
        <v>0</v>
      </c>
      <c r="F57" s="25" t="str">
        <f t="shared" si="1"/>
        <v>0</v>
      </c>
      <c r="G57" s="25" t="str">
        <f t="shared" si="2"/>
        <v>0</v>
      </c>
      <c r="H57" s="25" t="str">
        <f t="shared" si="3"/>
        <v>0</v>
      </c>
      <c r="I57" s="25" t="str">
        <f t="shared" si="4"/>
        <v>0</v>
      </c>
      <c r="J57" s="25" t="str">
        <f t="shared" si="5"/>
        <v>0</v>
      </c>
      <c r="K57" s="25" t="str">
        <f t="shared" si="6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0"/>
        <v>0</v>
      </c>
      <c r="F58" s="25" t="str">
        <f t="shared" si="1"/>
        <v>0</v>
      </c>
      <c r="G58" s="25" t="str">
        <f t="shared" si="2"/>
        <v>0</v>
      </c>
      <c r="H58" s="25" t="str">
        <f t="shared" si="3"/>
        <v>0</v>
      </c>
      <c r="I58" s="25" t="str">
        <f t="shared" si="4"/>
        <v>0</v>
      </c>
      <c r="J58" s="25" t="str">
        <f t="shared" si="5"/>
        <v>0</v>
      </c>
      <c r="K58" s="25" t="str">
        <f t="shared" si="6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0"/>
        <v>0</v>
      </c>
      <c r="F59" s="25" t="str">
        <f t="shared" si="1"/>
        <v>0</v>
      </c>
      <c r="G59" s="25" t="str">
        <f t="shared" si="2"/>
        <v>0</v>
      </c>
      <c r="H59" s="25" t="str">
        <f t="shared" si="3"/>
        <v>0</v>
      </c>
      <c r="I59" s="25" t="str">
        <f t="shared" si="4"/>
        <v>0</v>
      </c>
      <c r="J59" s="25" t="str">
        <f t="shared" si="5"/>
        <v>0</v>
      </c>
      <c r="K59" s="25" t="str">
        <f t="shared" si="6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0"/>
        <v>0</v>
      </c>
      <c r="F60" s="25" t="str">
        <f t="shared" si="1"/>
        <v>0</v>
      </c>
      <c r="G60" s="25" t="str">
        <f t="shared" si="2"/>
        <v>0</v>
      </c>
      <c r="H60" s="25" t="str">
        <f t="shared" si="3"/>
        <v>0</v>
      </c>
      <c r="I60" s="25" t="str">
        <f t="shared" si="4"/>
        <v>0</v>
      </c>
      <c r="J60" s="25" t="str">
        <f t="shared" si="5"/>
        <v>0</v>
      </c>
      <c r="K60" s="25" t="str">
        <f t="shared" si="6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0"/>
        <v>0</v>
      </c>
      <c r="F61" s="25" t="str">
        <f t="shared" si="1"/>
        <v>0</v>
      </c>
      <c r="G61" s="25" t="str">
        <f t="shared" si="2"/>
        <v>0</v>
      </c>
      <c r="H61" s="25" t="str">
        <f t="shared" si="3"/>
        <v>0</v>
      </c>
      <c r="I61" s="25" t="str">
        <f t="shared" si="4"/>
        <v>0</v>
      </c>
      <c r="J61" s="25" t="str">
        <f t="shared" si="5"/>
        <v>0</v>
      </c>
      <c r="K61" s="25" t="str">
        <f t="shared" si="6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2">
        <f>SUM(E36:E61)</f>
        <v>0</v>
      </c>
      <c r="F62" s="22">
        <f t="shared" ref="F62:K62" si="7">SUM(F36:F61)</f>
        <v>77.592132807300004</v>
      </c>
      <c r="G62" s="22">
        <f t="shared" si="7"/>
        <v>0</v>
      </c>
      <c r="H62" s="22">
        <f t="shared" si="7"/>
        <v>0</v>
      </c>
      <c r="I62" s="22">
        <f t="shared" si="7"/>
        <v>0</v>
      </c>
      <c r="J62" s="22">
        <f t="shared" si="7"/>
        <v>77.592132807300004</v>
      </c>
      <c r="K62" s="22">
        <f t="shared" si="7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02"/>
      <c r="M67" s="102"/>
      <c r="N67" s="102"/>
      <c r="O67" s="102"/>
      <c r="P67" s="102"/>
      <c r="Q67" s="102"/>
      <c r="R67" s="103"/>
    </row>
    <row r="68" spans="1:18" ht="41.45" customHeight="1" thickBot="1" x14ac:dyDescent="0.3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07"/>
      <c r="M68" s="107"/>
      <c r="N68" s="107"/>
      <c r="O68" s="107"/>
      <c r="P68" s="107"/>
      <c r="Q68" s="107"/>
      <c r="R68" s="108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paperSize="9" scale="2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R93"/>
  <sheetViews>
    <sheetView view="pageBreakPreview" zoomScale="40" zoomScaleNormal="70" zoomScaleSheetLayoutView="40" workbookViewId="0">
      <selection activeCell="J22" sqref="J22:J40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Trechos!E71</f>
        <v>RODOVIA TO-010 - TRECHO ENTR. TO-222 (POVOADO FARTURÃO) - BABAÇULÂNDIA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61" t="s">
        <v>18</v>
      </c>
      <c r="B7" s="61" t="s">
        <v>358</v>
      </c>
      <c r="C7" s="62">
        <v>0</v>
      </c>
      <c r="D7" s="62">
        <v>1</v>
      </c>
      <c r="E7" s="61" t="s">
        <v>21</v>
      </c>
      <c r="F7" s="61"/>
      <c r="G7" s="61"/>
      <c r="H7" s="61"/>
      <c r="I7" s="61" t="s">
        <v>21</v>
      </c>
      <c r="J7" s="61"/>
      <c r="K7" s="6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61"/>
      <c r="B8" s="61" t="s">
        <v>358</v>
      </c>
      <c r="C8" s="62">
        <f>D7</f>
        <v>1</v>
      </c>
      <c r="D8" s="62">
        <v>2</v>
      </c>
      <c r="E8" s="61" t="s">
        <v>21</v>
      </c>
      <c r="F8" s="61"/>
      <c r="G8" s="61"/>
      <c r="H8" s="61"/>
      <c r="I8" s="61" t="s">
        <v>21</v>
      </c>
      <c r="J8" s="61"/>
      <c r="K8" s="6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61"/>
      <c r="B9" s="61"/>
      <c r="C9" s="62">
        <f t="shared" ref="C9:C40" si="0">D8</f>
        <v>2</v>
      </c>
      <c r="D9" s="62">
        <v>3</v>
      </c>
      <c r="E9" s="61" t="s">
        <v>21</v>
      </c>
      <c r="F9" s="61"/>
      <c r="G9" s="61"/>
      <c r="H9" s="61"/>
      <c r="I9" s="61" t="s">
        <v>21</v>
      </c>
      <c r="J9" s="61"/>
      <c r="K9" s="6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61"/>
      <c r="B10" s="61"/>
      <c r="C10" s="62">
        <f t="shared" si="0"/>
        <v>3</v>
      </c>
      <c r="D10" s="62">
        <v>4</v>
      </c>
      <c r="E10" s="61" t="s">
        <v>21</v>
      </c>
      <c r="F10" s="61"/>
      <c r="G10" s="61"/>
      <c r="H10" s="61"/>
      <c r="I10" s="61" t="s">
        <v>21</v>
      </c>
      <c r="J10" s="61"/>
      <c r="K10" s="6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61"/>
      <c r="B11" s="61"/>
      <c r="C11" s="62">
        <f t="shared" si="0"/>
        <v>4</v>
      </c>
      <c r="D11" s="62">
        <v>5</v>
      </c>
      <c r="E11" s="61" t="s">
        <v>21</v>
      </c>
      <c r="F11" s="61"/>
      <c r="G11" s="61"/>
      <c r="H11" s="61"/>
      <c r="I11" s="61" t="s">
        <v>21</v>
      </c>
      <c r="J11" s="61"/>
      <c r="K11" s="6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61"/>
      <c r="B12" s="61"/>
      <c r="C12" s="62">
        <f t="shared" si="0"/>
        <v>5</v>
      </c>
      <c r="D12" s="62">
        <v>6</v>
      </c>
      <c r="E12" s="61" t="s">
        <v>21</v>
      </c>
      <c r="F12" s="61"/>
      <c r="G12" s="61"/>
      <c r="H12" s="61"/>
      <c r="I12" s="61" t="s">
        <v>21</v>
      </c>
      <c r="J12" s="61"/>
      <c r="K12" s="6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61"/>
      <c r="B13" s="61"/>
      <c r="C13" s="62">
        <f t="shared" si="0"/>
        <v>6</v>
      </c>
      <c r="D13" s="62">
        <v>7</v>
      </c>
      <c r="E13" s="61" t="s">
        <v>21</v>
      </c>
      <c r="F13" s="61"/>
      <c r="G13" s="61"/>
      <c r="H13" s="61"/>
      <c r="I13" s="61" t="s">
        <v>21</v>
      </c>
      <c r="J13" s="61"/>
      <c r="K13" s="6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61"/>
      <c r="B14" s="61"/>
      <c r="C14" s="62">
        <f t="shared" si="0"/>
        <v>7</v>
      </c>
      <c r="D14" s="62">
        <v>8</v>
      </c>
      <c r="E14" s="61" t="s">
        <v>21</v>
      </c>
      <c r="F14" s="61"/>
      <c r="G14" s="61"/>
      <c r="H14" s="61"/>
      <c r="I14" s="61" t="s">
        <v>21</v>
      </c>
      <c r="J14" s="61"/>
      <c r="K14" s="6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61"/>
      <c r="B15" s="61"/>
      <c r="C15" s="62">
        <f t="shared" si="0"/>
        <v>8</v>
      </c>
      <c r="D15" s="62">
        <v>9</v>
      </c>
      <c r="E15" s="61" t="s">
        <v>21</v>
      </c>
      <c r="F15" s="61"/>
      <c r="G15" s="61"/>
      <c r="H15" s="61"/>
      <c r="I15" s="61" t="s">
        <v>21</v>
      </c>
      <c r="J15" s="61"/>
      <c r="K15" s="6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61"/>
      <c r="B16" s="61"/>
      <c r="C16" s="62">
        <f t="shared" si="0"/>
        <v>9</v>
      </c>
      <c r="D16" s="62">
        <v>10</v>
      </c>
      <c r="E16" s="61" t="s">
        <v>21</v>
      </c>
      <c r="F16" s="61"/>
      <c r="G16" s="61"/>
      <c r="H16" s="61"/>
      <c r="I16" s="61" t="s">
        <v>21</v>
      </c>
      <c r="J16" s="61"/>
      <c r="K16" s="6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61"/>
      <c r="B17" s="61"/>
      <c r="C17" s="62">
        <f t="shared" si="0"/>
        <v>10</v>
      </c>
      <c r="D17" s="62">
        <v>11</v>
      </c>
      <c r="E17" s="61" t="s">
        <v>21</v>
      </c>
      <c r="F17" s="61"/>
      <c r="G17" s="61"/>
      <c r="H17" s="61"/>
      <c r="I17" s="61" t="s">
        <v>21</v>
      </c>
      <c r="J17" s="61"/>
      <c r="K17" s="6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61"/>
      <c r="B18" s="61"/>
      <c r="C18" s="62">
        <f t="shared" si="0"/>
        <v>11</v>
      </c>
      <c r="D18" s="62">
        <v>12</v>
      </c>
      <c r="E18" s="61" t="s">
        <v>21</v>
      </c>
      <c r="F18" s="61"/>
      <c r="G18" s="61"/>
      <c r="H18" s="61"/>
      <c r="I18" s="61" t="s">
        <v>21</v>
      </c>
      <c r="J18" s="61"/>
      <c r="K18" s="6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61"/>
      <c r="B19" s="61"/>
      <c r="C19" s="62">
        <f t="shared" si="0"/>
        <v>12</v>
      </c>
      <c r="D19" s="62">
        <v>13</v>
      </c>
      <c r="E19" s="61" t="s">
        <v>21</v>
      </c>
      <c r="F19" s="61"/>
      <c r="G19" s="61"/>
      <c r="H19" s="61"/>
      <c r="I19" s="61" t="s">
        <v>21</v>
      </c>
      <c r="J19" s="61"/>
      <c r="K19" s="6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62">
        <f t="shared" si="0"/>
        <v>13</v>
      </c>
      <c r="D20" s="62">
        <v>14</v>
      </c>
      <c r="E20" s="61" t="s">
        <v>21</v>
      </c>
      <c r="F20" s="61"/>
      <c r="G20" s="61"/>
      <c r="H20" s="21"/>
      <c r="I20" s="61" t="s">
        <v>21</v>
      </c>
      <c r="J20" s="61"/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62">
        <f t="shared" si="0"/>
        <v>14</v>
      </c>
      <c r="D21" s="62">
        <v>15</v>
      </c>
      <c r="E21" s="61" t="s">
        <v>21</v>
      </c>
      <c r="F21" s="61"/>
      <c r="G21" s="61"/>
      <c r="H21" s="21"/>
      <c r="I21" s="61" t="s">
        <v>21</v>
      </c>
      <c r="J21" s="61"/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62">
        <f t="shared" si="0"/>
        <v>15</v>
      </c>
      <c r="D22" s="62">
        <v>16</v>
      </c>
      <c r="E22" s="61" t="s">
        <v>21</v>
      </c>
      <c r="F22" s="61"/>
      <c r="G22" s="61"/>
      <c r="H22" s="21"/>
      <c r="I22" s="61" t="s">
        <v>21</v>
      </c>
      <c r="J22" s="61"/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62">
        <f t="shared" si="0"/>
        <v>16</v>
      </c>
      <c r="D23" s="62">
        <v>17</v>
      </c>
      <c r="E23" s="61" t="s">
        <v>21</v>
      </c>
      <c r="F23" s="61"/>
      <c r="G23" s="61"/>
      <c r="H23" s="21"/>
      <c r="I23" s="61" t="s">
        <v>21</v>
      </c>
      <c r="J23" s="61"/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62">
        <f t="shared" si="0"/>
        <v>17</v>
      </c>
      <c r="D24" s="62">
        <v>18</v>
      </c>
      <c r="E24" s="61" t="s">
        <v>21</v>
      </c>
      <c r="F24" s="61"/>
      <c r="G24" s="61"/>
      <c r="H24" s="21"/>
      <c r="I24" s="61" t="s">
        <v>21</v>
      </c>
      <c r="J24" s="61"/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62">
        <f t="shared" si="0"/>
        <v>18</v>
      </c>
      <c r="D25" s="62">
        <v>19</v>
      </c>
      <c r="E25" s="61" t="s">
        <v>21</v>
      </c>
      <c r="F25" s="61"/>
      <c r="G25" s="61"/>
      <c r="H25" s="21"/>
      <c r="I25" s="61" t="s">
        <v>21</v>
      </c>
      <c r="J25" s="61"/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62">
        <f t="shared" si="0"/>
        <v>19</v>
      </c>
      <c r="D26" s="62">
        <v>20</v>
      </c>
      <c r="E26" s="61" t="s">
        <v>21</v>
      </c>
      <c r="F26" s="61"/>
      <c r="G26" s="61"/>
      <c r="H26" s="21"/>
      <c r="I26" s="61" t="s">
        <v>21</v>
      </c>
      <c r="J26" s="61"/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62">
        <f t="shared" si="0"/>
        <v>20</v>
      </c>
      <c r="D27" s="62">
        <v>21</v>
      </c>
      <c r="E27" s="61" t="s">
        <v>21</v>
      </c>
      <c r="F27" s="61"/>
      <c r="G27" s="61"/>
      <c r="H27" s="21"/>
      <c r="I27" s="61" t="s">
        <v>21</v>
      </c>
      <c r="J27" s="6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62">
        <f t="shared" si="0"/>
        <v>21</v>
      </c>
      <c r="D28" s="62">
        <v>22</v>
      </c>
      <c r="E28" s="61" t="s">
        <v>21</v>
      </c>
      <c r="F28" s="61"/>
      <c r="G28" s="61"/>
      <c r="H28" s="21"/>
      <c r="I28" s="61" t="s">
        <v>21</v>
      </c>
      <c r="J28" s="6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62">
        <f t="shared" si="0"/>
        <v>22</v>
      </c>
      <c r="D29" s="62">
        <v>23</v>
      </c>
      <c r="E29" s="61" t="s">
        <v>21</v>
      </c>
      <c r="F29" s="61"/>
      <c r="G29" s="61"/>
      <c r="H29" s="21"/>
      <c r="I29" s="61" t="s">
        <v>21</v>
      </c>
      <c r="J29" s="6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62">
        <f t="shared" si="0"/>
        <v>23</v>
      </c>
      <c r="D30" s="62">
        <v>24</v>
      </c>
      <c r="E30" s="61" t="s">
        <v>21</v>
      </c>
      <c r="F30" s="61"/>
      <c r="G30" s="61"/>
      <c r="H30" s="21"/>
      <c r="I30" s="61" t="s">
        <v>21</v>
      </c>
      <c r="J30" s="6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62">
        <f t="shared" si="0"/>
        <v>24</v>
      </c>
      <c r="D31" s="62">
        <v>25</v>
      </c>
      <c r="E31" s="61" t="s">
        <v>21</v>
      </c>
      <c r="F31" s="61"/>
      <c r="G31" s="61"/>
      <c r="H31" s="21"/>
      <c r="I31" s="61" t="s">
        <v>21</v>
      </c>
      <c r="J31" s="61"/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62">
        <f t="shared" si="0"/>
        <v>25</v>
      </c>
      <c r="D32" s="62">
        <v>26</v>
      </c>
      <c r="E32" s="61" t="s">
        <v>21</v>
      </c>
      <c r="F32" s="61"/>
      <c r="G32" s="61"/>
      <c r="H32" s="21"/>
      <c r="I32" s="61" t="s">
        <v>21</v>
      </c>
      <c r="J32" s="61"/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62">
        <f t="shared" si="0"/>
        <v>26</v>
      </c>
      <c r="D33" s="62">
        <v>27</v>
      </c>
      <c r="E33" s="61" t="s">
        <v>21</v>
      </c>
      <c r="F33" s="61"/>
      <c r="G33" s="61"/>
      <c r="H33" s="21"/>
      <c r="I33" s="61" t="s">
        <v>21</v>
      </c>
      <c r="J33" s="61"/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62">
        <f t="shared" si="0"/>
        <v>27</v>
      </c>
      <c r="D34" s="62">
        <v>28</v>
      </c>
      <c r="E34" s="61" t="s">
        <v>21</v>
      </c>
      <c r="F34" s="61"/>
      <c r="G34" s="61"/>
      <c r="H34" s="21"/>
      <c r="I34" s="61" t="s">
        <v>21</v>
      </c>
      <c r="J34" s="61"/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62">
        <f t="shared" si="0"/>
        <v>28</v>
      </c>
      <c r="D35" s="62">
        <v>29</v>
      </c>
      <c r="E35" s="61" t="s">
        <v>21</v>
      </c>
      <c r="F35" s="61"/>
      <c r="G35" s="61"/>
      <c r="H35" s="21"/>
      <c r="I35" s="61" t="s">
        <v>21</v>
      </c>
      <c r="J35" s="61"/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19"/>
      <c r="B36" s="3"/>
      <c r="C36" s="62">
        <f t="shared" si="0"/>
        <v>29</v>
      </c>
      <c r="D36" s="62">
        <v>30</v>
      </c>
      <c r="E36" s="61" t="s">
        <v>21</v>
      </c>
      <c r="F36" s="61"/>
      <c r="G36" s="61"/>
      <c r="H36" s="21"/>
      <c r="I36" s="61" t="s">
        <v>21</v>
      </c>
      <c r="J36" s="61"/>
      <c r="K36" s="21"/>
      <c r="L36" s="80"/>
      <c r="M36" s="81"/>
      <c r="N36" s="81"/>
      <c r="O36" s="81"/>
      <c r="P36" s="81"/>
      <c r="Q36" s="81"/>
      <c r="R36" s="82"/>
    </row>
    <row r="37" spans="1:18" ht="41.45" customHeight="1" x14ac:dyDescent="0.25">
      <c r="A37" s="19"/>
      <c r="B37" s="3"/>
      <c r="C37" s="62">
        <f t="shared" si="0"/>
        <v>30</v>
      </c>
      <c r="D37" s="62">
        <v>31</v>
      </c>
      <c r="E37" s="61" t="s">
        <v>21</v>
      </c>
      <c r="F37" s="61"/>
      <c r="G37" s="61"/>
      <c r="H37" s="21"/>
      <c r="I37" s="61" t="s">
        <v>21</v>
      </c>
      <c r="J37" s="61"/>
      <c r="K37" s="21"/>
      <c r="L37" s="80"/>
      <c r="M37" s="81"/>
      <c r="N37" s="81"/>
      <c r="O37" s="81"/>
      <c r="P37" s="81"/>
      <c r="Q37" s="81"/>
      <c r="R37" s="82"/>
    </row>
    <row r="38" spans="1:18" ht="41.45" customHeight="1" x14ac:dyDescent="0.25">
      <c r="A38" s="19"/>
      <c r="B38" s="3"/>
      <c r="C38" s="62">
        <f t="shared" si="0"/>
        <v>31</v>
      </c>
      <c r="D38" s="62">
        <v>32</v>
      </c>
      <c r="E38" s="61" t="s">
        <v>21</v>
      </c>
      <c r="F38" s="61"/>
      <c r="G38" s="61"/>
      <c r="H38" s="21"/>
      <c r="I38" s="61" t="s">
        <v>21</v>
      </c>
      <c r="J38" s="61"/>
      <c r="K38" s="21"/>
      <c r="L38" s="80"/>
      <c r="M38" s="81"/>
      <c r="N38" s="81"/>
      <c r="O38" s="81"/>
      <c r="P38" s="81"/>
      <c r="Q38" s="81"/>
      <c r="R38" s="82"/>
    </row>
    <row r="39" spans="1:18" ht="41.45" customHeight="1" x14ac:dyDescent="0.25">
      <c r="A39" s="19"/>
      <c r="B39" s="3"/>
      <c r="C39" s="62">
        <f t="shared" si="0"/>
        <v>32</v>
      </c>
      <c r="D39" s="62">
        <v>33</v>
      </c>
      <c r="E39" s="61" t="s">
        <v>21</v>
      </c>
      <c r="F39" s="61"/>
      <c r="G39" s="61"/>
      <c r="H39" s="21"/>
      <c r="I39" s="61" t="s">
        <v>21</v>
      </c>
      <c r="J39" s="61"/>
      <c r="K39" s="21"/>
      <c r="L39" s="80"/>
      <c r="M39" s="81"/>
      <c r="N39" s="81"/>
      <c r="O39" s="81"/>
      <c r="P39" s="81"/>
      <c r="Q39" s="81"/>
      <c r="R39" s="82"/>
    </row>
    <row r="40" spans="1:18" ht="41.45" customHeight="1" x14ac:dyDescent="0.25">
      <c r="A40" s="19"/>
      <c r="B40" s="3"/>
      <c r="C40" s="62">
        <f t="shared" si="0"/>
        <v>33</v>
      </c>
      <c r="D40" s="62">
        <v>33.590000000000003</v>
      </c>
      <c r="E40" s="61" t="s">
        <v>21</v>
      </c>
      <c r="F40" s="61"/>
      <c r="G40" s="61"/>
      <c r="H40" s="21"/>
      <c r="I40" s="61" t="s">
        <v>21</v>
      </c>
      <c r="J40" s="61"/>
      <c r="K40" s="21"/>
      <c r="L40" s="80"/>
      <c r="M40" s="81"/>
      <c r="N40" s="81"/>
      <c r="O40" s="81"/>
      <c r="P40" s="81"/>
      <c r="Q40" s="81"/>
      <c r="R40" s="82"/>
    </row>
    <row r="41" spans="1:18" ht="41.45" customHeight="1" x14ac:dyDescent="0.25">
      <c r="A41" s="61" t="s">
        <v>19</v>
      </c>
      <c r="B41" s="61" t="s">
        <v>358</v>
      </c>
      <c r="C41" s="62">
        <v>0</v>
      </c>
      <c r="D41" s="62">
        <v>1</v>
      </c>
      <c r="E41" s="61" t="s">
        <v>21</v>
      </c>
      <c r="F41" s="61"/>
      <c r="G41" s="61"/>
      <c r="H41" s="61"/>
      <c r="I41" s="61"/>
      <c r="J41" s="61"/>
      <c r="K41" s="61" t="s">
        <v>21</v>
      </c>
      <c r="L41" s="80"/>
      <c r="M41" s="81"/>
      <c r="N41" s="81"/>
      <c r="O41" s="81"/>
      <c r="P41" s="81"/>
      <c r="Q41" s="81"/>
      <c r="R41" s="82"/>
    </row>
    <row r="42" spans="1:18" ht="41.45" customHeight="1" x14ac:dyDescent="0.25">
      <c r="A42" s="61"/>
      <c r="B42" s="61"/>
      <c r="C42" s="62">
        <f t="shared" ref="C42" si="1">D41</f>
        <v>1</v>
      </c>
      <c r="D42" s="62">
        <v>4.84</v>
      </c>
      <c r="E42" s="61" t="s">
        <v>21</v>
      </c>
      <c r="F42" s="61"/>
      <c r="G42" s="61"/>
      <c r="H42" s="61"/>
      <c r="I42" s="61"/>
      <c r="J42" s="61"/>
      <c r="K42" s="61" t="s">
        <v>21</v>
      </c>
      <c r="L42" s="80"/>
      <c r="M42" s="81"/>
      <c r="N42" s="81"/>
      <c r="O42" s="81"/>
      <c r="P42" s="81"/>
      <c r="Q42" s="81"/>
      <c r="R42" s="82"/>
    </row>
    <row r="43" spans="1:18" ht="41.45" customHeight="1" x14ac:dyDescent="0.25">
      <c r="A43" s="19"/>
      <c r="B43" s="3"/>
      <c r="C43" s="22"/>
      <c r="D43" s="22"/>
      <c r="E43" s="21"/>
      <c r="F43" s="21"/>
      <c r="G43" s="21"/>
      <c r="H43" s="21"/>
      <c r="I43" s="21"/>
      <c r="J43" s="21"/>
      <c r="K43" s="21"/>
      <c r="L43" s="80"/>
      <c r="M43" s="81"/>
      <c r="N43" s="81"/>
      <c r="O43" s="81"/>
      <c r="P43" s="81"/>
      <c r="Q43" s="81"/>
      <c r="R43" s="82"/>
    </row>
    <row r="44" spans="1:18" ht="41.45" customHeight="1" x14ac:dyDescent="0.25">
      <c r="A44" s="19"/>
      <c r="B44" s="3"/>
      <c r="C44" s="22"/>
      <c r="D44" s="22"/>
      <c r="E44" s="21"/>
      <c r="F44" s="21"/>
      <c r="G44" s="21"/>
      <c r="H44" s="21"/>
      <c r="I44" s="21"/>
      <c r="J44" s="21"/>
      <c r="K44" s="21"/>
      <c r="L44" s="80"/>
      <c r="M44" s="81"/>
      <c r="N44" s="81"/>
      <c r="O44" s="81"/>
      <c r="P44" s="81"/>
      <c r="Q44" s="81"/>
      <c r="R44" s="82"/>
    </row>
    <row r="45" spans="1:18" ht="41.45" customHeight="1" x14ac:dyDescent="0.25">
      <c r="A45" s="19"/>
      <c r="B45" s="3"/>
      <c r="C45" s="22"/>
      <c r="D45" s="22"/>
      <c r="E45" s="21"/>
      <c r="F45" s="21"/>
      <c r="G45" s="21"/>
      <c r="H45" s="21"/>
      <c r="I45" s="21"/>
      <c r="J45" s="21"/>
      <c r="K45" s="21"/>
      <c r="L45" s="80"/>
      <c r="M45" s="81"/>
      <c r="N45" s="81"/>
      <c r="O45" s="81"/>
      <c r="P45" s="81"/>
      <c r="Q45" s="81"/>
      <c r="R45" s="82"/>
    </row>
    <row r="46" spans="1:18" ht="41.45" customHeight="1" x14ac:dyDescent="0.25">
      <c r="A46" s="19"/>
      <c r="B46" s="3"/>
      <c r="C46" s="22"/>
      <c r="D46" s="22"/>
      <c r="E46" s="21"/>
      <c r="F46" s="21"/>
      <c r="G46" s="21"/>
      <c r="H46" s="21"/>
      <c r="I46" s="21"/>
      <c r="J46" s="21"/>
      <c r="K46" s="21"/>
      <c r="L46" s="80"/>
      <c r="M46" s="81"/>
      <c r="N46" s="81"/>
      <c r="O46" s="81"/>
      <c r="P46" s="81"/>
      <c r="Q46" s="81"/>
      <c r="R46" s="82"/>
    </row>
    <row r="47" spans="1:18" ht="41.45" customHeight="1" x14ac:dyDescent="0.25">
      <c r="A47" s="23"/>
      <c r="B47" s="24"/>
      <c r="C47" s="25"/>
      <c r="D47" s="25"/>
      <c r="E47" s="25">
        <f>IF(E7="X",(D7-C7),"0")</f>
        <v>1</v>
      </c>
      <c r="F47" s="25" t="str">
        <f>IF(F7="X",(D7-C7),"0")</f>
        <v>0</v>
      </c>
      <c r="G47" s="25" t="str">
        <f>IF(G7="X",(D7-C7),"0")</f>
        <v>0</v>
      </c>
      <c r="H47" s="25" t="str">
        <f>IF(H7="X",(D7-C7),"0")</f>
        <v>0</v>
      </c>
      <c r="I47" s="25">
        <f>IF(I7="X",(D7-C7),"0")</f>
        <v>1</v>
      </c>
      <c r="J47" s="25" t="str">
        <f>IF(J7="X",(D7-C7),"0")</f>
        <v>0</v>
      </c>
      <c r="K47" s="25" t="str">
        <f>IF(K7="X",(D7-C7),"0")</f>
        <v>0</v>
      </c>
      <c r="L47" s="104"/>
      <c r="M47" s="105"/>
      <c r="N47" s="105"/>
      <c r="O47" s="105"/>
      <c r="P47" s="105"/>
      <c r="Q47" s="105"/>
      <c r="R47" s="106"/>
    </row>
    <row r="48" spans="1:18" ht="41.45" customHeight="1" x14ac:dyDescent="0.25">
      <c r="A48" s="19"/>
      <c r="B48" s="3"/>
      <c r="C48" s="22"/>
      <c r="D48" s="22"/>
      <c r="E48" s="25">
        <f t="shared" ref="E48:E86" si="2">IF(E8="X",(D8-C8),"0")</f>
        <v>1</v>
      </c>
      <c r="F48" s="25" t="str">
        <f t="shared" ref="F48:F86" si="3">IF(F8="X",(D8-C8),"0")</f>
        <v>0</v>
      </c>
      <c r="G48" s="25" t="str">
        <f t="shared" ref="G48:G86" si="4">IF(G8="X",(D8-C8),"0")</f>
        <v>0</v>
      </c>
      <c r="H48" s="25" t="str">
        <f t="shared" ref="H48:H86" si="5">IF(H8="X",(D8-C8),"0")</f>
        <v>0</v>
      </c>
      <c r="I48" s="25">
        <f t="shared" ref="I48:I86" si="6">IF(I8="X",(D8-C8),"0")</f>
        <v>1</v>
      </c>
      <c r="J48" s="25" t="str">
        <f t="shared" ref="J48:J86" si="7">IF(J8="X",(D8-C8),"0")</f>
        <v>0</v>
      </c>
      <c r="K48" s="25" t="str">
        <f t="shared" ref="K48:K86" si="8">IF(K8="X",(D8-C8),"0")</f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>
        <f t="shared" si="2"/>
        <v>1</v>
      </c>
      <c r="F49" s="25" t="str">
        <f t="shared" si="3"/>
        <v>0</v>
      </c>
      <c r="G49" s="25" t="str">
        <f t="shared" si="4"/>
        <v>0</v>
      </c>
      <c r="H49" s="25" t="str">
        <f t="shared" si="5"/>
        <v>0</v>
      </c>
      <c r="I49" s="25">
        <f t="shared" si="6"/>
        <v>1</v>
      </c>
      <c r="J49" s="25" t="str">
        <f t="shared" si="7"/>
        <v>0</v>
      </c>
      <c r="K49" s="25" t="str">
        <f t="shared" si="8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>
        <f t="shared" si="2"/>
        <v>1</v>
      </c>
      <c r="F50" s="25" t="str">
        <f t="shared" si="3"/>
        <v>0</v>
      </c>
      <c r="G50" s="25" t="str">
        <f t="shared" si="4"/>
        <v>0</v>
      </c>
      <c r="H50" s="25" t="str">
        <f t="shared" si="5"/>
        <v>0</v>
      </c>
      <c r="I50" s="25">
        <f t="shared" si="6"/>
        <v>1</v>
      </c>
      <c r="J50" s="25" t="str">
        <f t="shared" si="7"/>
        <v>0</v>
      </c>
      <c r="K50" s="25" t="str">
        <f t="shared" si="8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>
        <f t="shared" si="2"/>
        <v>1</v>
      </c>
      <c r="F51" s="25" t="str">
        <f t="shared" si="3"/>
        <v>0</v>
      </c>
      <c r="G51" s="25" t="str">
        <f t="shared" si="4"/>
        <v>0</v>
      </c>
      <c r="H51" s="25" t="str">
        <f t="shared" si="5"/>
        <v>0</v>
      </c>
      <c r="I51" s="25">
        <f t="shared" si="6"/>
        <v>1</v>
      </c>
      <c r="J51" s="25" t="str">
        <f t="shared" si="7"/>
        <v>0</v>
      </c>
      <c r="K51" s="25" t="str">
        <f t="shared" si="8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>
        <f t="shared" si="2"/>
        <v>1</v>
      </c>
      <c r="F52" s="25" t="str">
        <f t="shared" si="3"/>
        <v>0</v>
      </c>
      <c r="G52" s="25" t="str">
        <f t="shared" si="4"/>
        <v>0</v>
      </c>
      <c r="H52" s="25" t="str">
        <f t="shared" si="5"/>
        <v>0</v>
      </c>
      <c r="I52" s="25">
        <f t="shared" si="6"/>
        <v>1</v>
      </c>
      <c r="J52" s="25" t="str">
        <f t="shared" si="7"/>
        <v>0</v>
      </c>
      <c r="K52" s="25" t="str">
        <f t="shared" si="8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>
        <f t="shared" si="2"/>
        <v>1</v>
      </c>
      <c r="F53" s="25" t="str">
        <f t="shared" si="3"/>
        <v>0</v>
      </c>
      <c r="G53" s="25" t="str">
        <f t="shared" si="4"/>
        <v>0</v>
      </c>
      <c r="H53" s="25" t="str">
        <f t="shared" si="5"/>
        <v>0</v>
      </c>
      <c r="I53" s="25">
        <f t="shared" si="6"/>
        <v>1</v>
      </c>
      <c r="J53" s="25" t="str">
        <f t="shared" si="7"/>
        <v>0</v>
      </c>
      <c r="K53" s="25" t="str">
        <f t="shared" si="8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>
        <f t="shared" si="2"/>
        <v>1</v>
      </c>
      <c r="F54" s="25" t="str">
        <f t="shared" si="3"/>
        <v>0</v>
      </c>
      <c r="G54" s="25" t="str">
        <f t="shared" si="4"/>
        <v>0</v>
      </c>
      <c r="H54" s="25" t="str">
        <f t="shared" si="5"/>
        <v>0</v>
      </c>
      <c r="I54" s="25">
        <f t="shared" si="6"/>
        <v>1</v>
      </c>
      <c r="J54" s="25" t="str">
        <f t="shared" si="7"/>
        <v>0</v>
      </c>
      <c r="K54" s="25" t="str">
        <f t="shared" si="8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>
        <f t="shared" si="2"/>
        <v>1</v>
      </c>
      <c r="F55" s="25" t="str">
        <f t="shared" si="3"/>
        <v>0</v>
      </c>
      <c r="G55" s="25" t="str">
        <f t="shared" si="4"/>
        <v>0</v>
      </c>
      <c r="H55" s="25" t="str">
        <f t="shared" si="5"/>
        <v>0</v>
      </c>
      <c r="I55" s="25">
        <f t="shared" si="6"/>
        <v>1</v>
      </c>
      <c r="J55" s="25" t="str">
        <f t="shared" si="7"/>
        <v>0</v>
      </c>
      <c r="K55" s="25" t="str">
        <f t="shared" si="8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>
        <f t="shared" si="2"/>
        <v>1</v>
      </c>
      <c r="F56" s="25" t="str">
        <f t="shared" si="3"/>
        <v>0</v>
      </c>
      <c r="G56" s="25" t="str">
        <f t="shared" si="4"/>
        <v>0</v>
      </c>
      <c r="H56" s="25" t="str">
        <f t="shared" si="5"/>
        <v>0</v>
      </c>
      <c r="I56" s="25">
        <f t="shared" si="6"/>
        <v>1</v>
      </c>
      <c r="J56" s="25" t="str">
        <f t="shared" si="7"/>
        <v>0</v>
      </c>
      <c r="K56" s="25" t="str">
        <f t="shared" si="8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>
        <f t="shared" si="2"/>
        <v>1</v>
      </c>
      <c r="F57" s="25" t="str">
        <f t="shared" si="3"/>
        <v>0</v>
      </c>
      <c r="G57" s="25" t="str">
        <f t="shared" si="4"/>
        <v>0</v>
      </c>
      <c r="H57" s="25" t="str">
        <f t="shared" si="5"/>
        <v>0</v>
      </c>
      <c r="I57" s="25">
        <f t="shared" si="6"/>
        <v>1</v>
      </c>
      <c r="J57" s="25" t="str">
        <f t="shared" si="7"/>
        <v>0</v>
      </c>
      <c r="K57" s="25" t="str">
        <f t="shared" si="8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>
        <f t="shared" si="2"/>
        <v>1</v>
      </c>
      <c r="F58" s="25" t="str">
        <f t="shared" si="3"/>
        <v>0</v>
      </c>
      <c r="G58" s="25" t="str">
        <f t="shared" si="4"/>
        <v>0</v>
      </c>
      <c r="H58" s="25" t="str">
        <f t="shared" si="5"/>
        <v>0</v>
      </c>
      <c r="I58" s="25">
        <f t="shared" si="6"/>
        <v>1</v>
      </c>
      <c r="J58" s="25" t="str">
        <f t="shared" si="7"/>
        <v>0</v>
      </c>
      <c r="K58" s="25" t="str">
        <f t="shared" si="8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>
        <f t="shared" si="2"/>
        <v>1</v>
      </c>
      <c r="F59" s="25" t="str">
        <f t="shared" si="3"/>
        <v>0</v>
      </c>
      <c r="G59" s="25" t="str">
        <f t="shared" si="4"/>
        <v>0</v>
      </c>
      <c r="H59" s="25" t="str">
        <f t="shared" si="5"/>
        <v>0</v>
      </c>
      <c r="I59" s="25">
        <f t="shared" si="6"/>
        <v>1</v>
      </c>
      <c r="J59" s="25" t="str">
        <f t="shared" si="7"/>
        <v>0</v>
      </c>
      <c r="K59" s="25" t="str">
        <f t="shared" si="8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>
        <f t="shared" si="2"/>
        <v>1</v>
      </c>
      <c r="F60" s="25" t="str">
        <f t="shared" si="3"/>
        <v>0</v>
      </c>
      <c r="G60" s="25" t="str">
        <f t="shared" si="4"/>
        <v>0</v>
      </c>
      <c r="H60" s="25" t="str">
        <f t="shared" si="5"/>
        <v>0</v>
      </c>
      <c r="I60" s="25">
        <f t="shared" si="6"/>
        <v>1</v>
      </c>
      <c r="J60" s="25" t="str">
        <f t="shared" si="7"/>
        <v>0</v>
      </c>
      <c r="K60" s="25" t="str">
        <f t="shared" si="8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>
        <f t="shared" si="2"/>
        <v>1</v>
      </c>
      <c r="F61" s="25" t="str">
        <f t="shared" si="3"/>
        <v>0</v>
      </c>
      <c r="G61" s="25" t="str">
        <f t="shared" si="4"/>
        <v>0</v>
      </c>
      <c r="H61" s="25" t="str">
        <f t="shared" si="5"/>
        <v>0</v>
      </c>
      <c r="I61" s="25">
        <f t="shared" si="6"/>
        <v>1</v>
      </c>
      <c r="J61" s="25" t="str">
        <f t="shared" si="7"/>
        <v>0</v>
      </c>
      <c r="K61" s="25" t="str">
        <f t="shared" si="8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5">
        <f t="shared" si="2"/>
        <v>1</v>
      </c>
      <c r="F62" s="25" t="str">
        <f t="shared" si="3"/>
        <v>0</v>
      </c>
      <c r="G62" s="25" t="str">
        <f t="shared" si="4"/>
        <v>0</v>
      </c>
      <c r="H62" s="25" t="str">
        <f t="shared" si="5"/>
        <v>0</v>
      </c>
      <c r="I62" s="25">
        <f t="shared" si="6"/>
        <v>1</v>
      </c>
      <c r="J62" s="25" t="str">
        <f t="shared" si="7"/>
        <v>0</v>
      </c>
      <c r="K62" s="25" t="str">
        <f t="shared" si="8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5">
        <f t="shared" si="2"/>
        <v>1</v>
      </c>
      <c r="F63" s="25" t="str">
        <f t="shared" si="3"/>
        <v>0</v>
      </c>
      <c r="G63" s="25" t="str">
        <f t="shared" si="4"/>
        <v>0</v>
      </c>
      <c r="H63" s="25" t="str">
        <f t="shared" si="5"/>
        <v>0</v>
      </c>
      <c r="I63" s="25">
        <f t="shared" si="6"/>
        <v>1</v>
      </c>
      <c r="J63" s="25" t="str">
        <f t="shared" si="7"/>
        <v>0</v>
      </c>
      <c r="K63" s="25" t="str">
        <f t="shared" si="8"/>
        <v>0</v>
      </c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5">
        <f t="shared" si="2"/>
        <v>1</v>
      </c>
      <c r="F64" s="25" t="str">
        <f t="shared" si="3"/>
        <v>0</v>
      </c>
      <c r="G64" s="25" t="str">
        <f t="shared" si="4"/>
        <v>0</v>
      </c>
      <c r="H64" s="25" t="str">
        <f t="shared" si="5"/>
        <v>0</v>
      </c>
      <c r="I64" s="25">
        <f t="shared" si="6"/>
        <v>1</v>
      </c>
      <c r="J64" s="25" t="str">
        <f t="shared" si="7"/>
        <v>0</v>
      </c>
      <c r="K64" s="25" t="str">
        <f t="shared" si="8"/>
        <v>0</v>
      </c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5">
        <f t="shared" si="2"/>
        <v>1</v>
      </c>
      <c r="F65" s="25" t="str">
        <f t="shared" si="3"/>
        <v>0</v>
      </c>
      <c r="G65" s="25" t="str">
        <f t="shared" si="4"/>
        <v>0</v>
      </c>
      <c r="H65" s="25" t="str">
        <f t="shared" si="5"/>
        <v>0</v>
      </c>
      <c r="I65" s="25">
        <f t="shared" si="6"/>
        <v>1</v>
      </c>
      <c r="J65" s="25" t="str">
        <f t="shared" si="7"/>
        <v>0</v>
      </c>
      <c r="K65" s="25" t="str">
        <f t="shared" si="8"/>
        <v>0</v>
      </c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5">
        <f t="shared" si="2"/>
        <v>1</v>
      </c>
      <c r="F66" s="25" t="str">
        <f t="shared" si="3"/>
        <v>0</v>
      </c>
      <c r="G66" s="25" t="str">
        <f t="shared" si="4"/>
        <v>0</v>
      </c>
      <c r="H66" s="25" t="str">
        <f t="shared" si="5"/>
        <v>0</v>
      </c>
      <c r="I66" s="25">
        <f t="shared" si="6"/>
        <v>1</v>
      </c>
      <c r="J66" s="25" t="str">
        <f t="shared" si="7"/>
        <v>0</v>
      </c>
      <c r="K66" s="25" t="str">
        <f t="shared" si="8"/>
        <v>0</v>
      </c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5">
        <f t="shared" si="2"/>
        <v>1</v>
      </c>
      <c r="F67" s="25" t="str">
        <f t="shared" si="3"/>
        <v>0</v>
      </c>
      <c r="G67" s="25" t="str">
        <f t="shared" si="4"/>
        <v>0</v>
      </c>
      <c r="H67" s="25" t="str">
        <f t="shared" si="5"/>
        <v>0</v>
      </c>
      <c r="I67" s="25">
        <f t="shared" si="6"/>
        <v>1</v>
      </c>
      <c r="J67" s="25" t="str">
        <f t="shared" si="7"/>
        <v>0</v>
      </c>
      <c r="K67" s="25" t="str">
        <f t="shared" si="8"/>
        <v>0</v>
      </c>
      <c r="L67" s="102"/>
      <c r="M67" s="102"/>
      <c r="N67" s="102"/>
      <c r="O67" s="102"/>
      <c r="P67" s="102"/>
      <c r="Q67" s="102"/>
      <c r="R67" s="103"/>
    </row>
    <row r="68" spans="1:18" ht="41.45" customHeight="1" x14ac:dyDescent="0.25">
      <c r="A68" s="19"/>
      <c r="B68" s="3"/>
      <c r="C68" s="22"/>
      <c r="D68" s="22"/>
      <c r="E68" s="25">
        <f t="shared" si="2"/>
        <v>1</v>
      </c>
      <c r="F68" s="25" t="str">
        <f t="shared" si="3"/>
        <v>0</v>
      </c>
      <c r="G68" s="25" t="str">
        <f t="shared" si="4"/>
        <v>0</v>
      </c>
      <c r="H68" s="25" t="str">
        <f t="shared" si="5"/>
        <v>0</v>
      </c>
      <c r="I68" s="25">
        <f t="shared" si="6"/>
        <v>1</v>
      </c>
      <c r="J68" s="25" t="str">
        <f t="shared" si="7"/>
        <v>0</v>
      </c>
      <c r="K68" s="25" t="str">
        <f t="shared" si="8"/>
        <v>0</v>
      </c>
      <c r="L68" s="102"/>
      <c r="M68" s="102"/>
      <c r="N68" s="102"/>
      <c r="O68" s="102"/>
      <c r="P68" s="102"/>
      <c r="Q68" s="102"/>
      <c r="R68" s="103"/>
    </row>
    <row r="69" spans="1:18" ht="41.45" customHeight="1" x14ac:dyDescent="0.25">
      <c r="A69" s="19"/>
      <c r="B69" s="3"/>
      <c r="C69" s="22"/>
      <c r="D69" s="22"/>
      <c r="E69" s="25">
        <f t="shared" si="2"/>
        <v>1</v>
      </c>
      <c r="F69" s="25" t="str">
        <f t="shared" si="3"/>
        <v>0</v>
      </c>
      <c r="G69" s="25" t="str">
        <f t="shared" si="4"/>
        <v>0</v>
      </c>
      <c r="H69" s="25" t="str">
        <f t="shared" si="5"/>
        <v>0</v>
      </c>
      <c r="I69" s="25">
        <f t="shared" si="6"/>
        <v>1</v>
      </c>
      <c r="J69" s="25" t="str">
        <f t="shared" si="7"/>
        <v>0</v>
      </c>
      <c r="K69" s="25" t="str">
        <f t="shared" si="8"/>
        <v>0</v>
      </c>
      <c r="L69" s="102"/>
      <c r="M69" s="102"/>
      <c r="N69" s="102"/>
      <c r="O69" s="102"/>
      <c r="P69" s="102"/>
      <c r="Q69" s="102"/>
      <c r="R69" s="103"/>
    </row>
    <row r="70" spans="1:18" ht="41.45" customHeight="1" x14ac:dyDescent="0.25">
      <c r="A70" s="19"/>
      <c r="B70" s="3"/>
      <c r="C70" s="22"/>
      <c r="D70" s="22"/>
      <c r="E70" s="25">
        <f t="shared" si="2"/>
        <v>1</v>
      </c>
      <c r="F70" s="25" t="str">
        <f t="shared" si="3"/>
        <v>0</v>
      </c>
      <c r="G70" s="25" t="str">
        <f t="shared" si="4"/>
        <v>0</v>
      </c>
      <c r="H70" s="25" t="str">
        <f t="shared" si="5"/>
        <v>0</v>
      </c>
      <c r="I70" s="25">
        <f t="shared" si="6"/>
        <v>1</v>
      </c>
      <c r="J70" s="25" t="str">
        <f t="shared" si="7"/>
        <v>0</v>
      </c>
      <c r="K70" s="25" t="str">
        <f t="shared" si="8"/>
        <v>0</v>
      </c>
      <c r="L70" s="102"/>
      <c r="M70" s="102"/>
      <c r="N70" s="102"/>
      <c r="O70" s="102"/>
      <c r="P70" s="102"/>
      <c r="Q70" s="102"/>
      <c r="R70" s="103"/>
    </row>
    <row r="71" spans="1:18" ht="41.45" customHeight="1" x14ac:dyDescent="0.25">
      <c r="A71" s="19"/>
      <c r="B71" s="3"/>
      <c r="C71" s="22"/>
      <c r="D71" s="22"/>
      <c r="E71" s="25">
        <f t="shared" si="2"/>
        <v>1</v>
      </c>
      <c r="F71" s="25" t="str">
        <f t="shared" si="3"/>
        <v>0</v>
      </c>
      <c r="G71" s="25" t="str">
        <f t="shared" si="4"/>
        <v>0</v>
      </c>
      <c r="H71" s="25" t="str">
        <f t="shared" si="5"/>
        <v>0</v>
      </c>
      <c r="I71" s="25">
        <f t="shared" si="6"/>
        <v>1</v>
      </c>
      <c r="J71" s="25" t="str">
        <f t="shared" si="7"/>
        <v>0</v>
      </c>
      <c r="K71" s="25" t="str">
        <f t="shared" si="8"/>
        <v>0</v>
      </c>
      <c r="L71" s="102"/>
      <c r="M71" s="102"/>
      <c r="N71" s="102"/>
      <c r="O71" s="102"/>
      <c r="P71" s="102"/>
      <c r="Q71" s="102"/>
      <c r="R71" s="103"/>
    </row>
    <row r="72" spans="1:18" ht="41.45" customHeight="1" x14ac:dyDescent="0.25">
      <c r="A72" s="19"/>
      <c r="B72" s="3"/>
      <c r="C72" s="22"/>
      <c r="D72" s="22"/>
      <c r="E72" s="25">
        <f t="shared" si="2"/>
        <v>1</v>
      </c>
      <c r="F72" s="25" t="str">
        <f t="shared" si="3"/>
        <v>0</v>
      </c>
      <c r="G72" s="25" t="str">
        <f t="shared" si="4"/>
        <v>0</v>
      </c>
      <c r="H72" s="25" t="str">
        <f t="shared" si="5"/>
        <v>0</v>
      </c>
      <c r="I72" s="25">
        <f t="shared" si="6"/>
        <v>1</v>
      </c>
      <c r="J72" s="25" t="str">
        <f t="shared" si="7"/>
        <v>0</v>
      </c>
      <c r="K72" s="25" t="str">
        <f t="shared" si="8"/>
        <v>0</v>
      </c>
      <c r="L72" s="102"/>
      <c r="M72" s="102"/>
      <c r="N72" s="102"/>
      <c r="O72" s="102"/>
      <c r="P72" s="102"/>
      <c r="Q72" s="102"/>
      <c r="R72" s="103"/>
    </row>
    <row r="73" spans="1:18" ht="41.45" customHeight="1" x14ac:dyDescent="0.25">
      <c r="A73" s="19"/>
      <c r="B73" s="3"/>
      <c r="C73" s="22"/>
      <c r="D73" s="22"/>
      <c r="E73" s="25">
        <f t="shared" si="2"/>
        <v>1</v>
      </c>
      <c r="F73" s="25" t="str">
        <f t="shared" si="3"/>
        <v>0</v>
      </c>
      <c r="G73" s="25" t="str">
        <f t="shared" si="4"/>
        <v>0</v>
      </c>
      <c r="H73" s="25" t="str">
        <f t="shared" si="5"/>
        <v>0</v>
      </c>
      <c r="I73" s="25">
        <f t="shared" si="6"/>
        <v>1</v>
      </c>
      <c r="J73" s="25" t="str">
        <f t="shared" si="7"/>
        <v>0</v>
      </c>
      <c r="K73" s="25" t="str">
        <f t="shared" si="8"/>
        <v>0</v>
      </c>
      <c r="L73" s="102"/>
      <c r="M73" s="102"/>
      <c r="N73" s="102"/>
      <c r="O73" s="102"/>
      <c r="P73" s="102"/>
      <c r="Q73" s="102"/>
      <c r="R73" s="103"/>
    </row>
    <row r="74" spans="1:18" ht="41.45" customHeight="1" x14ac:dyDescent="0.25">
      <c r="A74" s="19"/>
      <c r="B74" s="3"/>
      <c r="C74" s="22"/>
      <c r="D74" s="22"/>
      <c r="E74" s="25">
        <f t="shared" si="2"/>
        <v>1</v>
      </c>
      <c r="F74" s="25" t="str">
        <f t="shared" si="3"/>
        <v>0</v>
      </c>
      <c r="G74" s="25" t="str">
        <f t="shared" si="4"/>
        <v>0</v>
      </c>
      <c r="H74" s="25" t="str">
        <f t="shared" si="5"/>
        <v>0</v>
      </c>
      <c r="I74" s="25">
        <f t="shared" si="6"/>
        <v>1</v>
      </c>
      <c r="J74" s="25" t="str">
        <f t="shared" si="7"/>
        <v>0</v>
      </c>
      <c r="K74" s="25" t="str">
        <f t="shared" si="8"/>
        <v>0</v>
      </c>
      <c r="L74" s="102"/>
      <c r="M74" s="102"/>
      <c r="N74" s="102"/>
      <c r="O74" s="102"/>
      <c r="P74" s="102"/>
      <c r="Q74" s="102"/>
      <c r="R74" s="103"/>
    </row>
    <row r="75" spans="1:18" ht="41.45" customHeight="1" x14ac:dyDescent="0.25">
      <c r="A75" s="19"/>
      <c r="B75" s="3"/>
      <c r="C75" s="22"/>
      <c r="D75" s="22"/>
      <c r="E75" s="25">
        <f t="shared" si="2"/>
        <v>1</v>
      </c>
      <c r="F75" s="25" t="str">
        <f t="shared" si="3"/>
        <v>0</v>
      </c>
      <c r="G75" s="25" t="str">
        <f t="shared" si="4"/>
        <v>0</v>
      </c>
      <c r="H75" s="25" t="str">
        <f t="shared" si="5"/>
        <v>0</v>
      </c>
      <c r="I75" s="25">
        <f t="shared" si="6"/>
        <v>1</v>
      </c>
      <c r="J75" s="25" t="str">
        <f t="shared" si="7"/>
        <v>0</v>
      </c>
      <c r="K75" s="25" t="str">
        <f t="shared" si="8"/>
        <v>0</v>
      </c>
      <c r="L75" s="102"/>
      <c r="M75" s="102"/>
      <c r="N75" s="102"/>
      <c r="O75" s="102"/>
      <c r="P75" s="102"/>
      <c r="Q75" s="102"/>
      <c r="R75" s="103"/>
    </row>
    <row r="76" spans="1:18" ht="41.45" customHeight="1" x14ac:dyDescent="0.25">
      <c r="A76" s="19"/>
      <c r="B76" s="3"/>
      <c r="C76" s="22"/>
      <c r="D76" s="22"/>
      <c r="E76" s="25">
        <f t="shared" si="2"/>
        <v>1</v>
      </c>
      <c r="F76" s="25" t="str">
        <f t="shared" si="3"/>
        <v>0</v>
      </c>
      <c r="G76" s="25" t="str">
        <f t="shared" si="4"/>
        <v>0</v>
      </c>
      <c r="H76" s="25" t="str">
        <f t="shared" si="5"/>
        <v>0</v>
      </c>
      <c r="I76" s="25">
        <f t="shared" si="6"/>
        <v>1</v>
      </c>
      <c r="J76" s="25" t="str">
        <f t="shared" si="7"/>
        <v>0</v>
      </c>
      <c r="K76" s="25" t="str">
        <f t="shared" si="8"/>
        <v>0</v>
      </c>
      <c r="L76" s="102"/>
      <c r="M76" s="102"/>
      <c r="N76" s="102"/>
      <c r="O76" s="102"/>
      <c r="P76" s="102"/>
      <c r="Q76" s="102"/>
      <c r="R76" s="103"/>
    </row>
    <row r="77" spans="1:18" ht="41.45" customHeight="1" x14ac:dyDescent="0.25">
      <c r="A77" s="19"/>
      <c r="B77" s="3"/>
      <c r="C77" s="22"/>
      <c r="D77" s="22"/>
      <c r="E77" s="25">
        <f t="shared" si="2"/>
        <v>1</v>
      </c>
      <c r="F77" s="25" t="str">
        <f t="shared" si="3"/>
        <v>0</v>
      </c>
      <c r="G77" s="25" t="str">
        <f t="shared" si="4"/>
        <v>0</v>
      </c>
      <c r="H77" s="25" t="str">
        <f t="shared" si="5"/>
        <v>0</v>
      </c>
      <c r="I77" s="25">
        <f t="shared" si="6"/>
        <v>1</v>
      </c>
      <c r="J77" s="25" t="str">
        <f t="shared" si="7"/>
        <v>0</v>
      </c>
      <c r="K77" s="25" t="str">
        <f t="shared" si="8"/>
        <v>0</v>
      </c>
      <c r="L77" s="102"/>
      <c r="M77" s="102"/>
      <c r="N77" s="102"/>
      <c r="O77" s="102"/>
      <c r="P77" s="102"/>
      <c r="Q77" s="102"/>
      <c r="R77" s="103"/>
    </row>
    <row r="78" spans="1:18" ht="41.45" customHeight="1" x14ac:dyDescent="0.25">
      <c r="A78" s="19"/>
      <c r="B78" s="3"/>
      <c r="C78" s="22"/>
      <c r="D78" s="22"/>
      <c r="E78" s="25">
        <f t="shared" si="2"/>
        <v>1</v>
      </c>
      <c r="F78" s="25" t="str">
        <f t="shared" si="3"/>
        <v>0</v>
      </c>
      <c r="G78" s="25" t="str">
        <f t="shared" si="4"/>
        <v>0</v>
      </c>
      <c r="H78" s="25" t="str">
        <f t="shared" si="5"/>
        <v>0</v>
      </c>
      <c r="I78" s="25">
        <f t="shared" si="6"/>
        <v>1</v>
      </c>
      <c r="J78" s="25" t="str">
        <f t="shared" si="7"/>
        <v>0</v>
      </c>
      <c r="K78" s="25" t="str">
        <f t="shared" si="8"/>
        <v>0</v>
      </c>
      <c r="L78" s="102"/>
      <c r="M78" s="102"/>
      <c r="N78" s="102"/>
      <c r="O78" s="102"/>
      <c r="P78" s="102"/>
      <c r="Q78" s="102"/>
      <c r="R78" s="103"/>
    </row>
    <row r="79" spans="1:18" ht="41.45" customHeight="1" x14ac:dyDescent="0.25">
      <c r="A79" s="19"/>
      <c r="B79" s="3"/>
      <c r="C79" s="22"/>
      <c r="D79" s="22"/>
      <c r="E79" s="25">
        <f t="shared" si="2"/>
        <v>1</v>
      </c>
      <c r="F79" s="25" t="str">
        <f t="shared" si="3"/>
        <v>0</v>
      </c>
      <c r="G79" s="25" t="str">
        <f t="shared" si="4"/>
        <v>0</v>
      </c>
      <c r="H79" s="25" t="str">
        <f t="shared" si="5"/>
        <v>0</v>
      </c>
      <c r="I79" s="25">
        <f t="shared" si="6"/>
        <v>1</v>
      </c>
      <c r="J79" s="25" t="str">
        <f t="shared" si="7"/>
        <v>0</v>
      </c>
      <c r="K79" s="25" t="str">
        <f t="shared" si="8"/>
        <v>0</v>
      </c>
      <c r="L79" s="102"/>
      <c r="M79" s="102"/>
      <c r="N79" s="102"/>
      <c r="O79" s="102"/>
      <c r="P79" s="102"/>
      <c r="Q79" s="102"/>
      <c r="R79" s="103"/>
    </row>
    <row r="80" spans="1:18" ht="41.45" customHeight="1" x14ac:dyDescent="0.25">
      <c r="A80" s="19"/>
      <c r="B80" s="3"/>
      <c r="C80" s="22"/>
      <c r="D80" s="22"/>
      <c r="E80" s="25">
        <f t="shared" si="2"/>
        <v>0.59000000000000341</v>
      </c>
      <c r="F80" s="25" t="str">
        <f t="shared" si="3"/>
        <v>0</v>
      </c>
      <c r="G80" s="25" t="str">
        <f t="shared" si="4"/>
        <v>0</v>
      </c>
      <c r="H80" s="25" t="str">
        <f t="shared" si="5"/>
        <v>0</v>
      </c>
      <c r="I80" s="25">
        <f t="shared" si="6"/>
        <v>0.59000000000000341</v>
      </c>
      <c r="J80" s="25" t="str">
        <f t="shared" si="7"/>
        <v>0</v>
      </c>
      <c r="K80" s="25" t="str">
        <f t="shared" si="8"/>
        <v>0</v>
      </c>
      <c r="L80" s="102"/>
      <c r="M80" s="102"/>
      <c r="N80" s="102"/>
      <c r="O80" s="102"/>
      <c r="P80" s="102"/>
      <c r="Q80" s="102"/>
      <c r="R80" s="103"/>
    </row>
    <row r="81" spans="1:18" ht="41.45" customHeight="1" x14ac:dyDescent="0.25">
      <c r="A81" s="19"/>
      <c r="B81" s="3"/>
      <c r="C81" s="22"/>
      <c r="D81" s="22"/>
      <c r="E81" s="25">
        <f t="shared" si="2"/>
        <v>1</v>
      </c>
      <c r="F81" s="25" t="str">
        <f t="shared" si="3"/>
        <v>0</v>
      </c>
      <c r="G81" s="25" t="str">
        <f t="shared" si="4"/>
        <v>0</v>
      </c>
      <c r="H81" s="25" t="str">
        <f t="shared" si="5"/>
        <v>0</v>
      </c>
      <c r="I81" s="25" t="str">
        <f t="shared" si="6"/>
        <v>0</v>
      </c>
      <c r="J81" s="25" t="str">
        <f t="shared" si="7"/>
        <v>0</v>
      </c>
      <c r="K81" s="25">
        <f t="shared" si="8"/>
        <v>1</v>
      </c>
      <c r="L81" s="102"/>
      <c r="M81" s="102"/>
      <c r="N81" s="102"/>
      <c r="O81" s="102"/>
      <c r="P81" s="102"/>
      <c r="Q81" s="102"/>
      <c r="R81" s="103"/>
    </row>
    <row r="82" spans="1:18" ht="41.45" customHeight="1" x14ac:dyDescent="0.25">
      <c r="A82" s="19"/>
      <c r="B82" s="3"/>
      <c r="C82" s="22"/>
      <c r="D82" s="22"/>
      <c r="E82" s="25">
        <f t="shared" si="2"/>
        <v>3.84</v>
      </c>
      <c r="F82" s="25" t="str">
        <f t="shared" si="3"/>
        <v>0</v>
      </c>
      <c r="G82" s="25" t="str">
        <f t="shared" si="4"/>
        <v>0</v>
      </c>
      <c r="H82" s="25" t="str">
        <f>IF(H42="X",(D42-C42),"0")</f>
        <v>0</v>
      </c>
      <c r="I82" s="25" t="str">
        <f t="shared" si="6"/>
        <v>0</v>
      </c>
      <c r="J82" s="25" t="str">
        <f t="shared" si="7"/>
        <v>0</v>
      </c>
      <c r="K82" s="25">
        <f t="shared" si="8"/>
        <v>3.84</v>
      </c>
      <c r="L82" s="102"/>
      <c r="M82" s="102"/>
      <c r="N82" s="102"/>
      <c r="O82" s="102"/>
      <c r="P82" s="102"/>
      <c r="Q82" s="102"/>
      <c r="R82" s="103"/>
    </row>
    <row r="83" spans="1:18" ht="41.45" customHeight="1" x14ac:dyDescent="0.25">
      <c r="A83" s="19"/>
      <c r="B83" s="3"/>
      <c r="C83" s="22"/>
      <c r="D83" s="22"/>
      <c r="E83" s="25" t="str">
        <f t="shared" si="2"/>
        <v>0</v>
      </c>
      <c r="F83" s="25" t="str">
        <f t="shared" si="3"/>
        <v>0</v>
      </c>
      <c r="G83" s="25" t="str">
        <f t="shared" si="4"/>
        <v>0</v>
      </c>
      <c r="H83" s="25" t="str">
        <f t="shared" si="5"/>
        <v>0</v>
      </c>
      <c r="I83" s="25" t="str">
        <f t="shared" si="6"/>
        <v>0</v>
      </c>
      <c r="J83" s="25" t="str">
        <f t="shared" si="7"/>
        <v>0</v>
      </c>
      <c r="K83" s="25" t="str">
        <f t="shared" si="8"/>
        <v>0</v>
      </c>
      <c r="L83" s="102"/>
      <c r="M83" s="102"/>
      <c r="N83" s="102"/>
      <c r="O83" s="102"/>
      <c r="P83" s="102"/>
      <c r="Q83" s="102"/>
      <c r="R83" s="103"/>
    </row>
    <row r="84" spans="1:18" ht="41.45" customHeight="1" x14ac:dyDescent="0.25">
      <c r="A84" s="19"/>
      <c r="B84" s="3"/>
      <c r="C84" s="22"/>
      <c r="D84" s="22"/>
      <c r="E84" s="25" t="str">
        <f t="shared" si="2"/>
        <v>0</v>
      </c>
      <c r="F84" s="25" t="str">
        <f t="shared" si="3"/>
        <v>0</v>
      </c>
      <c r="G84" s="25" t="str">
        <f t="shared" si="4"/>
        <v>0</v>
      </c>
      <c r="H84" s="25" t="str">
        <f t="shared" si="5"/>
        <v>0</v>
      </c>
      <c r="I84" s="25" t="str">
        <f t="shared" si="6"/>
        <v>0</v>
      </c>
      <c r="J84" s="25" t="str">
        <f t="shared" si="7"/>
        <v>0</v>
      </c>
      <c r="K84" s="25" t="str">
        <f t="shared" si="8"/>
        <v>0</v>
      </c>
      <c r="L84" s="102"/>
      <c r="M84" s="102"/>
      <c r="N84" s="102"/>
      <c r="O84" s="102"/>
      <c r="P84" s="102"/>
      <c r="Q84" s="102"/>
      <c r="R84" s="103"/>
    </row>
    <row r="85" spans="1:18" ht="41.45" customHeight="1" x14ac:dyDescent="0.25">
      <c r="A85" s="19"/>
      <c r="B85" s="3"/>
      <c r="C85" s="22"/>
      <c r="D85" s="22"/>
      <c r="E85" s="25" t="str">
        <f t="shared" si="2"/>
        <v>0</v>
      </c>
      <c r="F85" s="25" t="str">
        <f t="shared" si="3"/>
        <v>0</v>
      </c>
      <c r="G85" s="25" t="str">
        <f t="shared" si="4"/>
        <v>0</v>
      </c>
      <c r="H85" s="25" t="str">
        <f t="shared" si="5"/>
        <v>0</v>
      </c>
      <c r="I85" s="25" t="str">
        <f t="shared" si="6"/>
        <v>0</v>
      </c>
      <c r="J85" s="25" t="str">
        <f t="shared" si="7"/>
        <v>0</v>
      </c>
      <c r="K85" s="25" t="str">
        <f t="shared" si="8"/>
        <v>0</v>
      </c>
      <c r="L85" s="102"/>
      <c r="M85" s="102"/>
      <c r="N85" s="102"/>
      <c r="O85" s="102"/>
      <c r="P85" s="102"/>
      <c r="Q85" s="102"/>
      <c r="R85" s="103"/>
    </row>
    <row r="86" spans="1:18" ht="41.45" customHeight="1" x14ac:dyDescent="0.25">
      <c r="A86" s="19"/>
      <c r="B86" s="3"/>
      <c r="C86" s="22"/>
      <c r="D86" s="22"/>
      <c r="E86" s="25" t="str">
        <f t="shared" si="2"/>
        <v>0</v>
      </c>
      <c r="F86" s="25" t="str">
        <f t="shared" si="3"/>
        <v>0</v>
      </c>
      <c r="G86" s="25" t="str">
        <f t="shared" si="4"/>
        <v>0</v>
      </c>
      <c r="H86" s="25" t="str">
        <f t="shared" si="5"/>
        <v>0</v>
      </c>
      <c r="I86" s="25" t="str">
        <f t="shared" si="6"/>
        <v>0</v>
      </c>
      <c r="J86" s="25" t="str">
        <f t="shared" si="7"/>
        <v>0</v>
      </c>
      <c r="K86" s="25" t="str">
        <f t="shared" si="8"/>
        <v>0</v>
      </c>
      <c r="L86" s="102"/>
      <c r="M86" s="102"/>
      <c r="N86" s="102"/>
      <c r="O86" s="102"/>
      <c r="P86" s="102"/>
      <c r="Q86" s="102"/>
      <c r="R86" s="103"/>
    </row>
    <row r="87" spans="1:18" ht="41.45" customHeight="1" x14ac:dyDescent="0.25">
      <c r="A87" s="19"/>
      <c r="B87" s="3"/>
      <c r="C87" s="22"/>
      <c r="D87" s="22"/>
      <c r="E87" s="22">
        <f t="shared" ref="E87:K87" si="9">SUM(E47:E86)</f>
        <v>38.430000000000007</v>
      </c>
      <c r="F87" s="22">
        <f t="shared" si="9"/>
        <v>0</v>
      </c>
      <c r="G87" s="22">
        <f t="shared" si="9"/>
        <v>0</v>
      </c>
      <c r="H87" s="22">
        <f t="shared" si="9"/>
        <v>0</v>
      </c>
      <c r="I87" s="22">
        <f t="shared" si="9"/>
        <v>33.590000000000003</v>
      </c>
      <c r="J87" s="22">
        <f t="shared" si="9"/>
        <v>0</v>
      </c>
      <c r="K87" s="22">
        <f t="shared" si="9"/>
        <v>4.84</v>
      </c>
      <c r="L87" s="102"/>
      <c r="M87" s="102"/>
      <c r="N87" s="102"/>
      <c r="O87" s="102"/>
      <c r="P87" s="102"/>
      <c r="Q87" s="102"/>
      <c r="R87" s="103"/>
    </row>
    <row r="88" spans="1:18" ht="41.45" customHeight="1" x14ac:dyDescent="0.25">
      <c r="A88" s="19"/>
      <c r="B88" s="3"/>
      <c r="C88" s="22"/>
      <c r="D88" s="22"/>
      <c r="E88" s="22"/>
      <c r="F88" s="21"/>
      <c r="G88" s="21"/>
      <c r="H88" s="21"/>
      <c r="I88" s="21"/>
      <c r="J88" s="21"/>
      <c r="K88" s="21"/>
      <c r="L88" s="102"/>
      <c r="M88" s="102"/>
      <c r="N88" s="102"/>
      <c r="O88" s="102"/>
      <c r="P88" s="102"/>
      <c r="Q88" s="102"/>
      <c r="R88" s="103"/>
    </row>
    <row r="89" spans="1:18" ht="41.45" customHeight="1" x14ac:dyDescent="0.25">
      <c r="A89" s="19"/>
      <c r="B89" s="3"/>
      <c r="C89" s="22"/>
      <c r="D89" s="22"/>
      <c r="E89" s="22"/>
      <c r="F89" s="21"/>
      <c r="G89" s="21"/>
      <c r="H89" s="21"/>
      <c r="I89" s="21"/>
      <c r="J89" s="21"/>
      <c r="K89" s="21"/>
      <c r="L89" s="102"/>
      <c r="M89" s="102"/>
      <c r="N89" s="102"/>
      <c r="O89" s="102"/>
      <c r="P89" s="102"/>
      <c r="Q89" s="102"/>
      <c r="R89" s="103"/>
    </row>
    <row r="90" spans="1:18" ht="41.45" customHeight="1" x14ac:dyDescent="0.25">
      <c r="A90" s="19"/>
      <c r="B90" s="3"/>
      <c r="C90" s="22"/>
      <c r="D90" s="22"/>
      <c r="E90" s="22"/>
      <c r="F90" s="21"/>
      <c r="G90" s="21"/>
      <c r="H90" s="21"/>
      <c r="I90" s="21"/>
      <c r="J90" s="21"/>
      <c r="K90" s="21"/>
      <c r="L90" s="102"/>
      <c r="M90" s="102"/>
      <c r="N90" s="102"/>
      <c r="O90" s="102"/>
      <c r="P90" s="102"/>
      <c r="Q90" s="102"/>
      <c r="R90" s="103"/>
    </row>
    <row r="91" spans="1:18" ht="41.45" customHeight="1" x14ac:dyDescent="0.25">
      <c r="A91" s="19"/>
      <c r="B91" s="3"/>
      <c r="C91" s="22"/>
      <c r="D91" s="22"/>
      <c r="E91" s="22"/>
      <c r="F91" s="21"/>
      <c r="G91" s="21"/>
      <c r="H91" s="21"/>
      <c r="I91" s="21"/>
      <c r="J91" s="21"/>
      <c r="K91" s="21"/>
      <c r="L91" s="102"/>
      <c r="M91" s="102"/>
      <c r="N91" s="102"/>
      <c r="O91" s="102"/>
      <c r="P91" s="102"/>
      <c r="Q91" s="102"/>
      <c r="R91" s="103"/>
    </row>
    <row r="92" spans="1:18" ht="41.45" customHeight="1" x14ac:dyDescent="0.25">
      <c r="A92" s="19"/>
      <c r="B92" s="3"/>
      <c r="C92" s="22"/>
      <c r="D92" s="22"/>
      <c r="E92" s="22"/>
      <c r="F92" s="21"/>
      <c r="G92" s="21"/>
      <c r="H92" s="21"/>
      <c r="I92" s="21"/>
      <c r="J92" s="21"/>
      <c r="K92" s="21"/>
      <c r="L92" s="102"/>
      <c r="M92" s="102"/>
      <c r="N92" s="102"/>
      <c r="O92" s="102"/>
      <c r="P92" s="102"/>
      <c r="Q92" s="102"/>
      <c r="R92" s="103"/>
    </row>
    <row r="93" spans="1:18" ht="41.45" customHeight="1" thickBot="1" x14ac:dyDescent="0.3">
      <c r="A93" s="20"/>
      <c r="B93" s="4"/>
      <c r="C93" s="26"/>
      <c r="D93" s="26"/>
      <c r="E93" s="26"/>
      <c r="F93" s="27"/>
      <c r="G93" s="27"/>
      <c r="H93" s="27"/>
      <c r="I93" s="27"/>
      <c r="J93" s="27"/>
      <c r="K93" s="27"/>
      <c r="L93" s="107"/>
      <c r="M93" s="107"/>
      <c r="N93" s="107"/>
      <c r="O93" s="107"/>
      <c r="P93" s="107"/>
      <c r="Q93" s="107"/>
      <c r="R93" s="108"/>
    </row>
  </sheetData>
  <mergeCells count="98">
    <mergeCell ref="L82:R82"/>
    <mergeCell ref="L83:R83"/>
    <mergeCell ref="L84:R84"/>
    <mergeCell ref="L31:R31"/>
    <mergeCell ref="L32:R32"/>
    <mergeCell ref="L33:R33"/>
    <mergeCell ref="L34:R34"/>
    <mergeCell ref="L68:R68"/>
    <mergeCell ref="L44:R44"/>
    <mergeCell ref="L45:R45"/>
    <mergeCell ref="L46:R46"/>
    <mergeCell ref="L48:R48"/>
    <mergeCell ref="L49:R49"/>
    <mergeCell ref="L50:R50"/>
    <mergeCell ref="L51:R51"/>
    <mergeCell ref="L47:R47"/>
    <mergeCell ref="L26:R26"/>
    <mergeCell ref="L27:R27"/>
    <mergeCell ref="L28:R28"/>
    <mergeCell ref="L29:R29"/>
    <mergeCell ref="L30:R30"/>
    <mergeCell ref="J1:J2"/>
    <mergeCell ref="I1:I2"/>
    <mergeCell ref="L1:M2"/>
    <mergeCell ref="N1:R2"/>
    <mergeCell ref="L14:R14"/>
    <mergeCell ref="L15:R15"/>
    <mergeCell ref="L16:R16"/>
    <mergeCell ref="L17:R17"/>
    <mergeCell ref="L18:R18"/>
    <mergeCell ref="L9:R9"/>
    <mergeCell ref="L10:R10"/>
    <mergeCell ref="L11:R11"/>
    <mergeCell ref="L12:R12"/>
    <mergeCell ref="L13:R13"/>
    <mergeCell ref="A5:A6"/>
    <mergeCell ref="E5:H5"/>
    <mergeCell ref="I5:K5"/>
    <mergeCell ref="L7:R7"/>
    <mergeCell ref="L8:R8"/>
    <mergeCell ref="C5:C6"/>
    <mergeCell ref="D5:D6"/>
    <mergeCell ref="L5:R6"/>
    <mergeCell ref="B5:B6"/>
    <mergeCell ref="L19:R19"/>
    <mergeCell ref="L20:R20"/>
    <mergeCell ref="L21:R21"/>
    <mergeCell ref="L43:R43"/>
    <mergeCell ref="L40:R40"/>
    <mergeCell ref="L41:R41"/>
    <mergeCell ref="L42:R42"/>
    <mergeCell ref="L35:R35"/>
    <mergeCell ref="L36:R36"/>
    <mergeCell ref="L37:R37"/>
    <mergeCell ref="L38:R38"/>
    <mergeCell ref="L39:R39"/>
    <mergeCell ref="L22:R22"/>
    <mergeCell ref="L23:R23"/>
    <mergeCell ref="L24:R24"/>
    <mergeCell ref="L25:R25"/>
    <mergeCell ref="L52:R52"/>
    <mergeCell ref="L53:R53"/>
    <mergeCell ref="L54:R54"/>
    <mergeCell ref="L55:R55"/>
    <mergeCell ref="L56:R56"/>
    <mergeCell ref="L57:R57"/>
    <mergeCell ref="L58:R58"/>
    <mergeCell ref="L59:R59"/>
    <mergeCell ref="L60:R60"/>
    <mergeCell ref="L61:R61"/>
    <mergeCell ref="L62:R62"/>
    <mergeCell ref="L63:R63"/>
    <mergeCell ref="L64:R64"/>
    <mergeCell ref="L65:R65"/>
    <mergeCell ref="L66:R66"/>
    <mergeCell ref="L67:R67"/>
    <mergeCell ref="L73:R73"/>
    <mergeCell ref="L78:R78"/>
    <mergeCell ref="L85:R85"/>
    <mergeCell ref="L86:R86"/>
    <mergeCell ref="L69:R69"/>
    <mergeCell ref="L70:R70"/>
    <mergeCell ref="L71:R71"/>
    <mergeCell ref="L72:R72"/>
    <mergeCell ref="L74:R74"/>
    <mergeCell ref="L75:R75"/>
    <mergeCell ref="L76:R76"/>
    <mergeCell ref="L77:R77"/>
    <mergeCell ref="L79:R79"/>
    <mergeCell ref="L80:R80"/>
    <mergeCell ref="L81:R81"/>
    <mergeCell ref="L91:R91"/>
    <mergeCell ref="L92:R92"/>
    <mergeCell ref="L93:R93"/>
    <mergeCell ref="L87:R87"/>
    <mergeCell ref="L88:R88"/>
    <mergeCell ref="L89:R89"/>
    <mergeCell ref="L90:R90"/>
  </mergeCells>
  <pageMargins left="0.59055118110236227" right="0.51181102362204722" top="0.59055118110236227" bottom="0.59055118110236227" header="0.31496062992125984" footer="0.31496062992125984"/>
  <pageSetup paperSize="9" scale="28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R90"/>
  <sheetViews>
    <sheetView view="pageBreakPreview" zoomScale="40" zoomScaleNormal="40" zoomScaleSheetLayoutView="40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Trechos!E73</f>
        <v>RODOVIA TO-020 - TRECHO RECURSOLÂNDIA - CAMPOS LINDOS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319</v>
      </c>
      <c r="B7" s="21" t="s">
        <v>20</v>
      </c>
      <c r="C7" s="22">
        <v>0</v>
      </c>
      <c r="D7" s="22">
        <v>1</v>
      </c>
      <c r="E7" s="21"/>
      <c r="F7" s="21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/>
      <c r="B8" s="21"/>
      <c r="C8" s="22">
        <f>D7</f>
        <v>1</v>
      </c>
      <c r="D8" s="22">
        <v>2</v>
      </c>
      <c r="E8" s="21"/>
      <c r="F8" s="21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>
        <f t="shared" ref="C9:C39" si="0">D8</f>
        <v>2</v>
      </c>
      <c r="D9" s="22">
        <v>3</v>
      </c>
      <c r="E9" s="21"/>
      <c r="F9" s="21" t="s">
        <v>21</v>
      </c>
      <c r="G9" s="21"/>
      <c r="H9" s="21"/>
      <c r="I9" s="21"/>
      <c r="J9" s="21" t="s">
        <v>21</v>
      </c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>
        <f t="shared" si="0"/>
        <v>3</v>
      </c>
      <c r="D10" s="22">
        <v>4</v>
      </c>
      <c r="E10" s="21"/>
      <c r="F10" s="21" t="s">
        <v>21</v>
      </c>
      <c r="G10" s="21"/>
      <c r="H10" s="21"/>
      <c r="I10" s="21"/>
      <c r="J10" s="21" t="s">
        <v>21</v>
      </c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>
        <f t="shared" si="0"/>
        <v>4</v>
      </c>
      <c r="D11" s="22">
        <v>5</v>
      </c>
      <c r="E11" s="21"/>
      <c r="F11" s="21" t="s">
        <v>21</v>
      </c>
      <c r="G11" s="21"/>
      <c r="H11" s="21"/>
      <c r="I11" s="21"/>
      <c r="J11" s="21" t="s">
        <v>21</v>
      </c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>
        <f t="shared" si="0"/>
        <v>5</v>
      </c>
      <c r="D12" s="22">
        <v>6</v>
      </c>
      <c r="E12" s="21"/>
      <c r="F12" s="21" t="s">
        <v>21</v>
      </c>
      <c r="G12" s="21"/>
      <c r="H12" s="21"/>
      <c r="I12" s="21"/>
      <c r="J12" s="21" t="s">
        <v>21</v>
      </c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>
        <f t="shared" si="0"/>
        <v>6</v>
      </c>
      <c r="D13" s="22">
        <v>7</v>
      </c>
      <c r="E13" s="21"/>
      <c r="F13" s="21" t="s">
        <v>21</v>
      </c>
      <c r="G13" s="21"/>
      <c r="H13" s="21"/>
      <c r="I13" s="21"/>
      <c r="J13" s="21" t="s">
        <v>21</v>
      </c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>
        <f t="shared" si="0"/>
        <v>7</v>
      </c>
      <c r="D14" s="22">
        <v>8</v>
      </c>
      <c r="E14" s="21"/>
      <c r="F14" s="21" t="s">
        <v>21</v>
      </c>
      <c r="G14" s="21"/>
      <c r="H14" s="21"/>
      <c r="I14" s="21"/>
      <c r="J14" s="21" t="s">
        <v>21</v>
      </c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>
        <f t="shared" si="0"/>
        <v>8</v>
      </c>
      <c r="D15" s="22">
        <v>9</v>
      </c>
      <c r="E15" s="21"/>
      <c r="F15" s="21" t="s">
        <v>21</v>
      </c>
      <c r="G15" s="21"/>
      <c r="H15" s="21"/>
      <c r="I15" s="21"/>
      <c r="J15" s="21" t="s">
        <v>21</v>
      </c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>
        <f t="shared" si="0"/>
        <v>9</v>
      </c>
      <c r="D16" s="22">
        <v>10</v>
      </c>
      <c r="E16" s="21"/>
      <c r="F16" s="21" t="s">
        <v>21</v>
      </c>
      <c r="G16" s="21"/>
      <c r="H16" s="21"/>
      <c r="I16" s="21"/>
      <c r="J16" s="21" t="s">
        <v>21</v>
      </c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>
        <f t="shared" si="0"/>
        <v>10</v>
      </c>
      <c r="D17" s="22">
        <v>11</v>
      </c>
      <c r="E17" s="21"/>
      <c r="F17" s="21"/>
      <c r="G17" s="21" t="s">
        <v>21</v>
      </c>
      <c r="H17" s="21"/>
      <c r="I17" s="21"/>
      <c r="J17" s="21" t="s">
        <v>21</v>
      </c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>
        <f t="shared" si="0"/>
        <v>11</v>
      </c>
      <c r="D18" s="22">
        <v>12</v>
      </c>
      <c r="E18" s="21"/>
      <c r="F18" s="21"/>
      <c r="G18" s="21" t="s">
        <v>21</v>
      </c>
      <c r="H18" s="21"/>
      <c r="I18" s="21"/>
      <c r="J18" s="21" t="s">
        <v>21</v>
      </c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>
        <f t="shared" si="0"/>
        <v>12</v>
      </c>
      <c r="D19" s="22">
        <v>13</v>
      </c>
      <c r="E19" s="21"/>
      <c r="F19" s="21"/>
      <c r="G19" s="21" t="s">
        <v>21</v>
      </c>
      <c r="H19" s="21"/>
      <c r="I19" s="21"/>
      <c r="J19" s="21" t="s">
        <v>21</v>
      </c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>
        <f t="shared" si="0"/>
        <v>13</v>
      </c>
      <c r="D20" s="22">
        <v>14</v>
      </c>
      <c r="E20" s="21"/>
      <c r="F20" s="21"/>
      <c r="G20" s="21" t="s">
        <v>21</v>
      </c>
      <c r="H20" s="21"/>
      <c r="I20" s="21"/>
      <c r="J20" s="21" t="s">
        <v>21</v>
      </c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>
        <f t="shared" si="0"/>
        <v>14</v>
      </c>
      <c r="D21" s="22">
        <v>15</v>
      </c>
      <c r="E21" s="21"/>
      <c r="F21" s="21"/>
      <c r="G21" s="21" t="s">
        <v>21</v>
      </c>
      <c r="H21" s="21"/>
      <c r="I21" s="21"/>
      <c r="J21" s="21" t="s">
        <v>21</v>
      </c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>
        <f t="shared" si="0"/>
        <v>15</v>
      </c>
      <c r="D22" s="22">
        <v>16</v>
      </c>
      <c r="E22" s="21"/>
      <c r="F22" s="21"/>
      <c r="G22" s="21" t="s">
        <v>21</v>
      </c>
      <c r="H22" s="21"/>
      <c r="I22" s="21"/>
      <c r="J22" s="21" t="s">
        <v>21</v>
      </c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>
        <f t="shared" si="0"/>
        <v>16</v>
      </c>
      <c r="D23" s="22">
        <v>17</v>
      </c>
      <c r="E23" s="21"/>
      <c r="F23" s="21"/>
      <c r="G23" s="21" t="s">
        <v>21</v>
      </c>
      <c r="H23" s="21"/>
      <c r="I23" s="21"/>
      <c r="J23" s="21" t="s">
        <v>21</v>
      </c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>
        <f t="shared" si="0"/>
        <v>17</v>
      </c>
      <c r="D24" s="22">
        <v>18</v>
      </c>
      <c r="E24" s="21"/>
      <c r="F24" s="21"/>
      <c r="G24" s="21" t="s">
        <v>21</v>
      </c>
      <c r="H24" s="21"/>
      <c r="I24" s="21"/>
      <c r="J24" s="21" t="s">
        <v>21</v>
      </c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>
        <f t="shared" si="0"/>
        <v>18</v>
      </c>
      <c r="D25" s="22">
        <v>19</v>
      </c>
      <c r="E25" s="21"/>
      <c r="F25" s="21" t="s">
        <v>21</v>
      </c>
      <c r="G25" s="21"/>
      <c r="H25" s="21"/>
      <c r="I25" s="21"/>
      <c r="J25" s="21" t="s">
        <v>21</v>
      </c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>
        <f t="shared" si="0"/>
        <v>19</v>
      </c>
      <c r="D26" s="22">
        <v>20</v>
      </c>
      <c r="E26" s="21"/>
      <c r="F26" s="21" t="s">
        <v>21</v>
      </c>
      <c r="G26" s="21"/>
      <c r="H26" s="21"/>
      <c r="I26" s="21"/>
      <c r="J26" s="21" t="s">
        <v>21</v>
      </c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>
        <f t="shared" si="0"/>
        <v>20</v>
      </c>
      <c r="D27" s="22">
        <v>21</v>
      </c>
      <c r="E27" s="21"/>
      <c r="F27" s="21" t="s">
        <v>21</v>
      </c>
      <c r="G27" s="21"/>
      <c r="H27" s="21"/>
      <c r="I27" s="21"/>
      <c r="J27" s="21" t="s">
        <v>21</v>
      </c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>
        <f t="shared" si="0"/>
        <v>21</v>
      </c>
      <c r="D28" s="22">
        <v>22</v>
      </c>
      <c r="E28" s="21"/>
      <c r="F28" s="21" t="s">
        <v>21</v>
      </c>
      <c r="G28" s="21"/>
      <c r="H28" s="21"/>
      <c r="I28" s="21"/>
      <c r="J28" s="21" t="s">
        <v>21</v>
      </c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>
        <f t="shared" si="0"/>
        <v>22</v>
      </c>
      <c r="D29" s="22">
        <v>23</v>
      </c>
      <c r="E29" s="21"/>
      <c r="F29" s="21" t="s">
        <v>21</v>
      </c>
      <c r="G29" s="21"/>
      <c r="H29" s="21"/>
      <c r="I29" s="21"/>
      <c r="J29" s="21" t="s">
        <v>21</v>
      </c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>
        <f t="shared" si="0"/>
        <v>23</v>
      </c>
      <c r="D30" s="22">
        <v>24</v>
      </c>
      <c r="E30" s="21"/>
      <c r="F30" s="21" t="s">
        <v>21</v>
      </c>
      <c r="G30" s="21"/>
      <c r="H30" s="21"/>
      <c r="I30" s="21"/>
      <c r="J30" s="21" t="s">
        <v>21</v>
      </c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22">
        <f t="shared" si="0"/>
        <v>24</v>
      </c>
      <c r="D31" s="22">
        <v>25</v>
      </c>
      <c r="E31" s="21"/>
      <c r="F31" s="21" t="s">
        <v>21</v>
      </c>
      <c r="G31" s="21"/>
      <c r="H31" s="21"/>
      <c r="I31" s="21"/>
      <c r="J31" s="21" t="s">
        <v>21</v>
      </c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22">
        <f t="shared" si="0"/>
        <v>25</v>
      </c>
      <c r="D32" s="22">
        <v>26</v>
      </c>
      <c r="E32" s="21"/>
      <c r="F32" s="21" t="s">
        <v>21</v>
      </c>
      <c r="G32" s="21"/>
      <c r="H32" s="21"/>
      <c r="I32" s="21"/>
      <c r="J32" s="21" t="s">
        <v>21</v>
      </c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22">
        <f t="shared" si="0"/>
        <v>26</v>
      </c>
      <c r="D33" s="22">
        <v>27</v>
      </c>
      <c r="E33" s="21"/>
      <c r="F33" s="21" t="s">
        <v>21</v>
      </c>
      <c r="G33" s="21"/>
      <c r="H33" s="21"/>
      <c r="I33" s="21"/>
      <c r="J33" s="21" t="s">
        <v>21</v>
      </c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22">
        <f t="shared" si="0"/>
        <v>27</v>
      </c>
      <c r="D34" s="22">
        <v>28</v>
      </c>
      <c r="E34" s="21"/>
      <c r="F34" s="21" t="s">
        <v>21</v>
      </c>
      <c r="G34" s="21"/>
      <c r="H34" s="21"/>
      <c r="I34" s="21"/>
      <c r="J34" s="21" t="s">
        <v>21</v>
      </c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22">
        <f t="shared" si="0"/>
        <v>28</v>
      </c>
      <c r="D35" s="22">
        <v>29</v>
      </c>
      <c r="E35" s="21"/>
      <c r="F35" s="21" t="s">
        <v>21</v>
      </c>
      <c r="G35" s="21"/>
      <c r="H35" s="21"/>
      <c r="I35" s="21"/>
      <c r="J35" s="21" t="s">
        <v>21</v>
      </c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19"/>
      <c r="B36" s="3"/>
      <c r="C36" s="22">
        <f t="shared" si="0"/>
        <v>29</v>
      </c>
      <c r="D36" s="22">
        <v>30</v>
      </c>
      <c r="E36" s="21"/>
      <c r="F36" s="21" t="s">
        <v>21</v>
      </c>
      <c r="G36" s="21"/>
      <c r="H36" s="21"/>
      <c r="I36" s="21"/>
      <c r="J36" s="21" t="s">
        <v>21</v>
      </c>
      <c r="K36" s="21"/>
      <c r="L36" s="80"/>
      <c r="M36" s="81"/>
      <c r="N36" s="81"/>
      <c r="O36" s="81"/>
      <c r="P36" s="81"/>
      <c r="Q36" s="81"/>
      <c r="R36" s="82"/>
    </row>
    <row r="37" spans="1:18" ht="41.45" customHeight="1" x14ac:dyDescent="0.25">
      <c r="A37" s="19"/>
      <c r="B37" s="3"/>
      <c r="C37" s="22">
        <f t="shared" si="0"/>
        <v>30</v>
      </c>
      <c r="D37" s="22">
        <v>31</v>
      </c>
      <c r="E37" s="21"/>
      <c r="F37" s="21" t="s">
        <v>21</v>
      </c>
      <c r="G37" s="21"/>
      <c r="H37" s="21"/>
      <c r="I37" s="21"/>
      <c r="J37" s="21" t="s">
        <v>21</v>
      </c>
      <c r="K37" s="21"/>
      <c r="L37" s="80"/>
      <c r="M37" s="81"/>
      <c r="N37" s="81"/>
      <c r="O37" s="81"/>
      <c r="P37" s="81"/>
      <c r="Q37" s="81"/>
      <c r="R37" s="82"/>
    </row>
    <row r="38" spans="1:18" ht="41.45" customHeight="1" x14ac:dyDescent="0.25">
      <c r="A38" s="19"/>
      <c r="B38" s="3"/>
      <c r="C38" s="22">
        <f t="shared" si="0"/>
        <v>31</v>
      </c>
      <c r="D38" s="22">
        <v>32</v>
      </c>
      <c r="E38" s="21"/>
      <c r="F38" s="21" t="s">
        <v>21</v>
      </c>
      <c r="G38" s="21"/>
      <c r="H38" s="21"/>
      <c r="I38" s="21"/>
      <c r="J38" s="21" t="s">
        <v>21</v>
      </c>
      <c r="K38" s="21"/>
      <c r="L38" s="80"/>
      <c r="M38" s="81"/>
      <c r="N38" s="81"/>
      <c r="O38" s="81"/>
      <c r="P38" s="81"/>
      <c r="Q38" s="81"/>
      <c r="R38" s="82"/>
    </row>
    <row r="39" spans="1:18" ht="41.45" customHeight="1" x14ac:dyDescent="0.25">
      <c r="A39" s="19"/>
      <c r="B39" s="3"/>
      <c r="C39" s="22">
        <f t="shared" si="0"/>
        <v>32</v>
      </c>
      <c r="D39" s="22">
        <v>33</v>
      </c>
      <c r="E39" s="21"/>
      <c r="F39" s="21" t="s">
        <v>21</v>
      </c>
      <c r="G39" s="21"/>
      <c r="H39" s="21"/>
      <c r="I39" s="21"/>
      <c r="J39" s="21" t="s">
        <v>21</v>
      </c>
      <c r="K39" s="21"/>
      <c r="L39" s="80"/>
      <c r="M39" s="81"/>
      <c r="N39" s="81"/>
      <c r="O39" s="81"/>
      <c r="P39" s="81"/>
      <c r="Q39" s="81"/>
      <c r="R39" s="82"/>
    </row>
    <row r="40" spans="1:18" ht="41.45" customHeight="1" x14ac:dyDescent="0.25">
      <c r="A40" s="19"/>
      <c r="B40" s="3"/>
      <c r="C40" s="22"/>
      <c r="D40" s="22"/>
      <c r="E40" s="21"/>
      <c r="F40" s="21"/>
      <c r="G40" s="21"/>
      <c r="H40" s="21"/>
      <c r="I40" s="21"/>
      <c r="J40" s="21"/>
      <c r="K40" s="21"/>
      <c r="L40" s="80"/>
      <c r="M40" s="81"/>
      <c r="N40" s="81"/>
      <c r="O40" s="81"/>
      <c r="P40" s="81"/>
      <c r="Q40" s="81"/>
      <c r="R40" s="82"/>
    </row>
    <row r="41" spans="1:18" ht="41.45" customHeight="1" x14ac:dyDescent="0.25">
      <c r="A41" s="19"/>
      <c r="B41" s="3"/>
      <c r="C41" s="22"/>
      <c r="D41" s="22"/>
      <c r="E41" s="21"/>
      <c r="F41" s="21"/>
      <c r="G41" s="21"/>
      <c r="H41" s="21"/>
      <c r="I41" s="21"/>
      <c r="J41" s="21"/>
      <c r="K41" s="21"/>
      <c r="L41" s="80"/>
      <c r="M41" s="81"/>
      <c r="N41" s="81"/>
      <c r="O41" s="81"/>
      <c r="P41" s="81"/>
      <c r="Q41" s="81"/>
      <c r="R41" s="82"/>
    </row>
    <row r="42" spans="1:18" ht="41.45" customHeight="1" x14ac:dyDescent="0.25">
      <c r="A42" s="19"/>
      <c r="B42" s="3"/>
      <c r="C42" s="22"/>
      <c r="D42" s="22"/>
      <c r="E42" s="21"/>
      <c r="F42" s="21"/>
      <c r="G42" s="21"/>
      <c r="H42" s="21"/>
      <c r="I42" s="21"/>
      <c r="J42" s="21"/>
      <c r="K42" s="21"/>
      <c r="L42" s="80"/>
      <c r="M42" s="81"/>
      <c r="N42" s="81"/>
      <c r="O42" s="81"/>
      <c r="P42" s="81"/>
      <c r="Q42" s="81"/>
      <c r="R42" s="82"/>
    </row>
    <row r="43" spans="1:18" ht="41.45" customHeight="1" x14ac:dyDescent="0.25">
      <c r="A43" s="19"/>
      <c r="B43" s="3"/>
      <c r="C43" s="22"/>
      <c r="D43" s="22"/>
      <c r="E43" s="21"/>
      <c r="F43" s="21"/>
      <c r="G43" s="21"/>
      <c r="H43" s="21"/>
      <c r="I43" s="21"/>
      <c r="J43" s="21"/>
      <c r="K43" s="21"/>
      <c r="L43" s="80"/>
      <c r="M43" s="81"/>
      <c r="N43" s="81"/>
      <c r="O43" s="81"/>
      <c r="P43" s="81"/>
      <c r="Q43" s="81"/>
      <c r="R43" s="82"/>
    </row>
    <row r="44" spans="1:18" ht="41.45" customHeight="1" x14ac:dyDescent="0.25">
      <c r="A44" s="19"/>
      <c r="B44" s="3"/>
      <c r="C44" s="22"/>
      <c r="D44" s="22"/>
      <c r="E44" s="21"/>
      <c r="F44" s="21"/>
      <c r="G44" s="21"/>
      <c r="H44" s="21"/>
      <c r="I44" s="21"/>
      <c r="J44" s="21"/>
      <c r="K44" s="21"/>
      <c r="L44" s="80"/>
      <c r="M44" s="81"/>
      <c r="N44" s="81"/>
      <c r="O44" s="81"/>
      <c r="P44" s="81"/>
      <c r="Q44" s="81"/>
      <c r="R44" s="82"/>
    </row>
    <row r="45" spans="1:18" ht="41.45" customHeight="1" x14ac:dyDescent="0.25">
      <c r="A45" s="19"/>
      <c r="B45" s="3"/>
      <c r="C45" s="22"/>
      <c r="D45" s="22"/>
      <c r="E45" s="21"/>
      <c r="F45" s="21"/>
      <c r="G45" s="21"/>
      <c r="H45" s="21"/>
      <c r="I45" s="21"/>
      <c r="J45" s="21"/>
      <c r="K45" s="21"/>
      <c r="L45" s="80"/>
      <c r="M45" s="81"/>
      <c r="N45" s="81"/>
      <c r="O45" s="81"/>
      <c r="P45" s="81"/>
      <c r="Q45" s="81"/>
      <c r="R45" s="82"/>
    </row>
    <row r="46" spans="1:18" ht="41.45" customHeight="1" x14ac:dyDescent="0.25">
      <c r="A46" s="23"/>
      <c r="B46" s="24"/>
      <c r="C46" s="25"/>
      <c r="D46" s="25"/>
      <c r="E46" s="25" t="str">
        <f>IF(E7="X",(D7-C7),"0")</f>
        <v>0</v>
      </c>
      <c r="F46" s="25">
        <f>IF(F7="X",(D7-C7),"0")</f>
        <v>1</v>
      </c>
      <c r="G46" s="25" t="str">
        <f>IF(G7="X",(D7-C7),"0")</f>
        <v>0</v>
      </c>
      <c r="H46" s="25" t="str">
        <f>IF(H7="X",(D7-C7),"0")</f>
        <v>0</v>
      </c>
      <c r="I46" s="25" t="str">
        <f>IF(I7="X",(D7-C7),"0")</f>
        <v>0</v>
      </c>
      <c r="J46" s="25">
        <f>IF(J7="X",(D7-C7),"0")</f>
        <v>1</v>
      </c>
      <c r="K46" s="25" t="str">
        <f>IF(K7="X",(D7-C7),"0")</f>
        <v>0</v>
      </c>
      <c r="L46" s="104"/>
      <c r="M46" s="105"/>
      <c r="N46" s="105"/>
      <c r="O46" s="105"/>
      <c r="P46" s="105"/>
      <c r="Q46" s="105"/>
      <c r="R46" s="106"/>
    </row>
    <row r="47" spans="1:18" ht="41.45" customHeight="1" x14ac:dyDescent="0.25">
      <c r="A47" s="19"/>
      <c r="B47" s="3"/>
      <c r="C47" s="22"/>
      <c r="D47" s="22"/>
      <c r="E47" s="25" t="str">
        <f t="shared" ref="E47:E59" si="1">IF(E8="X",(D8-C8),"0")</f>
        <v>0</v>
      </c>
      <c r="F47" s="25">
        <f t="shared" ref="F47:F59" si="2">IF(F8="X",(D8-C8),"0")</f>
        <v>1</v>
      </c>
      <c r="G47" s="25" t="str">
        <f t="shared" ref="G47:G59" si="3">IF(G8="X",(D8-C8),"0")</f>
        <v>0</v>
      </c>
      <c r="H47" s="25" t="str">
        <f t="shared" ref="H47:H59" si="4">IF(H8="X",(D8-C8),"0")</f>
        <v>0</v>
      </c>
      <c r="I47" s="25" t="str">
        <f t="shared" ref="I47:I59" si="5">IF(I8="X",(D8-C8),"0")</f>
        <v>0</v>
      </c>
      <c r="J47" s="25">
        <f t="shared" ref="J47:J59" si="6">IF(J8="X",(D8-C8),"0")</f>
        <v>1</v>
      </c>
      <c r="K47" s="25" t="str">
        <f t="shared" ref="K47:K59" si="7">IF(K8="X",(D8-C8),"0")</f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1"/>
        <v>0</v>
      </c>
      <c r="F48" s="25">
        <f t="shared" si="2"/>
        <v>1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>
        <f t="shared" si="6"/>
        <v>1</v>
      </c>
      <c r="K48" s="25" t="str">
        <f t="shared" si="7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1"/>
        <v>0</v>
      </c>
      <c r="F49" s="25">
        <f t="shared" si="2"/>
        <v>1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>
        <f t="shared" si="6"/>
        <v>1</v>
      </c>
      <c r="K49" s="25" t="str">
        <f t="shared" si="7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1"/>
        <v>0</v>
      </c>
      <c r="F50" s="25">
        <f t="shared" si="2"/>
        <v>1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>
        <f t="shared" si="6"/>
        <v>1</v>
      </c>
      <c r="K50" s="25" t="str">
        <f t="shared" si="7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1"/>
        <v>0</v>
      </c>
      <c r="F51" s="25">
        <f t="shared" si="2"/>
        <v>1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>
        <f t="shared" si="6"/>
        <v>1</v>
      </c>
      <c r="K51" s="25" t="str">
        <f t="shared" si="7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1"/>
        <v>0</v>
      </c>
      <c r="F52" s="25">
        <f t="shared" si="2"/>
        <v>1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>
        <f t="shared" si="6"/>
        <v>1</v>
      </c>
      <c r="K52" s="25" t="str">
        <f t="shared" si="7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1"/>
        <v>0</v>
      </c>
      <c r="F53" s="25">
        <f t="shared" si="2"/>
        <v>1</v>
      </c>
      <c r="G53" s="25" t="str">
        <f t="shared" si="3"/>
        <v>0</v>
      </c>
      <c r="H53" s="25" t="str">
        <f t="shared" si="4"/>
        <v>0</v>
      </c>
      <c r="I53" s="25" t="str">
        <f t="shared" si="5"/>
        <v>0</v>
      </c>
      <c r="J53" s="25">
        <f t="shared" si="6"/>
        <v>1</v>
      </c>
      <c r="K53" s="25" t="str">
        <f t="shared" si="7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1"/>
        <v>0</v>
      </c>
      <c r="F54" s="25">
        <f t="shared" si="2"/>
        <v>1</v>
      </c>
      <c r="G54" s="25" t="str">
        <f t="shared" si="3"/>
        <v>0</v>
      </c>
      <c r="H54" s="25" t="str">
        <f t="shared" si="4"/>
        <v>0</v>
      </c>
      <c r="I54" s="25" t="str">
        <f t="shared" si="5"/>
        <v>0</v>
      </c>
      <c r="J54" s="25">
        <f t="shared" si="6"/>
        <v>1</v>
      </c>
      <c r="K54" s="25" t="str">
        <f t="shared" si="7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1"/>
        <v>0</v>
      </c>
      <c r="F55" s="25">
        <f t="shared" si="2"/>
        <v>1</v>
      </c>
      <c r="G55" s="25" t="str">
        <f t="shared" si="3"/>
        <v>0</v>
      </c>
      <c r="H55" s="25" t="str">
        <f t="shared" si="4"/>
        <v>0</v>
      </c>
      <c r="I55" s="25" t="str">
        <f t="shared" si="5"/>
        <v>0</v>
      </c>
      <c r="J55" s="25">
        <f t="shared" si="6"/>
        <v>1</v>
      </c>
      <c r="K55" s="25" t="str">
        <f t="shared" si="7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1"/>
        <v>0</v>
      </c>
      <c r="F56" s="25" t="str">
        <f t="shared" si="2"/>
        <v>0</v>
      </c>
      <c r="G56" s="25">
        <f t="shared" si="3"/>
        <v>1</v>
      </c>
      <c r="H56" s="25" t="str">
        <f t="shared" si="4"/>
        <v>0</v>
      </c>
      <c r="I56" s="25" t="str">
        <f t="shared" si="5"/>
        <v>0</v>
      </c>
      <c r="J56" s="25">
        <f t="shared" si="6"/>
        <v>1</v>
      </c>
      <c r="K56" s="25" t="str">
        <f t="shared" si="7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1"/>
        <v>0</v>
      </c>
      <c r="F57" s="25" t="str">
        <f t="shared" si="2"/>
        <v>0</v>
      </c>
      <c r="G57" s="25">
        <f t="shared" si="3"/>
        <v>1</v>
      </c>
      <c r="H57" s="25" t="str">
        <f t="shared" si="4"/>
        <v>0</v>
      </c>
      <c r="I57" s="25" t="str">
        <f t="shared" si="5"/>
        <v>0</v>
      </c>
      <c r="J57" s="25">
        <f t="shared" si="6"/>
        <v>1</v>
      </c>
      <c r="K57" s="25" t="str">
        <f t="shared" si="7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1"/>
        <v>0</v>
      </c>
      <c r="F58" s="25" t="str">
        <f t="shared" si="2"/>
        <v>0</v>
      </c>
      <c r="G58" s="25">
        <f t="shared" si="3"/>
        <v>1</v>
      </c>
      <c r="H58" s="25" t="str">
        <f t="shared" si="4"/>
        <v>0</v>
      </c>
      <c r="I58" s="25" t="str">
        <f t="shared" si="5"/>
        <v>0</v>
      </c>
      <c r="J58" s="25">
        <f t="shared" si="6"/>
        <v>1</v>
      </c>
      <c r="K58" s="25" t="str">
        <f t="shared" si="7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1"/>
        <v>0</v>
      </c>
      <c r="F59" s="25" t="str">
        <f t="shared" si="2"/>
        <v>0</v>
      </c>
      <c r="G59" s="25">
        <f t="shared" si="3"/>
        <v>1</v>
      </c>
      <c r="H59" s="25" t="str">
        <f t="shared" si="4"/>
        <v>0</v>
      </c>
      <c r="I59" s="25" t="str">
        <f t="shared" si="5"/>
        <v>0</v>
      </c>
      <c r="J59" s="25">
        <f t="shared" si="6"/>
        <v>1</v>
      </c>
      <c r="K59" s="25" t="str">
        <f t="shared" si="7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ref="E60:E83" si="8">IF(E21="X",(D21-C21),"0")</f>
        <v>0</v>
      </c>
      <c r="F60" s="25" t="str">
        <f t="shared" ref="F60:F83" si="9">IF(F21="X",(D21-C21),"0")</f>
        <v>0</v>
      </c>
      <c r="G60" s="25">
        <f t="shared" ref="G60:G83" si="10">IF(G21="X",(D21-C21),"0")</f>
        <v>1</v>
      </c>
      <c r="H60" s="25" t="str">
        <f t="shared" ref="H60:H83" si="11">IF(H21="X",(D21-C21),"0")</f>
        <v>0</v>
      </c>
      <c r="I60" s="25" t="str">
        <f t="shared" ref="I60:I83" si="12">IF(I21="X",(D21-C21),"0")</f>
        <v>0</v>
      </c>
      <c r="J60" s="25">
        <f t="shared" ref="J60:J83" si="13">IF(J21="X",(D21-C21),"0")</f>
        <v>1</v>
      </c>
      <c r="K60" s="25" t="str">
        <f t="shared" ref="K60:K83" si="14">IF(K21="X",(D21-C21),"0")</f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8"/>
        <v>0</v>
      </c>
      <c r="F61" s="25" t="str">
        <f t="shared" si="9"/>
        <v>0</v>
      </c>
      <c r="G61" s="25">
        <f t="shared" si="10"/>
        <v>1</v>
      </c>
      <c r="H61" s="25" t="str">
        <f t="shared" si="11"/>
        <v>0</v>
      </c>
      <c r="I61" s="25" t="str">
        <f t="shared" si="12"/>
        <v>0</v>
      </c>
      <c r="J61" s="25">
        <f t="shared" si="13"/>
        <v>1</v>
      </c>
      <c r="K61" s="25" t="str">
        <f t="shared" si="14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5" t="str">
        <f t="shared" si="8"/>
        <v>0</v>
      </c>
      <c r="F62" s="25" t="str">
        <f t="shared" si="9"/>
        <v>0</v>
      </c>
      <c r="G62" s="25">
        <f t="shared" si="10"/>
        <v>1</v>
      </c>
      <c r="H62" s="25" t="str">
        <f t="shared" si="11"/>
        <v>0</v>
      </c>
      <c r="I62" s="25" t="str">
        <f t="shared" si="12"/>
        <v>0</v>
      </c>
      <c r="J62" s="25">
        <f t="shared" si="13"/>
        <v>1</v>
      </c>
      <c r="K62" s="25" t="str">
        <f t="shared" si="14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5" t="str">
        <f t="shared" si="8"/>
        <v>0</v>
      </c>
      <c r="F63" s="25" t="str">
        <f t="shared" si="9"/>
        <v>0</v>
      </c>
      <c r="G63" s="25">
        <f t="shared" si="10"/>
        <v>1</v>
      </c>
      <c r="H63" s="25" t="str">
        <f t="shared" si="11"/>
        <v>0</v>
      </c>
      <c r="I63" s="25" t="str">
        <f t="shared" si="12"/>
        <v>0</v>
      </c>
      <c r="J63" s="25">
        <f t="shared" si="13"/>
        <v>1</v>
      </c>
      <c r="K63" s="25" t="str">
        <f t="shared" si="14"/>
        <v>0</v>
      </c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5" t="str">
        <f t="shared" si="8"/>
        <v>0</v>
      </c>
      <c r="F64" s="25">
        <f t="shared" si="9"/>
        <v>1</v>
      </c>
      <c r="G64" s="25" t="str">
        <f t="shared" si="10"/>
        <v>0</v>
      </c>
      <c r="H64" s="25" t="str">
        <f t="shared" si="11"/>
        <v>0</v>
      </c>
      <c r="I64" s="25" t="str">
        <f t="shared" si="12"/>
        <v>0</v>
      </c>
      <c r="J64" s="25">
        <f t="shared" si="13"/>
        <v>1</v>
      </c>
      <c r="K64" s="25" t="str">
        <f t="shared" si="14"/>
        <v>0</v>
      </c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5" t="str">
        <f t="shared" si="8"/>
        <v>0</v>
      </c>
      <c r="F65" s="25">
        <f t="shared" si="9"/>
        <v>1</v>
      </c>
      <c r="G65" s="25" t="str">
        <f t="shared" si="10"/>
        <v>0</v>
      </c>
      <c r="H65" s="25" t="str">
        <f t="shared" si="11"/>
        <v>0</v>
      </c>
      <c r="I65" s="25" t="str">
        <f t="shared" si="12"/>
        <v>0</v>
      </c>
      <c r="J65" s="25">
        <f t="shared" si="13"/>
        <v>1</v>
      </c>
      <c r="K65" s="25" t="str">
        <f t="shared" si="14"/>
        <v>0</v>
      </c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5" t="str">
        <f t="shared" si="8"/>
        <v>0</v>
      </c>
      <c r="F66" s="25">
        <f t="shared" si="9"/>
        <v>1</v>
      </c>
      <c r="G66" s="25" t="str">
        <f t="shared" si="10"/>
        <v>0</v>
      </c>
      <c r="H66" s="25" t="str">
        <f t="shared" si="11"/>
        <v>0</v>
      </c>
      <c r="I66" s="25" t="str">
        <f t="shared" si="12"/>
        <v>0</v>
      </c>
      <c r="J66" s="25">
        <f t="shared" si="13"/>
        <v>1</v>
      </c>
      <c r="K66" s="25" t="str">
        <f t="shared" si="14"/>
        <v>0</v>
      </c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5" t="str">
        <f t="shared" si="8"/>
        <v>0</v>
      </c>
      <c r="F67" s="25">
        <f t="shared" si="9"/>
        <v>1</v>
      </c>
      <c r="G67" s="25" t="str">
        <f t="shared" si="10"/>
        <v>0</v>
      </c>
      <c r="H67" s="25" t="str">
        <f t="shared" si="11"/>
        <v>0</v>
      </c>
      <c r="I67" s="25" t="str">
        <f t="shared" si="12"/>
        <v>0</v>
      </c>
      <c r="J67" s="25">
        <f t="shared" si="13"/>
        <v>1</v>
      </c>
      <c r="K67" s="25" t="str">
        <f t="shared" si="14"/>
        <v>0</v>
      </c>
      <c r="L67" s="102"/>
      <c r="M67" s="102"/>
      <c r="N67" s="102"/>
      <c r="O67" s="102"/>
      <c r="P67" s="102"/>
      <c r="Q67" s="102"/>
      <c r="R67" s="103"/>
    </row>
    <row r="68" spans="1:18" ht="41.45" customHeight="1" x14ac:dyDescent="0.25">
      <c r="A68" s="19"/>
      <c r="B68" s="3"/>
      <c r="C68" s="22"/>
      <c r="D68" s="22"/>
      <c r="E68" s="25" t="str">
        <f t="shared" si="8"/>
        <v>0</v>
      </c>
      <c r="F68" s="25">
        <f t="shared" si="9"/>
        <v>1</v>
      </c>
      <c r="G68" s="25" t="str">
        <f t="shared" si="10"/>
        <v>0</v>
      </c>
      <c r="H68" s="25" t="str">
        <f t="shared" si="11"/>
        <v>0</v>
      </c>
      <c r="I68" s="25" t="str">
        <f t="shared" si="12"/>
        <v>0</v>
      </c>
      <c r="J68" s="25">
        <f t="shared" si="13"/>
        <v>1</v>
      </c>
      <c r="K68" s="25" t="str">
        <f t="shared" si="14"/>
        <v>0</v>
      </c>
      <c r="L68" s="102"/>
      <c r="M68" s="102"/>
      <c r="N68" s="102"/>
      <c r="O68" s="102"/>
      <c r="P68" s="102"/>
      <c r="Q68" s="102"/>
      <c r="R68" s="103"/>
    </row>
    <row r="69" spans="1:18" ht="41.45" customHeight="1" x14ac:dyDescent="0.25">
      <c r="A69" s="19"/>
      <c r="B69" s="3"/>
      <c r="C69" s="22"/>
      <c r="D69" s="22"/>
      <c r="E69" s="25" t="str">
        <f t="shared" si="8"/>
        <v>0</v>
      </c>
      <c r="F69" s="25">
        <f t="shared" si="9"/>
        <v>1</v>
      </c>
      <c r="G69" s="25" t="str">
        <f t="shared" si="10"/>
        <v>0</v>
      </c>
      <c r="H69" s="25" t="str">
        <f t="shared" si="11"/>
        <v>0</v>
      </c>
      <c r="I69" s="25" t="str">
        <f t="shared" si="12"/>
        <v>0</v>
      </c>
      <c r="J69" s="25">
        <f t="shared" si="13"/>
        <v>1</v>
      </c>
      <c r="K69" s="25" t="str">
        <f t="shared" si="14"/>
        <v>0</v>
      </c>
      <c r="L69" s="102"/>
      <c r="M69" s="102"/>
      <c r="N69" s="102"/>
      <c r="O69" s="102"/>
      <c r="P69" s="102"/>
      <c r="Q69" s="102"/>
      <c r="R69" s="103"/>
    </row>
    <row r="70" spans="1:18" ht="41.45" customHeight="1" x14ac:dyDescent="0.25">
      <c r="A70" s="19"/>
      <c r="B70" s="3"/>
      <c r="C70" s="22"/>
      <c r="D70" s="22"/>
      <c r="E70" s="25" t="str">
        <f t="shared" si="8"/>
        <v>0</v>
      </c>
      <c r="F70" s="25">
        <f t="shared" si="9"/>
        <v>1</v>
      </c>
      <c r="G70" s="25" t="str">
        <f t="shared" si="10"/>
        <v>0</v>
      </c>
      <c r="H70" s="25" t="str">
        <f t="shared" si="11"/>
        <v>0</v>
      </c>
      <c r="I70" s="25" t="str">
        <f t="shared" si="12"/>
        <v>0</v>
      </c>
      <c r="J70" s="25">
        <f t="shared" si="13"/>
        <v>1</v>
      </c>
      <c r="K70" s="25" t="str">
        <f t="shared" si="14"/>
        <v>0</v>
      </c>
      <c r="L70" s="102"/>
      <c r="M70" s="102"/>
      <c r="N70" s="102"/>
      <c r="O70" s="102"/>
      <c r="P70" s="102"/>
      <c r="Q70" s="102"/>
      <c r="R70" s="103"/>
    </row>
    <row r="71" spans="1:18" ht="41.45" customHeight="1" x14ac:dyDescent="0.25">
      <c r="A71" s="19"/>
      <c r="B71" s="3"/>
      <c r="C71" s="22"/>
      <c r="D71" s="22"/>
      <c r="E71" s="25" t="str">
        <f t="shared" si="8"/>
        <v>0</v>
      </c>
      <c r="F71" s="25">
        <f t="shared" si="9"/>
        <v>1</v>
      </c>
      <c r="G71" s="25" t="str">
        <f t="shared" si="10"/>
        <v>0</v>
      </c>
      <c r="H71" s="25" t="str">
        <f t="shared" si="11"/>
        <v>0</v>
      </c>
      <c r="I71" s="25" t="str">
        <f t="shared" si="12"/>
        <v>0</v>
      </c>
      <c r="J71" s="25">
        <f t="shared" si="13"/>
        <v>1</v>
      </c>
      <c r="K71" s="25" t="str">
        <f t="shared" si="14"/>
        <v>0</v>
      </c>
      <c r="L71" s="102"/>
      <c r="M71" s="102"/>
      <c r="N71" s="102"/>
      <c r="O71" s="102"/>
      <c r="P71" s="102"/>
      <c r="Q71" s="102"/>
      <c r="R71" s="103"/>
    </row>
    <row r="72" spans="1:18" ht="41.45" customHeight="1" x14ac:dyDescent="0.25">
      <c r="A72" s="19"/>
      <c r="B72" s="3"/>
      <c r="C72" s="22"/>
      <c r="D72" s="22"/>
      <c r="E72" s="25" t="str">
        <f t="shared" si="8"/>
        <v>0</v>
      </c>
      <c r="F72" s="25">
        <f t="shared" si="9"/>
        <v>1</v>
      </c>
      <c r="G72" s="25" t="str">
        <f t="shared" si="10"/>
        <v>0</v>
      </c>
      <c r="H72" s="25" t="str">
        <f t="shared" si="11"/>
        <v>0</v>
      </c>
      <c r="I72" s="25" t="str">
        <f t="shared" si="12"/>
        <v>0</v>
      </c>
      <c r="J72" s="25">
        <f t="shared" si="13"/>
        <v>1</v>
      </c>
      <c r="K72" s="25" t="str">
        <f t="shared" si="14"/>
        <v>0</v>
      </c>
      <c r="L72" s="102"/>
      <c r="M72" s="102"/>
      <c r="N72" s="102"/>
      <c r="O72" s="102"/>
      <c r="P72" s="102"/>
      <c r="Q72" s="102"/>
      <c r="R72" s="103"/>
    </row>
    <row r="73" spans="1:18" ht="41.45" customHeight="1" x14ac:dyDescent="0.25">
      <c r="A73" s="19"/>
      <c r="B73" s="3"/>
      <c r="C73" s="22"/>
      <c r="D73" s="22"/>
      <c r="E73" s="25" t="str">
        <f t="shared" si="8"/>
        <v>0</v>
      </c>
      <c r="F73" s="25">
        <f t="shared" si="9"/>
        <v>1</v>
      </c>
      <c r="G73" s="25" t="str">
        <f t="shared" si="10"/>
        <v>0</v>
      </c>
      <c r="H73" s="25" t="str">
        <f t="shared" si="11"/>
        <v>0</v>
      </c>
      <c r="I73" s="25" t="str">
        <f t="shared" si="12"/>
        <v>0</v>
      </c>
      <c r="J73" s="25">
        <f t="shared" si="13"/>
        <v>1</v>
      </c>
      <c r="K73" s="25" t="str">
        <f t="shared" si="14"/>
        <v>0</v>
      </c>
      <c r="L73" s="102"/>
      <c r="M73" s="102"/>
      <c r="N73" s="102"/>
      <c r="O73" s="102"/>
      <c r="P73" s="102"/>
      <c r="Q73" s="102"/>
      <c r="R73" s="103"/>
    </row>
    <row r="74" spans="1:18" ht="41.45" customHeight="1" x14ac:dyDescent="0.25">
      <c r="A74" s="19"/>
      <c r="B74" s="3"/>
      <c r="C74" s="22"/>
      <c r="D74" s="22"/>
      <c r="E74" s="25" t="str">
        <f t="shared" si="8"/>
        <v>0</v>
      </c>
      <c r="F74" s="25">
        <f t="shared" si="9"/>
        <v>1</v>
      </c>
      <c r="G74" s="25" t="str">
        <f t="shared" si="10"/>
        <v>0</v>
      </c>
      <c r="H74" s="25" t="str">
        <f t="shared" si="11"/>
        <v>0</v>
      </c>
      <c r="I74" s="25" t="str">
        <f t="shared" si="12"/>
        <v>0</v>
      </c>
      <c r="J74" s="25">
        <f t="shared" si="13"/>
        <v>1</v>
      </c>
      <c r="K74" s="25" t="str">
        <f t="shared" si="14"/>
        <v>0</v>
      </c>
      <c r="L74" s="102"/>
      <c r="M74" s="102"/>
      <c r="N74" s="102"/>
      <c r="O74" s="102"/>
      <c r="P74" s="102"/>
      <c r="Q74" s="102"/>
      <c r="R74" s="103"/>
    </row>
    <row r="75" spans="1:18" ht="41.45" customHeight="1" x14ac:dyDescent="0.25">
      <c r="A75" s="19"/>
      <c r="B75" s="3"/>
      <c r="C75" s="22"/>
      <c r="D75" s="22"/>
      <c r="E75" s="25" t="str">
        <f t="shared" si="8"/>
        <v>0</v>
      </c>
      <c r="F75" s="25">
        <f t="shared" si="9"/>
        <v>1</v>
      </c>
      <c r="G75" s="25" t="str">
        <f t="shared" si="10"/>
        <v>0</v>
      </c>
      <c r="H75" s="25" t="str">
        <f t="shared" si="11"/>
        <v>0</v>
      </c>
      <c r="I75" s="25" t="str">
        <f t="shared" si="12"/>
        <v>0</v>
      </c>
      <c r="J75" s="25">
        <f t="shared" si="13"/>
        <v>1</v>
      </c>
      <c r="K75" s="25" t="str">
        <f t="shared" si="14"/>
        <v>0</v>
      </c>
      <c r="L75" s="102"/>
      <c r="M75" s="102"/>
      <c r="N75" s="102"/>
      <c r="O75" s="102"/>
      <c r="P75" s="102"/>
      <c r="Q75" s="102"/>
      <c r="R75" s="103"/>
    </row>
    <row r="76" spans="1:18" ht="41.45" customHeight="1" x14ac:dyDescent="0.25">
      <c r="A76" s="19"/>
      <c r="B76" s="3"/>
      <c r="C76" s="22"/>
      <c r="D76" s="22"/>
      <c r="E76" s="25" t="str">
        <f t="shared" si="8"/>
        <v>0</v>
      </c>
      <c r="F76" s="25">
        <f t="shared" si="9"/>
        <v>1</v>
      </c>
      <c r="G76" s="25" t="str">
        <f t="shared" si="10"/>
        <v>0</v>
      </c>
      <c r="H76" s="25" t="str">
        <f t="shared" si="11"/>
        <v>0</v>
      </c>
      <c r="I76" s="25" t="str">
        <f t="shared" si="12"/>
        <v>0</v>
      </c>
      <c r="J76" s="25">
        <f t="shared" si="13"/>
        <v>1</v>
      </c>
      <c r="K76" s="25" t="str">
        <f t="shared" si="14"/>
        <v>0</v>
      </c>
      <c r="L76" s="102"/>
      <c r="M76" s="102"/>
      <c r="N76" s="102"/>
      <c r="O76" s="102"/>
      <c r="P76" s="102"/>
      <c r="Q76" s="102"/>
      <c r="R76" s="103"/>
    </row>
    <row r="77" spans="1:18" ht="41.45" customHeight="1" x14ac:dyDescent="0.25">
      <c r="A77" s="19"/>
      <c r="B77" s="3"/>
      <c r="C77" s="22"/>
      <c r="D77" s="22"/>
      <c r="E77" s="25" t="str">
        <f t="shared" si="8"/>
        <v>0</v>
      </c>
      <c r="F77" s="25">
        <f t="shared" si="9"/>
        <v>1</v>
      </c>
      <c r="G77" s="25" t="str">
        <f t="shared" si="10"/>
        <v>0</v>
      </c>
      <c r="H77" s="25" t="str">
        <f t="shared" si="11"/>
        <v>0</v>
      </c>
      <c r="I77" s="25" t="str">
        <f t="shared" si="12"/>
        <v>0</v>
      </c>
      <c r="J77" s="25">
        <f t="shared" si="13"/>
        <v>1</v>
      </c>
      <c r="K77" s="25" t="str">
        <f t="shared" si="14"/>
        <v>0</v>
      </c>
      <c r="L77" s="102"/>
      <c r="M77" s="102"/>
      <c r="N77" s="102"/>
      <c r="O77" s="102"/>
      <c r="P77" s="102"/>
      <c r="Q77" s="102"/>
      <c r="R77" s="103"/>
    </row>
    <row r="78" spans="1:18" ht="41.45" customHeight="1" x14ac:dyDescent="0.25">
      <c r="A78" s="19"/>
      <c r="B78" s="3"/>
      <c r="C78" s="22"/>
      <c r="D78" s="22"/>
      <c r="E78" s="25" t="str">
        <f>IF(E39="X",(D39-C39),"0")</f>
        <v>0</v>
      </c>
      <c r="F78" s="25">
        <f t="shared" si="9"/>
        <v>1</v>
      </c>
      <c r="G78" s="25" t="str">
        <f t="shared" si="10"/>
        <v>0</v>
      </c>
      <c r="H78" s="25" t="str">
        <f t="shared" si="11"/>
        <v>0</v>
      </c>
      <c r="I78" s="25" t="str">
        <f t="shared" si="12"/>
        <v>0</v>
      </c>
      <c r="J78" s="25">
        <f t="shared" si="13"/>
        <v>1</v>
      </c>
      <c r="K78" s="25" t="str">
        <f t="shared" si="14"/>
        <v>0</v>
      </c>
      <c r="L78" s="102"/>
      <c r="M78" s="102"/>
      <c r="N78" s="102"/>
      <c r="O78" s="102"/>
      <c r="P78" s="102"/>
      <c r="Q78" s="102"/>
      <c r="R78" s="103"/>
    </row>
    <row r="79" spans="1:18" ht="41.45" customHeight="1" x14ac:dyDescent="0.25">
      <c r="A79" s="19"/>
      <c r="B79" s="3"/>
      <c r="C79" s="22"/>
      <c r="D79" s="22"/>
      <c r="E79" s="25" t="str">
        <f t="shared" si="8"/>
        <v>0</v>
      </c>
      <c r="F79" s="25" t="str">
        <f t="shared" si="9"/>
        <v>0</v>
      </c>
      <c r="G79" s="25" t="str">
        <f t="shared" si="10"/>
        <v>0</v>
      </c>
      <c r="H79" s="25" t="str">
        <f t="shared" si="11"/>
        <v>0</v>
      </c>
      <c r="I79" s="25" t="str">
        <f t="shared" si="12"/>
        <v>0</v>
      </c>
      <c r="J79" s="25" t="str">
        <f t="shared" si="13"/>
        <v>0</v>
      </c>
      <c r="K79" s="25" t="str">
        <f t="shared" si="14"/>
        <v>0</v>
      </c>
      <c r="L79" s="102"/>
      <c r="M79" s="102"/>
      <c r="N79" s="102"/>
      <c r="O79" s="102"/>
      <c r="P79" s="102"/>
      <c r="Q79" s="102"/>
      <c r="R79" s="103"/>
    </row>
    <row r="80" spans="1:18" ht="41.45" customHeight="1" x14ac:dyDescent="0.25">
      <c r="A80" s="19"/>
      <c r="B80" s="3"/>
      <c r="C80" s="22"/>
      <c r="D80" s="22"/>
      <c r="E80" s="25" t="str">
        <f t="shared" si="8"/>
        <v>0</v>
      </c>
      <c r="F80" s="25" t="str">
        <f t="shared" si="9"/>
        <v>0</v>
      </c>
      <c r="G80" s="25" t="str">
        <f t="shared" si="10"/>
        <v>0</v>
      </c>
      <c r="H80" s="25" t="str">
        <f t="shared" si="11"/>
        <v>0</v>
      </c>
      <c r="I80" s="25" t="str">
        <f t="shared" si="12"/>
        <v>0</v>
      </c>
      <c r="J80" s="25" t="str">
        <f t="shared" si="13"/>
        <v>0</v>
      </c>
      <c r="K80" s="25" t="str">
        <f t="shared" si="14"/>
        <v>0</v>
      </c>
      <c r="L80" s="102"/>
      <c r="M80" s="102"/>
      <c r="N80" s="102"/>
      <c r="O80" s="102"/>
      <c r="P80" s="102"/>
      <c r="Q80" s="102"/>
      <c r="R80" s="103"/>
    </row>
    <row r="81" spans="1:18" ht="41.45" customHeight="1" x14ac:dyDescent="0.25">
      <c r="A81" s="19"/>
      <c r="B81" s="3"/>
      <c r="C81" s="22"/>
      <c r="D81" s="22"/>
      <c r="E81" s="25" t="str">
        <f t="shared" si="8"/>
        <v>0</v>
      </c>
      <c r="F81" s="25" t="str">
        <f t="shared" si="9"/>
        <v>0</v>
      </c>
      <c r="G81" s="25" t="str">
        <f t="shared" si="10"/>
        <v>0</v>
      </c>
      <c r="H81" s="25" t="str">
        <f t="shared" si="11"/>
        <v>0</v>
      </c>
      <c r="I81" s="25" t="str">
        <f t="shared" si="12"/>
        <v>0</v>
      </c>
      <c r="J81" s="25" t="str">
        <f t="shared" si="13"/>
        <v>0</v>
      </c>
      <c r="K81" s="25" t="str">
        <f t="shared" si="14"/>
        <v>0</v>
      </c>
      <c r="L81" s="102"/>
      <c r="M81" s="102"/>
      <c r="N81" s="102"/>
      <c r="O81" s="102"/>
      <c r="P81" s="102"/>
      <c r="Q81" s="102"/>
      <c r="R81" s="103"/>
    </row>
    <row r="82" spans="1:18" ht="41.45" customHeight="1" x14ac:dyDescent="0.25">
      <c r="A82" s="19"/>
      <c r="B82" s="3"/>
      <c r="C82" s="22"/>
      <c r="D82" s="22"/>
      <c r="E82" s="25" t="str">
        <f t="shared" si="8"/>
        <v>0</v>
      </c>
      <c r="F82" s="25" t="str">
        <f t="shared" si="9"/>
        <v>0</v>
      </c>
      <c r="G82" s="25" t="str">
        <f t="shared" si="10"/>
        <v>0</v>
      </c>
      <c r="H82" s="25" t="str">
        <f t="shared" si="11"/>
        <v>0</v>
      </c>
      <c r="I82" s="25" t="str">
        <f t="shared" si="12"/>
        <v>0</v>
      </c>
      <c r="J82" s="25" t="str">
        <f t="shared" si="13"/>
        <v>0</v>
      </c>
      <c r="K82" s="25" t="str">
        <f t="shared" si="14"/>
        <v>0</v>
      </c>
      <c r="L82" s="102"/>
      <c r="M82" s="102"/>
      <c r="N82" s="102"/>
      <c r="O82" s="102"/>
      <c r="P82" s="102"/>
      <c r="Q82" s="102"/>
      <c r="R82" s="103"/>
    </row>
    <row r="83" spans="1:18" ht="41.45" customHeight="1" x14ac:dyDescent="0.25">
      <c r="A83" s="19"/>
      <c r="B83" s="3"/>
      <c r="C83" s="22"/>
      <c r="D83" s="22"/>
      <c r="E83" s="25" t="str">
        <f t="shared" si="8"/>
        <v>0</v>
      </c>
      <c r="F83" s="25" t="str">
        <f t="shared" si="9"/>
        <v>0</v>
      </c>
      <c r="G83" s="25" t="str">
        <f t="shared" si="10"/>
        <v>0</v>
      </c>
      <c r="H83" s="25" t="str">
        <f t="shared" si="11"/>
        <v>0</v>
      </c>
      <c r="I83" s="25" t="str">
        <f t="shared" si="12"/>
        <v>0</v>
      </c>
      <c r="J83" s="25" t="str">
        <f t="shared" si="13"/>
        <v>0</v>
      </c>
      <c r="K83" s="25" t="str">
        <f t="shared" si="14"/>
        <v>0</v>
      </c>
      <c r="L83" s="102"/>
      <c r="M83" s="102"/>
      <c r="N83" s="102"/>
      <c r="O83" s="102"/>
      <c r="P83" s="102"/>
      <c r="Q83" s="102"/>
      <c r="R83" s="103"/>
    </row>
    <row r="84" spans="1:18" ht="41.45" customHeight="1" x14ac:dyDescent="0.25">
      <c r="A84" s="19"/>
      <c r="B84" s="3"/>
      <c r="C84" s="22"/>
      <c r="D84" s="22"/>
      <c r="E84" s="22">
        <f>SUM(E46:E83)</f>
        <v>0</v>
      </c>
      <c r="F84" s="22">
        <f t="shared" ref="F84:K84" si="15">SUM(F46:F83)</f>
        <v>25</v>
      </c>
      <c r="G84" s="22">
        <f t="shared" si="15"/>
        <v>8</v>
      </c>
      <c r="H84" s="22">
        <f t="shared" si="15"/>
        <v>0</v>
      </c>
      <c r="I84" s="22">
        <f t="shared" si="15"/>
        <v>0</v>
      </c>
      <c r="J84" s="22">
        <f t="shared" si="15"/>
        <v>33</v>
      </c>
      <c r="K84" s="22">
        <f t="shared" si="15"/>
        <v>0</v>
      </c>
      <c r="L84" s="102"/>
      <c r="M84" s="102"/>
      <c r="N84" s="102"/>
      <c r="O84" s="102"/>
      <c r="P84" s="102"/>
      <c r="Q84" s="102"/>
      <c r="R84" s="103"/>
    </row>
    <row r="85" spans="1:18" ht="41.45" customHeight="1" x14ac:dyDescent="0.25">
      <c r="A85" s="19"/>
      <c r="B85" s="3"/>
      <c r="C85" s="22"/>
      <c r="D85" s="22"/>
      <c r="E85" s="22"/>
      <c r="F85" s="21"/>
      <c r="G85" s="21"/>
      <c r="H85" s="21"/>
      <c r="I85" s="21"/>
      <c r="J85" s="21"/>
      <c r="K85" s="21"/>
      <c r="L85" s="102"/>
      <c r="M85" s="102"/>
      <c r="N85" s="102"/>
      <c r="O85" s="102"/>
      <c r="P85" s="102"/>
      <c r="Q85" s="102"/>
      <c r="R85" s="103"/>
    </row>
    <row r="86" spans="1:18" ht="41.45" customHeight="1" x14ac:dyDescent="0.25">
      <c r="A86" s="19"/>
      <c r="B86" s="3"/>
      <c r="C86" s="22"/>
      <c r="D86" s="22"/>
      <c r="E86" s="22"/>
      <c r="F86" s="21"/>
      <c r="G86" s="21"/>
      <c r="H86" s="21"/>
      <c r="I86" s="21"/>
      <c r="J86" s="21"/>
      <c r="K86" s="21"/>
      <c r="L86" s="102"/>
      <c r="M86" s="102"/>
      <c r="N86" s="102"/>
      <c r="O86" s="102"/>
      <c r="P86" s="102"/>
      <c r="Q86" s="102"/>
      <c r="R86" s="103"/>
    </row>
    <row r="87" spans="1:18" ht="41.45" customHeight="1" x14ac:dyDescent="0.25">
      <c r="A87" s="19"/>
      <c r="B87" s="3"/>
      <c r="C87" s="22"/>
      <c r="D87" s="22"/>
      <c r="E87" s="22"/>
      <c r="F87" s="21"/>
      <c r="G87" s="21"/>
      <c r="H87" s="21"/>
      <c r="I87" s="21"/>
      <c r="J87" s="21"/>
      <c r="K87" s="21"/>
      <c r="L87" s="102"/>
      <c r="M87" s="102"/>
      <c r="N87" s="102"/>
      <c r="O87" s="102"/>
      <c r="P87" s="102"/>
      <c r="Q87" s="102"/>
      <c r="R87" s="103"/>
    </row>
    <row r="88" spans="1:18" ht="41.45" customHeight="1" x14ac:dyDescent="0.25">
      <c r="A88" s="19"/>
      <c r="B88" s="3"/>
      <c r="C88" s="22"/>
      <c r="D88" s="22"/>
      <c r="E88" s="22"/>
      <c r="F88" s="21"/>
      <c r="G88" s="21"/>
      <c r="H88" s="21"/>
      <c r="I88" s="21"/>
      <c r="J88" s="21"/>
      <c r="K88" s="21"/>
      <c r="L88" s="102"/>
      <c r="M88" s="102"/>
      <c r="N88" s="102"/>
      <c r="O88" s="102"/>
      <c r="P88" s="102"/>
      <c r="Q88" s="102"/>
      <c r="R88" s="103"/>
    </row>
    <row r="89" spans="1:18" ht="41.45" customHeight="1" x14ac:dyDescent="0.25">
      <c r="A89" s="19"/>
      <c r="B89" s="3"/>
      <c r="C89" s="22"/>
      <c r="D89" s="22"/>
      <c r="E89" s="22"/>
      <c r="F89" s="21"/>
      <c r="G89" s="21"/>
      <c r="H89" s="21"/>
      <c r="I89" s="21"/>
      <c r="J89" s="21"/>
      <c r="K89" s="21"/>
      <c r="L89" s="102"/>
      <c r="M89" s="102"/>
      <c r="N89" s="102"/>
      <c r="O89" s="102"/>
      <c r="P89" s="102"/>
      <c r="Q89" s="102"/>
      <c r="R89" s="103"/>
    </row>
    <row r="90" spans="1:18" ht="41.45" customHeight="1" thickBot="1" x14ac:dyDescent="0.3">
      <c r="A90" s="20"/>
      <c r="B90" s="4"/>
      <c r="C90" s="26"/>
      <c r="D90" s="26"/>
      <c r="E90" s="26"/>
      <c r="F90" s="27"/>
      <c r="G90" s="27"/>
      <c r="H90" s="27"/>
      <c r="I90" s="27"/>
      <c r="J90" s="27"/>
      <c r="K90" s="27"/>
      <c r="L90" s="107"/>
      <c r="M90" s="107"/>
      <c r="N90" s="107"/>
      <c r="O90" s="107"/>
      <c r="P90" s="107"/>
      <c r="Q90" s="107"/>
      <c r="R90" s="108"/>
    </row>
  </sheetData>
  <mergeCells count="95">
    <mergeCell ref="L88:R88"/>
    <mergeCell ref="L89:R89"/>
    <mergeCell ref="L90:R90"/>
    <mergeCell ref="L82:R82"/>
    <mergeCell ref="L83:R83"/>
    <mergeCell ref="L84:R84"/>
    <mergeCell ref="L85:R85"/>
    <mergeCell ref="L86:R86"/>
    <mergeCell ref="L87:R87"/>
    <mergeCell ref="L81:R81"/>
    <mergeCell ref="L58:R58"/>
    <mergeCell ref="L59:R59"/>
    <mergeCell ref="L72:R72"/>
    <mergeCell ref="L73:R73"/>
    <mergeCell ref="L74:R74"/>
    <mergeCell ref="L75:R75"/>
    <mergeCell ref="L76:R76"/>
    <mergeCell ref="L77:R77"/>
    <mergeCell ref="L78:R78"/>
    <mergeCell ref="L79:R79"/>
    <mergeCell ref="L80:R80"/>
    <mergeCell ref="L64:R64"/>
    <mergeCell ref="L65:R65"/>
    <mergeCell ref="L66:R66"/>
    <mergeCell ref="L67:R67"/>
    <mergeCell ref="L44:R44"/>
    <mergeCell ref="L57:R57"/>
    <mergeCell ref="L46:R46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39:R39"/>
    <mergeCell ref="L40:R40"/>
    <mergeCell ref="L41:R41"/>
    <mergeCell ref="L42:R42"/>
    <mergeCell ref="L43:R43"/>
    <mergeCell ref="L22:R22"/>
    <mergeCell ref="L23:R23"/>
    <mergeCell ref="L24:R24"/>
    <mergeCell ref="L25:R25"/>
    <mergeCell ref="L26:R26"/>
    <mergeCell ref="L17:R17"/>
    <mergeCell ref="L18:R18"/>
    <mergeCell ref="L19:R19"/>
    <mergeCell ref="L20:R20"/>
    <mergeCell ref="L21:R21"/>
    <mergeCell ref="L12:R12"/>
    <mergeCell ref="L13:R13"/>
    <mergeCell ref="L14:R14"/>
    <mergeCell ref="L15:R15"/>
    <mergeCell ref="L16:R16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  <mergeCell ref="L27:R27"/>
    <mergeCell ref="L28:R28"/>
    <mergeCell ref="L29:R29"/>
    <mergeCell ref="L30:R30"/>
    <mergeCell ref="L31:R31"/>
    <mergeCell ref="L68:R68"/>
    <mergeCell ref="L69:R69"/>
    <mergeCell ref="L70:R70"/>
    <mergeCell ref="L71:R71"/>
    <mergeCell ref="L32:R32"/>
    <mergeCell ref="L60:R60"/>
    <mergeCell ref="L61:R61"/>
    <mergeCell ref="L62:R62"/>
    <mergeCell ref="L63:R63"/>
    <mergeCell ref="L33:R33"/>
    <mergeCell ref="L45:R45"/>
    <mergeCell ref="L34:R34"/>
    <mergeCell ref="L35:R35"/>
    <mergeCell ref="L36:R36"/>
    <mergeCell ref="L37:R37"/>
    <mergeCell ref="L38:R38"/>
  </mergeCells>
  <pageMargins left="0.511811024" right="0.511811024" top="0.78740157499999996" bottom="0.78740157499999996" header="0.31496062000000002" footer="0.31496062000000002"/>
  <pageSetup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R59"/>
  <sheetViews>
    <sheetView view="pageBreakPreview" zoomScale="40" zoomScaleNormal="10" zoomScaleSheetLayoutView="40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Trechos!E74</f>
        <v>RODOVIA TO-130 - TRECHO ENTR. TO-424 - TRECHO ENTR. TO-222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323</v>
      </c>
      <c r="B7" s="21" t="s">
        <v>20</v>
      </c>
      <c r="C7" s="22">
        <v>0</v>
      </c>
      <c r="D7" s="22">
        <v>1</v>
      </c>
      <c r="E7" s="21"/>
      <c r="F7" s="74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/>
      <c r="B8" s="21"/>
      <c r="C8" s="22">
        <f>D7</f>
        <v>1</v>
      </c>
      <c r="D8" s="22">
        <v>2</v>
      </c>
      <c r="E8" s="21"/>
      <c r="F8" s="74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>
        <f t="shared" ref="C9:C26" si="0">D8</f>
        <v>2</v>
      </c>
      <c r="D9" s="22">
        <v>3</v>
      </c>
      <c r="E9" s="21"/>
      <c r="F9" s="74" t="s">
        <v>21</v>
      </c>
      <c r="G9" s="21"/>
      <c r="H9" s="21"/>
      <c r="I9" s="21"/>
      <c r="J9" s="21" t="s">
        <v>21</v>
      </c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>
        <f t="shared" si="0"/>
        <v>3</v>
      </c>
      <c r="D10" s="22">
        <v>4</v>
      </c>
      <c r="E10" s="21"/>
      <c r="F10" s="74" t="s">
        <v>21</v>
      </c>
      <c r="G10" s="21"/>
      <c r="H10" s="21"/>
      <c r="I10" s="21"/>
      <c r="J10" s="21" t="s">
        <v>21</v>
      </c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>
        <f t="shared" si="0"/>
        <v>4</v>
      </c>
      <c r="D11" s="22">
        <v>5</v>
      </c>
      <c r="E11" s="21"/>
      <c r="F11" s="74" t="s">
        <v>21</v>
      </c>
      <c r="G11" s="21"/>
      <c r="H11" s="21"/>
      <c r="I11" s="21"/>
      <c r="J11" s="21" t="s">
        <v>21</v>
      </c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>
        <f t="shared" si="0"/>
        <v>5</v>
      </c>
      <c r="D12" s="22">
        <v>6</v>
      </c>
      <c r="E12" s="21"/>
      <c r="F12" s="74" t="s">
        <v>21</v>
      </c>
      <c r="G12" s="21"/>
      <c r="H12" s="21"/>
      <c r="I12" s="21"/>
      <c r="J12" s="21" t="s">
        <v>21</v>
      </c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>
        <f t="shared" si="0"/>
        <v>6</v>
      </c>
      <c r="D13" s="22">
        <v>7</v>
      </c>
      <c r="E13" s="21"/>
      <c r="F13" s="74" t="s">
        <v>21</v>
      </c>
      <c r="G13" s="21"/>
      <c r="H13" s="21"/>
      <c r="I13" s="21"/>
      <c r="J13" s="21" t="s">
        <v>21</v>
      </c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>
        <f t="shared" si="0"/>
        <v>7</v>
      </c>
      <c r="D14" s="22">
        <v>8</v>
      </c>
      <c r="E14" s="21"/>
      <c r="F14" s="74" t="s">
        <v>21</v>
      </c>
      <c r="G14" s="21"/>
      <c r="H14" s="21"/>
      <c r="I14" s="21"/>
      <c r="J14" s="21" t="s">
        <v>21</v>
      </c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>
        <f t="shared" si="0"/>
        <v>8</v>
      </c>
      <c r="D15" s="22">
        <v>9</v>
      </c>
      <c r="E15" s="21"/>
      <c r="F15" s="74" t="s">
        <v>21</v>
      </c>
      <c r="G15" s="21"/>
      <c r="H15" s="21"/>
      <c r="I15" s="21"/>
      <c r="J15" s="21" t="s">
        <v>21</v>
      </c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>
        <f t="shared" si="0"/>
        <v>9</v>
      </c>
      <c r="D16" s="22">
        <v>10</v>
      </c>
      <c r="E16" s="21"/>
      <c r="F16" s="74" t="s">
        <v>21</v>
      </c>
      <c r="G16" s="21"/>
      <c r="H16" s="21"/>
      <c r="I16" s="21"/>
      <c r="J16" s="21" t="s">
        <v>21</v>
      </c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>
        <f t="shared" si="0"/>
        <v>10</v>
      </c>
      <c r="D17" s="22">
        <v>11</v>
      </c>
      <c r="E17" s="21"/>
      <c r="F17" s="74" t="s">
        <v>21</v>
      </c>
      <c r="G17" s="21"/>
      <c r="H17" s="21"/>
      <c r="I17" s="21"/>
      <c r="J17" s="21" t="s">
        <v>21</v>
      </c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>
        <f t="shared" si="0"/>
        <v>11</v>
      </c>
      <c r="D18" s="22">
        <v>12</v>
      </c>
      <c r="E18" s="21"/>
      <c r="F18" s="74" t="s">
        <v>21</v>
      </c>
      <c r="G18" s="21"/>
      <c r="H18" s="21"/>
      <c r="I18" s="21"/>
      <c r="J18" s="21" t="s">
        <v>21</v>
      </c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>
        <f t="shared" si="0"/>
        <v>12</v>
      </c>
      <c r="D19" s="22">
        <v>13</v>
      </c>
      <c r="E19" s="21"/>
      <c r="F19" s="74" t="s">
        <v>21</v>
      </c>
      <c r="G19" s="21"/>
      <c r="H19" s="21"/>
      <c r="I19" s="21"/>
      <c r="J19" s="21" t="s">
        <v>21</v>
      </c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>
        <f t="shared" si="0"/>
        <v>13</v>
      </c>
      <c r="D20" s="22">
        <v>14</v>
      </c>
      <c r="E20" s="21"/>
      <c r="F20" s="74" t="s">
        <v>21</v>
      </c>
      <c r="G20" s="21"/>
      <c r="H20" s="21"/>
      <c r="I20" s="21"/>
      <c r="J20" s="21" t="s">
        <v>21</v>
      </c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>
        <f t="shared" si="0"/>
        <v>14</v>
      </c>
      <c r="D21" s="22">
        <v>15</v>
      </c>
      <c r="E21" s="21"/>
      <c r="F21" s="74" t="s">
        <v>21</v>
      </c>
      <c r="G21" s="21"/>
      <c r="H21" s="21"/>
      <c r="I21" s="21"/>
      <c r="J21" s="21" t="s">
        <v>21</v>
      </c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>
        <f t="shared" si="0"/>
        <v>15</v>
      </c>
      <c r="D22" s="22">
        <v>16</v>
      </c>
      <c r="E22" s="21"/>
      <c r="F22" s="74" t="s">
        <v>21</v>
      </c>
      <c r="G22" s="21"/>
      <c r="H22" s="21"/>
      <c r="I22" s="21"/>
      <c r="J22" s="21" t="s">
        <v>21</v>
      </c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>
        <f t="shared" si="0"/>
        <v>16</v>
      </c>
      <c r="D23" s="22">
        <v>17</v>
      </c>
      <c r="E23" s="21"/>
      <c r="F23" s="74" t="s">
        <v>21</v>
      </c>
      <c r="G23" s="21"/>
      <c r="H23" s="21"/>
      <c r="I23" s="21"/>
      <c r="J23" s="21" t="s">
        <v>21</v>
      </c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>
        <f t="shared" si="0"/>
        <v>17</v>
      </c>
      <c r="D24" s="22">
        <v>18</v>
      </c>
      <c r="E24" s="21"/>
      <c r="F24" s="74" t="s">
        <v>21</v>
      </c>
      <c r="G24" s="21"/>
      <c r="H24" s="21"/>
      <c r="I24" s="21"/>
      <c r="J24" s="21" t="s">
        <v>21</v>
      </c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>
        <f t="shared" si="0"/>
        <v>18</v>
      </c>
      <c r="D25" s="22">
        <v>19</v>
      </c>
      <c r="E25" s="21"/>
      <c r="F25" s="74" t="s">
        <v>21</v>
      </c>
      <c r="G25" s="21"/>
      <c r="H25" s="21"/>
      <c r="I25" s="21"/>
      <c r="J25" s="21" t="s">
        <v>21</v>
      </c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>
        <f t="shared" si="0"/>
        <v>19</v>
      </c>
      <c r="D26" s="22">
        <v>19.329999999999998</v>
      </c>
      <c r="E26" s="21"/>
      <c r="F26" s="74" t="s">
        <v>21</v>
      </c>
      <c r="G26" s="21"/>
      <c r="H26" s="21"/>
      <c r="I26" s="21"/>
      <c r="J26" s="21" t="s">
        <v>21</v>
      </c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23"/>
      <c r="B31" s="24"/>
      <c r="C31" s="25"/>
      <c r="D31" s="25"/>
      <c r="E31" s="25" t="str">
        <f>IF(E7="X",(D7-C7),"0")</f>
        <v>0</v>
      </c>
      <c r="F31" s="25">
        <f>IF(F7="X",(D7-C7),"0")</f>
        <v>1</v>
      </c>
      <c r="G31" s="25" t="str">
        <f>IF(G7="X",(D7-C7),"0")</f>
        <v>0</v>
      </c>
      <c r="H31" s="25" t="str">
        <f>IF(H7="X",(D7-C7),"0")</f>
        <v>0</v>
      </c>
      <c r="I31" s="25" t="str">
        <f>IF(I7="X",(D7-C7),"0")</f>
        <v>0</v>
      </c>
      <c r="J31" s="25">
        <f>IF(J7="X",(D7-C7),"0")</f>
        <v>1</v>
      </c>
      <c r="K31" s="25" t="str">
        <f>IF(K7="X",(D7-C7),"0")</f>
        <v>0</v>
      </c>
      <c r="L31" s="104"/>
      <c r="M31" s="105"/>
      <c r="N31" s="105"/>
      <c r="O31" s="105"/>
      <c r="P31" s="105"/>
      <c r="Q31" s="105"/>
      <c r="R31" s="106"/>
    </row>
    <row r="32" spans="1:18" ht="41.45" customHeight="1" x14ac:dyDescent="0.25">
      <c r="A32" s="19"/>
      <c r="B32" s="3"/>
      <c r="C32" s="22"/>
      <c r="D32" s="22"/>
      <c r="E32" s="25" t="str">
        <f t="shared" ref="E32:E52" si="1">IF(E8="X",(D8-C8),"0")</f>
        <v>0</v>
      </c>
      <c r="F32" s="25">
        <f t="shared" ref="F32:F52" si="2">IF(F8="X",(D8-C8),"0")</f>
        <v>1</v>
      </c>
      <c r="G32" s="25" t="str">
        <f t="shared" ref="G32:G52" si="3">IF(G8="X",(D8-C8),"0")</f>
        <v>0</v>
      </c>
      <c r="H32" s="25" t="str">
        <f t="shared" ref="H32:H52" si="4">IF(H8="X",(D8-C8),"0")</f>
        <v>0</v>
      </c>
      <c r="I32" s="25" t="str">
        <f t="shared" ref="I32:I52" si="5">IF(I8="X",(D8-C8),"0")</f>
        <v>0</v>
      </c>
      <c r="J32" s="25">
        <f t="shared" ref="J32:J52" si="6">IF(J8="X",(D8-C8),"0")</f>
        <v>1</v>
      </c>
      <c r="K32" s="25" t="str">
        <f t="shared" ref="K32:K52" si="7">IF(K8="X",(D8-C8),"0")</f>
        <v>0</v>
      </c>
      <c r="L32" s="102"/>
      <c r="M32" s="102"/>
      <c r="N32" s="102"/>
      <c r="O32" s="102"/>
      <c r="P32" s="102"/>
      <c r="Q32" s="102"/>
      <c r="R32" s="103"/>
    </row>
    <row r="33" spans="1:18" ht="41.45" customHeight="1" x14ac:dyDescent="0.25">
      <c r="A33" s="19"/>
      <c r="B33" s="3"/>
      <c r="C33" s="22"/>
      <c r="D33" s="22"/>
      <c r="E33" s="25" t="str">
        <f t="shared" si="1"/>
        <v>0</v>
      </c>
      <c r="F33" s="25">
        <f t="shared" si="2"/>
        <v>1</v>
      </c>
      <c r="G33" s="25" t="str">
        <f t="shared" si="3"/>
        <v>0</v>
      </c>
      <c r="H33" s="25" t="str">
        <f t="shared" si="4"/>
        <v>0</v>
      </c>
      <c r="I33" s="25" t="str">
        <f t="shared" si="5"/>
        <v>0</v>
      </c>
      <c r="J33" s="25">
        <f t="shared" si="6"/>
        <v>1</v>
      </c>
      <c r="K33" s="25" t="str">
        <f t="shared" si="7"/>
        <v>0</v>
      </c>
      <c r="L33" s="102"/>
      <c r="M33" s="102"/>
      <c r="N33" s="102"/>
      <c r="O33" s="102"/>
      <c r="P33" s="102"/>
      <c r="Q33" s="102"/>
      <c r="R33" s="103"/>
    </row>
    <row r="34" spans="1:18" ht="41.45" customHeight="1" x14ac:dyDescent="0.25">
      <c r="A34" s="19"/>
      <c r="B34" s="3"/>
      <c r="C34" s="22"/>
      <c r="D34" s="22"/>
      <c r="E34" s="25" t="str">
        <f t="shared" si="1"/>
        <v>0</v>
      </c>
      <c r="F34" s="25">
        <f t="shared" si="2"/>
        <v>1</v>
      </c>
      <c r="G34" s="25" t="str">
        <f t="shared" si="3"/>
        <v>0</v>
      </c>
      <c r="H34" s="25" t="str">
        <f t="shared" si="4"/>
        <v>0</v>
      </c>
      <c r="I34" s="25" t="str">
        <f t="shared" si="5"/>
        <v>0</v>
      </c>
      <c r="J34" s="25">
        <f t="shared" si="6"/>
        <v>1</v>
      </c>
      <c r="K34" s="25" t="str">
        <f t="shared" si="7"/>
        <v>0</v>
      </c>
      <c r="L34" s="102"/>
      <c r="M34" s="102"/>
      <c r="N34" s="102"/>
      <c r="O34" s="102"/>
      <c r="P34" s="102"/>
      <c r="Q34" s="102"/>
      <c r="R34" s="103"/>
    </row>
    <row r="35" spans="1:18" ht="41.45" customHeight="1" x14ac:dyDescent="0.25">
      <c r="A35" s="19"/>
      <c r="B35" s="3"/>
      <c r="C35" s="22"/>
      <c r="D35" s="22"/>
      <c r="E35" s="25" t="str">
        <f t="shared" si="1"/>
        <v>0</v>
      </c>
      <c r="F35" s="25">
        <f t="shared" si="2"/>
        <v>1</v>
      </c>
      <c r="G35" s="25" t="str">
        <f t="shared" si="3"/>
        <v>0</v>
      </c>
      <c r="H35" s="25" t="str">
        <f t="shared" si="4"/>
        <v>0</v>
      </c>
      <c r="I35" s="25" t="str">
        <f t="shared" si="5"/>
        <v>0</v>
      </c>
      <c r="J35" s="25">
        <f t="shared" si="6"/>
        <v>1</v>
      </c>
      <c r="K35" s="25" t="str">
        <f t="shared" si="7"/>
        <v>0</v>
      </c>
      <c r="L35" s="102"/>
      <c r="M35" s="102"/>
      <c r="N35" s="102"/>
      <c r="O35" s="102"/>
      <c r="P35" s="102"/>
      <c r="Q35" s="102"/>
      <c r="R35" s="103"/>
    </row>
    <row r="36" spans="1:18" ht="41.45" customHeight="1" x14ac:dyDescent="0.25">
      <c r="A36" s="19"/>
      <c r="B36" s="3"/>
      <c r="C36" s="22"/>
      <c r="D36" s="22"/>
      <c r="E36" s="25" t="str">
        <f t="shared" si="1"/>
        <v>0</v>
      </c>
      <c r="F36" s="25">
        <f t="shared" si="2"/>
        <v>1</v>
      </c>
      <c r="G36" s="25" t="str">
        <f t="shared" si="3"/>
        <v>0</v>
      </c>
      <c r="H36" s="25" t="str">
        <f t="shared" si="4"/>
        <v>0</v>
      </c>
      <c r="I36" s="25" t="str">
        <f t="shared" si="5"/>
        <v>0</v>
      </c>
      <c r="J36" s="25">
        <f t="shared" si="6"/>
        <v>1</v>
      </c>
      <c r="K36" s="25" t="str">
        <f t="shared" si="7"/>
        <v>0</v>
      </c>
      <c r="L36" s="102"/>
      <c r="M36" s="102"/>
      <c r="N36" s="102"/>
      <c r="O36" s="102"/>
      <c r="P36" s="102"/>
      <c r="Q36" s="102"/>
      <c r="R36" s="103"/>
    </row>
    <row r="37" spans="1:18" ht="41.45" customHeight="1" x14ac:dyDescent="0.25">
      <c r="A37" s="19"/>
      <c r="B37" s="3"/>
      <c r="C37" s="22"/>
      <c r="D37" s="22"/>
      <c r="E37" s="25" t="str">
        <f t="shared" si="1"/>
        <v>0</v>
      </c>
      <c r="F37" s="25">
        <f t="shared" si="2"/>
        <v>1</v>
      </c>
      <c r="G37" s="25" t="str">
        <f t="shared" si="3"/>
        <v>0</v>
      </c>
      <c r="H37" s="25" t="str">
        <f t="shared" si="4"/>
        <v>0</v>
      </c>
      <c r="I37" s="25" t="str">
        <f t="shared" si="5"/>
        <v>0</v>
      </c>
      <c r="J37" s="25">
        <f t="shared" si="6"/>
        <v>1</v>
      </c>
      <c r="K37" s="25" t="str">
        <f t="shared" si="7"/>
        <v>0</v>
      </c>
      <c r="L37" s="102"/>
      <c r="M37" s="102"/>
      <c r="N37" s="102"/>
      <c r="O37" s="102"/>
      <c r="P37" s="102"/>
      <c r="Q37" s="102"/>
      <c r="R37" s="103"/>
    </row>
    <row r="38" spans="1:18" ht="41.45" customHeight="1" x14ac:dyDescent="0.25">
      <c r="A38" s="19"/>
      <c r="B38" s="3"/>
      <c r="C38" s="22"/>
      <c r="D38" s="22"/>
      <c r="E38" s="25" t="str">
        <f t="shared" si="1"/>
        <v>0</v>
      </c>
      <c r="F38" s="25">
        <f t="shared" si="2"/>
        <v>1</v>
      </c>
      <c r="G38" s="25" t="str">
        <f t="shared" si="3"/>
        <v>0</v>
      </c>
      <c r="H38" s="25" t="str">
        <f t="shared" si="4"/>
        <v>0</v>
      </c>
      <c r="I38" s="25" t="str">
        <f t="shared" si="5"/>
        <v>0</v>
      </c>
      <c r="J38" s="25">
        <f t="shared" si="6"/>
        <v>1</v>
      </c>
      <c r="K38" s="25" t="str">
        <f t="shared" si="7"/>
        <v>0</v>
      </c>
      <c r="L38" s="102"/>
      <c r="M38" s="102"/>
      <c r="N38" s="102"/>
      <c r="O38" s="102"/>
      <c r="P38" s="102"/>
      <c r="Q38" s="102"/>
      <c r="R38" s="103"/>
    </row>
    <row r="39" spans="1:18" ht="41.45" customHeight="1" x14ac:dyDescent="0.25">
      <c r="A39" s="19"/>
      <c r="B39" s="3"/>
      <c r="C39" s="22"/>
      <c r="D39" s="22"/>
      <c r="E39" s="25" t="str">
        <f t="shared" si="1"/>
        <v>0</v>
      </c>
      <c r="F39" s="25">
        <f t="shared" si="2"/>
        <v>1</v>
      </c>
      <c r="G39" s="25" t="str">
        <f t="shared" si="3"/>
        <v>0</v>
      </c>
      <c r="H39" s="25" t="str">
        <f t="shared" si="4"/>
        <v>0</v>
      </c>
      <c r="I39" s="25" t="str">
        <f t="shared" si="5"/>
        <v>0</v>
      </c>
      <c r="J39" s="25">
        <f t="shared" si="6"/>
        <v>1</v>
      </c>
      <c r="K39" s="25" t="str">
        <f t="shared" si="7"/>
        <v>0</v>
      </c>
      <c r="L39" s="102"/>
      <c r="M39" s="102"/>
      <c r="N39" s="102"/>
      <c r="O39" s="102"/>
      <c r="P39" s="102"/>
      <c r="Q39" s="102"/>
      <c r="R39" s="103"/>
    </row>
    <row r="40" spans="1:18" ht="41.45" customHeight="1" x14ac:dyDescent="0.25">
      <c r="A40" s="19"/>
      <c r="B40" s="3"/>
      <c r="C40" s="22"/>
      <c r="D40" s="22"/>
      <c r="E40" s="25" t="str">
        <f t="shared" si="1"/>
        <v>0</v>
      </c>
      <c r="F40" s="25">
        <f t="shared" si="2"/>
        <v>1</v>
      </c>
      <c r="G40" s="25" t="str">
        <f t="shared" si="3"/>
        <v>0</v>
      </c>
      <c r="H40" s="25" t="str">
        <f t="shared" si="4"/>
        <v>0</v>
      </c>
      <c r="I40" s="25" t="str">
        <f t="shared" si="5"/>
        <v>0</v>
      </c>
      <c r="J40" s="25">
        <f t="shared" si="6"/>
        <v>1</v>
      </c>
      <c r="K40" s="25" t="str">
        <f t="shared" si="7"/>
        <v>0</v>
      </c>
      <c r="L40" s="102"/>
      <c r="M40" s="102"/>
      <c r="N40" s="102"/>
      <c r="O40" s="102"/>
      <c r="P40" s="102"/>
      <c r="Q40" s="102"/>
      <c r="R40" s="103"/>
    </row>
    <row r="41" spans="1:18" ht="41.45" customHeight="1" x14ac:dyDescent="0.25">
      <c r="A41" s="19"/>
      <c r="B41" s="3"/>
      <c r="C41" s="22"/>
      <c r="D41" s="22"/>
      <c r="E41" s="25" t="str">
        <f t="shared" si="1"/>
        <v>0</v>
      </c>
      <c r="F41" s="25">
        <f t="shared" si="2"/>
        <v>1</v>
      </c>
      <c r="G41" s="25" t="str">
        <f t="shared" si="3"/>
        <v>0</v>
      </c>
      <c r="H41" s="25" t="str">
        <f t="shared" si="4"/>
        <v>0</v>
      </c>
      <c r="I41" s="25" t="str">
        <f t="shared" si="5"/>
        <v>0</v>
      </c>
      <c r="J41" s="25">
        <f t="shared" si="6"/>
        <v>1</v>
      </c>
      <c r="K41" s="25" t="str">
        <f t="shared" si="7"/>
        <v>0</v>
      </c>
      <c r="L41" s="102"/>
      <c r="M41" s="102"/>
      <c r="N41" s="102"/>
      <c r="O41" s="102"/>
      <c r="P41" s="102"/>
      <c r="Q41" s="102"/>
      <c r="R41" s="103"/>
    </row>
    <row r="42" spans="1:18" ht="41.45" customHeight="1" x14ac:dyDescent="0.25">
      <c r="A42" s="19"/>
      <c r="B42" s="3"/>
      <c r="C42" s="22"/>
      <c r="D42" s="22"/>
      <c r="E42" s="25" t="str">
        <f t="shared" si="1"/>
        <v>0</v>
      </c>
      <c r="F42" s="25">
        <f t="shared" si="2"/>
        <v>1</v>
      </c>
      <c r="G42" s="25" t="str">
        <f t="shared" si="3"/>
        <v>0</v>
      </c>
      <c r="H42" s="25" t="str">
        <f t="shared" si="4"/>
        <v>0</v>
      </c>
      <c r="I42" s="25" t="str">
        <f t="shared" si="5"/>
        <v>0</v>
      </c>
      <c r="J42" s="25">
        <f t="shared" si="6"/>
        <v>1</v>
      </c>
      <c r="K42" s="25" t="str">
        <f t="shared" si="7"/>
        <v>0</v>
      </c>
      <c r="L42" s="102"/>
      <c r="M42" s="102"/>
      <c r="N42" s="102"/>
      <c r="O42" s="102"/>
      <c r="P42" s="102"/>
      <c r="Q42" s="102"/>
      <c r="R42" s="103"/>
    </row>
    <row r="43" spans="1:18" ht="41.45" customHeight="1" x14ac:dyDescent="0.25">
      <c r="A43" s="19"/>
      <c r="B43" s="3"/>
      <c r="C43" s="22"/>
      <c r="D43" s="22"/>
      <c r="E43" s="25" t="str">
        <f t="shared" si="1"/>
        <v>0</v>
      </c>
      <c r="F43" s="25">
        <f t="shared" si="2"/>
        <v>1</v>
      </c>
      <c r="G43" s="25" t="str">
        <f t="shared" si="3"/>
        <v>0</v>
      </c>
      <c r="H43" s="25" t="str">
        <f t="shared" si="4"/>
        <v>0</v>
      </c>
      <c r="I43" s="25" t="str">
        <f t="shared" si="5"/>
        <v>0</v>
      </c>
      <c r="J43" s="25">
        <f t="shared" si="6"/>
        <v>1</v>
      </c>
      <c r="K43" s="25" t="str">
        <f t="shared" si="7"/>
        <v>0</v>
      </c>
      <c r="L43" s="102"/>
      <c r="M43" s="102"/>
      <c r="N43" s="102"/>
      <c r="O43" s="102"/>
      <c r="P43" s="102"/>
      <c r="Q43" s="102"/>
      <c r="R43" s="103"/>
    </row>
    <row r="44" spans="1:18" ht="41.45" customHeight="1" x14ac:dyDescent="0.25">
      <c r="A44" s="19"/>
      <c r="B44" s="3"/>
      <c r="C44" s="22"/>
      <c r="D44" s="22"/>
      <c r="E44" s="25" t="str">
        <f t="shared" si="1"/>
        <v>0</v>
      </c>
      <c r="F44" s="25">
        <f t="shared" si="2"/>
        <v>1</v>
      </c>
      <c r="G44" s="25" t="str">
        <f t="shared" si="3"/>
        <v>0</v>
      </c>
      <c r="H44" s="25" t="str">
        <f t="shared" si="4"/>
        <v>0</v>
      </c>
      <c r="I44" s="25" t="str">
        <f t="shared" si="5"/>
        <v>0</v>
      </c>
      <c r="J44" s="25">
        <f t="shared" si="6"/>
        <v>1</v>
      </c>
      <c r="K44" s="25" t="str">
        <f t="shared" si="7"/>
        <v>0</v>
      </c>
      <c r="L44" s="102"/>
      <c r="M44" s="102"/>
      <c r="N44" s="102"/>
      <c r="O44" s="102"/>
      <c r="P44" s="102"/>
      <c r="Q44" s="102"/>
      <c r="R44" s="103"/>
    </row>
    <row r="45" spans="1:18" ht="41.45" customHeight="1" x14ac:dyDescent="0.25">
      <c r="A45" s="19"/>
      <c r="B45" s="3"/>
      <c r="C45" s="22"/>
      <c r="D45" s="22"/>
      <c r="E45" s="25" t="str">
        <f t="shared" si="1"/>
        <v>0</v>
      </c>
      <c r="F45" s="25">
        <f t="shared" si="2"/>
        <v>1</v>
      </c>
      <c r="G45" s="25" t="str">
        <f t="shared" si="3"/>
        <v>0</v>
      </c>
      <c r="H45" s="25" t="str">
        <f t="shared" si="4"/>
        <v>0</v>
      </c>
      <c r="I45" s="25" t="str">
        <f t="shared" si="5"/>
        <v>0</v>
      </c>
      <c r="J45" s="25">
        <f t="shared" si="6"/>
        <v>1</v>
      </c>
      <c r="K45" s="25" t="str">
        <f t="shared" si="7"/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1"/>
        <v>0</v>
      </c>
      <c r="F46" s="25">
        <f t="shared" si="2"/>
        <v>1</v>
      </c>
      <c r="G46" s="25" t="str">
        <f t="shared" si="3"/>
        <v>0</v>
      </c>
      <c r="H46" s="25" t="str">
        <f t="shared" si="4"/>
        <v>0</v>
      </c>
      <c r="I46" s="25" t="str">
        <f t="shared" si="5"/>
        <v>0</v>
      </c>
      <c r="J46" s="25">
        <f t="shared" si="6"/>
        <v>1</v>
      </c>
      <c r="K46" s="25" t="str">
        <f t="shared" si="7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1"/>
        <v>0</v>
      </c>
      <c r="F47" s="25">
        <f t="shared" si="2"/>
        <v>1</v>
      </c>
      <c r="G47" s="25" t="str">
        <f t="shared" si="3"/>
        <v>0</v>
      </c>
      <c r="H47" s="25" t="str">
        <f t="shared" si="4"/>
        <v>0</v>
      </c>
      <c r="I47" s="25" t="str">
        <f t="shared" si="5"/>
        <v>0</v>
      </c>
      <c r="J47" s="25">
        <f t="shared" si="6"/>
        <v>1</v>
      </c>
      <c r="K47" s="25" t="str">
        <f t="shared" si="7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1"/>
        <v>0</v>
      </c>
      <c r="F48" s="25">
        <f t="shared" si="2"/>
        <v>1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>
        <f t="shared" si="6"/>
        <v>1</v>
      </c>
      <c r="K48" s="25" t="str">
        <f t="shared" si="7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1"/>
        <v>0</v>
      </c>
      <c r="F49" s="25">
        <f t="shared" si="2"/>
        <v>1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>
        <f t="shared" si="6"/>
        <v>1</v>
      </c>
      <c r="K49" s="25" t="str">
        <f t="shared" si="7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>IF(E26="X",(D26-C26),"0")</f>
        <v>0</v>
      </c>
      <c r="F50" s="25">
        <f t="shared" si="2"/>
        <v>0.32999999999999829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>
        <f t="shared" si="6"/>
        <v>0.32999999999999829</v>
      </c>
      <c r="K50" s="25" t="str">
        <f t="shared" si="7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1"/>
        <v>0</v>
      </c>
      <c r="F51" s="25" t="str">
        <f t="shared" si="2"/>
        <v>0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 t="str">
        <f t="shared" si="6"/>
        <v>0</v>
      </c>
      <c r="K51" s="25" t="str">
        <f t="shared" si="7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1"/>
        <v>0</v>
      </c>
      <c r="F52" s="25" t="str">
        <f t="shared" si="2"/>
        <v>0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 t="str">
        <f t="shared" si="6"/>
        <v>0</v>
      </c>
      <c r="K52" s="25" t="str">
        <f t="shared" si="7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2">
        <f t="shared" ref="E53:K53" si="8">SUM(E31:E52)</f>
        <v>0</v>
      </c>
      <c r="F53" s="22">
        <f t="shared" si="8"/>
        <v>19.329999999999998</v>
      </c>
      <c r="G53" s="22">
        <f t="shared" si="8"/>
        <v>0</v>
      </c>
      <c r="H53" s="22">
        <f t="shared" si="8"/>
        <v>0</v>
      </c>
      <c r="I53" s="22">
        <f t="shared" si="8"/>
        <v>0</v>
      </c>
      <c r="J53" s="22">
        <f t="shared" si="8"/>
        <v>19.329999999999998</v>
      </c>
      <c r="K53" s="22">
        <f t="shared" si="8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2"/>
      <c r="F54" s="21"/>
      <c r="G54" s="21"/>
      <c r="H54" s="21"/>
      <c r="I54" s="21"/>
      <c r="J54" s="21"/>
      <c r="K54" s="21"/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2"/>
      <c r="F55" s="21"/>
      <c r="G55" s="21"/>
      <c r="H55" s="21"/>
      <c r="I55" s="21"/>
      <c r="J55" s="21"/>
      <c r="K55" s="21"/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2"/>
      <c r="F56" s="21"/>
      <c r="G56" s="21"/>
      <c r="H56" s="21"/>
      <c r="I56" s="21"/>
      <c r="J56" s="21"/>
      <c r="K56" s="21"/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2"/>
      <c r="F57" s="21"/>
      <c r="G57" s="21"/>
      <c r="H57" s="21"/>
      <c r="I57" s="21"/>
      <c r="J57" s="21"/>
      <c r="K57" s="21"/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2"/>
      <c r="F58" s="21"/>
      <c r="G58" s="21"/>
      <c r="H58" s="21"/>
      <c r="I58" s="21"/>
      <c r="J58" s="21"/>
      <c r="K58" s="21"/>
      <c r="L58" s="102"/>
      <c r="M58" s="102"/>
      <c r="N58" s="102"/>
      <c r="O58" s="102"/>
      <c r="P58" s="102"/>
      <c r="Q58" s="102"/>
      <c r="R58" s="103"/>
    </row>
    <row r="59" spans="1:18" ht="41.45" customHeight="1" thickBot="1" x14ac:dyDescent="0.3">
      <c r="A59" s="20"/>
      <c r="B59" s="4"/>
      <c r="C59" s="26"/>
      <c r="D59" s="26"/>
      <c r="E59" s="26"/>
      <c r="F59" s="27"/>
      <c r="G59" s="27"/>
      <c r="H59" s="27"/>
      <c r="I59" s="27"/>
      <c r="J59" s="27"/>
      <c r="K59" s="27"/>
      <c r="L59" s="107"/>
      <c r="M59" s="107"/>
      <c r="N59" s="107"/>
      <c r="O59" s="107"/>
      <c r="P59" s="107"/>
      <c r="Q59" s="107"/>
      <c r="R59" s="108"/>
    </row>
  </sheetData>
  <mergeCells count="64">
    <mergeCell ref="L26:R26"/>
    <mergeCell ref="L27:R27"/>
    <mergeCell ref="L57:R57"/>
    <mergeCell ref="L43:R43"/>
    <mergeCell ref="L44:R44"/>
    <mergeCell ref="L45:R45"/>
    <mergeCell ref="L46:R46"/>
    <mergeCell ref="L47:R47"/>
    <mergeCell ref="L48:R48"/>
    <mergeCell ref="L49:R49"/>
    <mergeCell ref="L50:R50"/>
    <mergeCell ref="L51:R51"/>
    <mergeCell ref="L42:R42"/>
    <mergeCell ref="L31:R31"/>
    <mergeCell ref="L32:R32"/>
    <mergeCell ref="L38:R38"/>
    <mergeCell ref="L58:R58"/>
    <mergeCell ref="L59:R59"/>
    <mergeCell ref="L52:R52"/>
    <mergeCell ref="L53:R53"/>
    <mergeCell ref="L54:R54"/>
    <mergeCell ref="L55:R55"/>
    <mergeCell ref="L56:R56"/>
    <mergeCell ref="L39:R39"/>
    <mergeCell ref="L40:R40"/>
    <mergeCell ref="L41:R41"/>
    <mergeCell ref="L30:R30"/>
    <mergeCell ref="L33:R33"/>
    <mergeCell ref="L34:R34"/>
    <mergeCell ref="L35:R35"/>
    <mergeCell ref="L36:R36"/>
    <mergeCell ref="L37:R37"/>
    <mergeCell ref="L28:R28"/>
    <mergeCell ref="L29:R29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4:R24"/>
    <mergeCell ref="L25:R2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paperSize="9" scale="16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R95"/>
  <sheetViews>
    <sheetView view="pageBreakPreview" zoomScale="40" zoomScaleNormal="10" zoomScaleSheetLayoutView="40" workbookViewId="0">
      <pane ySplit="6" topLeftCell="A7" activePane="bottomLeft" state="frozen"/>
      <selection activeCell="J3" sqref="J3"/>
      <selection pane="bottomLeft"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36" t="str">
        <f>TT!C8</f>
        <v>RODOVIA TO-226 - TRECHO NOVA OLINDA - ENTR. TO-010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328</v>
      </c>
      <c r="B7" s="21" t="s">
        <v>358</v>
      </c>
      <c r="C7" s="22">
        <v>0</v>
      </c>
      <c r="D7" s="22">
        <v>6.3</v>
      </c>
      <c r="E7" s="21"/>
      <c r="F7" s="21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 t="s">
        <v>328</v>
      </c>
      <c r="B8" s="21" t="s">
        <v>358</v>
      </c>
      <c r="C8" s="22">
        <f>D7</f>
        <v>6.3</v>
      </c>
      <c r="D8" s="22">
        <v>6.4</v>
      </c>
      <c r="E8" s="21"/>
      <c r="F8" s="21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 t="s">
        <v>328</v>
      </c>
      <c r="B9" s="21" t="s">
        <v>358</v>
      </c>
      <c r="C9" s="22">
        <f t="shared" ref="C9:C17" si="0">D8</f>
        <v>6.4</v>
      </c>
      <c r="D9" s="22">
        <v>7</v>
      </c>
      <c r="E9" s="21"/>
      <c r="F9" s="21" t="s">
        <v>21</v>
      </c>
      <c r="G9" s="21"/>
      <c r="H9" s="21"/>
      <c r="I9" s="21"/>
      <c r="J9" s="21" t="s">
        <v>21</v>
      </c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 t="s">
        <v>328</v>
      </c>
      <c r="B10" s="21" t="s">
        <v>358</v>
      </c>
      <c r="C10" s="22">
        <f t="shared" si="0"/>
        <v>7</v>
      </c>
      <c r="D10" s="22">
        <v>7.1</v>
      </c>
      <c r="E10" s="21"/>
      <c r="F10" s="21" t="s">
        <v>21</v>
      </c>
      <c r="G10" s="21"/>
      <c r="H10" s="21"/>
      <c r="I10" s="21"/>
      <c r="J10" s="21" t="s">
        <v>21</v>
      </c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 t="s">
        <v>328</v>
      </c>
      <c r="B11" s="21" t="s">
        <v>358</v>
      </c>
      <c r="C11" s="22">
        <f t="shared" si="0"/>
        <v>7.1</v>
      </c>
      <c r="D11" s="22">
        <v>9.6999999999999993</v>
      </c>
      <c r="E11" s="21"/>
      <c r="F11" s="21" t="s">
        <v>21</v>
      </c>
      <c r="G11" s="21"/>
      <c r="H11" s="21"/>
      <c r="I11" s="21"/>
      <c r="J11" s="21" t="s">
        <v>21</v>
      </c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 t="s">
        <v>328</v>
      </c>
      <c r="B12" s="21" t="s">
        <v>358</v>
      </c>
      <c r="C12" s="22">
        <f t="shared" si="0"/>
        <v>9.6999999999999993</v>
      </c>
      <c r="D12" s="22">
        <v>9.9</v>
      </c>
      <c r="E12" s="21"/>
      <c r="F12" s="21" t="s">
        <v>21</v>
      </c>
      <c r="G12" s="21"/>
      <c r="H12" s="21"/>
      <c r="I12" s="21"/>
      <c r="J12" s="21" t="s">
        <v>21</v>
      </c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 t="s">
        <v>328</v>
      </c>
      <c r="B13" s="21" t="s">
        <v>358</v>
      </c>
      <c r="C13" s="22">
        <f t="shared" si="0"/>
        <v>9.9</v>
      </c>
      <c r="D13" s="22">
        <v>11.1</v>
      </c>
      <c r="E13" s="21"/>
      <c r="F13" s="21" t="s">
        <v>21</v>
      </c>
      <c r="G13" s="21"/>
      <c r="H13" s="21"/>
      <c r="I13" s="21"/>
      <c r="J13" s="21" t="s">
        <v>21</v>
      </c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 t="s">
        <v>328</v>
      </c>
      <c r="B14" s="21" t="s">
        <v>358</v>
      </c>
      <c r="C14" s="22">
        <f t="shared" si="0"/>
        <v>11.1</v>
      </c>
      <c r="D14" s="22">
        <v>12</v>
      </c>
      <c r="E14" s="21"/>
      <c r="F14" s="21" t="s">
        <v>21</v>
      </c>
      <c r="G14" s="21"/>
      <c r="H14" s="21"/>
      <c r="I14" s="21"/>
      <c r="J14" s="21" t="s">
        <v>21</v>
      </c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 t="s">
        <v>328</v>
      </c>
      <c r="B15" s="21" t="s">
        <v>358</v>
      </c>
      <c r="C15" s="22">
        <f t="shared" si="0"/>
        <v>12</v>
      </c>
      <c r="D15" s="22">
        <v>12.9</v>
      </c>
      <c r="E15" s="21"/>
      <c r="F15" s="21" t="s">
        <v>21</v>
      </c>
      <c r="G15" s="21"/>
      <c r="H15" s="21"/>
      <c r="I15" s="21"/>
      <c r="J15" s="21" t="s">
        <v>21</v>
      </c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 t="s">
        <v>328</v>
      </c>
      <c r="B16" s="21" t="s">
        <v>358</v>
      </c>
      <c r="C16" s="22">
        <f t="shared" si="0"/>
        <v>12.9</v>
      </c>
      <c r="D16" s="22">
        <v>13.8</v>
      </c>
      <c r="E16" s="21"/>
      <c r="F16" s="21" t="s">
        <v>21</v>
      </c>
      <c r="G16" s="21"/>
      <c r="H16" s="21"/>
      <c r="I16" s="21"/>
      <c r="J16" s="21" t="s">
        <v>21</v>
      </c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 t="s">
        <v>328</v>
      </c>
      <c r="B17" s="21" t="s">
        <v>358</v>
      </c>
      <c r="C17" s="22">
        <f t="shared" si="0"/>
        <v>13.8</v>
      </c>
      <c r="D17" s="22">
        <v>17.62</v>
      </c>
      <c r="E17" s="21"/>
      <c r="F17" s="21" t="s">
        <v>21</v>
      </c>
      <c r="G17" s="21"/>
      <c r="H17" s="21"/>
      <c r="I17" s="21"/>
      <c r="J17" s="21" t="s">
        <v>21</v>
      </c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21" t="s">
        <v>326</v>
      </c>
      <c r="B18" s="21" t="s">
        <v>358</v>
      </c>
      <c r="C18" s="22">
        <v>0</v>
      </c>
      <c r="D18" s="22">
        <v>1.1000000000000001</v>
      </c>
      <c r="E18" s="21"/>
      <c r="F18" s="21" t="s">
        <v>21</v>
      </c>
      <c r="G18" s="21"/>
      <c r="H18" s="21"/>
      <c r="I18" s="21"/>
      <c r="J18" s="21" t="s">
        <v>21</v>
      </c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21" t="s">
        <v>326</v>
      </c>
      <c r="B19" s="21" t="s">
        <v>358</v>
      </c>
      <c r="C19" s="22">
        <f>D18</f>
        <v>1.1000000000000001</v>
      </c>
      <c r="D19" s="22">
        <v>1.8</v>
      </c>
      <c r="E19" s="21"/>
      <c r="F19" s="21" t="s">
        <v>21</v>
      </c>
      <c r="G19" s="21"/>
      <c r="H19" s="21"/>
      <c r="I19" s="21"/>
      <c r="J19" s="21" t="s">
        <v>21</v>
      </c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21" t="s">
        <v>326</v>
      </c>
      <c r="B20" s="21" t="s">
        <v>358</v>
      </c>
      <c r="C20" s="22">
        <f t="shared" ref="C20:C22" si="1">D19</f>
        <v>1.8</v>
      </c>
      <c r="D20" s="22">
        <v>2</v>
      </c>
      <c r="E20" s="21"/>
      <c r="F20" s="74" t="s">
        <v>21</v>
      </c>
      <c r="G20" s="21"/>
      <c r="H20" s="21"/>
      <c r="I20" s="21"/>
      <c r="J20" s="21" t="s">
        <v>21</v>
      </c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21" t="s">
        <v>326</v>
      </c>
      <c r="B21" s="21" t="s">
        <v>358</v>
      </c>
      <c r="C21" s="22">
        <f t="shared" si="1"/>
        <v>2</v>
      </c>
      <c r="D21" s="22">
        <v>2.2000000000000002</v>
      </c>
      <c r="E21" s="21"/>
      <c r="F21" s="74" t="s">
        <v>21</v>
      </c>
      <c r="G21" s="21"/>
      <c r="H21" s="21"/>
      <c r="I21" s="21"/>
      <c r="J21" s="21" t="s">
        <v>21</v>
      </c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21" t="s">
        <v>326</v>
      </c>
      <c r="B22" s="21" t="s">
        <v>358</v>
      </c>
      <c r="C22" s="22">
        <f t="shared" si="1"/>
        <v>2.2000000000000002</v>
      </c>
      <c r="D22" s="22">
        <v>2.6</v>
      </c>
      <c r="E22" s="21"/>
      <c r="F22" s="74" t="s">
        <v>21</v>
      </c>
      <c r="G22" s="21"/>
      <c r="H22" s="21"/>
      <c r="I22" s="21"/>
      <c r="J22" s="21" t="s">
        <v>21</v>
      </c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21" t="s">
        <v>326</v>
      </c>
      <c r="B23" s="21" t="s">
        <v>358</v>
      </c>
      <c r="C23" s="22">
        <f>D22</f>
        <v>2.6</v>
      </c>
      <c r="D23" s="22">
        <v>5</v>
      </c>
      <c r="E23" s="21"/>
      <c r="F23" s="74" t="s">
        <v>21</v>
      </c>
      <c r="G23" s="21"/>
      <c r="H23" s="21"/>
      <c r="I23" s="21"/>
      <c r="J23" s="21" t="s">
        <v>21</v>
      </c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21" t="s">
        <v>326</v>
      </c>
      <c r="B24" s="21" t="s">
        <v>358</v>
      </c>
      <c r="C24" s="22">
        <f t="shared" ref="C24:C41" si="2">D23</f>
        <v>5</v>
      </c>
      <c r="D24" s="22">
        <v>6.6</v>
      </c>
      <c r="E24" s="21"/>
      <c r="F24" s="74" t="s">
        <v>21</v>
      </c>
      <c r="G24" s="21"/>
      <c r="H24" s="21"/>
      <c r="I24" s="21"/>
      <c r="J24" s="21" t="s">
        <v>21</v>
      </c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21" t="s">
        <v>326</v>
      </c>
      <c r="B25" s="21" t="s">
        <v>358</v>
      </c>
      <c r="C25" s="22">
        <f t="shared" si="2"/>
        <v>6.6</v>
      </c>
      <c r="D25" s="22">
        <v>6.8</v>
      </c>
      <c r="E25" s="21"/>
      <c r="F25" s="74" t="s">
        <v>21</v>
      </c>
      <c r="G25" s="21"/>
      <c r="H25" s="21"/>
      <c r="I25" s="21"/>
      <c r="J25" s="21" t="s">
        <v>21</v>
      </c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21" t="s">
        <v>326</v>
      </c>
      <c r="B26" s="21" t="s">
        <v>358</v>
      </c>
      <c r="C26" s="22">
        <f t="shared" si="2"/>
        <v>6.8</v>
      </c>
      <c r="D26" s="22">
        <v>9.3000000000000007</v>
      </c>
      <c r="E26" s="21"/>
      <c r="F26" s="74" t="s">
        <v>21</v>
      </c>
      <c r="G26" s="21"/>
      <c r="H26" s="21"/>
      <c r="I26" s="21"/>
      <c r="J26" s="21" t="s">
        <v>21</v>
      </c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21" t="s">
        <v>326</v>
      </c>
      <c r="B27" s="21" t="s">
        <v>358</v>
      </c>
      <c r="C27" s="22">
        <f t="shared" si="2"/>
        <v>9.3000000000000007</v>
      </c>
      <c r="D27" s="22">
        <v>11</v>
      </c>
      <c r="E27" s="21"/>
      <c r="F27" s="74" t="s">
        <v>21</v>
      </c>
      <c r="G27" s="21"/>
      <c r="H27" s="21"/>
      <c r="I27" s="21"/>
      <c r="J27" s="21" t="s">
        <v>21</v>
      </c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21" t="s">
        <v>326</v>
      </c>
      <c r="B28" s="21" t="s">
        <v>358</v>
      </c>
      <c r="C28" s="22">
        <f t="shared" si="2"/>
        <v>11</v>
      </c>
      <c r="D28" s="22">
        <v>13</v>
      </c>
      <c r="E28" s="21"/>
      <c r="F28" s="74" t="s">
        <v>21</v>
      </c>
      <c r="G28" s="21"/>
      <c r="H28" s="21"/>
      <c r="I28" s="21"/>
      <c r="J28" s="21" t="s">
        <v>21</v>
      </c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21" t="s">
        <v>326</v>
      </c>
      <c r="B29" s="21" t="s">
        <v>358</v>
      </c>
      <c r="C29" s="22">
        <f t="shared" si="2"/>
        <v>13</v>
      </c>
      <c r="D29" s="22">
        <v>13.1</v>
      </c>
      <c r="E29" s="21"/>
      <c r="F29" s="74" t="s">
        <v>21</v>
      </c>
      <c r="G29" s="21"/>
      <c r="H29" s="21"/>
      <c r="I29" s="21"/>
      <c r="J29" s="21" t="s">
        <v>21</v>
      </c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21" t="s">
        <v>326</v>
      </c>
      <c r="B30" s="21" t="s">
        <v>358</v>
      </c>
      <c r="C30" s="22">
        <f t="shared" si="2"/>
        <v>13.1</v>
      </c>
      <c r="D30" s="22">
        <v>14.5</v>
      </c>
      <c r="E30" s="21"/>
      <c r="F30" s="74" t="s">
        <v>21</v>
      </c>
      <c r="G30" s="21"/>
      <c r="H30" s="21"/>
      <c r="I30" s="21"/>
      <c r="J30" s="21" t="s">
        <v>21</v>
      </c>
      <c r="K30" s="21"/>
      <c r="L30" s="28"/>
      <c r="M30" s="29"/>
      <c r="N30" s="29"/>
      <c r="O30" s="29"/>
      <c r="P30" s="29"/>
      <c r="Q30" s="29"/>
      <c r="R30" s="30"/>
    </row>
    <row r="31" spans="1:18" ht="41.45" customHeight="1" x14ac:dyDescent="0.25">
      <c r="A31" s="21" t="s">
        <v>326</v>
      </c>
      <c r="B31" s="21" t="s">
        <v>358</v>
      </c>
      <c r="C31" s="22">
        <f t="shared" si="2"/>
        <v>14.5</v>
      </c>
      <c r="D31" s="22">
        <v>16</v>
      </c>
      <c r="E31" s="21"/>
      <c r="F31" s="74" t="s">
        <v>21</v>
      </c>
      <c r="G31" s="21"/>
      <c r="H31" s="21"/>
      <c r="I31" s="21"/>
      <c r="J31" s="21" t="s">
        <v>21</v>
      </c>
      <c r="K31" s="21"/>
      <c r="L31" s="28"/>
      <c r="M31" s="29"/>
      <c r="N31" s="29"/>
      <c r="O31" s="29"/>
      <c r="P31" s="29"/>
      <c r="Q31" s="29"/>
      <c r="R31" s="30"/>
    </row>
    <row r="32" spans="1:18" ht="41.45" customHeight="1" x14ac:dyDescent="0.25">
      <c r="A32" s="21" t="s">
        <v>326</v>
      </c>
      <c r="B32" s="21" t="s">
        <v>358</v>
      </c>
      <c r="C32" s="22">
        <f t="shared" si="2"/>
        <v>16</v>
      </c>
      <c r="D32" s="22">
        <v>16.7</v>
      </c>
      <c r="E32" s="21"/>
      <c r="F32" s="74" t="s">
        <v>21</v>
      </c>
      <c r="G32" s="21"/>
      <c r="H32" s="21"/>
      <c r="I32" s="21"/>
      <c r="J32" s="21" t="s">
        <v>21</v>
      </c>
      <c r="K32" s="21"/>
      <c r="L32" s="28"/>
      <c r="M32" s="29"/>
      <c r="N32" s="29"/>
      <c r="O32" s="29"/>
      <c r="P32" s="29"/>
      <c r="Q32" s="29"/>
      <c r="R32" s="30"/>
    </row>
    <row r="33" spans="1:18" ht="41.45" customHeight="1" x14ac:dyDescent="0.25">
      <c r="A33" s="21" t="s">
        <v>326</v>
      </c>
      <c r="B33" s="21" t="s">
        <v>358</v>
      </c>
      <c r="C33" s="22">
        <f t="shared" si="2"/>
        <v>16.7</v>
      </c>
      <c r="D33" s="22">
        <v>18.399999999999999</v>
      </c>
      <c r="E33" s="21"/>
      <c r="F33" s="74" t="s">
        <v>21</v>
      </c>
      <c r="G33" s="21"/>
      <c r="H33" s="21"/>
      <c r="I33" s="21"/>
      <c r="J33" s="21" t="s">
        <v>21</v>
      </c>
      <c r="K33" s="21"/>
      <c r="L33" s="28"/>
      <c r="M33" s="29"/>
      <c r="N33" s="29"/>
      <c r="O33" s="29"/>
      <c r="P33" s="29"/>
      <c r="Q33" s="29"/>
      <c r="R33" s="30"/>
    </row>
    <row r="34" spans="1:18" ht="41.45" customHeight="1" x14ac:dyDescent="0.25">
      <c r="A34" s="21" t="s">
        <v>326</v>
      </c>
      <c r="B34" s="21" t="s">
        <v>358</v>
      </c>
      <c r="C34" s="22">
        <f t="shared" si="2"/>
        <v>18.399999999999999</v>
      </c>
      <c r="D34" s="22">
        <v>20.2</v>
      </c>
      <c r="E34" s="21"/>
      <c r="F34" s="74" t="s">
        <v>21</v>
      </c>
      <c r="G34" s="21"/>
      <c r="H34" s="21"/>
      <c r="I34" s="21"/>
      <c r="J34" s="21" t="s">
        <v>21</v>
      </c>
      <c r="K34" s="21"/>
      <c r="L34" s="28"/>
      <c r="M34" s="29"/>
      <c r="N34" s="29"/>
      <c r="O34" s="29"/>
      <c r="P34" s="29"/>
      <c r="Q34" s="29"/>
      <c r="R34" s="30"/>
    </row>
    <row r="35" spans="1:18" ht="41.45" customHeight="1" x14ac:dyDescent="0.25">
      <c r="A35" s="21" t="s">
        <v>326</v>
      </c>
      <c r="B35" s="21" t="s">
        <v>358</v>
      </c>
      <c r="C35" s="22">
        <f t="shared" si="2"/>
        <v>20.2</v>
      </c>
      <c r="D35" s="22">
        <v>20.3</v>
      </c>
      <c r="E35" s="21"/>
      <c r="F35" s="74" t="s">
        <v>21</v>
      </c>
      <c r="G35" s="21"/>
      <c r="H35" s="21"/>
      <c r="I35" s="21"/>
      <c r="J35" s="21" t="s">
        <v>21</v>
      </c>
      <c r="K35" s="21"/>
      <c r="L35" s="28"/>
      <c r="M35" s="29"/>
      <c r="N35" s="29"/>
      <c r="O35" s="29"/>
      <c r="P35" s="29"/>
      <c r="Q35" s="29"/>
      <c r="R35" s="30"/>
    </row>
    <row r="36" spans="1:18" ht="41.45" customHeight="1" x14ac:dyDescent="0.25">
      <c r="A36" s="21" t="s">
        <v>326</v>
      </c>
      <c r="B36" s="21" t="s">
        <v>358</v>
      </c>
      <c r="C36" s="22">
        <f t="shared" si="2"/>
        <v>20.3</v>
      </c>
      <c r="D36" s="22">
        <v>22.3</v>
      </c>
      <c r="E36" s="21"/>
      <c r="F36" s="74" t="s">
        <v>21</v>
      </c>
      <c r="G36" s="21"/>
      <c r="H36" s="21"/>
      <c r="I36" s="21"/>
      <c r="J36" s="21" t="s">
        <v>21</v>
      </c>
      <c r="K36" s="21"/>
      <c r="L36" s="28"/>
      <c r="M36" s="29"/>
      <c r="N36" s="29"/>
      <c r="O36" s="29"/>
      <c r="P36" s="29"/>
      <c r="Q36" s="29"/>
      <c r="R36" s="30"/>
    </row>
    <row r="37" spans="1:18" ht="41.45" customHeight="1" x14ac:dyDescent="0.25">
      <c r="A37" s="21" t="s">
        <v>326</v>
      </c>
      <c r="B37" s="21" t="s">
        <v>358</v>
      </c>
      <c r="C37" s="22">
        <f t="shared" si="2"/>
        <v>22.3</v>
      </c>
      <c r="D37" s="22">
        <v>24</v>
      </c>
      <c r="E37" s="21"/>
      <c r="F37" s="74" t="s">
        <v>21</v>
      </c>
      <c r="G37" s="21"/>
      <c r="H37" s="21"/>
      <c r="I37" s="21"/>
      <c r="J37" s="21" t="s">
        <v>21</v>
      </c>
      <c r="K37" s="21"/>
      <c r="L37" s="28"/>
      <c r="M37" s="29"/>
      <c r="N37" s="29"/>
      <c r="O37" s="29"/>
      <c r="P37" s="29"/>
      <c r="Q37" s="29"/>
      <c r="R37" s="30"/>
    </row>
    <row r="38" spans="1:18" ht="41.45" customHeight="1" x14ac:dyDescent="0.25">
      <c r="A38" s="21" t="s">
        <v>326</v>
      </c>
      <c r="B38" s="21" t="s">
        <v>358</v>
      </c>
      <c r="C38" s="22">
        <f t="shared" si="2"/>
        <v>24</v>
      </c>
      <c r="D38" s="22">
        <v>30.3</v>
      </c>
      <c r="E38" s="21"/>
      <c r="F38" s="74" t="s">
        <v>21</v>
      </c>
      <c r="G38" s="21"/>
      <c r="H38" s="21"/>
      <c r="I38" s="21"/>
      <c r="J38" s="21" t="s">
        <v>21</v>
      </c>
      <c r="K38" s="21"/>
      <c r="L38" s="28"/>
      <c r="M38" s="29"/>
      <c r="N38" s="29"/>
      <c r="O38" s="29"/>
      <c r="P38" s="29"/>
      <c r="Q38" s="29"/>
      <c r="R38" s="30"/>
    </row>
    <row r="39" spans="1:18" ht="41.45" customHeight="1" x14ac:dyDescent="0.25">
      <c r="A39" s="21" t="s">
        <v>326</v>
      </c>
      <c r="B39" s="21" t="s">
        <v>358</v>
      </c>
      <c r="C39" s="22">
        <f t="shared" si="2"/>
        <v>30.3</v>
      </c>
      <c r="D39" s="22">
        <v>33</v>
      </c>
      <c r="E39" s="21"/>
      <c r="F39" s="74" t="s">
        <v>21</v>
      </c>
      <c r="G39" s="21"/>
      <c r="H39" s="21"/>
      <c r="I39" s="21"/>
      <c r="J39" s="21" t="s">
        <v>21</v>
      </c>
      <c r="K39" s="21"/>
      <c r="L39" s="28"/>
      <c r="M39" s="29"/>
      <c r="N39" s="29"/>
      <c r="O39" s="29"/>
      <c r="P39" s="29"/>
      <c r="Q39" s="29"/>
      <c r="R39" s="30"/>
    </row>
    <row r="40" spans="1:18" ht="41.45" customHeight="1" x14ac:dyDescent="0.25">
      <c r="A40" s="21" t="s">
        <v>326</v>
      </c>
      <c r="B40" s="21" t="s">
        <v>358</v>
      </c>
      <c r="C40" s="22">
        <f t="shared" si="2"/>
        <v>33</v>
      </c>
      <c r="D40" s="22">
        <v>35</v>
      </c>
      <c r="E40" s="21"/>
      <c r="F40" s="74" t="s">
        <v>21</v>
      </c>
      <c r="G40" s="21"/>
      <c r="H40" s="21"/>
      <c r="I40" s="21"/>
      <c r="J40" s="21" t="s">
        <v>21</v>
      </c>
      <c r="K40" s="21"/>
      <c r="L40" s="28"/>
      <c r="M40" s="29"/>
      <c r="N40" s="29"/>
      <c r="O40" s="29"/>
      <c r="P40" s="29"/>
      <c r="Q40" s="29"/>
      <c r="R40" s="30"/>
    </row>
    <row r="41" spans="1:18" ht="41.45" customHeight="1" x14ac:dyDescent="0.25">
      <c r="A41" s="21" t="s">
        <v>326</v>
      </c>
      <c r="B41" s="21" t="s">
        <v>358</v>
      </c>
      <c r="C41" s="22">
        <f t="shared" si="2"/>
        <v>35</v>
      </c>
      <c r="D41" s="22">
        <v>36.770000000000003</v>
      </c>
      <c r="E41" s="21"/>
      <c r="F41" s="74" t="s">
        <v>21</v>
      </c>
      <c r="G41" s="21"/>
      <c r="H41" s="21"/>
      <c r="I41" s="21"/>
      <c r="J41" s="21" t="s">
        <v>21</v>
      </c>
      <c r="K41" s="21"/>
      <c r="L41" s="28"/>
      <c r="M41" s="29"/>
      <c r="N41" s="29"/>
      <c r="O41" s="29"/>
      <c r="P41" s="29"/>
      <c r="Q41" s="29"/>
      <c r="R41" s="30"/>
    </row>
    <row r="42" spans="1:18" ht="41.45" customHeight="1" x14ac:dyDescent="0.25">
      <c r="A42" s="21"/>
      <c r="B42" s="21"/>
      <c r="C42" s="22"/>
      <c r="D42" s="22"/>
      <c r="E42" s="21"/>
      <c r="F42" s="21"/>
      <c r="G42" s="21"/>
      <c r="H42" s="21"/>
      <c r="I42" s="21"/>
      <c r="J42" s="21"/>
      <c r="K42" s="21"/>
      <c r="L42" s="28"/>
      <c r="M42" s="29"/>
      <c r="N42" s="29"/>
      <c r="O42" s="29"/>
      <c r="P42" s="29"/>
      <c r="Q42" s="29"/>
      <c r="R42" s="30"/>
    </row>
    <row r="43" spans="1:18" ht="41.45" customHeight="1" x14ac:dyDescent="0.25">
      <c r="A43" s="21"/>
      <c r="B43" s="21"/>
      <c r="C43" s="22"/>
      <c r="D43" s="22"/>
      <c r="E43" s="21"/>
      <c r="F43" s="21"/>
      <c r="G43" s="21"/>
      <c r="H43" s="21"/>
      <c r="I43" s="21"/>
      <c r="J43" s="21"/>
      <c r="K43" s="21"/>
      <c r="L43" s="80"/>
      <c r="M43" s="81"/>
      <c r="N43" s="81"/>
      <c r="O43" s="81"/>
      <c r="P43" s="81"/>
      <c r="Q43" s="81"/>
      <c r="R43" s="82"/>
    </row>
    <row r="44" spans="1:18" ht="41.45" customHeight="1" x14ac:dyDescent="0.25">
      <c r="A44" s="21"/>
      <c r="B44" s="21"/>
      <c r="C44" s="22"/>
      <c r="D44" s="22"/>
      <c r="E44" s="21"/>
      <c r="F44" s="21"/>
      <c r="G44" s="21"/>
      <c r="H44" s="21"/>
      <c r="I44" s="21"/>
      <c r="J44" s="21"/>
      <c r="K44" s="21"/>
      <c r="L44" s="80"/>
      <c r="M44" s="81"/>
      <c r="N44" s="81"/>
      <c r="O44" s="81"/>
      <c r="P44" s="81"/>
      <c r="Q44" s="81"/>
      <c r="R44" s="82"/>
    </row>
    <row r="45" spans="1:18" ht="41.45" customHeight="1" x14ac:dyDescent="0.25">
      <c r="A45" s="21"/>
      <c r="B45" s="21"/>
      <c r="C45" s="22"/>
      <c r="D45" s="22"/>
      <c r="E45" s="21"/>
      <c r="F45" s="21"/>
      <c r="G45" s="21"/>
      <c r="H45" s="21"/>
      <c r="I45" s="21"/>
      <c r="J45" s="21"/>
      <c r="K45" s="21"/>
      <c r="L45" s="80"/>
      <c r="M45" s="81"/>
      <c r="N45" s="81"/>
      <c r="O45" s="81"/>
      <c r="P45" s="81"/>
      <c r="Q45" s="81"/>
      <c r="R45" s="82"/>
    </row>
    <row r="46" spans="1:18" ht="41.45" customHeight="1" x14ac:dyDescent="0.25">
      <c r="A46" s="21"/>
      <c r="B46" s="21"/>
      <c r="C46" s="22"/>
      <c r="D46" s="22"/>
      <c r="E46" s="21"/>
      <c r="F46" s="21"/>
      <c r="G46" s="21"/>
      <c r="H46" s="21"/>
      <c r="I46" s="21"/>
      <c r="J46" s="21"/>
      <c r="K46" s="21"/>
      <c r="L46" s="80"/>
      <c r="M46" s="81"/>
      <c r="N46" s="81"/>
      <c r="O46" s="81"/>
      <c r="P46" s="81"/>
      <c r="Q46" s="81"/>
      <c r="R46" s="82"/>
    </row>
    <row r="47" spans="1:18" ht="41.45" customHeight="1" x14ac:dyDescent="0.25">
      <c r="A47" s="19"/>
      <c r="B47" s="3"/>
      <c r="C47" s="22"/>
      <c r="D47" s="22"/>
      <c r="E47" s="21"/>
      <c r="F47" s="21"/>
      <c r="G47" s="21"/>
      <c r="H47" s="21"/>
      <c r="I47" s="21"/>
      <c r="J47" s="21"/>
      <c r="K47" s="21"/>
      <c r="L47" s="80"/>
      <c r="M47" s="81"/>
      <c r="N47" s="81"/>
      <c r="O47" s="81"/>
      <c r="P47" s="81"/>
      <c r="Q47" s="81"/>
      <c r="R47" s="82"/>
    </row>
    <row r="48" spans="1:18" ht="41.45" customHeight="1" x14ac:dyDescent="0.25">
      <c r="A48" s="19"/>
      <c r="B48" s="3"/>
      <c r="C48" s="22"/>
      <c r="D48" s="22"/>
      <c r="E48" s="21"/>
      <c r="F48" s="21"/>
      <c r="G48" s="21"/>
      <c r="H48" s="21"/>
      <c r="I48" s="21"/>
      <c r="J48" s="21"/>
      <c r="K48" s="21"/>
      <c r="L48" s="80"/>
      <c r="M48" s="81"/>
      <c r="N48" s="81"/>
      <c r="O48" s="81"/>
      <c r="P48" s="81"/>
      <c r="Q48" s="81"/>
      <c r="R48" s="82"/>
    </row>
    <row r="49" spans="1:18" ht="41.45" customHeight="1" x14ac:dyDescent="0.25">
      <c r="A49" s="23"/>
      <c r="B49" s="24"/>
      <c r="C49" s="25"/>
      <c r="D49" s="25"/>
      <c r="E49" s="25" t="str">
        <f t="shared" ref="E49:E64" si="3">IF(E7="X",(D7-C7),"0")</f>
        <v>0</v>
      </c>
      <c r="F49" s="25">
        <f t="shared" ref="F49:F64" si="4">IF(F7="X",(D7-C7),"0")</f>
        <v>6.3</v>
      </c>
      <c r="G49" s="25" t="str">
        <f t="shared" ref="G49:G64" si="5">IF(G7="X",(D7-C7),"0")</f>
        <v>0</v>
      </c>
      <c r="H49" s="25" t="str">
        <f t="shared" ref="H49:H64" si="6">IF(H7="X",(D7-C7),"0")</f>
        <v>0</v>
      </c>
      <c r="I49" s="25" t="str">
        <f>IF(I7="X",(D7-C7),"0")</f>
        <v>0</v>
      </c>
      <c r="J49" s="25">
        <f>IF(J7="X",(D7-C7),"0")</f>
        <v>6.3</v>
      </c>
      <c r="K49" s="25" t="str">
        <f>IF(K7="X",(D7-C7),"0")</f>
        <v>0</v>
      </c>
      <c r="L49" s="104"/>
      <c r="M49" s="105"/>
      <c r="N49" s="105"/>
      <c r="O49" s="105"/>
      <c r="P49" s="105"/>
      <c r="Q49" s="105"/>
      <c r="R49" s="106"/>
    </row>
    <row r="50" spans="1:18" ht="41.45" customHeight="1" x14ac:dyDescent="0.25">
      <c r="A50" s="19"/>
      <c r="B50" s="3"/>
      <c r="C50" s="22"/>
      <c r="D50" s="22"/>
      <c r="E50" s="25" t="str">
        <f t="shared" si="3"/>
        <v>0</v>
      </c>
      <c r="F50" s="25">
        <f t="shared" si="4"/>
        <v>0.10000000000000053</v>
      </c>
      <c r="G50" s="25" t="str">
        <f t="shared" si="5"/>
        <v>0</v>
      </c>
      <c r="H50" s="25" t="str">
        <f t="shared" si="6"/>
        <v>0</v>
      </c>
      <c r="I50" s="25" t="str">
        <f t="shared" ref="I50:I83" si="7">IF(I8="X",(D8-C8),"0")</f>
        <v>0</v>
      </c>
      <c r="J50" s="25">
        <f t="shared" ref="J50:J83" si="8">IF(J8="X",(D8-C8),"0")</f>
        <v>0.10000000000000053</v>
      </c>
      <c r="K50" s="25" t="str">
        <f t="shared" ref="K50:K83" si="9">IF(K8="X",(D8-C8),"0")</f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3"/>
        <v>0</v>
      </c>
      <c r="F51" s="25">
        <f t="shared" si="4"/>
        <v>0.59999999999999964</v>
      </c>
      <c r="G51" s="25" t="str">
        <f t="shared" si="5"/>
        <v>0</v>
      </c>
      <c r="H51" s="25" t="str">
        <f t="shared" si="6"/>
        <v>0</v>
      </c>
      <c r="I51" s="25" t="str">
        <f t="shared" si="7"/>
        <v>0</v>
      </c>
      <c r="J51" s="25">
        <f t="shared" si="8"/>
        <v>0.59999999999999964</v>
      </c>
      <c r="K51" s="25" t="str">
        <f t="shared" si="9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3"/>
        <v>0</v>
      </c>
      <c r="F52" s="25">
        <f t="shared" si="4"/>
        <v>9.9999999999999645E-2</v>
      </c>
      <c r="G52" s="25" t="str">
        <f t="shared" si="5"/>
        <v>0</v>
      </c>
      <c r="H52" s="25" t="str">
        <f t="shared" si="6"/>
        <v>0</v>
      </c>
      <c r="I52" s="25" t="str">
        <f t="shared" si="7"/>
        <v>0</v>
      </c>
      <c r="J52" s="25">
        <f t="shared" si="8"/>
        <v>9.9999999999999645E-2</v>
      </c>
      <c r="K52" s="25" t="str">
        <f t="shared" si="9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3"/>
        <v>0</v>
      </c>
      <c r="F53" s="25">
        <f t="shared" si="4"/>
        <v>2.5999999999999996</v>
      </c>
      <c r="G53" s="25" t="str">
        <f t="shared" si="5"/>
        <v>0</v>
      </c>
      <c r="H53" s="25" t="str">
        <f t="shared" si="6"/>
        <v>0</v>
      </c>
      <c r="I53" s="25" t="str">
        <f t="shared" si="7"/>
        <v>0</v>
      </c>
      <c r="J53" s="25">
        <f t="shared" si="8"/>
        <v>2.5999999999999996</v>
      </c>
      <c r="K53" s="25" t="str">
        <f t="shared" si="9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3"/>
        <v>0</v>
      </c>
      <c r="F54" s="25">
        <f t="shared" si="4"/>
        <v>0.20000000000000107</v>
      </c>
      <c r="G54" s="25" t="str">
        <f t="shared" si="5"/>
        <v>0</v>
      </c>
      <c r="H54" s="25" t="str">
        <f t="shared" si="6"/>
        <v>0</v>
      </c>
      <c r="I54" s="25" t="str">
        <f t="shared" si="7"/>
        <v>0</v>
      </c>
      <c r="J54" s="25">
        <f t="shared" si="8"/>
        <v>0.20000000000000107</v>
      </c>
      <c r="K54" s="25" t="str">
        <f t="shared" si="9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3"/>
        <v>0</v>
      </c>
      <c r="F55" s="25">
        <f t="shared" si="4"/>
        <v>1.1999999999999993</v>
      </c>
      <c r="G55" s="25" t="str">
        <f t="shared" si="5"/>
        <v>0</v>
      </c>
      <c r="H55" s="25" t="str">
        <f t="shared" si="6"/>
        <v>0</v>
      </c>
      <c r="I55" s="25" t="str">
        <f t="shared" si="7"/>
        <v>0</v>
      </c>
      <c r="J55" s="25">
        <f t="shared" si="8"/>
        <v>1.1999999999999993</v>
      </c>
      <c r="K55" s="25" t="str">
        <f t="shared" si="9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3"/>
        <v>0</v>
      </c>
      <c r="F56" s="25">
        <f t="shared" si="4"/>
        <v>0.90000000000000036</v>
      </c>
      <c r="G56" s="25" t="str">
        <f t="shared" si="5"/>
        <v>0</v>
      </c>
      <c r="H56" s="25" t="str">
        <f t="shared" si="6"/>
        <v>0</v>
      </c>
      <c r="I56" s="25" t="str">
        <f t="shared" si="7"/>
        <v>0</v>
      </c>
      <c r="J56" s="25">
        <f t="shared" si="8"/>
        <v>0.90000000000000036</v>
      </c>
      <c r="K56" s="25" t="str">
        <f t="shared" si="9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3"/>
        <v>0</v>
      </c>
      <c r="F57" s="25">
        <f t="shared" si="4"/>
        <v>0.90000000000000036</v>
      </c>
      <c r="G57" s="25" t="str">
        <f t="shared" si="5"/>
        <v>0</v>
      </c>
      <c r="H57" s="25" t="str">
        <f t="shared" si="6"/>
        <v>0</v>
      </c>
      <c r="I57" s="25" t="str">
        <f t="shared" si="7"/>
        <v>0</v>
      </c>
      <c r="J57" s="25">
        <f t="shared" si="8"/>
        <v>0.90000000000000036</v>
      </c>
      <c r="K57" s="25" t="str">
        <f t="shared" si="9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3"/>
        <v>0</v>
      </c>
      <c r="F58" s="25">
        <f t="shared" si="4"/>
        <v>0.90000000000000036</v>
      </c>
      <c r="G58" s="25" t="str">
        <f t="shared" si="5"/>
        <v>0</v>
      </c>
      <c r="H58" s="25" t="str">
        <f t="shared" si="6"/>
        <v>0</v>
      </c>
      <c r="I58" s="25" t="str">
        <f t="shared" si="7"/>
        <v>0</v>
      </c>
      <c r="J58" s="25">
        <f t="shared" si="8"/>
        <v>0.90000000000000036</v>
      </c>
      <c r="K58" s="25" t="str">
        <f t="shared" si="9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3"/>
        <v>0</v>
      </c>
      <c r="F59" s="25">
        <f t="shared" si="4"/>
        <v>3.8200000000000003</v>
      </c>
      <c r="G59" s="25" t="str">
        <f t="shared" si="5"/>
        <v>0</v>
      </c>
      <c r="H59" s="25" t="str">
        <f t="shared" si="6"/>
        <v>0</v>
      </c>
      <c r="I59" s="25" t="str">
        <f t="shared" si="7"/>
        <v>0</v>
      </c>
      <c r="J59" s="25">
        <f t="shared" si="8"/>
        <v>3.8200000000000003</v>
      </c>
      <c r="K59" s="25" t="str">
        <f t="shared" si="9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3"/>
        <v>0</v>
      </c>
      <c r="F60" s="25">
        <f t="shared" si="4"/>
        <v>1.1000000000000001</v>
      </c>
      <c r="G60" s="25" t="str">
        <f t="shared" si="5"/>
        <v>0</v>
      </c>
      <c r="H60" s="25" t="str">
        <f t="shared" si="6"/>
        <v>0</v>
      </c>
      <c r="I60" s="25" t="str">
        <f t="shared" si="7"/>
        <v>0</v>
      </c>
      <c r="J60" s="25">
        <f t="shared" si="8"/>
        <v>1.1000000000000001</v>
      </c>
      <c r="K60" s="25" t="str">
        <f t="shared" si="9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3"/>
        <v>0</v>
      </c>
      <c r="F61" s="25">
        <f t="shared" si="4"/>
        <v>0.7</v>
      </c>
      <c r="G61" s="25" t="str">
        <f t="shared" si="5"/>
        <v>0</v>
      </c>
      <c r="H61" s="25" t="str">
        <f t="shared" si="6"/>
        <v>0</v>
      </c>
      <c r="I61" s="25" t="str">
        <f t="shared" si="7"/>
        <v>0</v>
      </c>
      <c r="J61" s="25">
        <f t="shared" si="8"/>
        <v>0.7</v>
      </c>
      <c r="K61" s="25" t="str">
        <f t="shared" si="9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5" t="str">
        <f t="shared" si="3"/>
        <v>0</v>
      </c>
      <c r="F62" s="25">
        <f t="shared" si="4"/>
        <v>0.19999999999999996</v>
      </c>
      <c r="G62" s="25" t="str">
        <f t="shared" si="5"/>
        <v>0</v>
      </c>
      <c r="H62" s="25" t="str">
        <f t="shared" si="6"/>
        <v>0</v>
      </c>
      <c r="I62" s="25" t="str">
        <f t="shared" si="7"/>
        <v>0</v>
      </c>
      <c r="J62" s="25">
        <f t="shared" si="8"/>
        <v>0.19999999999999996</v>
      </c>
      <c r="K62" s="25" t="str">
        <f t="shared" si="9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5" t="str">
        <f t="shared" si="3"/>
        <v>0</v>
      </c>
      <c r="F63" s="25">
        <f t="shared" si="4"/>
        <v>0.20000000000000018</v>
      </c>
      <c r="G63" s="25" t="str">
        <f t="shared" si="5"/>
        <v>0</v>
      </c>
      <c r="H63" s="25" t="str">
        <f t="shared" si="6"/>
        <v>0</v>
      </c>
      <c r="I63" s="25" t="str">
        <f t="shared" si="7"/>
        <v>0</v>
      </c>
      <c r="J63" s="25">
        <f t="shared" si="8"/>
        <v>0.20000000000000018</v>
      </c>
      <c r="K63" s="25" t="str">
        <f t="shared" si="9"/>
        <v>0</v>
      </c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5" t="str">
        <f t="shared" si="3"/>
        <v>0</v>
      </c>
      <c r="F64" s="25">
        <f t="shared" si="4"/>
        <v>0.39999999999999991</v>
      </c>
      <c r="G64" s="25" t="str">
        <f t="shared" si="5"/>
        <v>0</v>
      </c>
      <c r="H64" s="25" t="str">
        <f t="shared" si="6"/>
        <v>0</v>
      </c>
      <c r="I64" s="25" t="str">
        <f t="shared" si="7"/>
        <v>0</v>
      </c>
      <c r="J64" s="25">
        <f t="shared" si="8"/>
        <v>0.39999999999999991</v>
      </c>
      <c r="K64" s="25" t="str">
        <f t="shared" si="9"/>
        <v>0</v>
      </c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5" t="str">
        <f t="shared" ref="E65:E83" si="10">IF(E23="X",(D23-C23),"0")</f>
        <v>0</v>
      </c>
      <c r="F65" s="25">
        <f t="shared" ref="F65:F83" si="11">IF(F23="X",(D23-C23),"0")</f>
        <v>2.4</v>
      </c>
      <c r="G65" s="25" t="str">
        <f t="shared" ref="G65:G83" si="12">IF(G23="X",(D23-C23),"0")</f>
        <v>0</v>
      </c>
      <c r="H65" s="25" t="str">
        <f t="shared" ref="H65:H83" si="13">IF(H23="X",(D23-C23),"0")</f>
        <v>0</v>
      </c>
      <c r="I65" s="25" t="str">
        <f t="shared" si="7"/>
        <v>0</v>
      </c>
      <c r="J65" s="25">
        <f t="shared" si="8"/>
        <v>2.4</v>
      </c>
      <c r="K65" s="25" t="str">
        <f t="shared" si="9"/>
        <v>0</v>
      </c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5" t="str">
        <f t="shared" si="10"/>
        <v>0</v>
      </c>
      <c r="F66" s="25">
        <f t="shared" si="11"/>
        <v>1.5999999999999996</v>
      </c>
      <c r="G66" s="25" t="str">
        <f t="shared" si="12"/>
        <v>0</v>
      </c>
      <c r="H66" s="25" t="str">
        <f t="shared" si="13"/>
        <v>0</v>
      </c>
      <c r="I66" s="25" t="str">
        <f t="shared" si="7"/>
        <v>0</v>
      </c>
      <c r="J66" s="25">
        <f t="shared" si="8"/>
        <v>1.5999999999999996</v>
      </c>
      <c r="K66" s="25" t="str">
        <f t="shared" si="9"/>
        <v>0</v>
      </c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5" t="str">
        <f t="shared" si="10"/>
        <v>0</v>
      </c>
      <c r="F67" s="25">
        <f t="shared" si="11"/>
        <v>0.20000000000000018</v>
      </c>
      <c r="G67" s="25" t="str">
        <f t="shared" si="12"/>
        <v>0</v>
      </c>
      <c r="H67" s="25" t="str">
        <f t="shared" si="13"/>
        <v>0</v>
      </c>
      <c r="I67" s="25" t="str">
        <f t="shared" si="7"/>
        <v>0</v>
      </c>
      <c r="J67" s="25">
        <f t="shared" si="8"/>
        <v>0.20000000000000018</v>
      </c>
      <c r="K67" s="25" t="str">
        <f t="shared" si="9"/>
        <v>0</v>
      </c>
      <c r="L67" s="102"/>
      <c r="M67" s="102"/>
      <c r="N67" s="102"/>
      <c r="O67" s="102"/>
      <c r="P67" s="102"/>
      <c r="Q67" s="102"/>
      <c r="R67" s="103"/>
    </row>
    <row r="68" spans="1:18" ht="41.45" customHeight="1" x14ac:dyDescent="0.25">
      <c r="A68" s="19"/>
      <c r="B68" s="3"/>
      <c r="C68" s="22"/>
      <c r="D68" s="22"/>
      <c r="E68" s="25" t="str">
        <f t="shared" si="10"/>
        <v>0</v>
      </c>
      <c r="F68" s="25">
        <f t="shared" si="11"/>
        <v>2.5000000000000009</v>
      </c>
      <c r="G68" s="25" t="str">
        <f t="shared" si="12"/>
        <v>0</v>
      </c>
      <c r="H68" s="25" t="str">
        <f t="shared" si="13"/>
        <v>0</v>
      </c>
      <c r="I68" s="25" t="str">
        <f t="shared" si="7"/>
        <v>0</v>
      </c>
      <c r="J68" s="25">
        <f t="shared" si="8"/>
        <v>2.5000000000000009</v>
      </c>
      <c r="K68" s="25" t="str">
        <f t="shared" si="9"/>
        <v>0</v>
      </c>
      <c r="L68" s="102"/>
      <c r="M68" s="102"/>
      <c r="N68" s="102"/>
      <c r="O68" s="102"/>
      <c r="P68" s="102"/>
      <c r="Q68" s="102"/>
      <c r="R68" s="103"/>
    </row>
    <row r="69" spans="1:18" ht="41.45" customHeight="1" x14ac:dyDescent="0.25">
      <c r="A69" s="19"/>
      <c r="B69" s="3"/>
      <c r="C69" s="22"/>
      <c r="D69" s="22"/>
      <c r="E69" s="25" t="str">
        <f t="shared" si="10"/>
        <v>0</v>
      </c>
      <c r="F69" s="25">
        <f t="shared" si="11"/>
        <v>1.6999999999999993</v>
      </c>
      <c r="G69" s="25" t="str">
        <f t="shared" si="12"/>
        <v>0</v>
      </c>
      <c r="H69" s="25" t="str">
        <f t="shared" si="13"/>
        <v>0</v>
      </c>
      <c r="I69" s="25" t="str">
        <f t="shared" si="7"/>
        <v>0</v>
      </c>
      <c r="J69" s="25">
        <f t="shared" si="8"/>
        <v>1.6999999999999993</v>
      </c>
      <c r="K69" s="25" t="str">
        <f t="shared" si="9"/>
        <v>0</v>
      </c>
      <c r="L69" s="102"/>
      <c r="M69" s="102"/>
      <c r="N69" s="102"/>
      <c r="O69" s="102"/>
      <c r="P69" s="102"/>
      <c r="Q69" s="102"/>
      <c r="R69" s="103"/>
    </row>
    <row r="70" spans="1:18" ht="41.45" customHeight="1" x14ac:dyDescent="0.25">
      <c r="A70" s="19"/>
      <c r="B70" s="3"/>
      <c r="C70" s="22"/>
      <c r="D70" s="22"/>
      <c r="E70" s="25" t="str">
        <f t="shared" si="10"/>
        <v>0</v>
      </c>
      <c r="F70" s="25">
        <f t="shared" si="11"/>
        <v>2</v>
      </c>
      <c r="G70" s="25" t="str">
        <f t="shared" si="12"/>
        <v>0</v>
      </c>
      <c r="H70" s="25" t="str">
        <f t="shared" si="13"/>
        <v>0</v>
      </c>
      <c r="I70" s="25" t="str">
        <f t="shared" si="7"/>
        <v>0</v>
      </c>
      <c r="J70" s="25">
        <f t="shared" si="8"/>
        <v>2</v>
      </c>
      <c r="K70" s="25" t="str">
        <f t="shared" si="9"/>
        <v>0</v>
      </c>
      <c r="L70" s="102"/>
      <c r="M70" s="102"/>
      <c r="N70" s="102"/>
      <c r="O70" s="102"/>
      <c r="P70" s="102"/>
      <c r="Q70" s="102"/>
      <c r="R70" s="103"/>
    </row>
    <row r="71" spans="1:18" ht="41.45" customHeight="1" x14ac:dyDescent="0.25">
      <c r="A71" s="19"/>
      <c r="B71" s="3"/>
      <c r="C71" s="22"/>
      <c r="D71" s="22"/>
      <c r="E71" s="25" t="str">
        <f t="shared" si="10"/>
        <v>0</v>
      </c>
      <c r="F71" s="25">
        <f t="shared" si="11"/>
        <v>9.9999999999999645E-2</v>
      </c>
      <c r="G71" s="25" t="str">
        <f t="shared" si="12"/>
        <v>0</v>
      </c>
      <c r="H71" s="25" t="str">
        <f t="shared" si="13"/>
        <v>0</v>
      </c>
      <c r="I71" s="25" t="str">
        <f t="shared" si="7"/>
        <v>0</v>
      </c>
      <c r="J71" s="25">
        <f t="shared" si="8"/>
        <v>9.9999999999999645E-2</v>
      </c>
      <c r="K71" s="25" t="str">
        <f t="shared" si="9"/>
        <v>0</v>
      </c>
      <c r="L71" s="102"/>
      <c r="M71" s="102"/>
      <c r="N71" s="102"/>
      <c r="O71" s="102"/>
      <c r="P71" s="102"/>
      <c r="Q71" s="102"/>
      <c r="R71" s="103"/>
    </row>
    <row r="72" spans="1:18" ht="41.45" customHeight="1" x14ac:dyDescent="0.25">
      <c r="A72" s="19"/>
      <c r="B72" s="3"/>
      <c r="C72" s="22"/>
      <c r="D72" s="22"/>
      <c r="E72" s="25" t="str">
        <f t="shared" si="10"/>
        <v>0</v>
      </c>
      <c r="F72" s="25">
        <f t="shared" si="11"/>
        <v>1.4000000000000004</v>
      </c>
      <c r="G72" s="25" t="str">
        <f t="shared" si="12"/>
        <v>0</v>
      </c>
      <c r="H72" s="25" t="str">
        <f t="shared" si="13"/>
        <v>0</v>
      </c>
      <c r="I72" s="25" t="str">
        <f t="shared" si="7"/>
        <v>0</v>
      </c>
      <c r="J72" s="25">
        <f t="shared" si="8"/>
        <v>1.4000000000000004</v>
      </c>
      <c r="K72" s="25" t="str">
        <f t="shared" si="9"/>
        <v>0</v>
      </c>
      <c r="L72" s="102"/>
      <c r="M72" s="102"/>
      <c r="N72" s="102"/>
      <c r="O72" s="102"/>
      <c r="P72" s="102"/>
      <c r="Q72" s="102"/>
      <c r="R72" s="103"/>
    </row>
    <row r="73" spans="1:18" ht="41.45" customHeight="1" x14ac:dyDescent="0.25">
      <c r="A73" s="19"/>
      <c r="B73" s="3"/>
      <c r="C73" s="22"/>
      <c r="D73" s="22"/>
      <c r="E73" s="25" t="str">
        <f t="shared" si="10"/>
        <v>0</v>
      </c>
      <c r="F73" s="25">
        <f t="shared" si="11"/>
        <v>1.5</v>
      </c>
      <c r="G73" s="25" t="str">
        <f t="shared" si="12"/>
        <v>0</v>
      </c>
      <c r="H73" s="25" t="str">
        <f t="shared" si="13"/>
        <v>0</v>
      </c>
      <c r="I73" s="25" t="str">
        <f t="shared" si="7"/>
        <v>0</v>
      </c>
      <c r="J73" s="25">
        <f t="shared" si="8"/>
        <v>1.5</v>
      </c>
      <c r="K73" s="25" t="str">
        <f t="shared" si="9"/>
        <v>0</v>
      </c>
      <c r="L73" s="102"/>
      <c r="M73" s="102"/>
      <c r="N73" s="102"/>
      <c r="O73" s="102"/>
      <c r="P73" s="102"/>
      <c r="Q73" s="102"/>
      <c r="R73" s="103"/>
    </row>
    <row r="74" spans="1:18" ht="41.45" customHeight="1" x14ac:dyDescent="0.25">
      <c r="A74" s="19"/>
      <c r="B74" s="3"/>
      <c r="C74" s="22"/>
      <c r="D74" s="22"/>
      <c r="E74" s="25" t="str">
        <f t="shared" si="10"/>
        <v>0</v>
      </c>
      <c r="F74" s="25">
        <f t="shared" si="11"/>
        <v>0.69999999999999929</v>
      </c>
      <c r="G74" s="25" t="str">
        <f t="shared" si="12"/>
        <v>0</v>
      </c>
      <c r="H74" s="25" t="str">
        <f t="shared" si="13"/>
        <v>0</v>
      </c>
      <c r="I74" s="25" t="str">
        <f t="shared" si="7"/>
        <v>0</v>
      </c>
      <c r="J74" s="25">
        <f t="shared" si="8"/>
        <v>0.69999999999999929</v>
      </c>
      <c r="K74" s="25" t="str">
        <f t="shared" si="9"/>
        <v>0</v>
      </c>
      <c r="L74" s="102"/>
      <c r="M74" s="102"/>
      <c r="N74" s="102"/>
      <c r="O74" s="102"/>
      <c r="P74" s="102"/>
      <c r="Q74" s="102"/>
      <c r="R74" s="103"/>
    </row>
    <row r="75" spans="1:18" ht="41.45" customHeight="1" x14ac:dyDescent="0.25">
      <c r="A75" s="19"/>
      <c r="B75" s="3"/>
      <c r="C75" s="22"/>
      <c r="D75" s="22"/>
      <c r="E75" s="25" t="str">
        <f t="shared" si="10"/>
        <v>0</v>
      </c>
      <c r="F75" s="25">
        <f t="shared" si="11"/>
        <v>1.6999999999999993</v>
      </c>
      <c r="G75" s="25" t="str">
        <f t="shared" si="12"/>
        <v>0</v>
      </c>
      <c r="H75" s="25" t="str">
        <f t="shared" si="13"/>
        <v>0</v>
      </c>
      <c r="I75" s="25" t="str">
        <f t="shared" si="7"/>
        <v>0</v>
      </c>
      <c r="J75" s="25">
        <f t="shared" si="8"/>
        <v>1.6999999999999993</v>
      </c>
      <c r="K75" s="25" t="str">
        <f t="shared" si="9"/>
        <v>0</v>
      </c>
      <c r="L75" s="102"/>
      <c r="M75" s="102"/>
      <c r="N75" s="102"/>
      <c r="O75" s="102"/>
      <c r="P75" s="102"/>
      <c r="Q75" s="102"/>
      <c r="R75" s="103"/>
    </row>
    <row r="76" spans="1:18" ht="41.45" customHeight="1" x14ac:dyDescent="0.25">
      <c r="A76" s="19"/>
      <c r="B76" s="3"/>
      <c r="C76" s="22"/>
      <c r="D76" s="22"/>
      <c r="E76" s="25" t="str">
        <f t="shared" si="10"/>
        <v>0</v>
      </c>
      <c r="F76" s="25">
        <f t="shared" si="11"/>
        <v>1.8000000000000007</v>
      </c>
      <c r="G76" s="25" t="str">
        <f t="shared" si="12"/>
        <v>0</v>
      </c>
      <c r="H76" s="25" t="str">
        <f t="shared" si="13"/>
        <v>0</v>
      </c>
      <c r="I76" s="25" t="str">
        <f t="shared" si="7"/>
        <v>0</v>
      </c>
      <c r="J76" s="25">
        <f t="shared" si="8"/>
        <v>1.8000000000000007</v>
      </c>
      <c r="K76" s="25" t="str">
        <f t="shared" si="9"/>
        <v>0</v>
      </c>
      <c r="L76" s="102"/>
      <c r="M76" s="102"/>
      <c r="N76" s="102"/>
      <c r="O76" s="102"/>
      <c r="P76" s="102"/>
      <c r="Q76" s="102"/>
      <c r="R76" s="103"/>
    </row>
    <row r="77" spans="1:18" ht="41.45" customHeight="1" x14ac:dyDescent="0.25">
      <c r="A77" s="19"/>
      <c r="B77" s="3"/>
      <c r="C77" s="22"/>
      <c r="D77" s="22"/>
      <c r="E77" s="25" t="str">
        <f t="shared" si="10"/>
        <v>0</v>
      </c>
      <c r="F77" s="25">
        <f t="shared" si="11"/>
        <v>0.10000000000000142</v>
      </c>
      <c r="G77" s="25" t="str">
        <f t="shared" si="12"/>
        <v>0</v>
      </c>
      <c r="H77" s="25" t="str">
        <f t="shared" si="13"/>
        <v>0</v>
      </c>
      <c r="I77" s="25" t="str">
        <f t="shared" si="7"/>
        <v>0</v>
      </c>
      <c r="J77" s="25">
        <f t="shared" si="8"/>
        <v>0.10000000000000142</v>
      </c>
      <c r="K77" s="25" t="str">
        <f t="shared" si="9"/>
        <v>0</v>
      </c>
      <c r="L77" s="102"/>
      <c r="M77" s="102"/>
      <c r="N77" s="102"/>
      <c r="O77" s="102"/>
      <c r="P77" s="102"/>
      <c r="Q77" s="102"/>
      <c r="R77" s="103"/>
    </row>
    <row r="78" spans="1:18" ht="41.45" customHeight="1" x14ac:dyDescent="0.25">
      <c r="A78" s="19"/>
      <c r="B78" s="3"/>
      <c r="C78" s="22"/>
      <c r="D78" s="22"/>
      <c r="E78" s="25" t="str">
        <f t="shared" si="10"/>
        <v>0</v>
      </c>
      <c r="F78" s="25">
        <f t="shared" si="11"/>
        <v>2</v>
      </c>
      <c r="G78" s="25" t="str">
        <f t="shared" si="12"/>
        <v>0</v>
      </c>
      <c r="H78" s="25" t="str">
        <f t="shared" si="13"/>
        <v>0</v>
      </c>
      <c r="I78" s="25" t="str">
        <f t="shared" si="7"/>
        <v>0</v>
      </c>
      <c r="J78" s="25">
        <f t="shared" si="8"/>
        <v>2</v>
      </c>
      <c r="K78" s="25" t="str">
        <f t="shared" si="9"/>
        <v>0</v>
      </c>
      <c r="L78" s="102"/>
      <c r="M78" s="102"/>
      <c r="N78" s="102"/>
      <c r="O78" s="102"/>
      <c r="P78" s="102"/>
      <c r="Q78" s="102"/>
      <c r="R78" s="103"/>
    </row>
    <row r="79" spans="1:18" ht="41.45" customHeight="1" x14ac:dyDescent="0.25">
      <c r="A79" s="19"/>
      <c r="B79" s="3"/>
      <c r="C79" s="22"/>
      <c r="D79" s="22"/>
      <c r="E79" s="25" t="str">
        <f t="shared" si="10"/>
        <v>0</v>
      </c>
      <c r="F79" s="25">
        <f t="shared" si="11"/>
        <v>1.6999999999999993</v>
      </c>
      <c r="G79" s="25" t="str">
        <f t="shared" si="12"/>
        <v>0</v>
      </c>
      <c r="H79" s="25" t="str">
        <f t="shared" si="13"/>
        <v>0</v>
      </c>
      <c r="I79" s="25" t="str">
        <f t="shared" si="7"/>
        <v>0</v>
      </c>
      <c r="J79" s="25">
        <f t="shared" si="8"/>
        <v>1.6999999999999993</v>
      </c>
      <c r="K79" s="25" t="str">
        <f t="shared" si="9"/>
        <v>0</v>
      </c>
      <c r="L79" s="102"/>
      <c r="M79" s="102"/>
      <c r="N79" s="102"/>
      <c r="O79" s="102"/>
      <c r="P79" s="102"/>
      <c r="Q79" s="102"/>
      <c r="R79" s="103"/>
    </row>
    <row r="80" spans="1:18" ht="41.45" customHeight="1" x14ac:dyDescent="0.25">
      <c r="A80" s="19"/>
      <c r="B80" s="3"/>
      <c r="C80" s="22"/>
      <c r="D80" s="22"/>
      <c r="E80" s="25" t="str">
        <f t="shared" si="10"/>
        <v>0</v>
      </c>
      <c r="F80" s="25">
        <f t="shared" si="11"/>
        <v>6.3000000000000007</v>
      </c>
      <c r="G80" s="25" t="str">
        <f t="shared" si="12"/>
        <v>0</v>
      </c>
      <c r="H80" s="25" t="str">
        <f t="shared" si="13"/>
        <v>0</v>
      </c>
      <c r="I80" s="25" t="str">
        <f t="shared" si="7"/>
        <v>0</v>
      </c>
      <c r="J80" s="25">
        <f t="shared" si="8"/>
        <v>6.3000000000000007</v>
      </c>
      <c r="K80" s="25" t="str">
        <f t="shared" si="9"/>
        <v>0</v>
      </c>
      <c r="L80" s="102"/>
      <c r="M80" s="102"/>
      <c r="N80" s="102"/>
      <c r="O80" s="102"/>
      <c r="P80" s="102"/>
      <c r="Q80" s="102"/>
      <c r="R80" s="103"/>
    </row>
    <row r="81" spans="1:18" ht="41.45" customHeight="1" x14ac:dyDescent="0.25">
      <c r="A81" s="19"/>
      <c r="B81" s="3"/>
      <c r="C81" s="22"/>
      <c r="D81" s="22"/>
      <c r="E81" s="25" t="str">
        <f t="shared" si="10"/>
        <v>0</v>
      </c>
      <c r="F81" s="25">
        <f t="shared" si="11"/>
        <v>2.6999999999999993</v>
      </c>
      <c r="G81" s="25" t="str">
        <f t="shared" si="12"/>
        <v>0</v>
      </c>
      <c r="H81" s="25" t="str">
        <f t="shared" si="13"/>
        <v>0</v>
      </c>
      <c r="I81" s="25" t="str">
        <f t="shared" si="7"/>
        <v>0</v>
      </c>
      <c r="J81" s="25">
        <f t="shared" si="8"/>
        <v>2.6999999999999993</v>
      </c>
      <c r="K81" s="25" t="str">
        <f t="shared" si="9"/>
        <v>0</v>
      </c>
      <c r="L81" s="102"/>
      <c r="M81" s="102"/>
      <c r="N81" s="102"/>
      <c r="O81" s="102"/>
      <c r="P81" s="102"/>
      <c r="Q81" s="102"/>
      <c r="R81" s="103"/>
    </row>
    <row r="82" spans="1:18" ht="41.45" customHeight="1" x14ac:dyDescent="0.25">
      <c r="A82" s="19"/>
      <c r="B82" s="3"/>
      <c r="C82" s="22"/>
      <c r="D82" s="22"/>
      <c r="E82" s="25" t="str">
        <f t="shared" si="10"/>
        <v>0</v>
      </c>
      <c r="F82" s="25">
        <f t="shared" si="11"/>
        <v>2</v>
      </c>
      <c r="G82" s="25" t="str">
        <f t="shared" si="12"/>
        <v>0</v>
      </c>
      <c r="H82" s="25" t="str">
        <f t="shared" si="13"/>
        <v>0</v>
      </c>
      <c r="I82" s="25" t="str">
        <f t="shared" si="7"/>
        <v>0</v>
      </c>
      <c r="J82" s="25">
        <f t="shared" si="8"/>
        <v>2</v>
      </c>
      <c r="K82" s="25" t="str">
        <f t="shared" si="9"/>
        <v>0</v>
      </c>
      <c r="L82" s="102"/>
      <c r="M82" s="102"/>
      <c r="N82" s="102"/>
      <c r="O82" s="102"/>
      <c r="P82" s="102"/>
      <c r="Q82" s="102"/>
      <c r="R82" s="103"/>
    </row>
    <row r="83" spans="1:18" ht="41.45" customHeight="1" x14ac:dyDescent="0.25">
      <c r="A83" s="19"/>
      <c r="B83" s="3"/>
      <c r="C83" s="22"/>
      <c r="D83" s="22"/>
      <c r="E83" s="25" t="str">
        <f t="shared" si="10"/>
        <v>0</v>
      </c>
      <c r="F83" s="25">
        <f t="shared" si="11"/>
        <v>1.7700000000000031</v>
      </c>
      <c r="G83" s="25" t="str">
        <f t="shared" si="12"/>
        <v>0</v>
      </c>
      <c r="H83" s="25" t="str">
        <f t="shared" si="13"/>
        <v>0</v>
      </c>
      <c r="I83" s="25" t="str">
        <f t="shared" si="7"/>
        <v>0</v>
      </c>
      <c r="J83" s="25">
        <f t="shared" si="8"/>
        <v>1.7700000000000031</v>
      </c>
      <c r="K83" s="25" t="str">
        <f t="shared" si="9"/>
        <v>0</v>
      </c>
      <c r="L83" s="102"/>
      <c r="M83" s="102"/>
      <c r="N83" s="102"/>
      <c r="O83" s="102"/>
      <c r="P83" s="102"/>
      <c r="Q83" s="102"/>
      <c r="R83" s="103"/>
    </row>
    <row r="84" spans="1:18" ht="41.45" customHeight="1" x14ac:dyDescent="0.25">
      <c r="A84" s="19"/>
      <c r="B84" s="3"/>
      <c r="C84" s="22"/>
      <c r="D84" s="22"/>
      <c r="E84" s="25"/>
      <c r="F84" s="25"/>
      <c r="G84" s="25"/>
      <c r="H84" s="25"/>
      <c r="I84" s="25"/>
      <c r="J84" s="25"/>
      <c r="K84" s="25"/>
      <c r="L84" s="102"/>
      <c r="M84" s="102"/>
      <c r="N84" s="102"/>
      <c r="O84" s="102"/>
      <c r="P84" s="102"/>
      <c r="Q84" s="102"/>
      <c r="R84" s="103"/>
    </row>
    <row r="85" spans="1:18" ht="41.45" customHeight="1" x14ac:dyDescent="0.25">
      <c r="A85" s="19"/>
      <c r="B85" s="3"/>
      <c r="C85" s="22"/>
      <c r="D85" s="22"/>
      <c r="E85" s="25"/>
      <c r="F85" s="25"/>
      <c r="G85" s="25"/>
      <c r="H85" s="25"/>
      <c r="I85" s="25"/>
      <c r="J85" s="25"/>
      <c r="K85" s="25"/>
      <c r="L85" s="102"/>
      <c r="M85" s="102"/>
      <c r="N85" s="102"/>
      <c r="O85" s="102"/>
      <c r="P85" s="102"/>
      <c r="Q85" s="102"/>
      <c r="R85" s="103"/>
    </row>
    <row r="86" spans="1:18" ht="41.45" customHeight="1" x14ac:dyDescent="0.25">
      <c r="A86" s="19"/>
      <c r="B86" s="3"/>
      <c r="C86" s="22"/>
      <c r="D86" s="22"/>
      <c r="E86" s="25"/>
      <c r="F86" s="25"/>
      <c r="G86" s="25"/>
      <c r="H86" s="25"/>
      <c r="I86" s="25"/>
      <c r="J86" s="25"/>
      <c r="K86" s="25"/>
      <c r="L86" s="102"/>
      <c r="M86" s="102"/>
      <c r="N86" s="102"/>
      <c r="O86" s="102"/>
      <c r="P86" s="102"/>
      <c r="Q86" s="102"/>
      <c r="R86" s="103"/>
    </row>
    <row r="87" spans="1:18" ht="41.45" customHeight="1" x14ac:dyDescent="0.25">
      <c r="A87" s="19"/>
      <c r="B87" s="3"/>
      <c r="C87" s="22"/>
      <c r="D87" s="22"/>
      <c r="E87" s="25"/>
      <c r="F87" s="25"/>
      <c r="G87" s="25"/>
      <c r="H87" s="25"/>
      <c r="I87" s="25"/>
      <c r="J87" s="25"/>
      <c r="K87" s="25"/>
      <c r="L87" s="102"/>
      <c r="M87" s="102"/>
      <c r="N87" s="102"/>
      <c r="O87" s="102"/>
      <c r="P87" s="102"/>
      <c r="Q87" s="102"/>
      <c r="R87" s="103"/>
    </row>
    <row r="88" spans="1:18" ht="41.45" customHeight="1" x14ac:dyDescent="0.25">
      <c r="A88" s="19"/>
      <c r="B88" s="3"/>
      <c r="C88" s="22"/>
      <c r="D88" s="22"/>
      <c r="E88" s="25"/>
      <c r="F88" s="25"/>
      <c r="G88" s="25"/>
      <c r="H88" s="25"/>
      <c r="I88" s="25"/>
      <c r="J88" s="25"/>
      <c r="K88" s="25"/>
      <c r="L88" s="102"/>
      <c r="M88" s="102"/>
      <c r="N88" s="102"/>
      <c r="O88" s="102"/>
      <c r="P88" s="102"/>
      <c r="Q88" s="102"/>
      <c r="R88" s="103"/>
    </row>
    <row r="89" spans="1:18" ht="41.45" customHeight="1" x14ac:dyDescent="0.25">
      <c r="A89" s="19"/>
      <c r="B89" s="3"/>
      <c r="C89" s="22"/>
      <c r="D89" s="22"/>
      <c r="E89" s="22">
        <f>SUM(E49:E83)</f>
        <v>0</v>
      </c>
      <c r="F89" s="22">
        <f t="shared" ref="F89:K89" si="14">SUM(F49:F83)</f>
        <v>54.389999999999993</v>
      </c>
      <c r="G89" s="22">
        <f t="shared" si="14"/>
        <v>0</v>
      </c>
      <c r="H89" s="22">
        <f t="shared" si="14"/>
        <v>0</v>
      </c>
      <c r="I89" s="22">
        <f t="shared" si="14"/>
        <v>0</v>
      </c>
      <c r="J89" s="22">
        <f t="shared" si="14"/>
        <v>54.389999999999993</v>
      </c>
      <c r="K89" s="22">
        <f t="shared" si="14"/>
        <v>0</v>
      </c>
      <c r="L89" s="102"/>
      <c r="M89" s="102"/>
      <c r="N89" s="102"/>
      <c r="O89" s="102"/>
      <c r="P89" s="102"/>
      <c r="Q89" s="102"/>
      <c r="R89" s="103"/>
    </row>
    <row r="90" spans="1:18" ht="41.45" customHeight="1" x14ac:dyDescent="0.25">
      <c r="A90" s="19"/>
      <c r="B90" s="3"/>
      <c r="C90" s="22"/>
      <c r="D90" s="22"/>
      <c r="E90" s="22"/>
      <c r="F90" s="21"/>
      <c r="G90" s="21"/>
      <c r="H90" s="21"/>
      <c r="I90" s="21"/>
      <c r="J90" s="21"/>
      <c r="K90" s="21"/>
      <c r="L90" s="102"/>
      <c r="M90" s="102"/>
      <c r="N90" s="102"/>
      <c r="O90" s="102"/>
      <c r="P90" s="102"/>
      <c r="Q90" s="102"/>
      <c r="R90" s="103"/>
    </row>
    <row r="91" spans="1:18" ht="41.45" customHeight="1" x14ac:dyDescent="0.25">
      <c r="A91" s="19"/>
      <c r="B91" s="3"/>
      <c r="C91" s="22"/>
      <c r="D91" s="22"/>
      <c r="E91" s="22"/>
      <c r="F91" s="21"/>
      <c r="G91" s="21"/>
      <c r="H91" s="21"/>
      <c r="I91" s="21"/>
      <c r="J91" s="21"/>
      <c r="K91" s="21"/>
      <c r="L91" s="102"/>
      <c r="M91" s="102"/>
      <c r="N91" s="102"/>
      <c r="O91" s="102"/>
      <c r="P91" s="102"/>
      <c r="Q91" s="102"/>
      <c r="R91" s="103"/>
    </row>
    <row r="92" spans="1:18" ht="41.45" customHeight="1" x14ac:dyDescent="0.25">
      <c r="A92" s="19"/>
      <c r="B92" s="3"/>
      <c r="C92" s="22"/>
      <c r="D92" s="22"/>
      <c r="E92" s="22"/>
      <c r="F92" s="21"/>
      <c r="G92" s="21"/>
      <c r="H92" s="21"/>
      <c r="I92" s="21"/>
      <c r="J92" s="21"/>
      <c r="K92" s="21"/>
      <c r="L92" s="102"/>
      <c r="M92" s="102"/>
      <c r="N92" s="102"/>
      <c r="O92" s="102"/>
      <c r="P92" s="102"/>
      <c r="Q92" s="102"/>
      <c r="R92" s="103"/>
    </row>
    <row r="93" spans="1:18" ht="41.45" customHeight="1" x14ac:dyDescent="0.25">
      <c r="A93" s="19"/>
      <c r="B93" s="3"/>
      <c r="C93" s="22"/>
      <c r="D93" s="22"/>
      <c r="E93" s="22"/>
      <c r="F93" s="21"/>
      <c r="G93" s="21"/>
      <c r="H93" s="21"/>
      <c r="I93" s="21"/>
      <c r="J93" s="21"/>
      <c r="K93" s="21"/>
      <c r="L93" s="102"/>
      <c r="M93" s="102"/>
      <c r="N93" s="102"/>
      <c r="O93" s="102"/>
      <c r="P93" s="102"/>
      <c r="Q93" s="102"/>
      <c r="R93" s="103"/>
    </row>
    <row r="94" spans="1:18" ht="41.45" customHeight="1" x14ac:dyDescent="0.25">
      <c r="A94" s="19"/>
      <c r="B94" s="3"/>
      <c r="C94" s="22"/>
      <c r="D94" s="22"/>
      <c r="E94" s="22"/>
      <c r="F94" s="21"/>
      <c r="G94" s="21"/>
      <c r="H94" s="21"/>
      <c r="I94" s="21"/>
      <c r="J94" s="21"/>
      <c r="K94" s="21"/>
      <c r="L94" s="102"/>
      <c r="M94" s="102"/>
      <c r="N94" s="102"/>
      <c r="O94" s="102"/>
      <c r="P94" s="102"/>
      <c r="Q94" s="102"/>
      <c r="R94" s="103"/>
    </row>
    <row r="95" spans="1:18" ht="41.45" customHeight="1" thickBot="1" x14ac:dyDescent="0.3">
      <c r="A95" s="20"/>
      <c r="B95" s="4"/>
      <c r="C95" s="26"/>
      <c r="D95" s="26"/>
      <c r="E95" s="26"/>
      <c r="F95" s="27"/>
      <c r="G95" s="27"/>
      <c r="H95" s="27"/>
      <c r="I95" s="27"/>
      <c r="J95" s="27"/>
      <c r="K95" s="27"/>
      <c r="L95" s="107"/>
      <c r="M95" s="107"/>
      <c r="N95" s="107"/>
      <c r="O95" s="107"/>
      <c r="P95" s="107"/>
      <c r="Q95" s="107"/>
      <c r="R95" s="108"/>
    </row>
  </sheetData>
  <mergeCells count="87">
    <mergeCell ref="L93:R93"/>
    <mergeCell ref="L94:R94"/>
    <mergeCell ref="L95:R95"/>
    <mergeCell ref="L73:R73"/>
    <mergeCell ref="L74:R74"/>
    <mergeCell ref="L89:R89"/>
    <mergeCell ref="L90:R90"/>
    <mergeCell ref="L91:R91"/>
    <mergeCell ref="L92:R92"/>
    <mergeCell ref="L75:R75"/>
    <mergeCell ref="L76:R76"/>
    <mergeCell ref="L77:R77"/>
    <mergeCell ref="L78:R78"/>
    <mergeCell ref="L79:R79"/>
    <mergeCell ref="L80:R80"/>
    <mergeCell ref="L81:R81"/>
    <mergeCell ref="L72:R72"/>
    <mergeCell ref="L61:R61"/>
    <mergeCell ref="L62:R62"/>
    <mergeCell ref="L63:R63"/>
    <mergeCell ref="L64:R64"/>
    <mergeCell ref="L65:R65"/>
    <mergeCell ref="L66:R66"/>
    <mergeCell ref="L67:R67"/>
    <mergeCell ref="L68:R68"/>
    <mergeCell ref="L69:R69"/>
    <mergeCell ref="L70:R70"/>
    <mergeCell ref="L71:R71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48:R48"/>
    <mergeCell ref="L24:R24"/>
    <mergeCell ref="L25:R25"/>
    <mergeCell ref="L26:R26"/>
    <mergeCell ref="L27:R27"/>
    <mergeCell ref="L28:R28"/>
    <mergeCell ref="L29:R29"/>
    <mergeCell ref="L43:R43"/>
    <mergeCell ref="L44:R44"/>
    <mergeCell ref="L45:R45"/>
    <mergeCell ref="L46:R46"/>
    <mergeCell ref="L47:R47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  <mergeCell ref="L87:R87"/>
    <mergeCell ref="L88:R88"/>
    <mergeCell ref="L82:R82"/>
    <mergeCell ref="L83:R83"/>
    <mergeCell ref="L84:R84"/>
    <mergeCell ref="L85:R85"/>
    <mergeCell ref="L86:R86"/>
  </mergeCells>
  <pageMargins left="0.51181102362204722" right="0.51181102362204722" top="0.78740157480314965" bottom="0.78740157480314965" header="0.31496062992125984" footer="0.31496062992125984"/>
  <pageSetup paperSize="9" scale="22" orientation="portrait" horizontalDpi="1200" verticalDpi="1200" r:id="rId1"/>
  <colBreaks count="1" manualBreakCount="1">
    <brk id="18" max="40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R68"/>
  <sheetViews>
    <sheetView view="pageBreakPreview" zoomScale="40" zoomScaleNormal="10" zoomScaleSheetLayoutView="40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Trechos!E77</f>
        <v>RODOVIA TO-226 - TRECHO ENTR. TO-010 (POVOADO CAMPOS) - ENTR. BR-010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331</v>
      </c>
      <c r="B7" s="21" t="s">
        <v>20</v>
      </c>
      <c r="C7" s="22">
        <v>0</v>
      </c>
      <c r="D7" s="60">
        <v>14.646521651400001</v>
      </c>
      <c r="E7" s="21"/>
      <c r="F7" s="21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 t="s">
        <v>333</v>
      </c>
      <c r="B8" s="21" t="s">
        <v>20</v>
      </c>
      <c r="C8" s="22">
        <v>0</v>
      </c>
      <c r="D8" s="60">
        <v>13.697356407999999</v>
      </c>
      <c r="E8" s="21"/>
      <c r="F8" s="21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/>
      <c r="D9" s="22"/>
      <c r="E9" s="21"/>
      <c r="F9" s="21"/>
      <c r="G9" s="21"/>
      <c r="H9" s="21"/>
      <c r="I9" s="21"/>
      <c r="J9" s="21"/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23"/>
      <c r="B36" s="24"/>
      <c r="C36" s="25"/>
      <c r="D36" s="25"/>
      <c r="E36" s="25" t="str">
        <f>IF(E7="X",(D7-C7),"0")</f>
        <v>0</v>
      </c>
      <c r="F36" s="25">
        <f>IF(F7="X",(D7-C7),"0")</f>
        <v>14.646521651400001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14.646521651400001</v>
      </c>
      <c r="K36" s="25" t="str">
        <f>IF(K7="X",(D7-C7),"0")</f>
        <v>0</v>
      </c>
      <c r="L36" s="104"/>
      <c r="M36" s="105"/>
      <c r="N36" s="105"/>
      <c r="O36" s="105"/>
      <c r="P36" s="105"/>
      <c r="Q36" s="105"/>
      <c r="R36" s="106"/>
    </row>
    <row r="37" spans="1:18" ht="41.45" customHeight="1" x14ac:dyDescent="0.25">
      <c r="A37" s="19"/>
      <c r="B37" s="3"/>
      <c r="C37" s="22"/>
      <c r="D37" s="22"/>
      <c r="E37" s="25" t="str">
        <f t="shared" ref="E37:E61" si="0">IF(E8="X",(D8-C8),"0")</f>
        <v>0</v>
      </c>
      <c r="F37" s="25">
        <f t="shared" ref="F37:F61" si="1">IF(F8="X",(D8-C8),"0")</f>
        <v>13.697356407999999</v>
      </c>
      <c r="G37" s="25" t="str">
        <f t="shared" ref="G37:G61" si="2">IF(G8="X",(D8-C8),"0")</f>
        <v>0</v>
      </c>
      <c r="H37" s="25" t="str">
        <f t="shared" ref="H37:H61" si="3">IF(H8="X",(D8-C8),"0")</f>
        <v>0</v>
      </c>
      <c r="I37" s="25" t="str">
        <f t="shared" ref="I37:I61" si="4">IF(I8="X",(D8-C8),"0")</f>
        <v>0</v>
      </c>
      <c r="J37" s="25">
        <f t="shared" ref="J37:J61" si="5">IF(J8="X",(D8-C8),"0")</f>
        <v>13.697356407999999</v>
      </c>
      <c r="K37" s="25" t="str">
        <f t="shared" ref="K37:K61" si="6">IF(K8="X",(D8-C8),"0")</f>
        <v>0</v>
      </c>
      <c r="L37" s="102"/>
      <c r="M37" s="102"/>
      <c r="N37" s="102"/>
      <c r="O37" s="102"/>
      <c r="P37" s="102"/>
      <c r="Q37" s="102"/>
      <c r="R37" s="103"/>
    </row>
    <row r="38" spans="1:18" ht="41.45" customHeight="1" x14ac:dyDescent="0.25">
      <c r="A38" s="19"/>
      <c r="B38" s="3"/>
      <c r="C38" s="22"/>
      <c r="D38" s="22"/>
      <c r="E38" s="25" t="str">
        <f t="shared" si="0"/>
        <v>0</v>
      </c>
      <c r="F38" s="25" t="str">
        <f t="shared" si="1"/>
        <v>0</v>
      </c>
      <c r="G38" s="25" t="str">
        <f t="shared" si="2"/>
        <v>0</v>
      </c>
      <c r="H38" s="25" t="str">
        <f t="shared" si="3"/>
        <v>0</v>
      </c>
      <c r="I38" s="25" t="str">
        <f t="shared" si="4"/>
        <v>0</v>
      </c>
      <c r="J38" s="25" t="str">
        <f t="shared" si="5"/>
        <v>0</v>
      </c>
      <c r="K38" s="25" t="str">
        <f t="shared" si="6"/>
        <v>0</v>
      </c>
      <c r="L38" s="102"/>
      <c r="M38" s="102"/>
      <c r="N38" s="102"/>
      <c r="O38" s="102"/>
      <c r="P38" s="102"/>
      <c r="Q38" s="102"/>
      <c r="R38" s="103"/>
    </row>
    <row r="39" spans="1:18" ht="41.45" customHeight="1" x14ac:dyDescent="0.25">
      <c r="A39" s="19"/>
      <c r="B39" s="3"/>
      <c r="C39" s="22"/>
      <c r="D39" s="22"/>
      <c r="E39" s="25" t="str">
        <f t="shared" si="0"/>
        <v>0</v>
      </c>
      <c r="F39" s="25" t="str">
        <f t="shared" si="1"/>
        <v>0</v>
      </c>
      <c r="G39" s="25" t="str">
        <f t="shared" si="2"/>
        <v>0</v>
      </c>
      <c r="H39" s="25" t="str">
        <f t="shared" si="3"/>
        <v>0</v>
      </c>
      <c r="I39" s="25" t="str">
        <f t="shared" si="4"/>
        <v>0</v>
      </c>
      <c r="J39" s="25" t="str">
        <f t="shared" si="5"/>
        <v>0</v>
      </c>
      <c r="K39" s="25" t="str">
        <f t="shared" si="6"/>
        <v>0</v>
      </c>
      <c r="L39" s="102"/>
      <c r="M39" s="102"/>
      <c r="N39" s="102"/>
      <c r="O39" s="102"/>
      <c r="P39" s="102"/>
      <c r="Q39" s="102"/>
      <c r="R39" s="103"/>
    </row>
    <row r="40" spans="1:18" ht="41.45" customHeight="1" x14ac:dyDescent="0.25">
      <c r="A40" s="19"/>
      <c r="B40" s="3"/>
      <c r="C40" s="22"/>
      <c r="D40" s="22"/>
      <c r="E40" s="25" t="str">
        <f t="shared" si="0"/>
        <v>0</v>
      </c>
      <c r="F40" s="25" t="str">
        <f t="shared" si="1"/>
        <v>0</v>
      </c>
      <c r="G40" s="25" t="str">
        <f t="shared" si="2"/>
        <v>0</v>
      </c>
      <c r="H40" s="25" t="str">
        <f t="shared" si="3"/>
        <v>0</v>
      </c>
      <c r="I40" s="25" t="str">
        <f t="shared" si="4"/>
        <v>0</v>
      </c>
      <c r="J40" s="25" t="str">
        <f t="shared" si="5"/>
        <v>0</v>
      </c>
      <c r="K40" s="25" t="str">
        <f t="shared" si="6"/>
        <v>0</v>
      </c>
      <c r="L40" s="102"/>
      <c r="M40" s="102"/>
      <c r="N40" s="102"/>
      <c r="O40" s="102"/>
      <c r="P40" s="102"/>
      <c r="Q40" s="102"/>
      <c r="R40" s="103"/>
    </row>
    <row r="41" spans="1:18" ht="41.45" customHeight="1" x14ac:dyDescent="0.25">
      <c r="A41" s="19"/>
      <c r="B41" s="3"/>
      <c r="C41" s="22"/>
      <c r="D41" s="22"/>
      <c r="E41" s="25" t="str">
        <f t="shared" si="0"/>
        <v>0</v>
      </c>
      <c r="F41" s="25" t="str">
        <f t="shared" si="1"/>
        <v>0</v>
      </c>
      <c r="G41" s="25" t="str">
        <f t="shared" si="2"/>
        <v>0</v>
      </c>
      <c r="H41" s="25" t="str">
        <f t="shared" si="3"/>
        <v>0</v>
      </c>
      <c r="I41" s="25" t="str">
        <f t="shared" si="4"/>
        <v>0</v>
      </c>
      <c r="J41" s="25" t="str">
        <f t="shared" si="5"/>
        <v>0</v>
      </c>
      <c r="K41" s="25" t="str">
        <f t="shared" si="6"/>
        <v>0</v>
      </c>
      <c r="L41" s="102"/>
      <c r="M41" s="102"/>
      <c r="N41" s="102"/>
      <c r="O41" s="102"/>
      <c r="P41" s="102"/>
      <c r="Q41" s="102"/>
      <c r="R41" s="103"/>
    </row>
    <row r="42" spans="1:18" ht="41.45" customHeight="1" x14ac:dyDescent="0.25">
      <c r="A42" s="19"/>
      <c r="B42" s="3"/>
      <c r="C42" s="22"/>
      <c r="D42" s="22"/>
      <c r="E42" s="25" t="str">
        <f t="shared" si="0"/>
        <v>0</v>
      </c>
      <c r="F42" s="25" t="str">
        <f t="shared" si="1"/>
        <v>0</v>
      </c>
      <c r="G42" s="25" t="str">
        <f t="shared" si="2"/>
        <v>0</v>
      </c>
      <c r="H42" s="25" t="str">
        <f t="shared" si="3"/>
        <v>0</v>
      </c>
      <c r="I42" s="25" t="str">
        <f t="shared" si="4"/>
        <v>0</v>
      </c>
      <c r="J42" s="25" t="str">
        <f t="shared" si="5"/>
        <v>0</v>
      </c>
      <c r="K42" s="25" t="str">
        <f t="shared" si="6"/>
        <v>0</v>
      </c>
      <c r="L42" s="102"/>
      <c r="M42" s="102"/>
      <c r="N42" s="102"/>
      <c r="O42" s="102"/>
      <c r="P42" s="102"/>
      <c r="Q42" s="102"/>
      <c r="R42" s="103"/>
    </row>
    <row r="43" spans="1:18" ht="41.45" customHeight="1" x14ac:dyDescent="0.25">
      <c r="A43" s="19"/>
      <c r="B43" s="3"/>
      <c r="C43" s="22"/>
      <c r="D43" s="22"/>
      <c r="E43" s="25" t="str">
        <f t="shared" si="0"/>
        <v>0</v>
      </c>
      <c r="F43" s="25" t="str">
        <f t="shared" si="1"/>
        <v>0</v>
      </c>
      <c r="G43" s="25" t="str">
        <f t="shared" si="2"/>
        <v>0</v>
      </c>
      <c r="H43" s="25" t="str">
        <f t="shared" si="3"/>
        <v>0</v>
      </c>
      <c r="I43" s="25" t="str">
        <f t="shared" si="4"/>
        <v>0</v>
      </c>
      <c r="J43" s="25" t="str">
        <f t="shared" si="5"/>
        <v>0</v>
      </c>
      <c r="K43" s="25" t="str">
        <f t="shared" si="6"/>
        <v>0</v>
      </c>
      <c r="L43" s="102"/>
      <c r="M43" s="102"/>
      <c r="N43" s="102"/>
      <c r="O43" s="102"/>
      <c r="P43" s="102"/>
      <c r="Q43" s="102"/>
      <c r="R43" s="103"/>
    </row>
    <row r="44" spans="1:18" ht="41.45" customHeight="1" x14ac:dyDescent="0.25">
      <c r="A44" s="19"/>
      <c r="B44" s="3"/>
      <c r="C44" s="22"/>
      <c r="D44" s="22"/>
      <c r="E44" s="25" t="str">
        <f t="shared" si="0"/>
        <v>0</v>
      </c>
      <c r="F44" s="25" t="str">
        <f t="shared" si="1"/>
        <v>0</v>
      </c>
      <c r="G44" s="25" t="str">
        <f t="shared" si="2"/>
        <v>0</v>
      </c>
      <c r="H44" s="25" t="str">
        <f t="shared" si="3"/>
        <v>0</v>
      </c>
      <c r="I44" s="25" t="str">
        <f t="shared" si="4"/>
        <v>0</v>
      </c>
      <c r="J44" s="25" t="str">
        <f t="shared" si="5"/>
        <v>0</v>
      </c>
      <c r="K44" s="25" t="str">
        <f t="shared" si="6"/>
        <v>0</v>
      </c>
      <c r="L44" s="102"/>
      <c r="M44" s="102"/>
      <c r="N44" s="102"/>
      <c r="O44" s="102"/>
      <c r="P44" s="102"/>
      <c r="Q44" s="102"/>
      <c r="R44" s="103"/>
    </row>
    <row r="45" spans="1:18" ht="41.45" customHeight="1" x14ac:dyDescent="0.25">
      <c r="A45" s="19"/>
      <c r="B45" s="3"/>
      <c r="C45" s="22"/>
      <c r="D45" s="22"/>
      <c r="E45" s="25" t="str">
        <f t="shared" si="0"/>
        <v>0</v>
      </c>
      <c r="F45" s="25" t="str">
        <f t="shared" si="1"/>
        <v>0</v>
      </c>
      <c r="G45" s="25" t="str">
        <f t="shared" si="2"/>
        <v>0</v>
      </c>
      <c r="H45" s="25" t="str">
        <f t="shared" si="3"/>
        <v>0</v>
      </c>
      <c r="I45" s="25" t="str">
        <f t="shared" si="4"/>
        <v>0</v>
      </c>
      <c r="J45" s="25" t="str">
        <f t="shared" si="5"/>
        <v>0</v>
      </c>
      <c r="K45" s="25" t="str">
        <f t="shared" si="6"/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0"/>
        <v>0</v>
      </c>
      <c r="F46" s="25" t="str">
        <f t="shared" si="1"/>
        <v>0</v>
      </c>
      <c r="G46" s="25" t="str">
        <f t="shared" si="2"/>
        <v>0</v>
      </c>
      <c r="H46" s="25" t="str">
        <f t="shared" si="3"/>
        <v>0</v>
      </c>
      <c r="I46" s="25" t="str">
        <f t="shared" si="4"/>
        <v>0</v>
      </c>
      <c r="J46" s="25" t="str">
        <f t="shared" si="5"/>
        <v>0</v>
      </c>
      <c r="K46" s="25" t="str">
        <f t="shared" si="6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0"/>
        <v>0</v>
      </c>
      <c r="F47" s="25" t="str">
        <f t="shared" si="1"/>
        <v>0</v>
      </c>
      <c r="G47" s="25" t="str">
        <f t="shared" si="2"/>
        <v>0</v>
      </c>
      <c r="H47" s="25" t="str">
        <f t="shared" si="3"/>
        <v>0</v>
      </c>
      <c r="I47" s="25" t="str">
        <f t="shared" si="4"/>
        <v>0</v>
      </c>
      <c r="J47" s="25" t="str">
        <f t="shared" si="5"/>
        <v>0</v>
      </c>
      <c r="K47" s="25" t="str">
        <f t="shared" si="6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0"/>
        <v>0</v>
      </c>
      <c r="F48" s="25" t="str">
        <f t="shared" si="1"/>
        <v>0</v>
      </c>
      <c r="G48" s="25" t="str">
        <f t="shared" si="2"/>
        <v>0</v>
      </c>
      <c r="H48" s="25" t="str">
        <f t="shared" si="3"/>
        <v>0</v>
      </c>
      <c r="I48" s="25" t="str">
        <f t="shared" si="4"/>
        <v>0</v>
      </c>
      <c r="J48" s="25" t="str">
        <f t="shared" si="5"/>
        <v>0</v>
      </c>
      <c r="K48" s="25" t="str">
        <f t="shared" si="6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0"/>
        <v>0</v>
      </c>
      <c r="F49" s="25" t="str">
        <f t="shared" si="1"/>
        <v>0</v>
      </c>
      <c r="G49" s="25" t="str">
        <f t="shared" si="2"/>
        <v>0</v>
      </c>
      <c r="H49" s="25" t="str">
        <f t="shared" si="3"/>
        <v>0</v>
      </c>
      <c r="I49" s="25" t="str">
        <f t="shared" si="4"/>
        <v>0</v>
      </c>
      <c r="J49" s="25" t="str">
        <f t="shared" si="5"/>
        <v>0</v>
      </c>
      <c r="K49" s="25" t="str">
        <f t="shared" si="6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0"/>
        <v>0</v>
      </c>
      <c r="F50" s="25" t="str">
        <f t="shared" si="1"/>
        <v>0</v>
      </c>
      <c r="G50" s="25" t="str">
        <f t="shared" si="2"/>
        <v>0</v>
      </c>
      <c r="H50" s="25" t="str">
        <f t="shared" si="3"/>
        <v>0</v>
      </c>
      <c r="I50" s="25" t="str">
        <f t="shared" si="4"/>
        <v>0</v>
      </c>
      <c r="J50" s="25" t="str">
        <f t="shared" si="5"/>
        <v>0</v>
      </c>
      <c r="K50" s="25" t="str">
        <f t="shared" si="6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0"/>
        <v>0</v>
      </c>
      <c r="F51" s="25" t="str">
        <f t="shared" si="1"/>
        <v>0</v>
      </c>
      <c r="G51" s="25" t="str">
        <f t="shared" si="2"/>
        <v>0</v>
      </c>
      <c r="H51" s="25" t="str">
        <f t="shared" si="3"/>
        <v>0</v>
      </c>
      <c r="I51" s="25" t="str">
        <f t="shared" si="4"/>
        <v>0</v>
      </c>
      <c r="J51" s="25" t="str">
        <f t="shared" si="5"/>
        <v>0</v>
      </c>
      <c r="K51" s="25" t="str">
        <f t="shared" si="6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0"/>
        <v>0</v>
      </c>
      <c r="F52" s="25" t="str">
        <f t="shared" si="1"/>
        <v>0</v>
      </c>
      <c r="G52" s="25" t="str">
        <f t="shared" si="2"/>
        <v>0</v>
      </c>
      <c r="H52" s="25" t="str">
        <f t="shared" si="3"/>
        <v>0</v>
      </c>
      <c r="I52" s="25" t="str">
        <f t="shared" si="4"/>
        <v>0</v>
      </c>
      <c r="J52" s="25" t="str">
        <f t="shared" si="5"/>
        <v>0</v>
      </c>
      <c r="K52" s="25" t="str">
        <f t="shared" si="6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0"/>
        <v>0</v>
      </c>
      <c r="F53" s="25" t="str">
        <f t="shared" si="1"/>
        <v>0</v>
      </c>
      <c r="G53" s="25" t="str">
        <f t="shared" si="2"/>
        <v>0</v>
      </c>
      <c r="H53" s="25" t="str">
        <f t="shared" si="3"/>
        <v>0</v>
      </c>
      <c r="I53" s="25" t="str">
        <f t="shared" si="4"/>
        <v>0</v>
      </c>
      <c r="J53" s="25" t="str">
        <f t="shared" si="5"/>
        <v>0</v>
      </c>
      <c r="K53" s="25" t="str">
        <f t="shared" si="6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0"/>
        <v>0</v>
      </c>
      <c r="F54" s="25" t="str">
        <f t="shared" si="1"/>
        <v>0</v>
      </c>
      <c r="G54" s="25" t="str">
        <f t="shared" si="2"/>
        <v>0</v>
      </c>
      <c r="H54" s="25" t="str">
        <f t="shared" si="3"/>
        <v>0</v>
      </c>
      <c r="I54" s="25" t="str">
        <f t="shared" si="4"/>
        <v>0</v>
      </c>
      <c r="J54" s="25" t="str">
        <f t="shared" si="5"/>
        <v>0</v>
      </c>
      <c r="K54" s="25" t="str">
        <f t="shared" si="6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0"/>
        <v>0</v>
      </c>
      <c r="F55" s="25" t="str">
        <f t="shared" si="1"/>
        <v>0</v>
      </c>
      <c r="G55" s="25" t="str">
        <f t="shared" si="2"/>
        <v>0</v>
      </c>
      <c r="H55" s="25" t="str">
        <f t="shared" si="3"/>
        <v>0</v>
      </c>
      <c r="I55" s="25" t="str">
        <f t="shared" si="4"/>
        <v>0</v>
      </c>
      <c r="J55" s="25" t="str">
        <f t="shared" si="5"/>
        <v>0</v>
      </c>
      <c r="K55" s="25" t="str">
        <f t="shared" si="6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0"/>
        <v>0</v>
      </c>
      <c r="F56" s="25" t="str">
        <f t="shared" si="1"/>
        <v>0</v>
      </c>
      <c r="G56" s="25" t="str">
        <f t="shared" si="2"/>
        <v>0</v>
      </c>
      <c r="H56" s="25" t="str">
        <f t="shared" si="3"/>
        <v>0</v>
      </c>
      <c r="I56" s="25" t="str">
        <f t="shared" si="4"/>
        <v>0</v>
      </c>
      <c r="J56" s="25" t="str">
        <f t="shared" si="5"/>
        <v>0</v>
      </c>
      <c r="K56" s="25" t="str">
        <f t="shared" si="6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0"/>
        <v>0</v>
      </c>
      <c r="F57" s="25" t="str">
        <f t="shared" si="1"/>
        <v>0</v>
      </c>
      <c r="G57" s="25" t="str">
        <f t="shared" si="2"/>
        <v>0</v>
      </c>
      <c r="H57" s="25" t="str">
        <f t="shared" si="3"/>
        <v>0</v>
      </c>
      <c r="I57" s="25" t="str">
        <f t="shared" si="4"/>
        <v>0</v>
      </c>
      <c r="J57" s="25" t="str">
        <f t="shared" si="5"/>
        <v>0</v>
      </c>
      <c r="K57" s="25" t="str">
        <f t="shared" si="6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0"/>
        <v>0</v>
      </c>
      <c r="F58" s="25" t="str">
        <f t="shared" si="1"/>
        <v>0</v>
      </c>
      <c r="G58" s="25" t="str">
        <f t="shared" si="2"/>
        <v>0</v>
      </c>
      <c r="H58" s="25" t="str">
        <f t="shared" si="3"/>
        <v>0</v>
      </c>
      <c r="I58" s="25" t="str">
        <f t="shared" si="4"/>
        <v>0</v>
      </c>
      <c r="J58" s="25" t="str">
        <f t="shared" si="5"/>
        <v>0</v>
      </c>
      <c r="K58" s="25" t="str">
        <f t="shared" si="6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0"/>
        <v>0</v>
      </c>
      <c r="F59" s="25" t="str">
        <f t="shared" si="1"/>
        <v>0</v>
      </c>
      <c r="G59" s="25" t="str">
        <f t="shared" si="2"/>
        <v>0</v>
      </c>
      <c r="H59" s="25" t="str">
        <f t="shared" si="3"/>
        <v>0</v>
      </c>
      <c r="I59" s="25" t="str">
        <f t="shared" si="4"/>
        <v>0</v>
      </c>
      <c r="J59" s="25" t="str">
        <f t="shared" si="5"/>
        <v>0</v>
      </c>
      <c r="K59" s="25" t="str">
        <f t="shared" si="6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0"/>
        <v>0</v>
      </c>
      <c r="F60" s="25" t="str">
        <f t="shared" si="1"/>
        <v>0</v>
      </c>
      <c r="G60" s="25" t="str">
        <f t="shared" si="2"/>
        <v>0</v>
      </c>
      <c r="H60" s="25" t="str">
        <f t="shared" si="3"/>
        <v>0</v>
      </c>
      <c r="I60" s="25" t="str">
        <f t="shared" si="4"/>
        <v>0</v>
      </c>
      <c r="J60" s="25" t="str">
        <f t="shared" si="5"/>
        <v>0</v>
      </c>
      <c r="K60" s="25" t="str">
        <f t="shared" si="6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0"/>
        <v>0</v>
      </c>
      <c r="F61" s="25" t="str">
        <f t="shared" si="1"/>
        <v>0</v>
      </c>
      <c r="G61" s="25" t="str">
        <f t="shared" si="2"/>
        <v>0</v>
      </c>
      <c r="H61" s="25" t="str">
        <f t="shared" si="3"/>
        <v>0</v>
      </c>
      <c r="I61" s="25" t="str">
        <f t="shared" si="4"/>
        <v>0</v>
      </c>
      <c r="J61" s="25" t="str">
        <f t="shared" si="5"/>
        <v>0</v>
      </c>
      <c r="K61" s="25" t="str">
        <f t="shared" si="6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2">
        <f>SUM(E36:E61)</f>
        <v>0</v>
      </c>
      <c r="F62" s="22">
        <f t="shared" ref="F62:K62" si="7">SUM(F36:F61)</f>
        <v>28.343878059399998</v>
      </c>
      <c r="G62" s="22">
        <f t="shared" si="7"/>
        <v>0</v>
      </c>
      <c r="H62" s="22">
        <f t="shared" si="7"/>
        <v>0</v>
      </c>
      <c r="I62" s="22">
        <f t="shared" si="7"/>
        <v>0</v>
      </c>
      <c r="J62" s="22">
        <f t="shared" si="7"/>
        <v>28.343878059399998</v>
      </c>
      <c r="K62" s="22">
        <f t="shared" si="7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02"/>
      <c r="M67" s="102"/>
      <c r="N67" s="102"/>
      <c r="O67" s="102"/>
      <c r="P67" s="102"/>
      <c r="Q67" s="102"/>
      <c r="R67" s="103"/>
    </row>
    <row r="68" spans="1:18" ht="41.45" customHeight="1" thickBot="1" x14ac:dyDescent="0.3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07"/>
      <c r="M68" s="107"/>
      <c r="N68" s="107"/>
      <c r="O68" s="107"/>
      <c r="P68" s="107"/>
      <c r="Q68" s="107"/>
      <c r="R68" s="108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R75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Trechos!E79</f>
        <v>RODOVIA TO-423 - TRECHO ARAGUAÍNA - ENTR. TO-424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336</v>
      </c>
      <c r="B7" s="21" t="s">
        <v>20</v>
      </c>
      <c r="C7" s="22">
        <v>0</v>
      </c>
      <c r="D7" s="22">
        <v>1</v>
      </c>
      <c r="E7" s="21"/>
      <c r="F7" s="21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/>
      <c r="B8" s="21"/>
      <c r="C8" s="22">
        <f>D7</f>
        <v>1</v>
      </c>
      <c r="D8" s="22">
        <v>2</v>
      </c>
      <c r="E8" s="21"/>
      <c r="F8" s="21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>
        <f t="shared" ref="C9:C35" si="0">D8</f>
        <v>2</v>
      </c>
      <c r="D9" s="22">
        <v>3</v>
      </c>
      <c r="E9" s="21"/>
      <c r="F9" s="21" t="s">
        <v>21</v>
      </c>
      <c r="G9" s="21"/>
      <c r="H9" s="21"/>
      <c r="I9" s="21"/>
      <c r="J9" s="21" t="s">
        <v>21</v>
      </c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>
        <f t="shared" si="0"/>
        <v>3</v>
      </c>
      <c r="D10" s="22">
        <v>4</v>
      </c>
      <c r="E10" s="21"/>
      <c r="F10" s="21" t="s">
        <v>21</v>
      </c>
      <c r="G10" s="21"/>
      <c r="H10" s="21"/>
      <c r="I10" s="21"/>
      <c r="J10" s="21" t="s">
        <v>21</v>
      </c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>
        <f t="shared" si="0"/>
        <v>4</v>
      </c>
      <c r="D11" s="22">
        <v>5</v>
      </c>
      <c r="E11" s="21"/>
      <c r="F11" s="21" t="s">
        <v>21</v>
      </c>
      <c r="G11" s="21"/>
      <c r="H11" s="21"/>
      <c r="I11" s="21"/>
      <c r="J11" s="21" t="s">
        <v>21</v>
      </c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>
        <f t="shared" si="0"/>
        <v>5</v>
      </c>
      <c r="D12" s="22">
        <v>6</v>
      </c>
      <c r="E12" s="21"/>
      <c r="F12" s="21" t="s">
        <v>21</v>
      </c>
      <c r="G12" s="21"/>
      <c r="H12" s="21"/>
      <c r="I12" s="21"/>
      <c r="J12" s="21" t="s">
        <v>21</v>
      </c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>
        <f t="shared" si="0"/>
        <v>6</v>
      </c>
      <c r="D13" s="22">
        <v>7</v>
      </c>
      <c r="E13" s="21"/>
      <c r="F13" s="21" t="s">
        <v>21</v>
      </c>
      <c r="G13" s="21"/>
      <c r="H13" s="21"/>
      <c r="I13" s="21"/>
      <c r="J13" s="21" t="s">
        <v>21</v>
      </c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>
        <f t="shared" si="0"/>
        <v>7</v>
      </c>
      <c r="D14" s="22">
        <v>8</v>
      </c>
      <c r="E14" s="21"/>
      <c r="F14" s="21" t="s">
        <v>21</v>
      </c>
      <c r="G14" s="21"/>
      <c r="H14" s="21"/>
      <c r="I14" s="21"/>
      <c r="J14" s="21" t="s">
        <v>21</v>
      </c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>
        <f t="shared" si="0"/>
        <v>8</v>
      </c>
      <c r="D15" s="22">
        <v>9</v>
      </c>
      <c r="E15" s="21"/>
      <c r="F15" s="21" t="s">
        <v>21</v>
      </c>
      <c r="G15" s="21"/>
      <c r="H15" s="21"/>
      <c r="I15" s="21"/>
      <c r="J15" s="21" t="s">
        <v>21</v>
      </c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>
        <f t="shared" si="0"/>
        <v>9</v>
      </c>
      <c r="D16" s="22">
        <v>10</v>
      </c>
      <c r="E16" s="21"/>
      <c r="F16" s="21" t="s">
        <v>21</v>
      </c>
      <c r="G16" s="21"/>
      <c r="H16" s="21"/>
      <c r="I16" s="21"/>
      <c r="J16" s="21" t="s">
        <v>21</v>
      </c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>
        <f t="shared" si="0"/>
        <v>10</v>
      </c>
      <c r="D17" s="22">
        <v>11</v>
      </c>
      <c r="E17" s="21"/>
      <c r="F17" s="21" t="s">
        <v>21</v>
      </c>
      <c r="G17" s="21"/>
      <c r="H17" s="21"/>
      <c r="I17" s="21"/>
      <c r="J17" s="21" t="s">
        <v>21</v>
      </c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21"/>
      <c r="B18" s="21"/>
      <c r="C18" s="22">
        <f t="shared" si="0"/>
        <v>11</v>
      </c>
      <c r="D18" s="22">
        <v>12</v>
      </c>
      <c r="E18" s="21"/>
      <c r="F18" s="21" t="s">
        <v>21</v>
      </c>
      <c r="G18" s="21"/>
      <c r="H18" s="21"/>
      <c r="I18" s="21"/>
      <c r="J18" s="21" t="s">
        <v>21</v>
      </c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21"/>
      <c r="B19" s="21"/>
      <c r="C19" s="22">
        <f t="shared" si="0"/>
        <v>12</v>
      </c>
      <c r="D19" s="22">
        <v>13</v>
      </c>
      <c r="E19" s="21"/>
      <c r="F19" s="21" t="s">
        <v>21</v>
      </c>
      <c r="G19" s="21"/>
      <c r="H19" s="21"/>
      <c r="I19" s="21"/>
      <c r="J19" s="21" t="s">
        <v>21</v>
      </c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21"/>
      <c r="B20" s="21"/>
      <c r="C20" s="22">
        <f t="shared" si="0"/>
        <v>13</v>
      </c>
      <c r="D20" s="22">
        <v>14</v>
      </c>
      <c r="E20" s="21"/>
      <c r="F20" s="21" t="s">
        <v>21</v>
      </c>
      <c r="G20" s="21"/>
      <c r="H20" s="21"/>
      <c r="I20" s="21"/>
      <c r="J20" s="21" t="s">
        <v>21</v>
      </c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21"/>
      <c r="B21" s="21"/>
      <c r="C21" s="22">
        <f t="shared" si="0"/>
        <v>14</v>
      </c>
      <c r="D21" s="22">
        <v>15</v>
      </c>
      <c r="E21" s="21"/>
      <c r="F21" s="21" t="s">
        <v>21</v>
      </c>
      <c r="G21" s="21"/>
      <c r="H21" s="21"/>
      <c r="I21" s="21"/>
      <c r="J21" s="21" t="s">
        <v>21</v>
      </c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>
        <f t="shared" si="0"/>
        <v>15</v>
      </c>
      <c r="D22" s="22">
        <v>16</v>
      </c>
      <c r="E22" s="21"/>
      <c r="F22" s="21" t="s">
        <v>21</v>
      </c>
      <c r="G22" s="21"/>
      <c r="H22" s="21"/>
      <c r="I22" s="21"/>
      <c r="J22" s="21" t="s">
        <v>21</v>
      </c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>
        <f t="shared" si="0"/>
        <v>16</v>
      </c>
      <c r="D23" s="22">
        <v>17</v>
      </c>
      <c r="E23" s="21"/>
      <c r="F23" s="21" t="s">
        <v>21</v>
      </c>
      <c r="G23" s="21"/>
      <c r="H23" s="21"/>
      <c r="I23" s="21"/>
      <c r="J23" s="21" t="s">
        <v>21</v>
      </c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>
        <f t="shared" si="0"/>
        <v>17</v>
      </c>
      <c r="D24" s="22">
        <v>18</v>
      </c>
      <c r="E24" s="21"/>
      <c r="F24" s="21" t="s">
        <v>21</v>
      </c>
      <c r="G24" s="21"/>
      <c r="H24" s="21"/>
      <c r="I24" s="21"/>
      <c r="J24" s="21" t="s">
        <v>21</v>
      </c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>
        <f t="shared" si="0"/>
        <v>18</v>
      </c>
      <c r="D25" s="22">
        <v>19</v>
      </c>
      <c r="E25" s="21"/>
      <c r="F25" s="21" t="s">
        <v>21</v>
      </c>
      <c r="G25" s="21"/>
      <c r="H25" s="21"/>
      <c r="I25" s="21"/>
      <c r="J25" s="21" t="s">
        <v>21</v>
      </c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>
        <f t="shared" si="0"/>
        <v>19</v>
      </c>
      <c r="D26" s="22">
        <v>20</v>
      </c>
      <c r="E26" s="21"/>
      <c r="F26" s="21" t="s">
        <v>21</v>
      </c>
      <c r="G26" s="21"/>
      <c r="H26" s="21"/>
      <c r="I26" s="21"/>
      <c r="J26" s="21" t="s">
        <v>21</v>
      </c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>
        <f t="shared" si="0"/>
        <v>20</v>
      </c>
      <c r="D27" s="22">
        <v>21</v>
      </c>
      <c r="E27" s="21"/>
      <c r="F27" s="21" t="s">
        <v>21</v>
      </c>
      <c r="G27" s="21"/>
      <c r="H27" s="21"/>
      <c r="I27" s="21"/>
      <c r="J27" s="21" t="s">
        <v>21</v>
      </c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>
        <f t="shared" si="0"/>
        <v>21</v>
      </c>
      <c r="D28" s="22">
        <v>22</v>
      </c>
      <c r="E28" s="21"/>
      <c r="F28" s="21" t="s">
        <v>21</v>
      </c>
      <c r="G28" s="21"/>
      <c r="H28" s="21"/>
      <c r="I28" s="21"/>
      <c r="J28" s="21" t="s">
        <v>21</v>
      </c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>
        <f t="shared" si="0"/>
        <v>22</v>
      </c>
      <c r="D29" s="22">
        <v>23</v>
      </c>
      <c r="E29" s="21"/>
      <c r="F29" s="21" t="s">
        <v>21</v>
      </c>
      <c r="G29" s="21"/>
      <c r="H29" s="21"/>
      <c r="I29" s="21"/>
      <c r="J29" s="21" t="s">
        <v>21</v>
      </c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>
        <f t="shared" si="0"/>
        <v>23</v>
      </c>
      <c r="D30" s="22">
        <v>24</v>
      </c>
      <c r="E30" s="21"/>
      <c r="F30" s="21" t="s">
        <v>21</v>
      </c>
      <c r="G30" s="21"/>
      <c r="H30" s="21"/>
      <c r="I30" s="21"/>
      <c r="J30" s="21" t="s">
        <v>21</v>
      </c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22">
        <f t="shared" si="0"/>
        <v>24</v>
      </c>
      <c r="D31" s="22">
        <v>25</v>
      </c>
      <c r="E31" s="21"/>
      <c r="F31" s="21"/>
      <c r="G31" s="21" t="s">
        <v>21</v>
      </c>
      <c r="H31" s="21"/>
      <c r="I31" s="21"/>
      <c r="J31" s="21" t="s">
        <v>21</v>
      </c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22">
        <f t="shared" si="0"/>
        <v>25</v>
      </c>
      <c r="D32" s="22">
        <v>26</v>
      </c>
      <c r="E32" s="21"/>
      <c r="F32" s="21"/>
      <c r="G32" s="21" t="s">
        <v>21</v>
      </c>
      <c r="H32" s="21"/>
      <c r="I32" s="21"/>
      <c r="J32" s="21" t="s">
        <v>21</v>
      </c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22">
        <f t="shared" si="0"/>
        <v>26</v>
      </c>
      <c r="D33" s="22">
        <v>27</v>
      </c>
      <c r="E33" s="21"/>
      <c r="F33" s="21" t="s">
        <v>21</v>
      </c>
      <c r="G33" s="21"/>
      <c r="H33" s="21"/>
      <c r="I33" s="21"/>
      <c r="J33" s="21" t="s">
        <v>21</v>
      </c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22">
        <f t="shared" si="0"/>
        <v>27</v>
      </c>
      <c r="D34" s="22">
        <v>28</v>
      </c>
      <c r="E34" s="21"/>
      <c r="F34" s="21" t="s">
        <v>21</v>
      </c>
      <c r="G34" s="21"/>
      <c r="H34" s="21"/>
      <c r="I34" s="21"/>
      <c r="J34" s="21" t="s">
        <v>21</v>
      </c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22">
        <f t="shared" si="0"/>
        <v>28</v>
      </c>
      <c r="D35" s="22">
        <v>28.59</v>
      </c>
      <c r="E35" s="21"/>
      <c r="F35" s="21" t="s">
        <v>21</v>
      </c>
      <c r="G35" s="21"/>
      <c r="H35" s="21"/>
      <c r="I35" s="21"/>
      <c r="J35" s="21" t="s">
        <v>21</v>
      </c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19"/>
      <c r="B36" s="3"/>
      <c r="C36" s="22"/>
      <c r="D36" s="22"/>
      <c r="E36" s="21"/>
      <c r="F36" s="21"/>
      <c r="G36" s="21"/>
      <c r="H36" s="21"/>
      <c r="I36" s="21"/>
      <c r="J36" s="21"/>
      <c r="K36" s="21"/>
      <c r="L36" s="80"/>
      <c r="M36" s="81"/>
      <c r="N36" s="81"/>
      <c r="O36" s="81"/>
      <c r="P36" s="81"/>
      <c r="Q36" s="81"/>
      <c r="R36" s="82"/>
    </row>
    <row r="37" spans="1:18" ht="41.45" customHeight="1" x14ac:dyDescent="0.25">
      <c r="A37" s="19"/>
      <c r="B37" s="3"/>
      <c r="C37" s="22"/>
      <c r="D37" s="22"/>
      <c r="E37" s="21"/>
      <c r="F37" s="21"/>
      <c r="G37" s="21"/>
      <c r="H37" s="21"/>
      <c r="I37" s="21"/>
      <c r="J37" s="21"/>
      <c r="K37" s="21"/>
      <c r="L37" s="80"/>
      <c r="M37" s="81"/>
      <c r="N37" s="81"/>
      <c r="O37" s="81"/>
      <c r="P37" s="81"/>
      <c r="Q37" s="81"/>
      <c r="R37" s="82"/>
    </row>
    <row r="38" spans="1:18" ht="41.45" customHeight="1" x14ac:dyDescent="0.25">
      <c r="A38" s="23"/>
      <c r="B38" s="24"/>
      <c r="C38" s="25"/>
      <c r="D38" s="25"/>
      <c r="E38" s="25" t="str">
        <f>IF(E7="X",(D7-C7),"0")</f>
        <v>0</v>
      </c>
      <c r="F38" s="25">
        <f>IF(F7="X",(D7-C7),"0")</f>
        <v>1</v>
      </c>
      <c r="G38" s="25" t="str">
        <f>IF(G7="X",(D7-C7),"0")</f>
        <v>0</v>
      </c>
      <c r="H38" s="25" t="str">
        <f>IF(H7="X",(D7-C7),"0")</f>
        <v>0</v>
      </c>
      <c r="I38" s="25" t="str">
        <f>IF(I7="X",(D7-C7),"0")</f>
        <v>0</v>
      </c>
      <c r="J38" s="25">
        <f>IF(J7="X",(D7-C7),"0")</f>
        <v>1</v>
      </c>
      <c r="K38" s="25" t="str">
        <f>IF(K7="X",(D7-C7),"0")</f>
        <v>0</v>
      </c>
      <c r="L38" s="104"/>
      <c r="M38" s="105"/>
      <c r="N38" s="105"/>
      <c r="O38" s="105"/>
      <c r="P38" s="105"/>
      <c r="Q38" s="105"/>
      <c r="R38" s="106"/>
    </row>
    <row r="39" spans="1:18" ht="41.45" customHeight="1" x14ac:dyDescent="0.25">
      <c r="A39" s="19"/>
      <c r="B39" s="3"/>
      <c r="C39" s="22"/>
      <c r="D39" s="22"/>
      <c r="E39" s="25" t="str">
        <f t="shared" ref="E39:E68" si="1">IF(E8="X",(D8-C8),"0")</f>
        <v>0</v>
      </c>
      <c r="F39" s="25">
        <f t="shared" ref="F39:F68" si="2">IF(F8="X",(D8-C8),"0")</f>
        <v>1</v>
      </c>
      <c r="G39" s="25" t="str">
        <f t="shared" ref="G39:G68" si="3">IF(G8="X",(D8-C8),"0")</f>
        <v>0</v>
      </c>
      <c r="H39" s="25" t="str">
        <f t="shared" ref="H39:H68" si="4">IF(H8="X",(D8-C8),"0")</f>
        <v>0</v>
      </c>
      <c r="I39" s="25" t="str">
        <f t="shared" ref="I39:I68" si="5">IF(I8="X",(D8-C8),"0")</f>
        <v>0</v>
      </c>
      <c r="J39" s="25">
        <f t="shared" ref="J39:J68" si="6">IF(J8="X",(D8-C8),"0")</f>
        <v>1</v>
      </c>
      <c r="K39" s="25" t="str">
        <f t="shared" ref="K39:K68" si="7">IF(K8="X",(D8-C8),"0")</f>
        <v>0</v>
      </c>
      <c r="L39" s="102"/>
      <c r="M39" s="102"/>
      <c r="N39" s="102"/>
      <c r="O39" s="102"/>
      <c r="P39" s="102"/>
      <c r="Q39" s="102"/>
      <c r="R39" s="103"/>
    </row>
    <row r="40" spans="1:18" ht="41.45" customHeight="1" x14ac:dyDescent="0.25">
      <c r="A40" s="19"/>
      <c r="B40" s="3"/>
      <c r="C40" s="22"/>
      <c r="D40" s="22"/>
      <c r="E40" s="25" t="str">
        <f t="shared" si="1"/>
        <v>0</v>
      </c>
      <c r="F40" s="25">
        <f t="shared" si="2"/>
        <v>1</v>
      </c>
      <c r="G40" s="25" t="str">
        <f t="shared" si="3"/>
        <v>0</v>
      </c>
      <c r="H40" s="25" t="str">
        <f t="shared" si="4"/>
        <v>0</v>
      </c>
      <c r="I40" s="25" t="str">
        <f t="shared" si="5"/>
        <v>0</v>
      </c>
      <c r="J40" s="25">
        <f t="shared" si="6"/>
        <v>1</v>
      </c>
      <c r="K40" s="25" t="str">
        <f t="shared" si="7"/>
        <v>0</v>
      </c>
      <c r="L40" s="102"/>
      <c r="M40" s="102"/>
      <c r="N40" s="102"/>
      <c r="O40" s="102"/>
      <c r="P40" s="102"/>
      <c r="Q40" s="102"/>
      <c r="R40" s="103"/>
    </row>
    <row r="41" spans="1:18" ht="41.45" customHeight="1" x14ac:dyDescent="0.25">
      <c r="A41" s="19"/>
      <c r="B41" s="3"/>
      <c r="C41" s="22"/>
      <c r="D41" s="22"/>
      <c r="E41" s="25" t="str">
        <f t="shared" si="1"/>
        <v>0</v>
      </c>
      <c r="F41" s="25">
        <f t="shared" si="2"/>
        <v>1</v>
      </c>
      <c r="G41" s="25" t="str">
        <f t="shared" si="3"/>
        <v>0</v>
      </c>
      <c r="H41" s="25" t="str">
        <f t="shared" si="4"/>
        <v>0</v>
      </c>
      <c r="I41" s="25" t="str">
        <f t="shared" si="5"/>
        <v>0</v>
      </c>
      <c r="J41" s="25">
        <f t="shared" si="6"/>
        <v>1</v>
      </c>
      <c r="K41" s="25" t="str">
        <f t="shared" si="7"/>
        <v>0</v>
      </c>
      <c r="L41" s="102"/>
      <c r="M41" s="102"/>
      <c r="N41" s="102"/>
      <c r="O41" s="102"/>
      <c r="P41" s="102"/>
      <c r="Q41" s="102"/>
      <c r="R41" s="103"/>
    </row>
    <row r="42" spans="1:18" ht="41.45" customHeight="1" x14ac:dyDescent="0.25">
      <c r="A42" s="19"/>
      <c r="B42" s="3"/>
      <c r="C42" s="22"/>
      <c r="D42" s="22"/>
      <c r="E42" s="25" t="str">
        <f t="shared" si="1"/>
        <v>0</v>
      </c>
      <c r="F42" s="25">
        <f t="shared" si="2"/>
        <v>1</v>
      </c>
      <c r="G42" s="25" t="str">
        <f t="shared" si="3"/>
        <v>0</v>
      </c>
      <c r="H42" s="25" t="str">
        <f t="shared" si="4"/>
        <v>0</v>
      </c>
      <c r="I42" s="25" t="str">
        <f t="shared" si="5"/>
        <v>0</v>
      </c>
      <c r="J42" s="25">
        <f t="shared" si="6"/>
        <v>1</v>
      </c>
      <c r="K42" s="25" t="str">
        <f t="shared" si="7"/>
        <v>0</v>
      </c>
      <c r="L42" s="102"/>
      <c r="M42" s="102"/>
      <c r="N42" s="102"/>
      <c r="O42" s="102"/>
      <c r="P42" s="102"/>
      <c r="Q42" s="102"/>
      <c r="R42" s="103"/>
    </row>
    <row r="43" spans="1:18" ht="41.45" customHeight="1" x14ac:dyDescent="0.25">
      <c r="A43" s="19"/>
      <c r="B43" s="3"/>
      <c r="C43" s="22"/>
      <c r="D43" s="22"/>
      <c r="E43" s="25" t="str">
        <f t="shared" si="1"/>
        <v>0</v>
      </c>
      <c r="F43" s="25">
        <f t="shared" si="2"/>
        <v>1</v>
      </c>
      <c r="G43" s="25" t="str">
        <f t="shared" si="3"/>
        <v>0</v>
      </c>
      <c r="H43" s="25" t="str">
        <f t="shared" si="4"/>
        <v>0</v>
      </c>
      <c r="I43" s="25" t="str">
        <f t="shared" si="5"/>
        <v>0</v>
      </c>
      <c r="J43" s="25">
        <f t="shared" si="6"/>
        <v>1</v>
      </c>
      <c r="K43" s="25" t="str">
        <f t="shared" si="7"/>
        <v>0</v>
      </c>
      <c r="L43" s="102"/>
      <c r="M43" s="102"/>
      <c r="N43" s="102"/>
      <c r="O43" s="102"/>
      <c r="P43" s="102"/>
      <c r="Q43" s="102"/>
      <c r="R43" s="103"/>
    </row>
    <row r="44" spans="1:18" ht="41.45" customHeight="1" x14ac:dyDescent="0.25">
      <c r="A44" s="19"/>
      <c r="B44" s="3"/>
      <c r="C44" s="22"/>
      <c r="D44" s="22"/>
      <c r="E44" s="25" t="str">
        <f t="shared" si="1"/>
        <v>0</v>
      </c>
      <c r="F44" s="25">
        <f t="shared" si="2"/>
        <v>1</v>
      </c>
      <c r="G44" s="25" t="str">
        <f t="shared" si="3"/>
        <v>0</v>
      </c>
      <c r="H44" s="25" t="str">
        <f t="shared" si="4"/>
        <v>0</v>
      </c>
      <c r="I44" s="25" t="str">
        <f t="shared" si="5"/>
        <v>0</v>
      </c>
      <c r="J44" s="25">
        <f t="shared" si="6"/>
        <v>1</v>
      </c>
      <c r="K44" s="25" t="str">
        <f t="shared" si="7"/>
        <v>0</v>
      </c>
      <c r="L44" s="102"/>
      <c r="M44" s="102"/>
      <c r="N44" s="102"/>
      <c r="O44" s="102"/>
      <c r="P44" s="102"/>
      <c r="Q44" s="102"/>
      <c r="R44" s="103"/>
    </row>
    <row r="45" spans="1:18" ht="41.45" customHeight="1" x14ac:dyDescent="0.25">
      <c r="A45" s="19"/>
      <c r="B45" s="3"/>
      <c r="C45" s="22"/>
      <c r="D45" s="22"/>
      <c r="E45" s="25" t="str">
        <f t="shared" si="1"/>
        <v>0</v>
      </c>
      <c r="F45" s="25">
        <f t="shared" si="2"/>
        <v>1</v>
      </c>
      <c r="G45" s="25" t="str">
        <f t="shared" si="3"/>
        <v>0</v>
      </c>
      <c r="H45" s="25" t="str">
        <f t="shared" si="4"/>
        <v>0</v>
      </c>
      <c r="I45" s="25" t="str">
        <f t="shared" si="5"/>
        <v>0</v>
      </c>
      <c r="J45" s="25">
        <f t="shared" si="6"/>
        <v>1</v>
      </c>
      <c r="K45" s="25" t="str">
        <f t="shared" si="7"/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1"/>
        <v>0</v>
      </c>
      <c r="F46" s="25">
        <f t="shared" si="2"/>
        <v>1</v>
      </c>
      <c r="G46" s="25" t="str">
        <f t="shared" si="3"/>
        <v>0</v>
      </c>
      <c r="H46" s="25" t="str">
        <f t="shared" si="4"/>
        <v>0</v>
      </c>
      <c r="I46" s="25" t="str">
        <f t="shared" si="5"/>
        <v>0</v>
      </c>
      <c r="J46" s="25">
        <f t="shared" si="6"/>
        <v>1</v>
      </c>
      <c r="K46" s="25" t="str">
        <f t="shared" si="7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1"/>
        <v>0</v>
      </c>
      <c r="F47" s="25">
        <f t="shared" si="2"/>
        <v>1</v>
      </c>
      <c r="G47" s="25" t="str">
        <f t="shared" si="3"/>
        <v>0</v>
      </c>
      <c r="H47" s="25" t="str">
        <f t="shared" si="4"/>
        <v>0</v>
      </c>
      <c r="I47" s="25" t="str">
        <f t="shared" si="5"/>
        <v>0</v>
      </c>
      <c r="J47" s="25">
        <f t="shared" si="6"/>
        <v>1</v>
      </c>
      <c r="K47" s="25" t="str">
        <f t="shared" si="7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1"/>
        <v>0</v>
      </c>
      <c r="F48" s="25">
        <f t="shared" si="2"/>
        <v>1</v>
      </c>
      <c r="G48" s="25" t="str">
        <f t="shared" si="3"/>
        <v>0</v>
      </c>
      <c r="H48" s="25" t="str">
        <f t="shared" si="4"/>
        <v>0</v>
      </c>
      <c r="I48" s="25" t="str">
        <f t="shared" si="5"/>
        <v>0</v>
      </c>
      <c r="J48" s="25">
        <f t="shared" si="6"/>
        <v>1</v>
      </c>
      <c r="K48" s="25" t="str">
        <f t="shared" si="7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1"/>
        <v>0</v>
      </c>
      <c r="F49" s="25">
        <f t="shared" si="2"/>
        <v>1</v>
      </c>
      <c r="G49" s="25" t="str">
        <f t="shared" si="3"/>
        <v>0</v>
      </c>
      <c r="H49" s="25" t="str">
        <f t="shared" si="4"/>
        <v>0</v>
      </c>
      <c r="I49" s="25" t="str">
        <f t="shared" si="5"/>
        <v>0</v>
      </c>
      <c r="J49" s="25">
        <f t="shared" si="6"/>
        <v>1</v>
      </c>
      <c r="K49" s="25" t="str">
        <f t="shared" si="7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1"/>
        <v>0</v>
      </c>
      <c r="F50" s="25">
        <f t="shared" si="2"/>
        <v>1</v>
      </c>
      <c r="G50" s="25" t="str">
        <f t="shared" si="3"/>
        <v>0</v>
      </c>
      <c r="H50" s="25" t="str">
        <f t="shared" si="4"/>
        <v>0</v>
      </c>
      <c r="I50" s="25" t="str">
        <f t="shared" si="5"/>
        <v>0</v>
      </c>
      <c r="J50" s="25">
        <f t="shared" si="6"/>
        <v>1</v>
      </c>
      <c r="K50" s="25" t="str">
        <f t="shared" si="7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1"/>
        <v>0</v>
      </c>
      <c r="F51" s="25">
        <f t="shared" si="2"/>
        <v>1</v>
      </c>
      <c r="G51" s="25" t="str">
        <f t="shared" si="3"/>
        <v>0</v>
      </c>
      <c r="H51" s="25" t="str">
        <f t="shared" si="4"/>
        <v>0</v>
      </c>
      <c r="I51" s="25" t="str">
        <f t="shared" si="5"/>
        <v>0</v>
      </c>
      <c r="J51" s="25">
        <f t="shared" si="6"/>
        <v>1</v>
      </c>
      <c r="K51" s="25" t="str">
        <f t="shared" si="7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1"/>
        <v>0</v>
      </c>
      <c r="F52" s="25">
        <f t="shared" si="2"/>
        <v>1</v>
      </c>
      <c r="G52" s="25" t="str">
        <f t="shared" si="3"/>
        <v>0</v>
      </c>
      <c r="H52" s="25" t="str">
        <f t="shared" si="4"/>
        <v>0</v>
      </c>
      <c r="I52" s="25" t="str">
        <f t="shared" si="5"/>
        <v>0</v>
      </c>
      <c r="J52" s="25">
        <f t="shared" si="6"/>
        <v>1</v>
      </c>
      <c r="K52" s="25" t="str">
        <f t="shared" si="7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1"/>
        <v>0</v>
      </c>
      <c r="F53" s="25">
        <f t="shared" si="2"/>
        <v>1</v>
      </c>
      <c r="G53" s="25" t="str">
        <f t="shared" si="3"/>
        <v>0</v>
      </c>
      <c r="H53" s="25" t="str">
        <f t="shared" si="4"/>
        <v>0</v>
      </c>
      <c r="I53" s="25" t="str">
        <f t="shared" si="5"/>
        <v>0</v>
      </c>
      <c r="J53" s="25">
        <f t="shared" si="6"/>
        <v>1</v>
      </c>
      <c r="K53" s="25" t="str">
        <f t="shared" si="7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1"/>
        <v>0</v>
      </c>
      <c r="F54" s="25">
        <f t="shared" si="2"/>
        <v>1</v>
      </c>
      <c r="G54" s="25" t="str">
        <f t="shared" si="3"/>
        <v>0</v>
      </c>
      <c r="H54" s="25" t="str">
        <f t="shared" si="4"/>
        <v>0</v>
      </c>
      <c r="I54" s="25" t="str">
        <f t="shared" si="5"/>
        <v>0</v>
      </c>
      <c r="J54" s="25">
        <f t="shared" si="6"/>
        <v>1</v>
      </c>
      <c r="K54" s="25" t="str">
        <f t="shared" si="7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1"/>
        <v>0</v>
      </c>
      <c r="F55" s="25">
        <f t="shared" si="2"/>
        <v>1</v>
      </c>
      <c r="G55" s="25" t="str">
        <f t="shared" si="3"/>
        <v>0</v>
      </c>
      <c r="H55" s="25" t="str">
        <f t="shared" si="4"/>
        <v>0</v>
      </c>
      <c r="I55" s="25" t="str">
        <f t="shared" si="5"/>
        <v>0</v>
      </c>
      <c r="J55" s="25">
        <f t="shared" si="6"/>
        <v>1</v>
      </c>
      <c r="K55" s="25" t="str">
        <f t="shared" si="7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1"/>
        <v>0</v>
      </c>
      <c r="F56" s="25">
        <f t="shared" si="2"/>
        <v>1</v>
      </c>
      <c r="G56" s="25" t="str">
        <f t="shared" si="3"/>
        <v>0</v>
      </c>
      <c r="H56" s="25" t="str">
        <f t="shared" si="4"/>
        <v>0</v>
      </c>
      <c r="I56" s="25" t="str">
        <f t="shared" si="5"/>
        <v>0</v>
      </c>
      <c r="J56" s="25">
        <f t="shared" si="6"/>
        <v>1</v>
      </c>
      <c r="K56" s="25" t="str">
        <f t="shared" si="7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1"/>
        <v>0</v>
      </c>
      <c r="F57" s="25">
        <f t="shared" si="2"/>
        <v>1</v>
      </c>
      <c r="G57" s="25" t="str">
        <f t="shared" si="3"/>
        <v>0</v>
      </c>
      <c r="H57" s="25" t="str">
        <f t="shared" si="4"/>
        <v>0</v>
      </c>
      <c r="I57" s="25" t="str">
        <f t="shared" si="5"/>
        <v>0</v>
      </c>
      <c r="J57" s="25">
        <f t="shared" si="6"/>
        <v>1</v>
      </c>
      <c r="K57" s="25" t="str">
        <f t="shared" si="7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1"/>
        <v>0</v>
      </c>
      <c r="F58" s="25">
        <f t="shared" si="2"/>
        <v>1</v>
      </c>
      <c r="G58" s="25" t="str">
        <f t="shared" si="3"/>
        <v>0</v>
      </c>
      <c r="H58" s="25" t="str">
        <f t="shared" si="4"/>
        <v>0</v>
      </c>
      <c r="I58" s="25" t="str">
        <f t="shared" si="5"/>
        <v>0</v>
      </c>
      <c r="J58" s="25">
        <f t="shared" si="6"/>
        <v>1</v>
      </c>
      <c r="K58" s="25" t="str">
        <f t="shared" si="7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1"/>
        <v>0</v>
      </c>
      <c r="F59" s="25">
        <f t="shared" si="2"/>
        <v>1</v>
      </c>
      <c r="G59" s="25" t="str">
        <f t="shared" si="3"/>
        <v>0</v>
      </c>
      <c r="H59" s="25" t="str">
        <f t="shared" si="4"/>
        <v>0</v>
      </c>
      <c r="I59" s="25" t="str">
        <f t="shared" si="5"/>
        <v>0</v>
      </c>
      <c r="J59" s="25">
        <f t="shared" si="6"/>
        <v>1</v>
      </c>
      <c r="K59" s="25" t="str">
        <f t="shared" si="7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1"/>
        <v>0</v>
      </c>
      <c r="F60" s="25">
        <f t="shared" si="2"/>
        <v>1</v>
      </c>
      <c r="G60" s="25" t="str">
        <f t="shared" si="3"/>
        <v>0</v>
      </c>
      <c r="H60" s="25" t="str">
        <f t="shared" si="4"/>
        <v>0</v>
      </c>
      <c r="I60" s="25" t="str">
        <f t="shared" si="5"/>
        <v>0</v>
      </c>
      <c r="J60" s="25">
        <f t="shared" si="6"/>
        <v>1</v>
      </c>
      <c r="K60" s="25" t="str">
        <f t="shared" si="7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1"/>
        <v>0</v>
      </c>
      <c r="F61" s="25">
        <f t="shared" si="2"/>
        <v>1</v>
      </c>
      <c r="G61" s="25" t="str">
        <f t="shared" si="3"/>
        <v>0</v>
      </c>
      <c r="H61" s="25" t="str">
        <f t="shared" si="4"/>
        <v>0</v>
      </c>
      <c r="I61" s="25" t="str">
        <f t="shared" si="5"/>
        <v>0</v>
      </c>
      <c r="J61" s="25">
        <f t="shared" si="6"/>
        <v>1</v>
      </c>
      <c r="K61" s="25" t="str">
        <f t="shared" si="7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5" t="str">
        <f t="shared" si="1"/>
        <v>0</v>
      </c>
      <c r="F62" s="25" t="str">
        <f t="shared" si="2"/>
        <v>0</v>
      </c>
      <c r="G62" s="25">
        <f t="shared" si="3"/>
        <v>1</v>
      </c>
      <c r="H62" s="25" t="str">
        <f t="shared" si="4"/>
        <v>0</v>
      </c>
      <c r="I62" s="25" t="str">
        <f t="shared" si="5"/>
        <v>0</v>
      </c>
      <c r="J62" s="25">
        <f t="shared" si="6"/>
        <v>1</v>
      </c>
      <c r="K62" s="25" t="str">
        <f t="shared" si="7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5" t="str">
        <f t="shared" si="1"/>
        <v>0</v>
      </c>
      <c r="F63" s="25" t="str">
        <f t="shared" si="2"/>
        <v>0</v>
      </c>
      <c r="G63" s="25">
        <f t="shared" si="3"/>
        <v>1</v>
      </c>
      <c r="H63" s="25" t="str">
        <f t="shared" si="4"/>
        <v>0</v>
      </c>
      <c r="I63" s="25" t="str">
        <f t="shared" si="5"/>
        <v>0</v>
      </c>
      <c r="J63" s="25">
        <f t="shared" si="6"/>
        <v>1</v>
      </c>
      <c r="K63" s="25" t="str">
        <f t="shared" si="7"/>
        <v>0</v>
      </c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5" t="str">
        <f t="shared" si="1"/>
        <v>0</v>
      </c>
      <c r="F64" s="25">
        <f t="shared" si="2"/>
        <v>1</v>
      </c>
      <c r="G64" s="25" t="str">
        <f t="shared" si="3"/>
        <v>0</v>
      </c>
      <c r="H64" s="25" t="str">
        <f t="shared" si="4"/>
        <v>0</v>
      </c>
      <c r="I64" s="25" t="str">
        <f t="shared" si="5"/>
        <v>0</v>
      </c>
      <c r="J64" s="25">
        <f t="shared" si="6"/>
        <v>1</v>
      </c>
      <c r="K64" s="25" t="str">
        <f t="shared" si="7"/>
        <v>0</v>
      </c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5" t="str">
        <f t="shared" si="1"/>
        <v>0</v>
      </c>
      <c r="F65" s="25">
        <f t="shared" si="2"/>
        <v>1</v>
      </c>
      <c r="G65" s="25" t="str">
        <f t="shared" si="3"/>
        <v>0</v>
      </c>
      <c r="H65" s="25" t="str">
        <f t="shared" si="4"/>
        <v>0</v>
      </c>
      <c r="I65" s="25" t="str">
        <f t="shared" si="5"/>
        <v>0</v>
      </c>
      <c r="J65" s="25">
        <f t="shared" si="6"/>
        <v>1</v>
      </c>
      <c r="K65" s="25" t="str">
        <f t="shared" si="7"/>
        <v>0</v>
      </c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5" t="str">
        <f t="shared" si="1"/>
        <v>0</v>
      </c>
      <c r="F66" s="25">
        <f t="shared" si="2"/>
        <v>0.58999999999999986</v>
      </c>
      <c r="G66" s="25" t="str">
        <f t="shared" si="3"/>
        <v>0</v>
      </c>
      <c r="H66" s="25" t="str">
        <f t="shared" si="4"/>
        <v>0</v>
      </c>
      <c r="I66" s="25" t="str">
        <f t="shared" si="5"/>
        <v>0</v>
      </c>
      <c r="J66" s="25">
        <f t="shared" si="6"/>
        <v>0.58999999999999986</v>
      </c>
      <c r="K66" s="25" t="str">
        <f t="shared" si="7"/>
        <v>0</v>
      </c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5" t="str">
        <f t="shared" si="1"/>
        <v>0</v>
      </c>
      <c r="F67" s="25" t="str">
        <f t="shared" si="2"/>
        <v>0</v>
      </c>
      <c r="G67" s="25" t="str">
        <f t="shared" si="3"/>
        <v>0</v>
      </c>
      <c r="H67" s="25" t="str">
        <f t="shared" si="4"/>
        <v>0</v>
      </c>
      <c r="I67" s="25" t="str">
        <f t="shared" si="5"/>
        <v>0</v>
      </c>
      <c r="J67" s="25" t="str">
        <f t="shared" si="6"/>
        <v>0</v>
      </c>
      <c r="K67" s="25" t="str">
        <f t="shared" si="7"/>
        <v>0</v>
      </c>
      <c r="L67" s="102"/>
      <c r="M67" s="102"/>
      <c r="N67" s="102"/>
      <c r="O67" s="102"/>
      <c r="P67" s="102"/>
      <c r="Q67" s="102"/>
      <c r="R67" s="103"/>
    </row>
    <row r="68" spans="1:18" ht="41.45" customHeight="1" x14ac:dyDescent="0.25">
      <c r="A68" s="19"/>
      <c r="B68" s="3"/>
      <c r="C68" s="22"/>
      <c r="D68" s="22"/>
      <c r="E68" s="25" t="str">
        <f t="shared" si="1"/>
        <v>0</v>
      </c>
      <c r="F68" s="25" t="str">
        <f t="shared" si="2"/>
        <v>0</v>
      </c>
      <c r="G68" s="25" t="str">
        <f t="shared" si="3"/>
        <v>0</v>
      </c>
      <c r="H68" s="25" t="str">
        <f t="shared" si="4"/>
        <v>0</v>
      </c>
      <c r="I68" s="25" t="str">
        <f t="shared" si="5"/>
        <v>0</v>
      </c>
      <c r="J68" s="25" t="str">
        <f t="shared" si="6"/>
        <v>0</v>
      </c>
      <c r="K68" s="25" t="str">
        <f t="shared" si="7"/>
        <v>0</v>
      </c>
      <c r="L68" s="102"/>
      <c r="M68" s="102"/>
      <c r="N68" s="102"/>
      <c r="O68" s="102"/>
      <c r="P68" s="102"/>
      <c r="Q68" s="102"/>
      <c r="R68" s="103"/>
    </row>
    <row r="69" spans="1:18" ht="41.45" customHeight="1" x14ac:dyDescent="0.25">
      <c r="A69" s="19"/>
      <c r="B69" s="3"/>
      <c r="C69" s="22"/>
      <c r="D69" s="22"/>
      <c r="E69" s="22">
        <f>SUM(E38:E68)</f>
        <v>0</v>
      </c>
      <c r="F69" s="22">
        <f t="shared" ref="F69:K69" si="8">SUM(F38:F68)</f>
        <v>26.59</v>
      </c>
      <c r="G69" s="22">
        <f t="shared" si="8"/>
        <v>2</v>
      </c>
      <c r="H69" s="22">
        <f t="shared" si="8"/>
        <v>0</v>
      </c>
      <c r="I69" s="22">
        <f t="shared" si="8"/>
        <v>0</v>
      </c>
      <c r="J69" s="22">
        <f t="shared" si="8"/>
        <v>28.59</v>
      </c>
      <c r="K69" s="22">
        <f t="shared" si="8"/>
        <v>0</v>
      </c>
      <c r="L69" s="102"/>
      <c r="M69" s="102"/>
      <c r="N69" s="102"/>
      <c r="O69" s="102"/>
      <c r="P69" s="102"/>
      <c r="Q69" s="102"/>
      <c r="R69" s="103"/>
    </row>
    <row r="70" spans="1:18" ht="41.45" customHeight="1" x14ac:dyDescent="0.25">
      <c r="A70" s="19"/>
      <c r="B70" s="3"/>
      <c r="C70" s="22"/>
      <c r="D70" s="22"/>
      <c r="E70" s="22"/>
      <c r="F70" s="21"/>
      <c r="G70" s="21"/>
      <c r="H70" s="21"/>
      <c r="I70" s="21"/>
      <c r="J70" s="21"/>
      <c r="K70" s="21"/>
      <c r="L70" s="102"/>
      <c r="M70" s="102"/>
      <c r="N70" s="102"/>
      <c r="O70" s="102"/>
      <c r="P70" s="102"/>
      <c r="Q70" s="102"/>
      <c r="R70" s="103"/>
    </row>
    <row r="71" spans="1:18" ht="41.45" customHeight="1" x14ac:dyDescent="0.25">
      <c r="A71" s="19"/>
      <c r="B71" s="3"/>
      <c r="C71" s="22"/>
      <c r="D71" s="22"/>
      <c r="E71" s="22"/>
      <c r="F71" s="21"/>
      <c r="G71" s="21"/>
      <c r="H71" s="21"/>
      <c r="I71" s="21"/>
      <c r="J71" s="21"/>
      <c r="K71" s="21"/>
      <c r="L71" s="102"/>
      <c r="M71" s="102"/>
      <c r="N71" s="102"/>
      <c r="O71" s="102"/>
      <c r="P71" s="102"/>
      <c r="Q71" s="102"/>
      <c r="R71" s="103"/>
    </row>
    <row r="72" spans="1:18" ht="41.45" customHeight="1" x14ac:dyDescent="0.25">
      <c r="A72" s="19"/>
      <c r="B72" s="3"/>
      <c r="C72" s="22"/>
      <c r="D72" s="22"/>
      <c r="E72" s="22"/>
      <c r="F72" s="21"/>
      <c r="G72" s="21"/>
      <c r="H72" s="21"/>
      <c r="I72" s="21"/>
      <c r="J72" s="21"/>
      <c r="K72" s="21"/>
      <c r="L72" s="102"/>
      <c r="M72" s="102"/>
      <c r="N72" s="102"/>
      <c r="O72" s="102"/>
      <c r="P72" s="102"/>
      <c r="Q72" s="102"/>
      <c r="R72" s="103"/>
    </row>
    <row r="73" spans="1:18" ht="41.45" customHeight="1" x14ac:dyDescent="0.25">
      <c r="A73" s="19"/>
      <c r="B73" s="3"/>
      <c r="C73" s="22"/>
      <c r="D73" s="22"/>
      <c r="E73" s="22"/>
      <c r="F73" s="21"/>
      <c r="G73" s="21"/>
      <c r="H73" s="21"/>
      <c r="I73" s="21"/>
      <c r="J73" s="21"/>
      <c r="K73" s="21"/>
      <c r="L73" s="102"/>
      <c r="M73" s="102"/>
      <c r="N73" s="102"/>
      <c r="O73" s="102"/>
      <c r="P73" s="102"/>
      <c r="Q73" s="102"/>
      <c r="R73" s="103"/>
    </row>
    <row r="74" spans="1:18" ht="41.45" customHeight="1" x14ac:dyDescent="0.25">
      <c r="A74" s="19"/>
      <c r="B74" s="3"/>
      <c r="C74" s="22"/>
      <c r="D74" s="22"/>
      <c r="E74" s="22"/>
      <c r="F74" s="21"/>
      <c r="G74" s="21"/>
      <c r="H74" s="21"/>
      <c r="I74" s="21"/>
      <c r="J74" s="21"/>
      <c r="K74" s="21"/>
      <c r="L74" s="102"/>
      <c r="M74" s="102"/>
      <c r="N74" s="102"/>
      <c r="O74" s="102"/>
      <c r="P74" s="102"/>
      <c r="Q74" s="102"/>
      <c r="R74" s="103"/>
    </row>
    <row r="75" spans="1:18" ht="41.45" customHeight="1" thickBot="1" x14ac:dyDescent="0.3">
      <c r="A75" s="20"/>
      <c r="B75" s="4"/>
      <c r="C75" s="26"/>
      <c r="D75" s="26"/>
      <c r="E75" s="26"/>
      <c r="F75" s="27"/>
      <c r="G75" s="27"/>
      <c r="H75" s="27"/>
      <c r="I75" s="27"/>
      <c r="J75" s="27"/>
      <c r="K75" s="27"/>
      <c r="L75" s="107"/>
      <c r="M75" s="107"/>
      <c r="N75" s="107"/>
      <c r="O75" s="107"/>
      <c r="P75" s="107"/>
      <c r="Q75" s="107"/>
      <c r="R75" s="108"/>
    </row>
  </sheetData>
  <mergeCells count="80">
    <mergeCell ref="L73:R73"/>
    <mergeCell ref="L74:R74"/>
    <mergeCell ref="L75:R75"/>
    <mergeCell ref="L67:R67"/>
    <mergeCell ref="L68:R68"/>
    <mergeCell ref="L69:R69"/>
    <mergeCell ref="L70:R70"/>
    <mergeCell ref="L71:R71"/>
    <mergeCell ref="L72:R72"/>
    <mergeCell ref="L66:R66"/>
    <mergeCell ref="L50:R50"/>
    <mergeCell ref="L51:R51"/>
    <mergeCell ref="L52:R52"/>
    <mergeCell ref="L58:R58"/>
    <mergeCell ref="L59:R59"/>
    <mergeCell ref="L60:R60"/>
    <mergeCell ref="L61:R61"/>
    <mergeCell ref="L62:R62"/>
    <mergeCell ref="L63:R63"/>
    <mergeCell ref="L64:R64"/>
    <mergeCell ref="L65:R65"/>
    <mergeCell ref="L53:R53"/>
    <mergeCell ref="L54:R54"/>
    <mergeCell ref="L55:R55"/>
    <mergeCell ref="L56:R56"/>
    <mergeCell ref="L49:R49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48:R48"/>
    <mergeCell ref="L21:R21"/>
    <mergeCell ref="L22:R22"/>
    <mergeCell ref="L37:R37"/>
    <mergeCell ref="L24:R24"/>
    <mergeCell ref="L25:R25"/>
    <mergeCell ref="L26:R26"/>
    <mergeCell ref="L27:R27"/>
    <mergeCell ref="L28:R28"/>
    <mergeCell ref="L29:R29"/>
    <mergeCell ref="L30:R30"/>
    <mergeCell ref="L31:R31"/>
    <mergeCell ref="L34:R34"/>
    <mergeCell ref="L35:R35"/>
    <mergeCell ref="L36:R36"/>
    <mergeCell ref="L32:R32"/>
    <mergeCell ref="L33:R33"/>
    <mergeCell ref="L16:R16"/>
    <mergeCell ref="L17:R17"/>
    <mergeCell ref="L18:R18"/>
    <mergeCell ref="L19:R19"/>
    <mergeCell ref="L20:R20"/>
    <mergeCell ref="I1:I2"/>
    <mergeCell ref="J1:J2"/>
    <mergeCell ref="L1:M2"/>
    <mergeCell ref="N1:R2"/>
    <mergeCell ref="I5:K5"/>
    <mergeCell ref="L5:R6"/>
    <mergeCell ref="L57:R57"/>
    <mergeCell ref="A5:A6"/>
    <mergeCell ref="B5:B6"/>
    <mergeCell ref="C5:C6"/>
    <mergeCell ref="D5:D6"/>
    <mergeCell ref="E5:H5"/>
    <mergeCell ref="L11:R11"/>
    <mergeCell ref="L7:R7"/>
    <mergeCell ref="L8:R8"/>
    <mergeCell ref="L9:R9"/>
    <mergeCell ref="L10:R10"/>
    <mergeCell ref="L23:R23"/>
    <mergeCell ref="L12:R12"/>
    <mergeCell ref="L13:R13"/>
    <mergeCell ref="L14:R14"/>
    <mergeCell ref="L15:R15"/>
  </mergeCells>
  <pageMargins left="0.511811024" right="0.511811024" top="0.78740157499999996" bottom="0.78740157499999996" header="0.31496062000000002" footer="0.31496062000000002"/>
  <pageSetup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85"/>
  <sheetViews>
    <sheetView view="pageBreakPreview" zoomScale="40" zoomScaleNormal="40" zoomScaleSheetLayoutView="40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Trechos!E81</f>
        <v>RODOVIA TO-424 - TRECHO ENTR. TO-010 (BABAÇULÂNDIA) - ENTR. TO-222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343</v>
      </c>
      <c r="B7" s="21" t="s">
        <v>358</v>
      </c>
      <c r="C7" s="22">
        <v>0</v>
      </c>
      <c r="D7" s="60">
        <v>1</v>
      </c>
      <c r="E7" s="21"/>
      <c r="F7" s="74" t="s">
        <v>21</v>
      </c>
      <c r="G7" s="21"/>
      <c r="H7" s="21"/>
      <c r="I7" s="74" t="s">
        <v>21</v>
      </c>
      <c r="J7" s="21"/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/>
      <c r="B8" s="21"/>
      <c r="C8" s="22">
        <f>D7</f>
        <v>1</v>
      </c>
      <c r="D8" s="60">
        <v>2</v>
      </c>
      <c r="E8" s="21"/>
      <c r="F8" s="74" t="s">
        <v>21</v>
      </c>
      <c r="G8" s="21"/>
      <c r="H8" s="21"/>
      <c r="I8" s="74" t="s">
        <v>21</v>
      </c>
      <c r="J8" s="21"/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>
        <f t="shared" ref="C9:C21" si="0">D8</f>
        <v>2</v>
      </c>
      <c r="D9" s="60">
        <v>3</v>
      </c>
      <c r="E9" s="21"/>
      <c r="F9" s="74" t="s">
        <v>21</v>
      </c>
      <c r="G9" s="21"/>
      <c r="H9" s="21"/>
      <c r="I9" s="74" t="s">
        <v>21</v>
      </c>
      <c r="J9" s="21"/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>
        <f t="shared" si="0"/>
        <v>3</v>
      </c>
      <c r="D10" s="60">
        <v>4</v>
      </c>
      <c r="E10" s="21"/>
      <c r="F10" s="74" t="s">
        <v>21</v>
      </c>
      <c r="G10" s="21"/>
      <c r="H10" s="21"/>
      <c r="I10" s="74" t="s">
        <v>21</v>
      </c>
      <c r="J10" s="21"/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>
        <f t="shared" si="0"/>
        <v>4</v>
      </c>
      <c r="D11" s="60">
        <v>5</v>
      </c>
      <c r="E11" s="21"/>
      <c r="F11" s="74" t="s">
        <v>21</v>
      </c>
      <c r="G11" s="21"/>
      <c r="H11" s="21"/>
      <c r="I11" s="74" t="s">
        <v>21</v>
      </c>
      <c r="J11" s="21"/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>
        <f t="shared" si="0"/>
        <v>5</v>
      </c>
      <c r="D12" s="60">
        <v>6</v>
      </c>
      <c r="E12" s="21"/>
      <c r="F12" s="74" t="s">
        <v>21</v>
      </c>
      <c r="G12" s="21"/>
      <c r="H12" s="21"/>
      <c r="I12" s="74" t="s">
        <v>21</v>
      </c>
      <c r="J12" s="21"/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>
        <f t="shared" si="0"/>
        <v>6</v>
      </c>
      <c r="D13" s="60">
        <v>7</v>
      </c>
      <c r="E13" s="21"/>
      <c r="F13" s="74" t="s">
        <v>21</v>
      </c>
      <c r="G13" s="21"/>
      <c r="H13" s="21"/>
      <c r="I13" s="74" t="s">
        <v>21</v>
      </c>
      <c r="J13" s="21"/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>
        <f t="shared" si="0"/>
        <v>7</v>
      </c>
      <c r="D14" s="60">
        <v>8</v>
      </c>
      <c r="E14" s="21"/>
      <c r="F14" s="74" t="s">
        <v>21</v>
      </c>
      <c r="G14" s="21"/>
      <c r="H14" s="21"/>
      <c r="I14" s="74" t="s">
        <v>21</v>
      </c>
      <c r="J14" s="21"/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>
        <f t="shared" si="0"/>
        <v>8</v>
      </c>
      <c r="D15" s="60">
        <v>9</v>
      </c>
      <c r="E15" s="21"/>
      <c r="F15" s="74" t="s">
        <v>21</v>
      </c>
      <c r="G15" s="21"/>
      <c r="H15" s="21"/>
      <c r="I15" s="74" t="s">
        <v>21</v>
      </c>
      <c r="J15" s="21"/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>
        <f t="shared" si="0"/>
        <v>9</v>
      </c>
      <c r="D16" s="60">
        <v>10</v>
      </c>
      <c r="E16" s="21"/>
      <c r="F16" s="74" t="s">
        <v>21</v>
      </c>
      <c r="G16" s="21"/>
      <c r="H16" s="21"/>
      <c r="I16" s="74" t="s">
        <v>21</v>
      </c>
      <c r="J16" s="21"/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>
        <f t="shared" si="0"/>
        <v>10</v>
      </c>
      <c r="D17" s="60">
        <v>11</v>
      </c>
      <c r="E17" s="21"/>
      <c r="F17" s="74" t="s">
        <v>21</v>
      </c>
      <c r="G17" s="21"/>
      <c r="H17" s="21"/>
      <c r="I17" s="74" t="s">
        <v>21</v>
      </c>
      <c r="J17" s="21"/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>
        <f t="shared" si="0"/>
        <v>11</v>
      </c>
      <c r="D18" s="60">
        <v>12</v>
      </c>
      <c r="E18" s="21"/>
      <c r="F18" s="74" t="s">
        <v>21</v>
      </c>
      <c r="G18" s="21"/>
      <c r="H18" s="21"/>
      <c r="I18" s="74" t="s">
        <v>21</v>
      </c>
      <c r="J18" s="21"/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>
        <f t="shared" si="0"/>
        <v>12</v>
      </c>
      <c r="D19" s="60">
        <v>13</v>
      </c>
      <c r="E19" s="21"/>
      <c r="F19" s="74" t="s">
        <v>21</v>
      </c>
      <c r="G19" s="21"/>
      <c r="H19" s="21"/>
      <c r="I19" s="74" t="s">
        <v>21</v>
      </c>
      <c r="J19" s="21"/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>
        <f t="shared" si="0"/>
        <v>13</v>
      </c>
      <c r="D20" s="60">
        <v>14</v>
      </c>
      <c r="E20" s="21"/>
      <c r="F20" s="74" t="s">
        <v>21</v>
      </c>
      <c r="G20" s="21"/>
      <c r="H20" s="21"/>
      <c r="I20" s="74" t="s">
        <v>21</v>
      </c>
      <c r="J20" s="21"/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>
        <f t="shared" si="0"/>
        <v>14</v>
      </c>
      <c r="D21" s="60">
        <v>14.02</v>
      </c>
      <c r="E21" s="21"/>
      <c r="F21" s="74" t="s">
        <v>21</v>
      </c>
      <c r="G21" s="21"/>
      <c r="H21" s="21"/>
      <c r="I21" s="74" t="s">
        <v>21</v>
      </c>
      <c r="J21" s="21"/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21" t="s">
        <v>341</v>
      </c>
      <c r="B22" s="21" t="s">
        <v>358</v>
      </c>
      <c r="C22" s="22">
        <v>0</v>
      </c>
      <c r="D22" s="60">
        <v>1</v>
      </c>
      <c r="E22" s="21"/>
      <c r="F22" s="74" t="s">
        <v>21</v>
      </c>
      <c r="G22" s="21"/>
      <c r="H22" s="21"/>
      <c r="I22" s="74" t="s">
        <v>21</v>
      </c>
      <c r="J22" s="21"/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21"/>
      <c r="C23" s="22">
        <f>D22</f>
        <v>1</v>
      </c>
      <c r="D23" s="60">
        <v>2</v>
      </c>
      <c r="E23" s="21"/>
      <c r="F23" s="74" t="s">
        <v>21</v>
      </c>
      <c r="G23" s="21"/>
      <c r="H23" s="21"/>
      <c r="I23" s="74" t="s">
        <v>21</v>
      </c>
      <c r="J23" s="21"/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21"/>
      <c r="C24" s="22">
        <f t="shared" ref="C24:C25" si="1">D23</f>
        <v>2</v>
      </c>
      <c r="D24" s="60">
        <v>3</v>
      </c>
      <c r="E24" s="21"/>
      <c r="F24" s="74" t="s">
        <v>21</v>
      </c>
      <c r="G24" s="21"/>
      <c r="H24" s="21"/>
      <c r="I24" s="74" t="s">
        <v>21</v>
      </c>
      <c r="J24" s="21"/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21"/>
      <c r="C25" s="22">
        <f t="shared" si="1"/>
        <v>3</v>
      </c>
      <c r="D25" s="60">
        <v>3.86</v>
      </c>
      <c r="E25" s="21"/>
      <c r="F25" s="74" t="s">
        <v>21</v>
      </c>
      <c r="G25" s="21"/>
      <c r="H25" s="21"/>
      <c r="I25" s="74" t="s">
        <v>21</v>
      </c>
      <c r="J25" s="21"/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21" t="s">
        <v>339</v>
      </c>
      <c r="B26" s="21" t="s">
        <v>358</v>
      </c>
      <c r="C26" s="22">
        <v>0</v>
      </c>
      <c r="D26" s="60">
        <v>1</v>
      </c>
      <c r="E26" s="21"/>
      <c r="F26" s="74" t="s">
        <v>21</v>
      </c>
      <c r="G26" s="21"/>
      <c r="H26" s="21"/>
      <c r="I26" s="74" t="s">
        <v>21</v>
      </c>
      <c r="J26" s="21"/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21"/>
      <c r="C27" s="22">
        <f>D26</f>
        <v>1</v>
      </c>
      <c r="D27" s="60">
        <v>2</v>
      </c>
      <c r="E27" s="21"/>
      <c r="F27" s="74" t="s">
        <v>21</v>
      </c>
      <c r="G27" s="21"/>
      <c r="H27" s="21"/>
      <c r="I27" s="74" t="s">
        <v>21</v>
      </c>
      <c r="J27" s="2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21"/>
      <c r="C28" s="22">
        <f t="shared" ref="C28:C39" si="2">D27</f>
        <v>2</v>
      </c>
      <c r="D28" s="60">
        <v>3</v>
      </c>
      <c r="E28" s="21"/>
      <c r="F28" s="74" t="s">
        <v>21</v>
      </c>
      <c r="G28" s="21"/>
      <c r="H28" s="21"/>
      <c r="I28" s="74" t="s">
        <v>21</v>
      </c>
      <c r="J28" s="2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21"/>
      <c r="C29" s="22">
        <f t="shared" si="2"/>
        <v>3</v>
      </c>
      <c r="D29" s="60">
        <v>4</v>
      </c>
      <c r="E29" s="21"/>
      <c r="F29" s="74" t="s">
        <v>21</v>
      </c>
      <c r="G29" s="21"/>
      <c r="H29" s="21"/>
      <c r="I29" s="74" t="s">
        <v>21</v>
      </c>
      <c r="J29" s="2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21"/>
      <c r="C30" s="22">
        <f t="shared" si="2"/>
        <v>4</v>
      </c>
      <c r="D30" s="60">
        <v>5</v>
      </c>
      <c r="E30" s="21"/>
      <c r="F30" s="74" t="s">
        <v>21</v>
      </c>
      <c r="G30" s="21"/>
      <c r="H30" s="21"/>
      <c r="I30" s="74" t="s">
        <v>21</v>
      </c>
      <c r="J30" s="2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21"/>
      <c r="C31" s="22">
        <f t="shared" si="2"/>
        <v>5</v>
      </c>
      <c r="D31" s="60">
        <v>6</v>
      </c>
      <c r="E31" s="21"/>
      <c r="F31" s="74" t="s">
        <v>21</v>
      </c>
      <c r="G31" s="21"/>
      <c r="H31" s="21"/>
      <c r="I31" s="74" t="s">
        <v>21</v>
      </c>
      <c r="J31" s="21"/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21"/>
      <c r="C32" s="22">
        <f t="shared" si="2"/>
        <v>6</v>
      </c>
      <c r="D32" s="60">
        <v>7</v>
      </c>
      <c r="E32" s="21"/>
      <c r="F32" s="74" t="s">
        <v>21</v>
      </c>
      <c r="G32" s="21"/>
      <c r="H32" s="21"/>
      <c r="I32" s="74" t="s">
        <v>21</v>
      </c>
      <c r="J32" s="21"/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21"/>
      <c r="C33" s="22">
        <f t="shared" si="2"/>
        <v>7</v>
      </c>
      <c r="D33" s="60">
        <v>8</v>
      </c>
      <c r="E33" s="21"/>
      <c r="F33" s="74" t="s">
        <v>21</v>
      </c>
      <c r="G33" s="21"/>
      <c r="H33" s="21"/>
      <c r="I33" s="74" t="s">
        <v>21</v>
      </c>
      <c r="J33" s="21"/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21"/>
      <c r="C34" s="22">
        <f t="shared" si="2"/>
        <v>8</v>
      </c>
      <c r="D34" s="60">
        <v>9</v>
      </c>
      <c r="E34" s="21"/>
      <c r="F34" s="74" t="s">
        <v>21</v>
      </c>
      <c r="G34" s="21"/>
      <c r="H34" s="21"/>
      <c r="I34" s="74" t="s">
        <v>21</v>
      </c>
      <c r="J34" s="21"/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21"/>
      <c r="C35" s="22">
        <f t="shared" si="2"/>
        <v>9</v>
      </c>
      <c r="D35" s="60">
        <v>10</v>
      </c>
      <c r="E35" s="21"/>
      <c r="F35" s="74" t="s">
        <v>21</v>
      </c>
      <c r="G35" s="21"/>
      <c r="H35" s="21"/>
      <c r="I35" s="74" t="s">
        <v>21</v>
      </c>
      <c r="J35" s="21"/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19"/>
      <c r="B36" s="21"/>
      <c r="C36" s="22">
        <f t="shared" si="2"/>
        <v>10</v>
      </c>
      <c r="D36" s="60">
        <v>11</v>
      </c>
      <c r="E36" s="21"/>
      <c r="F36" s="74" t="s">
        <v>21</v>
      </c>
      <c r="G36" s="21"/>
      <c r="H36" s="21"/>
      <c r="I36" s="74" t="s">
        <v>21</v>
      </c>
      <c r="J36" s="21"/>
      <c r="K36" s="21"/>
      <c r="L36" s="80"/>
      <c r="M36" s="81"/>
      <c r="N36" s="81"/>
      <c r="O36" s="81"/>
      <c r="P36" s="81"/>
      <c r="Q36" s="81"/>
      <c r="R36" s="82"/>
    </row>
    <row r="37" spans="1:18" ht="41.45" customHeight="1" x14ac:dyDescent="0.25">
      <c r="A37" s="19"/>
      <c r="B37" s="21"/>
      <c r="C37" s="22">
        <f t="shared" si="2"/>
        <v>11</v>
      </c>
      <c r="D37" s="60">
        <v>12</v>
      </c>
      <c r="E37" s="21"/>
      <c r="F37" s="74" t="s">
        <v>21</v>
      </c>
      <c r="G37" s="21"/>
      <c r="H37" s="21"/>
      <c r="I37" s="74" t="s">
        <v>21</v>
      </c>
      <c r="J37" s="21"/>
      <c r="K37" s="21"/>
      <c r="L37" s="80"/>
      <c r="M37" s="81"/>
      <c r="N37" s="81"/>
      <c r="O37" s="81"/>
      <c r="P37" s="81"/>
      <c r="Q37" s="81"/>
      <c r="R37" s="82"/>
    </row>
    <row r="38" spans="1:18" ht="41.45" customHeight="1" x14ac:dyDescent="0.25">
      <c r="A38" s="19"/>
      <c r="B38" s="21"/>
      <c r="C38" s="22">
        <f t="shared" si="2"/>
        <v>12</v>
      </c>
      <c r="D38" s="60">
        <v>13</v>
      </c>
      <c r="E38" s="21"/>
      <c r="F38" s="74" t="s">
        <v>21</v>
      </c>
      <c r="G38" s="21"/>
      <c r="H38" s="21"/>
      <c r="I38" s="74" t="s">
        <v>21</v>
      </c>
      <c r="J38" s="21"/>
      <c r="K38" s="21"/>
      <c r="L38" s="80"/>
      <c r="M38" s="81"/>
      <c r="N38" s="81"/>
      <c r="O38" s="81"/>
      <c r="P38" s="81"/>
      <c r="Q38" s="81"/>
      <c r="R38" s="82"/>
    </row>
    <row r="39" spans="1:18" ht="41.45" customHeight="1" x14ac:dyDescent="0.25">
      <c r="A39" s="19"/>
      <c r="B39" s="21"/>
      <c r="C39" s="22">
        <f t="shared" si="2"/>
        <v>13</v>
      </c>
      <c r="D39" s="60">
        <v>13.61</v>
      </c>
      <c r="E39" s="21"/>
      <c r="F39" s="74" t="s">
        <v>21</v>
      </c>
      <c r="G39" s="21"/>
      <c r="H39" s="21"/>
      <c r="I39" s="74" t="s">
        <v>21</v>
      </c>
      <c r="J39" s="21"/>
      <c r="K39" s="21"/>
      <c r="L39" s="80"/>
      <c r="M39" s="81"/>
      <c r="N39" s="81"/>
      <c r="O39" s="81"/>
      <c r="P39" s="81"/>
      <c r="Q39" s="81"/>
      <c r="R39" s="82"/>
    </row>
    <row r="40" spans="1:18" ht="41.45" customHeight="1" x14ac:dyDescent="0.25">
      <c r="A40" s="19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80"/>
      <c r="M40" s="81"/>
      <c r="N40" s="81"/>
      <c r="O40" s="81"/>
      <c r="P40" s="81"/>
      <c r="Q40" s="81"/>
      <c r="R40" s="82"/>
    </row>
    <row r="41" spans="1:18" ht="41.45" customHeight="1" x14ac:dyDescent="0.25">
      <c r="A41" s="19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80"/>
      <c r="M41" s="81"/>
      <c r="N41" s="81"/>
      <c r="O41" s="81"/>
      <c r="P41" s="81"/>
      <c r="Q41" s="81"/>
      <c r="R41" s="82"/>
    </row>
    <row r="42" spans="1:18" ht="41.45" customHeight="1" x14ac:dyDescent="0.25">
      <c r="A42" s="19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80"/>
      <c r="M42" s="81"/>
      <c r="N42" s="81"/>
      <c r="O42" s="81"/>
      <c r="P42" s="81"/>
      <c r="Q42" s="81"/>
      <c r="R42" s="82"/>
    </row>
    <row r="43" spans="1:18" ht="41.45" customHeight="1" x14ac:dyDescent="0.25">
      <c r="A43" s="19"/>
      <c r="B43" s="3"/>
      <c r="C43" s="22"/>
      <c r="D43" s="22"/>
      <c r="E43" s="21"/>
      <c r="F43" s="21"/>
      <c r="G43" s="21"/>
      <c r="H43" s="21"/>
      <c r="I43" s="21"/>
      <c r="J43" s="21"/>
      <c r="K43" s="21"/>
      <c r="L43" s="80"/>
      <c r="M43" s="81"/>
      <c r="N43" s="81"/>
      <c r="O43" s="81"/>
      <c r="P43" s="81"/>
      <c r="Q43" s="81"/>
      <c r="R43" s="82"/>
    </row>
    <row r="44" spans="1:18" ht="41.45" customHeight="1" x14ac:dyDescent="0.25">
      <c r="A44" s="23"/>
      <c r="B44" s="24"/>
      <c r="C44" s="25"/>
      <c r="D44" s="25"/>
      <c r="E44" s="25" t="str">
        <f>IF(E7="X",(D7-C7),"0")</f>
        <v>0</v>
      </c>
      <c r="F44" s="25">
        <f>IF(F7="X",(D7-C7),"0")</f>
        <v>1</v>
      </c>
      <c r="G44" s="25" t="str">
        <f>IF(G7="X",(D7-C7),"0")</f>
        <v>0</v>
      </c>
      <c r="H44" s="25" t="str">
        <f>IF(H7="X",(D7-C7),"0")</f>
        <v>0</v>
      </c>
      <c r="I44" s="25">
        <f>IF(I7="X",(D7-C7),"0")</f>
        <v>1</v>
      </c>
      <c r="J44" s="25" t="str">
        <f>IF(J7="X",(D7-C7),"0")</f>
        <v>0</v>
      </c>
      <c r="K44" s="25" t="str">
        <f>IF(K7="X",(D7-C7),"0")</f>
        <v>0</v>
      </c>
      <c r="L44" s="104"/>
      <c r="M44" s="105"/>
      <c r="N44" s="105"/>
      <c r="O44" s="105"/>
      <c r="P44" s="105"/>
      <c r="Q44" s="105"/>
      <c r="R44" s="106"/>
    </row>
    <row r="45" spans="1:18" ht="41.45" customHeight="1" x14ac:dyDescent="0.25">
      <c r="A45" s="19"/>
      <c r="B45" s="3"/>
      <c r="C45" s="22"/>
      <c r="D45" s="22"/>
      <c r="E45" s="25" t="str">
        <f t="shared" ref="E45:E78" si="3">IF(E8="X",(D8-C8),"0")</f>
        <v>0</v>
      </c>
      <c r="F45" s="25">
        <f t="shared" ref="F45:F78" si="4">IF(F8="X",(D8-C8),"0")</f>
        <v>1</v>
      </c>
      <c r="G45" s="25" t="str">
        <f t="shared" ref="G45:G78" si="5">IF(G8="X",(D8-C8),"0")</f>
        <v>0</v>
      </c>
      <c r="H45" s="25" t="str">
        <f t="shared" ref="H45:H78" si="6">IF(H8="X",(D8-C8),"0")</f>
        <v>0</v>
      </c>
      <c r="I45" s="25">
        <f t="shared" ref="I45:I78" si="7">IF(I8="X",(D8-C8),"0")</f>
        <v>1</v>
      </c>
      <c r="J45" s="25" t="str">
        <f t="shared" ref="J45:J78" si="8">IF(J8="X",(D8-C8),"0")</f>
        <v>0</v>
      </c>
      <c r="K45" s="25" t="str">
        <f t="shared" ref="K45:K78" si="9">IF(K8="X",(D8-C8),"0")</f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3"/>
        <v>0</v>
      </c>
      <c r="F46" s="25">
        <f t="shared" si="4"/>
        <v>1</v>
      </c>
      <c r="G46" s="25" t="str">
        <f t="shared" si="5"/>
        <v>0</v>
      </c>
      <c r="H46" s="25" t="str">
        <f t="shared" si="6"/>
        <v>0</v>
      </c>
      <c r="I46" s="25">
        <f t="shared" si="7"/>
        <v>1</v>
      </c>
      <c r="J46" s="25" t="str">
        <f t="shared" si="8"/>
        <v>0</v>
      </c>
      <c r="K46" s="25" t="str">
        <f t="shared" si="9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3"/>
        <v>0</v>
      </c>
      <c r="F47" s="25">
        <f t="shared" si="4"/>
        <v>1</v>
      </c>
      <c r="G47" s="25" t="str">
        <f t="shared" si="5"/>
        <v>0</v>
      </c>
      <c r="H47" s="25" t="str">
        <f t="shared" si="6"/>
        <v>0</v>
      </c>
      <c r="I47" s="25">
        <f t="shared" si="7"/>
        <v>1</v>
      </c>
      <c r="J47" s="25" t="str">
        <f t="shared" si="8"/>
        <v>0</v>
      </c>
      <c r="K47" s="25" t="str">
        <f t="shared" si="9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3"/>
        <v>0</v>
      </c>
      <c r="F48" s="25">
        <f t="shared" si="4"/>
        <v>1</v>
      </c>
      <c r="G48" s="25" t="str">
        <f t="shared" si="5"/>
        <v>0</v>
      </c>
      <c r="H48" s="25" t="str">
        <f t="shared" si="6"/>
        <v>0</v>
      </c>
      <c r="I48" s="25">
        <f t="shared" si="7"/>
        <v>1</v>
      </c>
      <c r="J48" s="25" t="str">
        <f t="shared" si="8"/>
        <v>0</v>
      </c>
      <c r="K48" s="25" t="str">
        <f t="shared" si="9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3"/>
        <v>0</v>
      </c>
      <c r="F49" s="25">
        <f t="shared" si="4"/>
        <v>1</v>
      </c>
      <c r="G49" s="25" t="str">
        <f t="shared" si="5"/>
        <v>0</v>
      </c>
      <c r="H49" s="25" t="str">
        <f t="shared" si="6"/>
        <v>0</v>
      </c>
      <c r="I49" s="25">
        <f t="shared" si="7"/>
        <v>1</v>
      </c>
      <c r="J49" s="25" t="str">
        <f t="shared" si="8"/>
        <v>0</v>
      </c>
      <c r="K49" s="25" t="str">
        <f t="shared" si="9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3"/>
        <v>0</v>
      </c>
      <c r="F50" s="25">
        <f t="shared" si="4"/>
        <v>1</v>
      </c>
      <c r="G50" s="25" t="str">
        <f t="shared" si="5"/>
        <v>0</v>
      </c>
      <c r="H50" s="25" t="str">
        <f t="shared" si="6"/>
        <v>0</v>
      </c>
      <c r="I50" s="25">
        <f t="shared" si="7"/>
        <v>1</v>
      </c>
      <c r="J50" s="25" t="str">
        <f t="shared" si="8"/>
        <v>0</v>
      </c>
      <c r="K50" s="25" t="str">
        <f t="shared" si="9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3"/>
        <v>0</v>
      </c>
      <c r="F51" s="25">
        <f t="shared" si="4"/>
        <v>1</v>
      </c>
      <c r="G51" s="25" t="str">
        <f t="shared" si="5"/>
        <v>0</v>
      </c>
      <c r="H51" s="25" t="str">
        <f t="shared" si="6"/>
        <v>0</v>
      </c>
      <c r="I51" s="25">
        <f t="shared" si="7"/>
        <v>1</v>
      </c>
      <c r="J51" s="25" t="str">
        <f t="shared" si="8"/>
        <v>0</v>
      </c>
      <c r="K51" s="25" t="str">
        <f t="shared" si="9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3"/>
        <v>0</v>
      </c>
      <c r="F52" s="25">
        <f t="shared" si="4"/>
        <v>1</v>
      </c>
      <c r="G52" s="25" t="str">
        <f t="shared" si="5"/>
        <v>0</v>
      </c>
      <c r="H52" s="25" t="str">
        <f t="shared" si="6"/>
        <v>0</v>
      </c>
      <c r="I52" s="25">
        <f t="shared" si="7"/>
        <v>1</v>
      </c>
      <c r="J52" s="25" t="str">
        <f t="shared" si="8"/>
        <v>0</v>
      </c>
      <c r="K52" s="25" t="str">
        <f t="shared" si="9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3"/>
        <v>0</v>
      </c>
      <c r="F53" s="25">
        <f t="shared" si="4"/>
        <v>1</v>
      </c>
      <c r="G53" s="25" t="str">
        <f t="shared" si="5"/>
        <v>0</v>
      </c>
      <c r="H53" s="25" t="str">
        <f t="shared" si="6"/>
        <v>0</v>
      </c>
      <c r="I53" s="25">
        <f t="shared" si="7"/>
        <v>1</v>
      </c>
      <c r="J53" s="25" t="str">
        <f t="shared" si="8"/>
        <v>0</v>
      </c>
      <c r="K53" s="25" t="str">
        <f t="shared" si="9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3"/>
        <v>0</v>
      </c>
      <c r="F54" s="25">
        <f t="shared" si="4"/>
        <v>1</v>
      </c>
      <c r="G54" s="25" t="str">
        <f t="shared" si="5"/>
        <v>0</v>
      </c>
      <c r="H54" s="25" t="str">
        <f t="shared" si="6"/>
        <v>0</v>
      </c>
      <c r="I54" s="25">
        <f t="shared" si="7"/>
        <v>1</v>
      </c>
      <c r="J54" s="25" t="str">
        <f t="shared" si="8"/>
        <v>0</v>
      </c>
      <c r="K54" s="25" t="str">
        <f t="shared" si="9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3"/>
        <v>0</v>
      </c>
      <c r="F55" s="25">
        <f t="shared" si="4"/>
        <v>1</v>
      </c>
      <c r="G55" s="25" t="str">
        <f t="shared" si="5"/>
        <v>0</v>
      </c>
      <c r="H55" s="25" t="str">
        <f t="shared" si="6"/>
        <v>0</v>
      </c>
      <c r="I55" s="25">
        <f t="shared" si="7"/>
        <v>1</v>
      </c>
      <c r="J55" s="25" t="str">
        <f t="shared" si="8"/>
        <v>0</v>
      </c>
      <c r="K55" s="25" t="str">
        <f t="shared" si="9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3"/>
        <v>0</v>
      </c>
      <c r="F56" s="25">
        <f t="shared" si="4"/>
        <v>1</v>
      </c>
      <c r="G56" s="25" t="str">
        <f t="shared" si="5"/>
        <v>0</v>
      </c>
      <c r="H56" s="25" t="str">
        <f t="shared" si="6"/>
        <v>0</v>
      </c>
      <c r="I56" s="25">
        <f t="shared" si="7"/>
        <v>1</v>
      </c>
      <c r="J56" s="25" t="str">
        <f t="shared" si="8"/>
        <v>0</v>
      </c>
      <c r="K56" s="25" t="str">
        <f t="shared" si="9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3"/>
        <v>0</v>
      </c>
      <c r="F57" s="25">
        <f t="shared" si="4"/>
        <v>1</v>
      </c>
      <c r="G57" s="25" t="str">
        <f t="shared" si="5"/>
        <v>0</v>
      </c>
      <c r="H57" s="25" t="str">
        <f t="shared" si="6"/>
        <v>0</v>
      </c>
      <c r="I57" s="25">
        <f t="shared" si="7"/>
        <v>1</v>
      </c>
      <c r="J57" s="25" t="str">
        <f t="shared" si="8"/>
        <v>0</v>
      </c>
      <c r="K57" s="25" t="str">
        <f t="shared" si="9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3"/>
        <v>0</v>
      </c>
      <c r="F58" s="25">
        <f t="shared" si="4"/>
        <v>1.9999999999999574E-2</v>
      </c>
      <c r="G58" s="25" t="str">
        <f t="shared" si="5"/>
        <v>0</v>
      </c>
      <c r="H58" s="25" t="str">
        <f t="shared" si="6"/>
        <v>0</v>
      </c>
      <c r="I58" s="25">
        <f t="shared" si="7"/>
        <v>1.9999999999999574E-2</v>
      </c>
      <c r="J58" s="25" t="str">
        <f t="shared" si="8"/>
        <v>0</v>
      </c>
      <c r="K58" s="25" t="str">
        <f t="shared" si="9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3"/>
        <v>0</v>
      </c>
      <c r="F59" s="25">
        <f t="shared" si="4"/>
        <v>1</v>
      </c>
      <c r="G59" s="25" t="str">
        <f t="shared" si="5"/>
        <v>0</v>
      </c>
      <c r="H59" s="25" t="str">
        <f t="shared" si="6"/>
        <v>0</v>
      </c>
      <c r="I59" s="25">
        <f t="shared" si="7"/>
        <v>1</v>
      </c>
      <c r="J59" s="25" t="str">
        <f t="shared" si="8"/>
        <v>0</v>
      </c>
      <c r="K59" s="25" t="str">
        <f t="shared" si="9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3"/>
        <v>0</v>
      </c>
      <c r="F60" s="25">
        <f t="shared" si="4"/>
        <v>1</v>
      </c>
      <c r="G60" s="25" t="str">
        <f t="shared" si="5"/>
        <v>0</v>
      </c>
      <c r="H60" s="25" t="str">
        <f t="shared" si="6"/>
        <v>0</v>
      </c>
      <c r="I60" s="25">
        <f t="shared" si="7"/>
        <v>1</v>
      </c>
      <c r="J60" s="25" t="str">
        <f t="shared" si="8"/>
        <v>0</v>
      </c>
      <c r="K60" s="25" t="str">
        <f t="shared" si="9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3"/>
        <v>0</v>
      </c>
      <c r="F61" s="25">
        <f t="shared" si="4"/>
        <v>1</v>
      </c>
      <c r="G61" s="25" t="str">
        <f t="shared" si="5"/>
        <v>0</v>
      </c>
      <c r="H61" s="25" t="str">
        <f t="shared" si="6"/>
        <v>0</v>
      </c>
      <c r="I61" s="25">
        <f t="shared" si="7"/>
        <v>1</v>
      </c>
      <c r="J61" s="25" t="str">
        <f t="shared" si="8"/>
        <v>0</v>
      </c>
      <c r="K61" s="25" t="str">
        <f t="shared" si="9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5" t="str">
        <f t="shared" si="3"/>
        <v>0</v>
      </c>
      <c r="F62" s="25">
        <f t="shared" si="4"/>
        <v>0.85999999999999988</v>
      </c>
      <c r="G62" s="25" t="str">
        <f t="shared" si="5"/>
        <v>0</v>
      </c>
      <c r="H62" s="25" t="str">
        <f t="shared" si="6"/>
        <v>0</v>
      </c>
      <c r="I62" s="25">
        <f t="shared" si="7"/>
        <v>0.85999999999999988</v>
      </c>
      <c r="J62" s="25" t="str">
        <f t="shared" si="8"/>
        <v>0</v>
      </c>
      <c r="K62" s="25" t="str">
        <f t="shared" si="9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5" t="str">
        <f t="shared" si="3"/>
        <v>0</v>
      </c>
      <c r="F63" s="25">
        <f t="shared" si="4"/>
        <v>1</v>
      </c>
      <c r="G63" s="25" t="str">
        <f t="shared" si="5"/>
        <v>0</v>
      </c>
      <c r="H63" s="25" t="str">
        <f t="shared" si="6"/>
        <v>0</v>
      </c>
      <c r="I63" s="25">
        <f t="shared" si="7"/>
        <v>1</v>
      </c>
      <c r="J63" s="25" t="str">
        <f t="shared" si="8"/>
        <v>0</v>
      </c>
      <c r="K63" s="25" t="str">
        <f t="shared" si="9"/>
        <v>0</v>
      </c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5" t="str">
        <f t="shared" si="3"/>
        <v>0</v>
      </c>
      <c r="F64" s="25">
        <f t="shared" si="4"/>
        <v>1</v>
      </c>
      <c r="G64" s="25" t="str">
        <f t="shared" si="5"/>
        <v>0</v>
      </c>
      <c r="H64" s="25" t="str">
        <f t="shared" si="6"/>
        <v>0</v>
      </c>
      <c r="I64" s="25">
        <f t="shared" si="7"/>
        <v>1</v>
      </c>
      <c r="J64" s="25" t="str">
        <f t="shared" si="8"/>
        <v>0</v>
      </c>
      <c r="K64" s="25" t="str">
        <f t="shared" si="9"/>
        <v>0</v>
      </c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5" t="str">
        <f t="shared" si="3"/>
        <v>0</v>
      </c>
      <c r="F65" s="25">
        <f t="shared" si="4"/>
        <v>1</v>
      </c>
      <c r="G65" s="25" t="str">
        <f t="shared" si="5"/>
        <v>0</v>
      </c>
      <c r="H65" s="25" t="str">
        <f t="shared" si="6"/>
        <v>0</v>
      </c>
      <c r="I65" s="25">
        <f t="shared" si="7"/>
        <v>1</v>
      </c>
      <c r="J65" s="25" t="str">
        <f t="shared" si="8"/>
        <v>0</v>
      </c>
      <c r="K65" s="25" t="str">
        <f t="shared" si="9"/>
        <v>0</v>
      </c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5" t="str">
        <f t="shared" si="3"/>
        <v>0</v>
      </c>
      <c r="F66" s="25">
        <f t="shared" si="4"/>
        <v>1</v>
      </c>
      <c r="G66" s="25" t="str">
        <f t="shared" si="5"/>
        <v>0</v>
      </c>
      <c r="H66" s="25" t="str">
        <f t="shared" si="6"/>
        <v>0</v>
      </c>
      <c r="I66" s="25">
        <f t="shared" si="7"/>
        <v>1</v>
      </c>
      <c r="J66" s="25" t="str">
        <f t="shared" si="8"/>
        <v>0</v>
      </c>
      <c r="K66" s="25" t="str">
        <f t="shared" si="9"/>
        <v>0</v>
      </c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5" t="str">
        <f t="shared" si="3"/>
        <v>0</v>
      </c>
      <c r="F67" s="25">
        <f t="shared" si="4"/>
        <v>1</v>
      </c>
      <c r="G67" s="25" t="str">
        <f t="shared" si="5"/>
        <v>0</v>
      </c>
      <c r="H67" s="25" t="str">
        <f t="shared" si="6"/>
        <v>0</v>
      </c>
      <c r="I67" s="25">
        <f t="shared" si="7"/>
        <v>1</v>
      </c>
      <c r="J67" s="25" t="str">
        <f t="shared" si="8"/>
        <v>0</v>
      </c>
      <c r="K67" s="25" t="str">
        <f t="shared" si="9"/>
        <v>0</v>
      </c>
      <c r="L67" s="102"/>
      <c r="M67" s="102"/>
      <c r="N67" s="102"/>
      <c r="O67" s="102"/>
      <c r="P67" s="102"/>
      <c r="Q67" s="102"/>
      <c r="R67" s="103"/>
    </row>
    <row r="68" spans="1:18" ht="41.45" customHeight="1" x14ac:dyDescent="0.25">
      <c r="A68" s="19"/>
      <c r="B68" s="3"/>
      <c r="C68" s="22"/>
      <c r="D68" s="22"/>
      <c r="E68" s="25" t="str">
        <f t="shared" si="3"/>
        <v>0</v>
      </c>
      <c r="F68" s="25">
        <f t="shared" si="4"/>
        <v>1</v>
      </c>
      <c r="G68" s="25" t="str">
        <f t="shared" si="5"/>
        <v>0</v>
      </c>
      <c r="H68" s="25" t="str">
        <f t="shared" si="6"/>
        <v>0</v>
      </c>
      <c r="I68" s="25">
        <f t="shared" si="7"/>
        <v>1</v>
      </c>
      <c r="J68" s="25" t="str">
        <f t="shared" si="8"/>
        <v>0</v>
      </c>
      <c r="K68" s="25" t="str">
        <f t="shared" si="9"/>
        <v>0</v>
      </c>
      <c r="L68" s="102"/>
      <c r="M68" s="102"/>
      <c r="N68" s="102"/>
      <c r="O68" s="102"/>
      <c r="P68" s="102"/>
      <c r="Q68" s="102"/>
      <c r="R68" s="103"/>
    </row>
    <row r="69" spans="1:18" ht="41.45" customHeight="1" x14ac:dyDescent="0.25">
      <c r="A69" s="19"/>
      <c r="B69" s="3"/>
      <c r="C69" s="22"/>
      <c r="D69" s="22"/>
      <c r="E69" s="25" t="str">
        <f t="shared" si="3"/>
        <v>0</v>
      </c>
      <c r="F69" s="25">
        <f t="shared" si="4"/>
        <v>1</v>
      </c>
      <c r="G69" s="25" t="str">
        <f t="shared" si="5"/>
        <v>0</v>
      </c>
      <c r="H69" s="25" t="str">
        <f t="shared" si="6"/>
        <v>0</v>
      </c>
      <c r="I69" s="25">
        <f t="shared" si="7"/>
        <v>1</v>
      </c>
      <c r="J69" s="25" t="str">
        <f t="shared" si="8"/>
        <v>0</v>
      </c>
      <c r="K69" s="25" t="str">
        <f t="shared" si="9"/>
        <v>0</v>
      </c>
      <c r="L69" s="102"/>
      <c r="M69" s="102"/>
      <c r="N69" s="102"/>
      <c r="O69" s="102"/>
      <c r="P69" s="102"/>
      <c r="Q69" s="102"/>
      <c r="R69" s="103"/>
    </row>
    <row r="70" spans="1:18" ht="41.45" customHeight="1" x14ac:dyDescent="0.25">
      <c r="A70" s="19"/>
      <c r="B70" s="3"/>
      <c r="C70" s="22"/>
      <c r="D70" s="22"/>
      <c r="E70" s="25" t="str">
        <f t="shared" si="3"/>
        <v>0</v>
      </c>
      <c r="F70" s="25">
        <f t="shared" si="4"/>
        <v>1</v>
      </c>
      <c r="G70" s="25" t="str">
        <f t="shared" si="5"/>
        <v>0</v>
      </c>
      <c r="H70" s="25" t="str">
        <f t="shared" si="6"/>
        <v>0</v>
      </c>
      <c r="I70" s="25">
        <f t="shared" si="7"/>
        <v>1</v>
      </c>
      <c r="J70" s="25" t="str">
        <f t="shared" si="8"/>
        <v>0</v>
      </c>
      <c r="K70" s="25" t="str">
        <f t="shared" si="9"/>
        <v>0</v>
      </c>
      <c r="L70" s="102"/>
      <c r="M70" s="102"/>
      <c r="N70" s="102"/>
      <c r="O70" s="102"/>
      <c r="P70" s="102"/>
      <c r="Q70" s="102"/>
      <c r="R70" s="103"/>
    </row>
    <row r="71" spans="1:18" ht="41.45" customHeight="1" x14ac:dyDescent="0.25">
      <c r="A71" s="19"/>
      <c r="B71" s="3"/>
      <c r="C71" s="22"/>
      <c r="D71" s="22"/>
      <c r="E71" s="25" t="str">
        <f t="shared" si="3"/>
        <v>0</v>
      </c>
      <c r="F71" s="25">
        <f t="shared" si="4"/>
        <v>1</v>
      </c>
      <c r="G71" s="25" t="str">
        <f t="shared" si="5"/>
        <v>0</v>
      </c>
      <c r="H71" s="25" t="str">
        <f t="shared" si="6"/>
        <v>0</v>
      </c>
      <c r="I71" s="25">
        <f t="shared" si="7"/>
        <v>1</v>
      </c>
      <c r="J71" s="25" t="str">
        <f t="shared" si="8"/>
        <v>0</v>
      </c>
      <c r="K71" s="25" t="str">
        <f t="shared" si="9"/>
        <v>0</v>
      </c>
      <c r="L71" s="102"/>
      <c r="M71" s="102"/>
      <c r="N71" s="102"/>
      <c r="O71" s="102"/>
      <c r="P71" s="102"/>
      <c r="Q71" s="102"/>
      <c r="R71" s="103"/>
    </row>
    <row r="72" spans="1:18" ht="41.45" customHeight="1" x14ac:dyDescent="0.25">
      <c r="A72" s="19"/>
      <c r="B72" s="3"/>
      <c r="C72" s="22"/>
      <c r="D72" s="22"/>
      <c r="E72" s="25" t="str">
        <f t="shared" si="3"/>
        <v>0</v>
      </c>
      <c r="F72" s="25">
        <f t="shared" si="4"/>
        <v>1</v>
      </c>
      <c r="G72" s="25" t="str">
        <f t="shared" si="5"/>
        <v>0</v>
      </c>
      <c r="H72" s="25" t="str">
        <f t="shared" si="6"/>
        <v>0</v>
      </c>
      <c r="I72" s="25">
        <f t="shared" si="7"/>
        <v>1</v>
      </c>
      <c r="J72" s="25" t="str">
        <f t="shared" si="8"/>
        <v>0</v>
      </c>
      <c r="K72" s="25" t="str">
        <f t="shared" si="9"/>
        <v>0</v>
      </c>
      <c r="L72" s="102"/>
      <c r="M72" s="102"/>
      <c r="N72" s="102"/>
      <c r="O72" s="102"/>
      <c r="P72" s="102"/>
      <c r="Q72" s="102"/>
      <c r="R72" s="103"/>
    </row>
    <row r="73" spans="1:18" ht="41.45" customHeight="1" x14ac:dyDescent="0.25">
      <c r="A73" s="19"/>
      <c r="B73" s="3"/>
      <c r="C73" s="22"/>
      <c r="D73" s="22"/>
      <c r="E73" s="25" t="str">
        <f t="shared" si="3"/>
        <v>0</v>
      </c>
      <c r="F73" s="25">
        <f t="shared" si="4"/>
        <v>1</v>
      </c>
      <c r="G73" s="25" t="str">
        <f t="shared" si="5"/>
        <v>0</v>
      </c>
      <c r="H73" s="25" t="str">
        <f t="shared" si="6"/>
        <v>0</v>
      </c>
      <c r="I73" s="25">
        <f t="shared" si="7"/>
        <v>1</v>
      </c>
      <c r="J73" s="25" t="str">
        <f t="shared" si="8"/>
        <v>0</v>
      </c>
      <c r="K73" s="25" t="str">
        <f t="shared" si="9"/>
        <v>0</v>
      </c>
      <c r="L73" s="102"/>
      <c r="M73" s="102"/>
      <c r="N73" s="102"/>
      <c r="O73" s="102"/>
      <c r="P73" s="102"/>
      <c r="Q73" s="102"/>
      <c r="R73" s="103"/>
    </row>
    <row r="74" spans="1:18" ht="41.45" customHeight="1" x14ac:dyDescent="0.25">
      <c r="A74" s="19"/>
      <c r="B74" s="3"/>
      <c r="C74" s="22"/>
      <c r="D74" s="22"/>
      <c r="E74" s="25" t="str">
        <f t="shared" si="3"/>
        <v>0</v>
      </c>
      <c r="F74" s="25">
        <f t="shared" si="4"/>
        <v>1</v>
      </c>
      <c r="G74" s="25" t="str">
        <f t="shared" si="5"/>
        <v>0</v>
      </c>
      <c r="H74" s="25" t="str">
        <f t="shared" si="6"/>
        <v>0</v>
      </c>
      <c r="I74" s="25">
        <f t="shared" si="7"/>
        <v>1</v>
      </c>
      <c r="J74" s="25" t="str">
        <f t="shared" si="8"/>
        <v>0</v>
      </c>
      <c r="K74" s="25" t="str">
        <f t="shared" si="9"/>
        <v>0</v>
      </c>
      <c r="L74" s="102"/>
      <c r="M74" s="102"/>
      <c r="N74" s="102"/>
      <c r="O74" s="102"/>
      <c r="P74" s="102"/>
      <c r="Q74" s="102"/>
      <c r="R74" s="103"/>
    </row>
    <row r="75" spans="1:18" ht="41.45" customHeight="1" x14ac:dyDescent="0.25">
      <c r="A75" s="19"/>
      <c r="B75" s="3"/>
      <c r="C75" s="22"/>
      <c r="D75" s="22"/>
      <c r="E75" s="25" t="str">
        <f t="shared" si="3"/>
        <v>0</v>
      </c>
      <c r="F75" s="25">
        <f t="shared" si="4"/>
        <v>1</v>
      </c>
      <c r="G75" s="25" t="str">
        <f t="shared" si="5"/>
        <v>0</v>
      </c>
      <c r="H75" s="25" t="str">
        <f t="shared" si="6"/>
        <v>0</v>
      </c>
      <c r="I75" s="25">
        <f t="shared" si="7"/>
        <v>1</v>
      </c>
      <c r="J75" s="25" t="str">
        <f t="shared" si="8"/>
        <v>0</v>
      </c>
      <c r="K75" s="25" t="str">
        <f t="shared" si="9"/>
        <v>0</v>
      </c>
      <c r="L75" s="102"/>
      <c r="M75" s="102"/>
      <c r="N75" s="102"/>
      <c r="O75" s="102"/>
      <c r="P75" s="102"/>
      <c r="Q75" s="102"/>
      <c r="R75" s="103"/>
    </row>
    <row r="76" spans="1:18" ht="41.45" customHeight="1" x14ac:dyDescent="0.25">
      <c r="A76" s="19"/>
      <c r="B76" s="3"/>
      <c r="C76" s="22"/>
      <c r="D76" s="22"/>
      <c r="E76" s="25" t="str">
        <f>IF(E39="X",(D39-C39),"0")</f>
        <v>0</v>
      </c>
      <c r="F76" s="25">
        <f t="shared" si="4"/>
        <v>0.60999999999999943</v>
      </c>
      <c r="G76" s="25" t="str">
        <f t="shared" si="5"/>
        <v>0</v>
      </c>
      <c r="H76" s="25" t="str">
        <f t="shared" si="6"/>
        <v>0</v>
      </c>
      <c r="I76" s="25">
        <f t="shared" si="7"/>
        <v>0.60999999999999943</v>
      </c>
      <c r="J76" s="25" t="str">
        <f t="shared" si="8"/>
        <v>0</v>
      </c>
      <c r="K76" s="25" t="str">
        <f t="shared" si="9"/>
        <v>0</v>
      </c>
      <c r="L76" s="102"/>
      <c r="M76" s="102"/>
      <c r="N76" s="102"/>
      <c r="O76" s="102"/>
      <c r="P76" s="102"/>
      <c r="Q76" s="102"/>
      <c r="R76" s="103"/>
    </row>
    <row r="77" spans="1:18" ht="41.45" customHeight="1" x14ac:dyDescent="0.25">
      <c r="A77" s="19"/>
      <c r="B77" s="3"/>
      <c r="C77" s="22"/>
      <c r="D77" s="22"/>
      <c r="E77" s="25" t="str">
        <f t="shared" si="3"/>
        <v>0</v>
      </c>
      <c r="F77" s="25" t="str">
        <f t="shared" si="4"/>
        <v>0</v>
      </c>
      <c r="G77" s="25" t="str">
        <f t="shared" si="5"/>
        <v>0</v>
      </c>
      <c r="H77" s="25" t="str">
        <f t="shared" si="6"/>
        <v>0</v>
      </c>
      <c r="I77" s="25" t="str">
        <f t="shared" si="7"/>
        <v>0</v>
      </c>
      <c r="J77" s="25" t="str">
        <f t="shared" si="8"/>
        <v>0</v>
      </c>
      <c r="K77" s="25" t="str">
        <f t="shared" si="9"/>
        <v>0</v>
      </c>
      <c r="L77" s="102"/>
      <c r="M77" s="102"/>
      <c r="N77" s="102"/>
      <c r="O77" s="102"/>
      <c r="P77" s="102"/>
      <c r="Q77" s="102"/>
      <c r="R77" s="103"/>
    </row>
    <row r="78" spans="1:18" ht="41.45" customHeight="1" x14ac:dyDescent="0.25">
      <c r="A78" s="19"/>
      <c r="B78" s="3"/>
      <c r="C78" s="22"/>
      <c r="D78" s="22"/>
      <c r="E78" s="25" t="str">
        <f t="shared" si="3"/>
        <v>0</v>
      </c>
      <c r="F78" s="25" t="str">
        <f t="shared" si="4"/>
        <v>0</v>
      </c>
      <c r="G78" s="25" t="str">
        <f t="shared" si="5"/>
        <v>0</v>
      </c>
      <c r="H78" s="25" t="str">
        <f t="shared" si="6"/>
        <v>0</v>
      </c>
      <c r="I78" s="25" t="str">
        <f t="shared" si="7"/>
        <v>0</v>
      </c>
      <c r="J78" s="25" t="str">
        <f t="shared" si="8"/>
        <v>0</v>
      </c>
      <c r="K78" s="25" t="str">
        <f t="shared" si="9"/>
        <v>0</v>
      </c>
      <c r="L78" s="102"/>
      <c r="M78" s="102"/>
      <c r="N78" s="102"/>
      <c r="O78" s="102"/>
      <c r="P78" s="102"/>
      <c r="Q78" s="102"/>
      <c r="R78" s="103"/>
    </row>
    <row r="79" spans="1:18" ht="41.45" customHeight="1" x14ac:dyDescent="0.25">
      <c r="A79" s="19"/>
      <c r="B79" s="3"/>
      <c r="C79" s="22"/>
      <c r="D79" s="22"/>
      <c r="E79" s="22">
        <f>SUM(E44:E78)</f>
        <v>0</v>
      </c>
      <c r="F79" s="22">
        <f t="shared" ref="F79:K79" si="10">SUM(F44:F78)</f>
        <v>31.49</v>
      </c>
      <c r="G79" s="22">
        <f t="shared" si="10"/>
        <v>0</v>
      </c>
      <c r="H79" s="22">
        <f t="shared" si="10"/>
        <v>0</v>
      </c>
      <c r="I79" s="22">
        <f t="shared" si="10"/>
        <v>31.49</v>
      </c>
      <c r="J79" s="22">
        <f t="shared" si="10"/>
        <v>0</v>
      </c>
      <c r="K79" s="22">
        <f t="shared" si="10"/>
        <v>0</v>
      </c>
      <c r="L79" s="102"/>
      <c r="M79" s="102"/>
      <c r="N79" s="102"/>
      <c r="O79" s="102"/>
      <c r="P79" s="102"/>
      <c r="Q79" s="102"/>
      <c r="R79" s="103"/>
    </row>
    <row r="80" spans="1:18" ht="41.45" customHeight="1" x14ac:dyDescent="0.25">
      <c r="A80" s="19"/>
      <c r="B80" s="3"/>
      <c r="C80" s="22"/>
      <c r="D80" s="22"/>
      <c r="E80" s="22"/>
      <c r="F80" s="21"/>
      <c r="G80" s="21"/>
      <c r="H80" s="21"/>
      <c r="I80" s="21"/>
      <c r="J80" s="21"/>
      <c r="K80" s="21"/>
      <c r="L80" s="102"/>
      <c r="M80" s="102"/>
      <c r="N80" s="102"/>
      <c r="O80" s="102"/>
      <c r="P80" s="102"/>
      <c r="Q80" s="102"/>
      <c r="R80" s="103"/>
    </row>
    <row r="81" spans="1:18" ht="41.45" customHeight="1" x14ac:dyDescent="0.25">
      <c r="A81" s="19"/>
      <c r="B81" s="3"/>
      <c r="C81" s="22"/>
      <c r="D81" s="22"/>
      <c r="E81" s="22"/>
      <c r="F81" s="21"/>
      <c r="G81" s="21"/>
      <c r="H81" s="21"/>
      <c r="I81" s="21"/>
      <c r="J81" s="21"/>
      <c r="K81" s="21"/>
      <c r="L81" s="102"/>
      <c r="M81" s="102"/>
      <c r="N81" s="102"/>
      <c r="O81" s="102"/>
      <c r="P81" s="102"/>
      <c r="Q81" s="102"/>
      <c r="R81" s="103"/>
    </row>
    <row r="82" spans="1:18" ht="41.45" customHeight="1" x14ac:dyDescent="0.25">
      <c r="A82" s="19"/>
      <c r="B82" s="3"/>
      <c r="C82" s="22"/>
      <c r="D82" s="22"/>
      <c r="E82" s="22"/>
      <c r="F82" s="21"/>
      <c r="G82" s="21"/>
      <c r="H82" s="21"/>
      <c r="I82" s="21"/>
      <c r="J82" s="21"/>
      <c r="K82" s="21"/>
      <c r="L82" s="102"/>
      <c r="M82" s="102"/>
      <c r="N82" s="102"/>
      <c r="O82" s="102"/>
      <c r="P82" s="102"/>
      <c r="Q82" s="102"/>
      <c r="R82" s="103"/>
    </row>
    <row r="83" spans="1:18" ht="41.45" customHeight="1" x14ac:dyDescent="0.25">
      <c r="A83" s="19"/>
      <c r="B83" s="3"/>
      <c r="C83" s="22"/>
      <c r="D83" s="22"/>
      <c r="E83" s="22"/>
      <c r="F83" s="21"/>
      <c r="G83" s="21"/>
      <c r="H83" s="21"/>
      <c r="I83" s="21"/>
      <c r="J83" s="21"/>
      <c r="K83" s="21"/>
      <c r="L83" s="102"/>
      <c r="M83" s="102"/>
      <c r="N83" s="102"/>
      <c r="O83" s="102"/>
      <c r="P83" s="102"/>
      <c r="Q83" s="102"/>
      <c r="R83" s="103"/>
    </row>
    <row r="84" spans="1:18" ht="41.45" customHeight="1" x14ac:dyDescent="0.25">
      <c r="A84" s="19"/>
      <c r="B84" s="3"/>
      <c r="C84" s="22"/>
      <c r="D84" s="22"/>
      <c r="E84" s="22"/>
      <c r="F84" s="21"/>
      <c r="G84" s="21"/>
      <c r="H84" s="21"/>
      <c r="I84" s="21"/>
      <c r="J84" s="21"/>
      <c r="K84" s="21"/>
      <c r="L84" s="102"/>
      <c r="M84" s="102"/>
      <c r="N84" s="102"/>
      <c r="O84" s="102"/>
      <c r="P84" s="102"/>
      <c r="Q84" s="102"/>
      <c r="R84" s="103"/>
    </row>
    <row r="85" spans="1:18" ht="41.45" customHeight="1" thickBot="1" x14ac:dyDescent="0.3">
      <c r="A85" s="20"/>
      <c r="B85" s="4"/>
      <c r="C85" s="26"/>
      <c r="D85" s="26"/>
      <c r="E85" s="26"/>
      <c r="F85" s="27"/>
      <c r="G85" s="27"/>
      <c r="H85" s="27"/>
      <c r="I85" s="27"/>
      <c r="J85" s="27"/>
      <c r="K85" s="27"/>
      <c r="L85" s="107"/>
      <c r="M85" s="107"/>
      <c r="N85" s="107"/>
      <c r="O85" s="107"/>
      <c r="P85" s="107"/>
      <c r="Q85" s="107"/>
      <c r="R85" s="108"/>
    </row>
  </sheetData>
  <mergeCells count="90">
    <mergeCell ref="L75:R75"/>
    <mergeCell ref="L76:R76"/>
    <mergeCell ref="L63:R63"/>
    <mergeCell ref="L74:R74"/>
    <mergeCell ref="L73:R73"/>
    <mergeCell ref="L70:R70"/>
    <mergeCell ref="L71:R71"/>
    <mergeCell ref="L72:R72"/>
    <mergeCell ref="L69:R69"/>
    <mergeCell ref="L36:R36"/>
    <mergeCell ref="L37:R37"/>
    <mergeCell ref="L38:R38"/>
    <mergeCell ref="L39:R39"/>
    <mergeCell ref="L68:R68"/>
    <mergeCell ref="L56:R56"/>
    <mergeCell ref="L57:R57"/>
    <mergeCell ref="L58:R58"/>
    <mergeCell ref="L59:R59"/>
    <mergeCell ref="L60:R60"/>
    <mergeCell ref="L61:R61"/>
    <mergeCell ref="L62:R62"/>
    <mergeCell ref="L64:R64"/>
    <mergeCell ref="L65:R65"/>
    <mergeCell ref="L66:R66"/>
    <mergeCell ref="L67:R67"/>
    <mergeCell ref="L83:R83"/>
    <mergeCell ref="L84:R84"/>
    <mergeCell ref="L85:R85"/>
    <mergeCell ref="L77:R77"/>
    <mergeCell ref="L78:R78"/>
    <mergeCell ref="L79:R79"/>
    <mergeCell ref="L80:R80"/>
    <mergeCell ref="L81:R81"/>
    <mergeCell ref="L82:R82"/>
    <mergeCell ref="L55:R55"/>
    <mergeCell ref="L44:R44"/>
    <mergeCell ref="L45:R45"/>
    <mergeCell ref="L46:R46"/>
    <mergeCell ref="L47:R47"/>
    <mergeCell ref="L48:R48"/>
    <mergeCell ref="L49:R49"/>
    <mergeCell ref="L50:R50"/>
    <mergeCell ref="L51:R51"/>
    <mergeCell ref="L52:R52"/>
    <mergeCell ref="L53:R53"/>
    <mergeCell ref="L54:R54"/>
    <mergeCell ref="L43:R43"/>
    <mergeCell ref="L24:R24"/>
    <mergeCell ref="L25:R25"/>
    <mergeCell ref="L40:R40"/>
    <mergeCell ref="L41:R41"/>
    <mergeCell ref="L42:R42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R114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Trechos!E83</f>
        <v>RODOVIA TO-425 - TRECHO ENTR. TO-130 (BARRA DO OURO) - GOIATINS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346</v>
      </c>
      <c r="B7" s="21" t="s">
        <v>20</v>
      </c>
      <c r="C7" s="22">
        <v>0</v>
      </c>
      <c r="D7" s="22">
        <v>1</v>
      </c>
      <c r="E7" s="21"/>
      <c r="F7" s="21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/>
      <c r="B8" s="21"/>
      <c r="C8" s="22">
        <f>D7</f>
        <v>1</v>
      </c>
      <c r="D8" s="22">
        <v>2</v>
      </c>
      <c r="E8" s="21"/>
      <c r="F8" s="21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>
        <f t="shared" ref="C9:C54" si="0">D8</f>
        <v>2</v>
      </c>
      <c r="D9" s="22">
        <v>3</v>
      </c>
      <c r="E9" s="21"/>
      <c r="F9" s="21" t="s">
        <v>21</v>
      </c>
      <c r="G9" s="21"/>
      <c r="H9" s="21"/>
      <c r="I9" s="21"/>
      <c r="J9" s="21" t="s">
        <v>21</v>
      </c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>
        <f t="shared" si="0"/>
        <v>3</v>
      </c>
      <c r="D10" s="22">
        <v>4</v>
      </c>
      <c r="E10" s="21"/>
      <c r="F10" s="21" t="s">
        <v>21</v>
      </c>
      <c r="G10" s="21"/>
      <c r="H10" s="21"/>
      <c r="I10" s="21"/>
      <c r="J10" s="21" t="s">
        <v>21</v>
      </c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>
        <f t="shared" si="0"/>
        <v>4</v>
      </c>
      <c r="D11" s="22">
        <v>5</v>
      </c>
      <c r="E11" s="21"/>
      <c r="F11" s="21" t="s">
        <v>21</v>
      </c>
      <c r="G11" s="21"/>
      <c r="H11" s="21"/>
      <c r="I11" s="21"/>
      <c r="J11" s="21" t="s">
        <v>21</v>
      </c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>
        <f t="shared" si="0"/>
        <v>5</v>
      </c>
      <c r="D12" s="22">
        <v>6</v>
      </c>
      <c r="E12" s="21"/>
      <c r="F12" s="21" t="s">
        <v>21</v>
      </c>
      <c r="G12" s="21"/>
      <c r="H12" s="21"/>
      <c r="I12" s="21"/>
      <c r="J12" s="21" t="s">
        <v>21</v>
      </c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>
        <f t="shared" si="0"/>
        <v>6</v>
      </c>
      <c r="D13" s="22">
        <v>7</v>
      </c>
      <c r="E13" s="21"/>
      <c r="F13" s="21" t="s">
        <v>21</v>
      </c>
      <c r="G13" s="21"/>
      <c r="H13" s="21"/>
      <c r="I13" s="21"/>
      <c r="J13" s="21" t="s">
        <v>21</v>
      </c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>
        <f t="shared" si="0"/>
        <v>7</v>
      </c>
      <c r="D14" s="22">
        <v>8</v>
      </c>
      <c r="E14" s="21"/>
      <c r="F14" s="21" t="s">
        <v>21</v>
      </c>
      <c r="G14" s="21"/>
      <c r="H14" s="21"/>
      <c r="I14" s="21"/>
      <c r="J14" s="21" t="s">
        <v>21</v>
      </c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>
        <f t="shared" si="0"/>
        <v>8</v>
      </c>
      <c r="D15" s="22">
        <v>9</v>
      </c>
      <c r="E15" s="21"/>
      <c r="F15" s="21" t="s">
        <v>21</v>
      </c>
      <c r="G15" s="21"/>
      <c r="H15" s="21"/>
      <c r="I15" s="21"/>
      <c r="J15" s="21" t="s">
        <v>21</v>
      </c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>
        <f t="shared" si="0"/>
        <v>9</v>
      </c>
      <c r="D16" s="22">
        <v>10</v>
      </c>
      <c r="E16" s="21"/>
      <c r="F16" s="21" t="s">
        <v>21</v>
      </c>
      <c r="G16" s="21"/>
      <c r="H16" s="21"/>
      <c r="I16" s="21"/>
      <c r="J16" s="21" t="s">
        <v>21</v>
      </c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>
        <f t="shared" si="0"/>
        <v>10</v>
      </c>
      <c r="D17" s="22">
        <v>11</v>
      </c>
      <c r="E17" s="21"/>
      <c r="F17" s="21" t="s">
        <v>21</v>
      </c>
      <c r="G17" s="21"/>
      <c r="H17" s="21"/>
      <c r="I17" s="21"/>
      <c r="J17" s="21" t="s">
        <v>21</v>
      </c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21"/>
      <c r="B18" s="21"/>
      <c r="C18" s="22">
        <f t="shared" si="0"/>
        <v>11</v>
      </c>
      <c r="D18" s="22">
        <v>12</v>
      </c>
      <c r="E18" s="21"/>
      <c r="F18" s="21" t="s">
        <v>21</v>
      </c>
      <c r="G18" s="21"/>
      <c r="H18" s="21"/>
      <c r="I18" s="21"/>
      <c r="J18" s="21" t="s">
        <v>21</v>
      </c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21"/>
      <c r="B19" s="21"/>
      <c r="C19" s="22">
        <f t="shared" si="0"/>
        <v>12</v>
      </c>
      <c r="D19" s="22">
        <v>13</v>
      </c>
      <c r="E19" s="21"/>
      <c r="F19" s="21" t="s">
        <v>21</v>
      </c>
      <c r="G19" s="21"/>
      <c r="H19" s="21"/>
      <c r="I19" s="21"/>
      <c r="J19" s="21" t="s">
        <v>21</v>
      </c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21"/>
      <c r="B20" s="21"/>
      <c r="C20" s="22">
        <f t="shared" si="0"/>
        <v>13</v>
      </c>
      <c r="D20" s="22">
        <v>14</v>
      </c>
      <c r="E20" s="21"/>
      <c r="F20" s="21" t="s">
        <v>21</v>
      </c>
      <c r="G20" s="21"/>
      <c r="H20" s="21"/>
      <c r="I20" s="21"/>
      <c r="J20" s="21" t="s">
        <v>21</v>
      </c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21"/>
      <c r="B21" s="21"/>
      <c r="C21" s="22">
        <f t="shared" si="0"/>
        <v>14</v>
      </c>
      <c r="D21" s="22">
        <v>15</v>
      </c>
      <c r="E21" s="21"/>
      <c r="F21" s="21" t="s">
        <v>21</v>
      </c>
      <c r="G21" s="21"/>
      <c r="H21" s="21"/>
      <c r="I21" s="21"/>
      <c r="J21" s="21" t="s">
        <v>21</v>
      </c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21"/>
      <c r="B22" s="21"/>
      <c r="C22" s="22">
        <f t="shared" si="0"/>
        <v>15</v>
      </c>
      <c r="D22" s="22">
        <v>16</v>
      </c>
      <c r="E22" s="21"/>
      <c r="F22" s="21" t="s">
        <v>21</v>
      </c>
      <c r="G22" s="21"/>
      <c r="H22" s="21"/>
      <c r="I22" s="21"/>
      <c r="J22" s="21" t="s">
        <v>21</v>
      </c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21"/>
      <c r="B23" s="21"/>
      <c r="C23" s="22">
        <f t="shared" si="0"/>
        <v>16</v>
      </c>
      <c r="D23" s="22">
        <v>17</v>
      </c>
      <c r="E23" s="21"/>
      <c r="F23" s="21" t="s">
        <v>21</v>
      </c>
      <c r="G23" s="21"/>
      <c r="H23" s="21"/>
      <c r="I23" s="21"/>
      <c r="J23" s="21" t="s">
        <v>21</v>
      </c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21"/>
      <c r="B24" s="21"/>
      <c r="C24" s="22">
        <f t="shared" si="0"/>
        <v>17</v>
      </c>
      <c r="D24" s="22">
        <v>18</v>
      </c>
      <c r="E24" s="21"/>
      <c r="F24" s="21" t="s">
        <v>21</v>
      </c>
      <c r="G24" s="21"/>
      <c r="H24" s="21"/>
      <c r="I24" s="21"/>
      <c r="J24" s="21" t="s">
        <v>21</v>
      </c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21"/>
      <c r="B25" s="21"/>
      <c r="C25" s="22">
        <f t="shared" si="0"/>
        <v>18</v>
      </c>
      <c r="D25" s="22">
        <v>19</v>
      </c>
      <c r="E25" s="21"/>
      <c r="F25" s="21" t="s">
        <v>21</v>
      </c>
      <c r="G25" s="21"/>
      <c r="H25" s="21"/>
      <c r="I25" s="21"/>
      <c r="J25" s="21" t="s">
        <v>21</v>
      </c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21"/>
      <c r="B26" s="21"/>
      <c r="C26" s="22">
        <f t="shared" si="0"/>
        <v>19</v>
      </c>
      <c r="D26" s="22">
        <v>20</v>
      </c>
      <c r="E26" s="21"/>
      <c r="F26" s="21" t="s">
        <v>21</v>
      </c>
      <c r="G26" s="21"/>
      <c r="H26" s="21"/>
      <c r="I26" s="21"/>
      <c r="J26" s="21" t="s">
        <v>21</v>
      </c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21"/>
      <c r="B27" s="21"/>
      <c r="C27" s="22">
        <f t="shared" si="0"/>
        <v>20</v>
      </c>
      <c r="D27" s="22">
        <v>21</v>
      </c>
      <c r="E27" s="21"/>
      <c r="F27" s="21" t="s">
        <v>21</v>
      </c>
      <c r="G27" s="21"/>
      <c r="H27" s="21"/>
      <c r="I27" s="21"/>
      <c r="J27" s="21" t="s">
        <v>21</v>
      </c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21"/>
      <c r="B28" s="21"/>
      <c r="C28" s="22">
        <f t="shared" si="0"/>
        <v>21</v>
      </c>
      <c r="D28" s="22">
        <v>22</v>
      </c>
      <c r="E28" s="21"/>
      <c r="F28" s="21" t="s">
        <v>21</v>
      </c>
      <c r="G28" s="21"/>
      <c r="H28" s="21"/>
      <c r="I28" s="21"/>
      <c r="J28" s="21" t="s">
        <v>21</v>
      </c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21"/>
      <c r="B29" s="21"/>
      <c r="C29" s="22">
        <f t="shared" si="0"/>
        <v>22</v>
      </c>
      <c r="D29" s="22">
        <v>23</v>
      </c>
      <c r="E29" s="21"/>
      <c r="F29" s="21" t="s">
        <v>21</v>
      </c>
      <c r="G29" s="21"/>
      <c r="H29" s="21"/>
      <c r="I29" s="21"/>
      <c r="J29" s="21" t="s">
        <v>21</v>
      </c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21"/>
      <c r="B30" s="21"/>
      <c r="C30" s="22">
        <f t="shared" si="0"/>
        <v>23</v>
      </c>
      <c r="D30" s="22">
        <v>24</v>
      </c>
      <c r="E30" s="21"/>
      <c r="F30" s="21" t="s">
        <v>21</v>
      </c>
      <c r="G30" s="21"/>
      <c r="H30" s="21"/>
      <c r="I30" s="21"/>
      <c r="J30" s="21" t="s">
        <v>21</v>
      </c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21"/>
      <c r="B31" s="21"/>
      <c r="C31" s="22">
        <f t="shared" si="0"/>
        <v>24</v>
      </c>
      <c r="D31" s="22">
        <v>25</v>
      </c>
      <c r="E31" s="21"/>
      <c r="F31" s="21" t="s">
        <v>21</v>
      </c>
      <c r="G31" s="21"/>
      <c r="H31" s="21"/>
      <c r="I31" s="21"/>
      <c r="J31" s="21" t="s">
        <v>21</v>
      </c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21"/>
      <c r="B32" s="21"/>
      <c r="C32" s="22">
        <f t="shared" si="0"/>
        <v>25</v>
      </c>
      <c r="D32" s="22">
        <v>26</v>
      </c>
      <c r="E32" s="21"/>
      <c r="F32" s="21" t="s">
        <v>21</v>
      </c>
      <c r="G32" s="21"/>
      <c r="H32" s="21"/>
      <c r="I32" s="21"/>
      <c r="J32" s="21" t="s">
        <v>21</v>
      </c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21"/>
      <c r="B33" s="21"/>
      <c r="C33" s="22">
        <f t="shared" si="0"/>
        <v>26</v>
      </c>
      <c r="D33" s="22">
        <v>27</v>
      </c>
      <c r="E33" s="21"/>
      <c r="F33" s="21" t="s">
        <v>21</v>
      </c>
      <c r="G33" s="21"/>
      <c r="H33" s="21"/>
      <c r="I33" s="21"/>
      <c r="J33" s="21" t="s">
        <v>21</v>
      </c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21"/>
      <c r="B34" s="21"/>
      <c r="C34" s="22">
        <f t="shared" si="0"/>
        <v>27</v>
      </c>
      <c r="D34" s="22">
        <v>28</v>
      </c>
      <c r="E34" s="21"/>
      <c r="F34" s="21" t="s">
        <v>21</v>
      </c>
      <c r="G34" s="21"/>
      <c r="H34" s="21"/>
      <c r="I34" s="21"/>
      <c r="J34" s="21" t="s">
        <v>21</v>
      </c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21"/>
      <c r="B35" s="21"/>
      <c r="C35" s="22">
        <f t="shared" si="0"/>
        <v>28</v>
      </c>
      <c r="D35" s="22">
        <v>29</v>
      </c>
      <c r="E35" s="21"/>
      <c r="F35" s="21" t="s">
        <v>21</v>
      </c>
      <c r="G35" s="21"/>
      <c r="H35" s="21"/>
      <c r="I35" s="21"/>
      <c r="J35" s="21" t="s">
        <v>21</v>
      </c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21"/>
      <c r="B36" s="21"/>
      <c r="C36" s="22">
        <f t="shared" si="0"/>
        <v>29</v>
      </c>
      <c r="D36" s="22">
        <v>30</v>
      </c>
      <c r="E36" s="21"/>
      <c r="F36" s="21" t="s">
        <v>21</v>
      </c>
      <c r="G36" s="21"/>
      <c r="H36" s="21"/>
      <c r="I36" s="21"/>
      <c r="J36" s="21" t="s">
        <v>21</v>
      </c>
      <c r="K36" s="21"/>
      <c r="L36" s="80"/>
      <c r="M36" s="81"/>
      <c r="N36" s="81"/>
      <c r="O36" s="81"/>
      <c r="P36" s="81"/>
      <c r="Q36" s="81"/>
      <c r="R36" s="82"/>
    </row>
    <row r="37" spans="1:18" ht="41.45" customHeight="1" x14ac:dyDescent="0.25">
      <c r="A37" s="21"/>
      <c r="B37" s="21"/>
      <c r="C37" s="22">
        <f t="shared" si="0"/>
        <v>30</v>
      </c>
      <c r="D37" s="22">
        <v>31</v>
      </c>
      <c r="E37" s="21"/>
      <c r="F37" s="21" t="s">
        <v>21</v>
      </c>
      <c r="G37" s="21"/>
      <c r="H37" s="21"/>
      <c r="I37" s="21"/>
      <c r="J37" s="21" t="s">
        <v>21</v>
      </c>
      <c r="K37" s="21"/>
      <c r="L37" s="80"/>
      <c r="M37" s="81"/>
      <c r="N37" s="81"/>
      <c r="O37" s="81"/>
      <c r="P37" s="81"/>
      <c r="Q37" s="81"/>
      <c r="R37" s="82"/>
    </row>
    <row r="38" spans="1:18" ht="41.45" customHeight="1" x14ac:dyDescent="0.25">
      <c r="A38" s="21"/>
      <c r="B38" s="21"/>
      <c r="C38" s="22">
        <f t="shared" si="0"/>
        <v>31</v>
      </c>
      <c r="D38" s="22">
        <v>32</v>
      </c>
      <c r="E38" s="21"/>
      <c r="F38" s="21" t="s">
        <v>21</v>
      </c>
      <c r="G38" s="21"/>
      <c r="H38" s="21"/>
      <c r="I38" s="21"/>
      <c r="J38" s="21" t="s">
        <v>21</v>
      </c>
      <c r="K38" s="21"/>
      <c r="L38" s="80"/>
      <c r="M38" s="81"/>
      <c r="N38" s="81"/>
      <c r="O38" s="81"/>
      <c r="P38" s="81"/>
      <c r="Q38" s="81"/>
      <c r="R38" s="82"/>
    </row>
    <row r="39" spans="1:18" ht="41.45" customHeight="1" x14ac:dyDescent="0.25">
      <c r="A39" s="19"/>
      <c r="B39" s="3"/>
      <c r="C39" s="22">
        <f t="shared" si="0"/>
        <v>32</v>
      </c>
      <c r="D39" s="22">
        <v>33</v>
      </c>
      <c r="E39" s="21"/>
      <c r="F39" s="21" t="s">
        <v>21</v>
      </c>
      <c r="G39" s="21"/>
      <c r="H39" s="21"/>
      <c r="I39" s="21"/>
      <c r="J39" s="21" t="s">
        <v>21</v>
      </c>
      <c r="K39" s="21"/>
      <c r="L39" s="80"/>
      <c r="M39" s="81"/>
      <c r="N39" s="81"/>
      <c r="O39" s="81"/>
      <c r="P39" s="81"/>
      <c r="Q39" s="81"/>
      <c r="R39" s="82"/>
    </row>
    <row r="40" spans="1:18" ht="41.45" customHeight="1" x14ac:dyDescent="0.25">
      <c r="A40" s="19"/>
      <c r="B40" s="3"/>
      <c r="C40" s="22">
        <f t="shared" si="0"/>
        <v>33</v>
      </c>
      <c r="D40" s="22">
        <v>34</v>
      </c>
      <c r="E40" s="21"/>
      <c r="F40" s="21" t="s">
        <v>21</v>
      </c>
      <c r="G40" s="21"/>
      <c r="H40" s="21"/>
      <c r="I40" s="21"/>
      <c r="J40" s="21" t="s">
        <v>21</v>
      </c>
      <c r="K40" s="21"/>
      <c r="L40" s="80"/>
      <c r="M40" s="81"/>
      <c r="N40" s="81"/>
      <c r="O40" s="81"/>
      <c r="P40" s="81"/>
      <c r="Q40" s="81"/>
      <c r="R40" s="82"/>
    </row>
    <row r="41" spans="1:18" ht="41.45" customHeight="1" x14ac:dyDescent="0.25">
      <c r="A41" s="19"/>
      <c r="B41" s="3"/>
      <c r="C41" s="22">
        <f t="shared" si="0"/>
        <v>34</v>
      </c>
      <c r="D41" s="22">
        <v>35</v>
      </c>
      <c r="E41" s="21"/>
      <c r="F41" s="21" t="s">
        <v>21</v>
      </c>
      <c r="G41" s="21"/>
      <c r="H41" s="21"/>
      <c r="I41" s="21"/>
      <c r="J41" s="21" t="s">
        <v>21</v>
      </c>
      <c r="K41" s="21"/>
      <c r="L41" s="80"/>
      <c r="M41" s="81"/>
      <c r="N41" s="81"/>
      <c r="O41" s="81"/>
      <c r="P41" s="81"/>
      <c r="Q41" s="81"/>
      <c r="R41" s="82"/>
    </row>
    <row r="42" spans="1:18" ht="41.45" customHeight="1" x14ac:dyDescent="0.25">
      <c r="A42" s="19"/>
      <c r="B42" s="3"/>
      <c r="C42" s="22">
        <f t="shared" si="0"/>
        <v>35</v>
      </c>
      <c r="D42" s="22">
        <v>36</v>
      </c>
      <c r="E42" s="21"/>
      <c r="F42" s="21" t="s">
        <v>21</v>
      </c>
      <c r="G42" s="21"/>
      <c r="H42" s="21"/>
      <c r="I42" s="21"/>
      <c r="J42" s="21" t="s">
        <v>21</v>
      </c>
      <c r="K42" s="21"/>
      <c r="L42" s="80"/>
      <c r="M42" s="81"/>
      <c r="N42" s="81"/>
      <c r="O42" s="81"/>
      <c r="P42" s="81"/>
      <c r="Q42" s="81"/>
      <c r="R42" s="82"/>
    </row>
    <row r="43" spans="1:18" ht="41.45" customHeight="1" x14ac:dyDescent="0.25">
      <c r="A43" s="19"/>
      <c r="B43" s="3"/>
      <c r="C43" s="22">
        <f t="shared" si="0"/>
        <v>36</v>
      </c>
      <c r="D43" s="22">
        <v>37</v>
      </c>
      <c r="E43" s="21"/>
      <c r="F43" s="21" t="s">
        <v>21</v>
      </c>
      <c r="G43" s="21"/>
      <c r="H43" s="21"/>
      <c r="I43" s="21"/>
      <c r="J43" s="21" t="s">
        <v>21</v>
      </c>
      <c r="K43" s="21"/>
      <c r="L43" s="80"/>
      <c r="M43" s="81"/>
      <c r="N43" s="81"/>
      <c r="O43" s="81"/>
      <c r="P43" s="81"/>
      <c r="Q43" s="81"/>
      <c r="R43" s="82"/>
    </row>
    <row r="44" spans="1:18" ht="41.45" customHeight="1" x14ac:dyDescent="0.25">
      <c r="A44" s="19"/>
      <c r="B44" s="3"/>
      <c r="C44" s="22">
        <f t="shared" si="0"/>
        <v>37</v>
      </c>
      <c r="D44" s="22">
        <v>38</v>
      </c>
      <c r="E44" s="21"/>
      <c r="F44" s="21" t="s">
        <v>21</v>
      </c>
      <c r="G44" s="21"/>
      <c r="H44" s="21"/>
      <c r="I44" s="21"/>
      <c r="J44" s="21" t="s">
        <v>21</v>
      </c>
      <c r="K44" s="21"/>
      <c r="L44" s="80"/>
      <c r="M44" s="81"/>
      <c r="N44" s="81"/>
      <c r="O44" s="81"/>
      <c r="P44" s="81"/>
      <c r="Q44" s="81"/>
      <c r="R44" s="82"/>
    </row>
    <row r="45" spans="1:18" ht="41.45" customHeight="1" x14ac:dyDescent="0.25">
      <c r="A45" s="19"/>
      <c r="B45" s="3"/>
      <c r="C45" s="22">
        <f t="shared" si="0"/>
        <v>38</v>
      </c>
      <c r="D45" s="22">
        <v>39</v>
      </c>
      <c r="E45" s="21"/>
      <c r="F45" s="21" t="s">
        <v>21</v>
      </c>
      <c r="G45" s="21"/>
      <c r="H45" s="21"/>
      <c r="I45" s="21"/>
      <c r="J45" s="21" t="s">
        <v>21</v>
      </c>
      <c r="K45" s="21"/>
      <c r="L45" s="80"/>
      <c r="M45" s="81"/>
      <c r="N45" s="81"/>
      <c r="O45" s="81"/>
      <c r="P45" s="81"/>
      <c r="Q45" s="81"/>
      <c r="R45" s="82"/>
    </row>
    <row r="46" spans="1:18" ht="41.45" customHeight="1" x14ac:dyDescent="0.25">
      <c r="A46" s="19"/>
      <c r="B46" s="3"/>
      <c r="C46" s="22">
        <f t="shared" si="0"/>
        <v>39</v>
      </c>
      <c r="D46" s="22">
        <v>40</v>
      </c>
      <c r="E46" s="21"/>
      <c r="F46" s="21" t="s">
        <v>21</v>
      </c>
      <c r="G46" s="21"/>
      <c r="H46" s="21"/>
      <c r="I46" s="21"/>
      <c r="J46" s="21" t="s">
        <v>21</v>
      </c>
      <c r="K46" s="21"/>
      <c r="L46" s="80"/>
      <c r="M46" s="81"/>
      <c r="N46" s="81"/>
      <c r="O46" s="81"/>
      <c r="P46" s="81"/>
      <c r="Q46" s="81"/>
      <c r="R46" s="82"/>
    </row>
    <row r="47" spans="1:18" ht="41.45" customHeight="1" x14ac:dyDescent="0.25">
      <c r="A47" s="19"/>
      <c r="B47" s="3"/>
      <c r="C47" s="22">
        <f t="shared" si="0"/>
        <v>40</v>
      </c>
      <c r="D47" s="22">
        <v>41</v>
      </c>
      <c r="E47" s="21"/>
      <c r="F47" s="21" t="s">
        <v>21</v>
      </c>
      <c r="G47" s="21"/>
      <c r="H47" s="21"/>
      <c r="I47" s="21"/>
      <c r="J47" s="21" t="s">
        <v>21</v>
      </c>
      <c r="K47" s="21"/>
      <c r="L47" s="80"/>
      <c r="M47" s="81"/>
      <c r="N47" s="81"/>
      <c r="O47" s="81"/>
      <c r="P47" s="81"/>
      <c r="Q47" s="81"/>
      <c r="R47" s="82"/>
    </row>
    <row r="48" spans="1:18" ht="41.45" customHeight="1" x14ac:dyDescent="0.25">
      <c r="A48" s="19"/>
      <c r="B48" s="3"/>
      <c r="C48" s="22">
        <f t="shared" si="0"/>
        <v>41</v>
      </c>
      <c r="D48" s="22">
        <v>42</v>
      </c>
      <c r="E48" s="21"/>
      <c r="F48" s="21" t="s">
        <v>21</v>
      </c>
      <c r="G48" s="21"/>
      <c r="H48" s="21"/>
      <c r="I48" s="21"/>
      <c r="J48" s="21" t="s">
        <v>21</v>
      </c>
      <c r="K48" s="21"/>
      <c r="L48" s="80"/>
      <c r="M48" s="81"/>
      <c r="N48" s="81"/>
      <c r="O48" s="81"/>
      <c r="P48" s="81"/>
      <c r="Q48" s="81"/>
      <c r="R48" s="82"/>
    </row>
    <row r="49" spans="1:18" ht="41.45" customHeight="1" x14ac:dyDescent="0.25">
      <c r="A49" s="19"/>
      <c r="B49" s="3"/>
      <c r="C49" s="22">
        <f t="shared" si="0"/>
        <v>42</v>
      </c>
      <c r="D49" s="22">
        <v>43</v>
      </c>
      <c r="E49" s="21"/>
      <c r="F49" s="21" t="s">
        <v>21</v>
      </c>
      <c r="G49" s="21"/>
      <c r="H49" s="21"/>
      <c r="I49" s="21"/>
      <c r="J49" s="21" t="s">
        <v>21</v>
      </c>
      <c r="K49" s="21"/>
      <c r="L49" s="80"/>
      <c r="M49" s="81"/>
      <c r="N49" s="81"/>
      <c r="O49" s="81"/>
      <c r="P49" s="81"/>
      <c r="Q49" s="81"/>
      <c r="R49" s="82"/>
    </row>
    <row r="50" spans="1:18" ht="41.45" customHeight="1" x14ac:dyDescent="0.25">
      <c r="A50" s="19"/>
      <c r="B50" s="3"/>
      <c r="C50" s="22">
        <f t="shared" si="0"/>
        <v>43</v>
      </c>
      <c r="D50" s="22">
        <v>44</v>
      </c>
      <c r="E50" s="21"/>
      <c r="F50" s="21" t="s">
        <v>21</v>
      </c>
      <c r="G50" s="21"/>
      <c r="H50" s="21"/>
      <c r="I50" s="21"/>
      <c r="J50" s="21" t="s">
        <v>21</v>
      </c>
      <c r="K50" s="21"/>
      <c r="L50" s="80"/>
      <c r="M50" s="81"/>
      <c r="N50" s="81"/>
      <c r="O50" s="81"/>
      <c r="P50" s="81"/>
      <c r="Q50" s="81"/>
      <c r="R50" s="82"/>
    </row>
    <row r="51" spans="1:18" ht="41.45" customHeight="1" x14ac:dyDescent="0.25">
      <c r="A51" s="19"/>
      <c r="B51" s="3"/>
      <c r="C51" s="22">
        <f t="shared" si="0"/>
        <v>44</v>
      </c>
      <c r="D51" s="22">
        <v>45</v>
      </c>
      <c r="E51" s="21"/>
      <c r="F51" s="21" t="s">
        <v>21</v>
      </c>
      <c r="G51" s="21"/>
      <c r="H51" s="21"/>
      <c r="I51" s="21"/>
      <c r="J51" s="21" t="s">
        <v>21</v>
      </c>
      <c r="K51" s="21"/>
      <c r="L51" s="80"/>
      <c r="M51" s="81"/>
      <c r="N51" s="81"/>
      <c r="O51" s="81"/>
      <c r="P51" s="81"/>
      <c r="Q51" s="81"/>
      <c r="R51" s="82"/>
    </row>
    <row r="52" spans="1:18" ht="41.45" customHeight="1" x14ac:dyDescent="0.25">
      <c r="A52" s="19"/>
      <c r="B52" s="3"/>
      <c r="C52" s="22">
        <f t="shared" si="0"/>
        <v>45</v>
      </c>
      <c r="D52" s="22">
        <v>46</v>
      </c>
      <c r="E52" s="21"/>
      <c r="F52" s="21" t="s">
        <v>21</v>
      </c>
      <c r="G52" s="21"/>
      <c r="H52" s="21"/>
      <c r="I52" s="21"/>
      <c r="J52" s="21" t="s">
        <v>21</v>
      </c>
      <c r="K52" s="21"/>
      <c r="L52" s="80"/>
      <c r="M52" s="81"/>
      <c r="N52" s="81"/>
      <c r="O52" s="81"/>
      <c r="P52" s="81"/>
      <c r="Q52" s="81"/>
      <c r="R52" s="82"/>
    </row>
    <row r="53" spans="1:18" ht="41.45" customHeight="1" x14ac:dyDescent="0.25">
      <c r="A53" s="19"/>
      <c r="B53" s="3"/>
      <c r="C53" s="22">
        <f t="shared" si="0"/>
        <v>46</v>
      </c>
      <c r="D53" s="22">
        <v>47</v>
      </c>
      <c r="E53" s="21"/>
      <c r="F53" s="21" t="s">
        <v>21</v>
      </c>
      <c r="G53" s="21"/>
      <c r="H53" s="21"/>
      <c r="I53" s="21"/>
      <c r="J53" s="21" t="s">
        <v>21</v>
      </c>
      <c r="K53" s="21"/>
      <c r="L53" s="80"/>
      <c r="M53" s="81"/>
      <c r="N53" s="81"/>
      <c r="O53" s="81"/>
      <c r="P53" s="81"/>
      <c r="Q53" s="81"/>
      <c r="R53" s="82"/>
    </row>
    <row r="54" spans="1:18" ht="41.45" customHeight="1" x14ac:dyDescent="0.25">
      <c r="A54" s="19"/>
      <c r="B54" s="3"/>
      <c r="C54" s="22">
        <f t="shared" si="0"/>
        <v>47</v>
      </c>
      <c r="D54" s="22">
        <v>47.36</v>
      </c>
      <c r="E54" s="21"/>
      <c r="F54" s="21" t="s">
        <v>21</v>
      </c>
      <c r="G54" s="21"/>
      <c r="H54" s="21"/>
      <c r="I54" s="21"/>
      <c r="J54" s="21" t="s">
        <v>21</v>
      </c>
      <c r="K54" s="21"/>
      <c r="L54" s="80"/>
      <c r="M54" s="81"/>
      <c r="N54" s="81"/>
      <c r="O54" s="81"/>
      <c r="P54" s="81"/>
      <c r="Q54" s="81"/>
      <c r="R54" s="82"/>
    </row>
    <row r="55" spans="1:18" ht="41.45" customHeight="1" x14ac:dyDescent="0.25">
      <c r="A55" s="19"/>
      <c r="B55" s="3"/>
      <c r="C55" s="22"/>
      <c r="D55" s="22"/>
      <c r="E55" s="21"/>
      <c r="F55" s="21"/>
      <c r="G55" s="21"/>
      <c r="H55" s="21"/>
      <c r="I55" s="21"/>
      <c r="J55" s="21"/>
      <c r="K55" s="21"/>
      <c r="L55" s="80"/>
      <c r="M55" s="81"/>
      <c r="N55" s="81"/>
      <c r="O55" s="81"/>
      <c r="P55" s="81"/>
      <c r="Q55" s="81"/>
      <c r="R55" s="82"/>
    </row>
    <row r="56" spans="1:18" ht="41.45" customHeight="1" x14ac:dyDescent="0.25">
      <c r="A56" s="19"/>
      <c r="B56" s="3"/>
      <c r="C56" s="22"/>
      <c r="D56" s="22"/>
      <c r="E56" s="21"/>
      <c r="F56" s="21"/>
      <c r="G56" s="21"/>
      <c r="H56" s="21"/>
      <c r="I56" s="21"/>
      <c r="J56" s="21"/>
      <c r="K56" s="21"/>
      <c r="L56" s="80"/>
      <c r="M56" s="81"/>
      <c r="N56" s="81"/>
      <c r="O56" s="81"/>
      <c r="P56" s="81"/>
      <c r="Q56" s="81"/>
      <c r="R56" s="82"/>
    </row>
    <row r="57" spans="1:18" ht="41.45" customHeight="1" x14ac:dyDescent="0.25">
      <c r="A57" s="23"/>
      <c r="B57" s="24"/>
      <c r="C57" s="25"/>
      <c r="D57" s="25"/>
      <c r="E57" s="25" t="str">
        <f>IF(E7="X",(D7-C7),"0")</f>
        <v>0</v>
      </c>
      <c r="F57" s="25">
        <f>IF(F7="X",(D7-C7),"0")</f>
        <v>1</v>
      </c>
      <c r="G57" s="25" t="str">
        <f>IF(G7="X",(D7-C7),"0")</f>
        <v>0</v>
      </c>
      <c r="H57" s="25" t="str">
        <f>IF(H7="X",(D7-C7),"0")</f>
        <v>0</v>
      </c>
      <c r="I57" s="25" t="str">
        <f>IF(I7="X",(D7-C7),"0")</f>
        <v>0</v>
      </c>
      <c r="J57" s="25">
        <f>IF(J7="X",(D7-C7),"0")</f>
        <v>1</v>
      </c>
      <c r="K57" s="25" t="str">
        <f>IF(K7="X",(D7-C7),"0")</f>
        <v>0</v>
      </c>
      <c r="L57" s="104"/>
      <c r="M57" s="105"/>
      <c r="N57" s="105"/>
      <c r="O57" s="105"/>
      <c r="P57" s="105"/>
      <c r="Q57" s="105"/>
      <c r="R57" s="106"/>
    </row>
    <row r="58" spans="1:18" ht="41.45" customHeight="1" x14ac:dyDescent="0.25">
      <c r="A58" s="19"/>
      <c r="B58" s="3"/>
      <c r="C58" s="22"/>
      <c r="D58" s="22"/>
      <c r="E58" s="25" t="str">
        <f t="shared" ref="E58:E107" si="1">IF(E8="X",(D8-C8),"0")</f>
        <v>0</v>
      </c>
      <c r="F58" s="25">
        <f t="shared" ref="F58:F107" si="2">IF(F8="X",(D8-C8),"0")</f>
        <v>1</v>
      </c>
      <c r="G58" s="25" t="str">
        <f t="shared" ref="G58:G107" si="3">IF(G8="X",(D8-C8),"0")</f>
        <v>0</v>
      </c>
      <c r="H58" s="25" t="str">
        <f t="shared" ref="H58:H107" si="4">IF(H8="X",(D8-C8),"0")</f>
        <v>0</v>
      </c>
      <c r="I58" s="25" t="str">
        <f t="shared" ref="I58:I107" si="5">IF(I8="X",(D8-C8),"0")</f>
        <v>0</v>
      </c>
      <c r="J58" s="25">
        <f t="shared" ref="J58:J107" si="6">IF(J8="X",(D8-C8),"0")</f>
        <v>1</v>
      </c>
      <c r="K58" s="25" t="str">
        <f t="shared" ref="K58:K107" si="7">IF(K8="X",(D8-C8),"0")</f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1"/>
        <v>0</v>
      </c>
      <c r="F59" s="25">
        <f t="shared" si="2"/>
        <v>1</v>
      </c>
      <c r="G59" s="25" t="str">
        <f t="shared" si="3"/>
        <v>0</v>
      </c>
      <c r="H59" s="25" t="str">
        <f t="shared" si="4"/>
        <v>0</v>
      </c>
      <c r="I59" s="25" t="str">
        <f t="shared" si="5"/>
        <v>0</v>
      </c>
      <c r="J59" s="25">
        <f t="shared" si="6"/>
        <v>1</v>
      </c>
      <c r="K59" s="25" t="str">
        <f t="shared" si="7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1"/>
        <v>0</v>
      </c>
      <c r="F60" s="25">
        <f t="shared" si="2"/>
        <v>1</v>
      </c>
      <c r="G60" s="25" t="str">
        <f t="shared" si="3"/>
        <v>0</v>
      </c>
      <c r="H60" s="25" t="str">
        <f t="shared" si="4"/>
        <v>0</v>
      </c>
      <c r="I60" s="25" t="str">
        <f t="shared" si="5"/>
        <v>0</v>
      </c>
      <c r="J60" s="25">
        <f t="shared" si="6"/>
        <v>1</v>
      </c>
      <c r="K60" s="25" t="str">
        <f t="shared" si="7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1"/>
        <v>0</v>
      </c>
      <c r="F61" s="25">
        <f t="shared" si="2"/>
        <v>1</v>
      </c>
      <c r="G61" s="25" t="str">
        <f t="shared" si="3"/>
        <v>0</v>
      </c>
      <c r="H61" s="25" t="str">
        <f t="shared" si="4"/>
        <v>0</v>
      </c>
      <c r="I61" s="25" t="str">
        <f t="shared" si="5"/>
        <v>0</v>
      </c>
      <c r="J61" s="25">
        <f t="shared" si="6"/>
        <v>1</v>
      </c>
      <c r="K61" s="25" t="str">
        <f t="shared" si="7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5" t="str">
        <f t="shared" si="1"/>
        <v>0</v>
      </c>
      <c r="F62" s="25">
        <f t="shared" si="2"/>
        <v>1</v>
      </c>
      <c r="G62" s="25" t="str">
        <f t="shared" si="3"/>
        <v>0</v>
      </c>
      <c r="H62" s="25" t="str">
        <f t="shared" si="4"/>
        <v>0</v>
      </c>
      <c r="I62" s="25" t="str">
        <f t="shared" si="5"/>
        <v>0</v>
      </c>
      <c r="J62" s="25">
        <f t="shared" si="6"/>
        <v>1</v>
      </c>
      <c r="K62" s="25" t="str">
        <f t="shared" si="7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5" t="str">
        <f t="shared" si="1"/>
        <v>0</v>
      </c>
      <c r="F63" s="25">
        <f t="shared" si="2"/>
        <v>1</v>
      </c>
      <c r="G63" s="25" t="str">
        <f t="shared" si="3"/>
        <v>0</v>
      </c>
      <c r="H63" s="25" t="str">
        <f t="shared" si="4"/>
        <v>0</v>
      </c>
      <c r="I63" s="25" t="str">
        <f t="shared" si="5"/>
        <v>0</v>
      </c>
      <c r="J63" s="25">
        <f t="shared" si="6"/>
        <v>1</v>
      </c>
      <c r="K63" s="25" t="str">
        <f t="shared" si="7"/>
        <v>0</v>
      </c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5" t="str">
        <f t="shared" si="1"/>
        <v>0</v>
      </c>
      <c r="F64" s="25">
        <f t="shared" si="2"/>
        <v>1</v>
      </c>
      <c r="G64" s="25" t="str">
        <f t="shared" si="3"/>
        <v>0</v>
      </c>
      <c r="H64" s="25" t="str">
        <f t="shared" si="4"/>
        <v>0</v>
      </c>
      <c r="I64" s="25" t="str">
        <f t="shared" si="5"/>
        <v>0</v>
      </c>
      <c r="J64" s="25">
        <f t="shared" si="6"/>
        <v>1</v>
      </c>
      <c r="K64" s="25" t="str">
        <f t="shared" si="7"/>
        <v>0</v>
      </c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5" t="str">
        <f t="shared" si="1"/>
        <v>0</v>
      </c>
      <c r="F65" s="25">
        <f t="shared" si="2"/>
        <v>1</v>
      </c>
      <c r="G65" s="25" t="str">
        <f t="shared" si="3"/>
        <v>0</v>
      </c>
      <c r="H65" s="25" t="str">
        <f t="shared" si="4"/>
        <v>0</v>
      </c>
      <c r="I65" s="25" t="str">
        <f t="shared" si="5"/>
        <v>0</v>
      </c>
      <c r="J65" s="25">
        <f t="shared" si="6"/>
        <v>1</v>
      </c>
      <c r="K65" s="25" t="str">
        <f t="shared" si="7"/>
        <v>0</v>
      </c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5" t="str">
        <f t="shared" si="1"/>
        <v>0</v>
      </c>
      <c r="F66" s="25">
        <f t="shared" si="2"/>
        <v>1</v>
      </c>
      <c r="G66" s="25" t="str">
        <f t="shared" si="3"/>
        <v>0</v>
      </c>
      <c r="H66" s="25" t="str">
        <f t="shared" si="4"/>
        <v>0</v>
      </c>
      <c r="I66" s="25" t="str">
        <f t="shared" si="5"/>
        <v>0</v>
      </c>
      <c r="J66" s="25">
        <f t="shared" si="6"/>
        <v>1</v>
      </c>
      <c r="K66" s="25" t="str">
        <f t="shared" si="7"/>
        <v>0</v>
      </c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5" t="str">
        <f t="shared" si="1"/>
        <v>0</v>
      </c>
      <c r="F67" s="25">
        <f t="shared" si="2"/>
        <v>1</v>
      </c>
      <c r="G67" s="25" t="str">
        <f t="shared" si="3"/>
        <v>0</v>
      </c>
      <c r="H67" s="25" t="str">
        <f t="shared" si="4"/>
        <v>0</v>
      </c>
      <c r="I67" s="25" t="str">
        <f t="shared" si="5"/>
        <v>0</v>
      </c>
      <c r="J67" s="25">
        <f t="shared" si="6"/>
        <v>1</v>
      </c>
      <c r="K67" s="25" t="str">
        <f t="shared" si="7"/>
        <v>0</v>
      </c>
      <c r="L67" s="102"/>
      <c r="M67" s="102"/>
      <c r="N67" s="102"/>
      <c r="O67" s="102"/>
      <c r="P67" s="102"/>
      <c r="Q67" s="102"/>
      <c r="R67" s="103"/>
    </row>
    <row r="68" spans="1:18" ht="41.45" customHeight="1" x14ac:dyDescent="0.25">
      <c r="A68" s="19"/>
      <c r="B68" s="3"/>
      <c r="C68" s="22"/>
      <c r="D68" s="22"/>
      <c r="E68" s="25" t="str">
        <f t="shared" si="1"/>
        <v>0</v>
      </c>
      <c r="F68" s="25">
        <f t="shared" si="2"/>
        <v>1</v>
      </c>
      <c r="G68" s="25" t="str">
        <f t="shared" si="3"/>
        <v>0</v>
      </c>
      <c r="H68" s="25" t="str">
        <f t="shared" si="4"/>
        <v>0</v>
      </c>
      <c r="I68" s="25" t="str">
        <f t="shared" si="5"/>
        <v>0</v>
      </c>
      <c r="J68" s="25">
        <f t="shared" si="6"/>
        <v>1</v>
      </c>
      <c r="K68" s="25" t="str">
        <f t="shared" si="7"/>
        <v>0</v>
      </c>
      <c r="L68" s="102"/>
      <c r="M68" s="102"/>
      <c r="N68" s="102"/>
      <c r="O68" s="102"/>
      <c r="P68" s="102"/>
      <c r="Q68" s="102"/>
      <c r="R68" s="103"/>
    </row>
    <row r="69" spans="1:18" ht="41.45" customHeight="1" x14ac:dyDescent="0.25">
      <c r="A69" s="19"/>
      <c r="B69" s="3"/>
      <c r="C69" s="22"/>
      <c r="D69" s="22"/>
      <c r="E69" s="25" t="str">
        <f t="shared" si="1"/>
        <v>0</v>
      </c>
      <c r="F69" s="25">
        <f t="shared" si="2"/>
        <v>1</v>
      </c>
      <c r="G69" s="25" t="str">
        <f t="shared" si="3"/>
        <v>0</v>
      </c>
      <c r="H69" s="25" t="str">
        <f t="shared" si="4"/>
        <v>0</v>
      </c>
      <c r="I69" s="25" t="str">
        <f t="shared" si="5"/>
        <v>0</v>
      </c>
      <c r="J69" s="25">
        <f t="shared" si="6"/>
        <v>1</v>
      </c>
      <c r="K69" s="25" t="str">
        <f t="shared" si="7"/>
        <v>0</v>
      </c>
      <c r="L69" s="102"/>
      <c r="M69" s="102"/>
      <c r="N69" s="102"/>
      <c r="O69" s="102"/>
      <c r="P69" s="102"/>
      <c r="Q69" s="102"/>
      <c r="R69" s="103"/>
    </row>
    <row r="70" spans="1:18" ht="41.45" customHeight="1" x14ac:dyDescent="0.25">
      <c r="A70" s="19"/>
      <c r="B70" s="3"/>
      <c r="C70" s="22"/>
      <c r="D70" s="22"/>
      <c r="E70" s="25" t="str">
        <f t="shared" si="1"/>
        <v>0</v>
      </c>
      <c r="F70" s="25">
        <f t="shared" si="2"/>
        <v>1</v>
      </c>
      <c r="G70" s="25" t="str">
        <f t="shared" si="3"/>
        <v>0</v>
      </c>
      <c r="H70" s="25" t="str">
        <f t="shared" si="4"/>
        <v>0</v>
      </c>
      <c r="I70" s="25" t="str">
        <f t="shared" si="5"/>
        <v>0</v>
      </c>
      <c r="J70" s="25">
        <f t="shared" si="6"/>
        <v>1</v>
      </c>
      <c r="K70" s="25" t="str">
        <f t="shared" si="7"/>
        <v>0</v>
      </c>
      <c r="L70" s="102"/>
      <c r="M70" s="102"/>
      <c r="N70" s="102"/>
      <c r="O70" s="102"/>
      <c r="P70" s="102"/>
      <c r="Q70" s="102"/>
      <c r="R70" s="103"/>
    </row>
    <row r="71" spans="1:18" ht="41.45" customHeight="1" x14ac:dyDescent="0.25">
      <c r="A71" s="19"/>
      <c r="B71" s="3"/>
      <c r="C71" s="22"/>
      <c r="D71" s="22"/>
      <c r="E71" s="25" t="str">
        <f t="shared" si="1"/>
        <v>0</v>
      </c>
      <c r="F71" s="25">
        <f t="shared" si="2"/>
        <v>1</v>
      </c>
      <c r="G71" s="25" t="str">
        <f t="shared" si="3"/>
        <v>0</v>
      </c>
      <c r="H71" s="25" t="str">
        <f t="shared" si="4"/>
        <v>0</v>
      </c>
      <c r="I71" s="25" t="str">
        <f t="shared" si="5"/>
        <v>0</v>
      </c>
      <c r="J71" s="25">
        <f t="shared" si="6"/>
        <v>1</v>
      </c>
      <c r="K71" s="25" t="str">
        <f t="shared" si="7"/>
        <v>0</v>
      </c>
      <c r="L71" s="102"/>
      <c r="M71" s="102"/>
      <c r="N71" s="102"/>
      <c r="O71" s="102"/>
      <c r="P71" s="102"/>
      <c r="Q71" s="102"/>
      <c r="R71" s="103"/>
    </row>
    <row r="72" spans="1:18" ht="41.45" customHeight="1" x14ac:dyDescent="0.25">
      <c r="A72" s="19"/>
      <c r="B72" s="3"/>
      <c r="C72" s="22"/>
      <c r="D72" s="22"/>
      <c r="E72" s="25" t="str">
        <f t="shared" si="1"/>
        <v>0</v>
      </c>
      <c r="F72" s="25">
        <f t="shared" si="2"/>
        <v>1</v>
      </c>
      <c r="G72" s="25" t="str">
        <f t="shared" si="3"/>
        <v>0</v>
      </c>
      <c r="H72" s="25" t="str">
        <f t="shared" si="4"/>
        <v>0</v>
      </c>
      <c r="I72" s="25" t="str">
        <f t="shared" si="5"/>
        <v>0</v>
      </c>
      <c r="J72" s="25">
        <f t="shared" si="6"/>
        <v>1</v>
      </c>
      <c r="K72" s="25" t="str">
        <f t="shared" si="7"/>
        <v>0</v>
      </c>
      <c r="L72" s="102"/>
      <c r="M72" s="102"/>
      <c r="N72" s="102"/>
      <c r="O72" s="102"/>
      <c r="P72" s="102"/>
      <c r="Q72" s="102"/>
      <c r="R72" s="103"/>
    </row>
    <row r="73" spans="1:18" ht="41.45" customHeight="1" x14ac:dyDescent="0.25">
      <c r="A73" s="19"/>
      <c r="B73" s="3"/>
      <c r="C73" s="22"/>
      <c r="D73" s="22"/>
      <c r="E73" s="25" t="str">
        <f t="shared" si="1"/>
        <v>0</v>
      </c>
      <c r="F73" s="25">
        <f t="shared" si="2"/>
        <v>1</v>
      </c>
      <c r="G73" s="25" t="str">
        <f t="shared" si="3"/>
        <v>0</v>
      </c>
      <c r="H73" s="25" t="str">
        <f t="shared" si="4"/>
        <v>0</v>
      </c>
      <c r="I73" s="25" t="str">
        <f t="shared" si="5"/>
        <v>0</v>
      </c>
      <c r="J73" s="25">
        <f t="shared" si="6"/>
        <v>1</v>
      </c>
      <c r="K73" s="25" t="str">
        <f t="shared" si="7"/>
        <v>0</v>
      </c>
      <c r="L73" s="102"/>
      <c r="M73" s="102"/>
      <c r="N73" s="102"/>
      <c r="O73" s="102"/>
      <c r="P73" s="102"/>
      <c r="Q73" s="102"/>
      <c r="R73" s="103"/>
    </row>
    <row r="74" spans="1:18" ht="41.45" customHeight="1" x14ac:dyDescent="0.25">
      <c r="A74" s="19"/>
      <c r="B74" s="3"/>
      <c r="C74" s="22"/>
      <c r="D74" s="22"/>
      <c r="E74" s="25" t="str">
        <f t="shared" si="1"/>
        <v>0</v>
      </c>
      <c r="F74" s="25">
        <f t="shared" si="2"/>
        <v>1</v>
      </c>
      <c r="G74" s="25" t="str">
        <f t="shared" si="3"/>
        <v>0</v>
      </c>
      <c r="H74" s="25" t="str">
        <f t="shared" si="4"/>
        <v>0</v>
      </c>
      <c r="I74" s="25" t="str">
        <f t="shared" si="5"/>
        <v>0</v>
      </c>
      <c r="J74" s="25">
        <f t="shared" si="6"/>
        <v>1</v>
      </c>
      <c r="K74" s="25" t="str">
        <f t="shared" si="7"/>
        <v>0</v>
      </c>
      <c r="L74" s="102"/>
      <c r="M74" s="102"/>
      <c r="N74" s="102"/>
      <c r="O74" s="102"/>
      <c r="P74" s="102"/>
      <c r="Q74" s="102"/>
      <c r="R74" s="103"/>
    </row>
    <row r="75" spans="1:18" ht="41.45" customHeight="1" x14ac:dyDescent="0.25">
      <c r="A75" s="19"/>
      <c r="B75" s="3"/>
      <c r="C75" s="22"/>
      <c r="D75" s="22"/>
      <c r="E75" s="25" t="str">
        <f t="shared" si="1"/>
        <v>0</v>
      </c>
      <c r="F75" s="25">
        <f t="shared" si="2"/>
        <v>1</v>
      </c>
      <c r="G75" s="25" t="str">
        <f t="shared" si="3"/>
        <v>0</v>
      </c>
      <c r="H75" s="25" t="str">
        <f t="shared" si="4"/>
        <v>0</v>
      </c>
      <c r="I75" s="25" t="str">
        <f t="shared" si="5"/>
        <v>0</v>
      </c>
      <c r="J75" s="25">
        <f t="shared" si="6"/>
        <v>1</v>
      </c>
      <c r="K75" s="25" t="str">
        <f t="shared" si="7"/>
        <v>0</v>
      </c>
      <c r="L75" s="102"/>
      <c r="M75" s="102"/>
      <c r="N75" s="102"/>
      <c r="O75" s="102"/>
      <c r="P75" s="102"/>
      <c r="Q75" s="102"/>
      <c r="R75" s="103"/>
    </row>
    <row r="76" spans="1:18" ht="41.45" customHeight="1" x14ac:dyDescent="0.25">
      <c r="A76" s="19"/>
      <c r="B76" s="3"/>
      <c r="C76" s="22"/>
      <c r="D76" s="22"/>
      <c r="E76" s="25" t="str">
        <f t="shared" si="1"/>
        <v>0</v>
      </c>
      <c r="F76" s="25">
        <f t="shared" si="2"/>
        <v>1</v>
      </c>
      <c r="G76" s="25" t="str">
        <f t="shared" si="3"/>
        <v>0</v>
      </c>
      <c r="H76" s="25" t="str">
        <f t="shared" si="4"/>
        <v>0</v>
      </c>
      <c r="I76" s="25" t="str">
        <f t="shared" si="5"/>
        <v>0</v>
      </c>
      <c r="J76" s="25">
        <f t="shared" si="6"/>
        <v>1</v>
      </c>
      <c r="K76" s="25" t="str">
        <f t="shared" si="7"/>
        <v>0</v>
      </c>
      <c r="L76" s="102"/>
      <c r="M76" s="102"/>
      <c r="N76" s="102"/>
      <c r="O76" s="102"/>
      <c r="P76" s="102"/>
      <c r="Q76" s="102"/>
      <c r="R76" s="103"/>
    </row>
    <row r="77" spans="1:18" ht="41.45" customHeight="1" x14ac:dyDescent="0.25">
      <c r="A77" s="19"/>
      <c r="B77" s="3"/>
      <c r="C77" s="22"/>
      <c r="D77" s="22"/>
      <c r="E77" s="25" t="str">
        <f t="shared" si="1"/>
        <v>0</v>
      </c>
      <c r="F77" s="25">
        <f t="shared" si="2"/>
        <v>1</v>
      </c>
      <c r="G77" s="25" t="str">
        <f t="shared" si="3"/>
        <v>0</v>
      </c>
      <c r="H77" s="25" t="str">
        <f t="shared" si="4"/>
        <v>0</v>
      </c>
      <c r="I77" s="25" t="str">
        <f t="shared" si="5"/>
        <v>0</v>
      </c>
      <c r="J77" s="25">
        <f t="shared" si="6"/>
        <v>1</v>
      </c>
      <c r="K77" s="25" t="str">
        <f t="shared" si="7"/>
        <v>0</v>
      </c>
      <c r="L77" s="102"/>
      <c r="M77" s="102"/>
      <c r="N77" s="102"/>
      <c r="O77" s="102"/>
      <c r="P77" s="102"/>
      <c r="Q77" s="102"/>
      <c r="R77" s="103"/>
    </row>
    <row r="78" spans="1:18" ht="41.45" customHeight="1" x14ac:dyDescent="0.25">
      <c r="A78" s="19"/>
      <c r="B78" s="3"/>
      <c r="C78" s="22"/>
      <c r="D78" s="22"/>
      <c r="E78" s="25" t="str">
        <f t="shared" si="1"/>
        <v>0</v>
      </c>
      <c r="F78" s="25">
        <f t="shared" si="2"/>
        <v>1</v>
      </c>
      <c r="G78" s="25" t="str">
        <f t="shared" si="3"/>
        <v>0</v>
      </c>
      <c r="H78" s="25" t="str">
        <f t="shared" si="4"/>
        <v>0</v>
      </c>
      <c r="I78" s="25" t="str">
        <f t="shared" si="5"/>
        <v>0</v>
      </c>
      <c r="J78" s="25">
        <f t="shared" si="6"/>
        <v>1</v>
      </c>
      <c r="K78" s="25" t="str">
        <f t="shared" si="7"/>
        <v>0</v>
      </c>
      <c r="L78" s="102"/>
      <c r="M78" s="102"/>
      <c r="N78" s="102"/>
      <c r="O78" s="102"/>
      <c r="P78" s="102"/>
      <c r="Q78" s="102"/>
      <c r="R78" s="103"/>
    </row>
    <row r="79" spans="1:18" ht="41.45" customHeight="1" x14ac:dyDescent="0.25">
      <c r="A79" s="19"/>
      <c r="B79" s="3"/>
      <c r="C79" s="22"/>
      <c r="D79" s="22"/>
      <c r="E79" s="25" t="str">
        <f t="shared" si="1"/>
        <v>0</v>
      </c>
      <c r="F79" s="25">
        <f t="shared" si="2"/>
        <v>1</v>
      </c>
      <c r="G79" s="25" t="str">
        <f t="shared" si="3"/>
        <v>0</v>
      </c>
      <c r="H79" s="25" t="str">
        <f t="shared" si="4"/>
        <v>0</v>
      </c>
      <c r="I79" s="25" t="str">
        <f t="shared" si="5"/>
        <v>0</v>
      </c>
      <c r="J79" s="25">
        <f t="shared" si="6"/>
        <v>1</v>
      </c>
      <c r="K79" s="25" t="str">
        <f t="shared" si="7"/>
        <v>0</v>
      </c>
      <c r="L79" s="102"/>
      <c r="M79" s="102"/>
      <c r="N79" s="102"/>
      <c r="O79" s="102"/>
      <c r="P79" s="102"/>
      <c r="Q79" s="102"/>
      <c r="R79" s="103"/>
    </row>
    <row r="80" spans="1:18" ht="41.45" customHeight="1" x14ac:dyDescent="0.25">
      <c r="A80" s="19"/>
      <c r="B80" s="3"/>
      <c r="C80" s="22"/>
      <c r="D80" s="22"/>
      <c r="E80" s="25" t="str">
        <f t="shared" si="1"/>
        <v>0</v>
      </c>
      <c r="F80" s="25">
        <f t="shared" si="2"/>
        <v>1</v>
      </c>
      <c r="G80" s="25" t="str">
        <f t="shared" si="3"/>
        <v>0</v>
      </c>
      <c r="H80" s="25" t="str">
        <f t="shared" si="4"/>
        <v>0</v>
      </c>
      <c r="I80" s="25" t="str">
        <f t="shared" si="5"/>
        <v>0</v>
      </c>
      <c r="J80" s="25">
        <f t="shared" si="6"/>
        <v>1</v>
      </c>
      <c r="K80" s="25" t="str">
        <f t="shared" si="7"/>
        <v>0</v>
      </c>
      <c r="L80" s="102"/>
      <c r="M80" s="102"/>
      <c r="N80" s="102"/>
      <c r="O80" s="102"/>
      <c r="P80" s="102"/>
      <c r="Q80" s="102"/>
      <c r="R80" s="103"/>
    </row>
    <row r="81" spans="1:18" ht="41.45" customHeight="1" x14ac:dyDescent="0.25">
      <c r="A81" s="19"/>
      <c r="B81" s="3"/>
      <c r="C81" s="22"/>
      <c r="D81" s="22"/>
      <c r="E81" s="25" t="str">
        <f t="shared" si="1"/>
        <v>0</v>
      </c>
      <c r="F81" s="25">
        <f t="shared" si="2"/>
        <v>1</v>
      </c>
      <c r="G81" s="25" t="str">
        <f t="shared" si="3"/>
        <v>0</v>
      </c>
      <c r="H81" s="25" t="str">
        <f t="shared" si="4"/>
        <v>0</v>
      </c>
      <c r="I81" s="25" t="str">
        <f t="shared" si="5"/>
        <v>0</v>
      </c>
      <c r="J81" s="25">
        <f t="shared" si="6"/>
        <v>1</v>
      </c>
      <c r="K81" s="25" t="str">
        <f t="shared" si="7"/>
        <v>0</v>
      </c>
      <c r="L81" s="102"/>
      <c r="M81" s="102"/>
      <c r="N81" s="102"/>
      <c r="O81" s="102"/>
      <c r="P81" s="102"/>
      <c r="Q81" s="102"/>
      <c r="R81" s="103"/>
    </row>
    <row r="82" spans="1:18" ht="41.45" customHeight="1" x14ac:dyDescent="0.25">
      <c r="A82" s="19"/>
      <c r="B82" s="3"/>
      <c r="C82" s="22"/>
      <c r="D82" s="22"/>
      <c r="E82" s="25" t="str">
        <f t="shared" si="1"/>
        <v>0</v>
      </c>
      <c r="F82" s="25">
        <f t="shared" si="2"/>
        <v>1</v>
      </c>
      <c r="G82" s="25" t="str">
        <f t="shared" si="3"/>
        <v>0</v>
      </c>
      <c r="H82" s="25" t="str">
        <f t="shared" si="4"/>
        <v>0</v>
      </c>
      <c r="I82" s="25" t="str">
        <f t="shared" si="5"/>
        <v>0</v>
      </c>
      <c r="J82" s="25">
        <f t="shared" si="6"/>
        <v>1</v>
      </c>
      <c r="K82" s="25" t="str">
        <f t="shared" si="7"/>
        <v>0</v>
      </c>
      <c r="L82" s="102"/>
      <c r="M82" s="102"/>
      <c r="N82" s="102"/>
      <c r="O82" s="102"/>
      <c r="P82" s="102"/>
      <c r="Q82" s="102"/>
      <c r="R82" s="103"/>
    </row>
    <row r="83" spans="1:18" ht="41.45" customHeight="1" x14ac:dyDescent="0.25">
      <c r="A83" s="19"/>
      <c r="B83" s="3"/>
      <c r="C83" s="22"/>
      <c r="D83" s="22"/>
      <c r="E83" s="25" t="str">
        <f t="shared" si="1"/>
        <v>0</v>
      </c>
      <c r="F83" s="25">
        <f t="shared" si="2"/>
        <v>1</v>
      </c>
      <c r="G83" s="25" t="str">
        <f t="shared" si="3"/>
        <v>0</v>
      </c>
      <c r="H83" s="25" t="str">
        <f t="shared" si="4"/>
        <v>0</v>
      </c>
      <c r="I83" s="25" t="str">
        <f t="shared" si="5"/>
        <v>0</v>
      </c>
      <c r="J83" s="25">
        <f t="shared" si="6"/>
        <v>1</v>
      </c>
      <c r="K83" s="25" t="str">
        <f t="shared" si="7"/>
        <v>0</v>
      </c>
      <c r="L83" s="102"/>
      <c r="M83" s="102"/>
      <c r="N83" s="102"/>
      <c r="O83" s="102"/>
      <c r="P83" s="102"/>
      <c r="Q83" s="102"/>
      <c r="R83" s="103"/>
    </row>
    <row r="84" spans="1:18" ht="41.45" customHeight="1" x14ac:dyDescent="0.25">
      <c r="A84" s="19"/>
      <c r="B84" s="3"/>
      <c r="C84" s="22"/>
      <c r="D84" s="22"/>
      <c r="E84" s="25" t="str">
        <f t="shared" si="1"/>
        <v>0</v>
      </c>
      <c r="F84" s="25">
        <f t="shared" si="2"/>
        <v>1</v>
      </c>
      <c r="G84" s="25" t="str">
        <f t="shared" si="3"/>
        <v>0</v>
      </c>
      <c r="H84" s="25" t="str">
        <f t="shared" si="4"/>
        <v>0</v>
      </c>
      <c r="I84" s="25" t="str">
        <f t="shared" si="5"/>
        <v>0</v>
      </c>
      <c r="J84" s="25">
        <f t="shared" si="6"/>
        <v>1</v>
      </c>
      <c r="K84" s="25" t="str">
        <f t="shared" si="7"/>
        <v>0</v>
      </c>
      <c r="L84" s="102"/>
      <c r="M84" s="102"/>
      <c r="N84" s="102"/>
      <c r="O84" s="102"/>
      <c r="P84" s="102"/>
      <c r="Q84" s="102"/>
      <c r="R84" s="103"/>
    </row>
    <row r="85" spans="1:18" ht="41.45" customHeight="1" x14ac:dyDescent="0.25">
      <c r="A85" s="19"/>
      <c r="B85" s="3"/>
      <c r="C85" s="22"/>
      <c r="D85" s="22"/>
      <c r="E85" s="25" t="str">
        <f t="shared" si="1"/>
        <v>0</v>
      </c>
      <c r="F85" s="25">
        <f t="shared" si="2"/>
        <v>1</v>
      </c>
      <c r="G85" s="25" t="str">
        <f t="shared" si="3"/>
        <v>0</v>
      </c>
      <c r="H85" s="25" t="str">
        <f t="shared" si="4"/>
        <v>0</v>
      </c>
      <c r="I85" s="25" t="str">
        <f t="shared" si="5"/>
        <v>0</v>
      </c>
      <c r="J85" s="25">
        <f t="shared" si="6"/>
        <v>1</v>
      </c>
      <c r="K85" s="25" t="str">
        <f t="shared" si="7"/>
        <v>0</v>
      </c>
      <c r="L85" s="102"/>
      <c r="M85" s="102"/>
      <c r="N85" s="102"/>
      <c r="O85" s="102"/>
      <c r="P85" s="102"/>
      <c r="Q85" s="102"/>
      <c r="R85" s="103"/>
    </row>
    <row r="86" spans="1:18" ht="41.45" customHeight="1" x14ac:dyDescent="0.25">
      <c r="A86" s="19"/>
      <c r="B86" s="3"/>
      <c r="C86" s="22"/>
      <c r="D86" s="22"/>
      <c r="E86" s="25" t="str">
        <f t="shared" si="1"/>
        <v>0</v>
      </c>
      <c r="F86" s="25">
        <f t="shared" si="2"/>
        <v>1</v>
      </c>
      <c r="G86" s="25" t="str">
        <f t="shared" si="3"/>
        <v>0</v>
      </c>
      <c r="H86" s="25" t="str">
        <f t="shared" si="4"/>
        <v>0</v>
      </c>
      <c r="I86" s="25" t="str">
        <f t="shared" si="5"/>
        <v>0</v>
      </c>
      <c r="J86" s="25">
        <f t="shared" si="6"/>
        <v>1</v>
      </c>
      <c r="K86" s="25" t="str">
        <f t="shared" si="7"/>
        <v>0</v>
      </c>
      <c r="L86" s="102"/>
      <c r="M86" s="102"/>
      <c r="N86" s="102"/>
      <c r="O86" s="102"/>
      <c r="P86" s="102"/>
      <c r="Q86" s="102"/>
      <c r="R86" s="103"/>
    </row>
    <row r="87" spans="1:18" ht="41.45" customHeight="1" x14ac:dyDescent="0.25">
      <c r="A87" s="19"/>
      <c r="B87" s="3"/>
      <c r="C87" s="22"/>
      <c r="D87" s="22"/>
      <c r="E87" s="25" t="str">
        <f t="shared" si="1"/>
        <v>0</v>
      </c>
      <c r="F87" s="25">
        <f t="shared" si="2"/>
        <v>1</v>
      </c>
      <c r="G87" s="25" t="str">
        <f t="shared" si="3"/>
        <v>0</v>
      </c>
      <c r="H87" s="25" t="str">
        <f t="shared" si="4"/>
        <v>0</v>
      </c>
      <c r="I87" s="25" t="str">
        <f t="shared" si="5"/>
        <v>0</v>
      </c>
      <c r="J87" s="25">
        <f t="shared" si="6"/>
        <v>1</v>
      </c>
      <c r="K87" s="25" t="str">
        <f t="shared" si="7"/>
        <v>0</v>
      </c>
      <c r="L87" s="102"/>
      <c r="M87" s="102"/>
      <c r="N87" s="102"/>
      <c r="O87" s="102"/>
      <c r="P87" s="102"/>
      <c r="Q87" s="102"/>
      <c r="R87" s="103"/>
    </row>
    <row r="88" spans="1:18" ht="41.45" customHeight="1" x14ac:dyDescent="0.25">
      <c r="A88" s="19"/>
      <c r="B88" s="3"/>
      <c r="C88" s="22"/>
      <c r="D88" s="22"/>
      <c r="E88" s="25" t="str">
        <f t="shared" si="1"/>
        <v>0</v>
      </c>
      <c r="F88" s="25">
        <f t="shared" si="2"/>
        <v>1</v>
      </c>
      <c r="G88" s="25" t="str">
        <f t="shared" si="3"/>
        <v>0</v>
      </c>
      <c r="H88" s="25" t="str">
        <f t="shared" si="4"/>
        <v>0</v>
      </c>
      <c r="I88" s="25" t="str">
        <f t="shared" si="5"/>
        <v>0</v>
      </c>
      <c r="J88" s="25">
        <f t="shared" si="6"/>
        <v>1</v>
      </c>
      <c r="K88" s="25" t="str">
        <f t="shared" si="7"/>
        <v>0</v>
      </c>
      <c r="L88" s="102"/>
      <c r="M88" s="102"/>
      <c r="N88" s="102"/>
      <c r="O88" s="102"/>
      <c r="P88" s="102"/>
      <c r="Q88" s="102"/>
      <c r="R88" s="103"/>
    </row>
    <row r="89" spans="1:18" ht="41.45" customHeight="1" x14ac:dyDescent="0.25">
      <c r="A89" s="19"/>
      <c r="B89" s="3"/>
      <c r="C89" s="22"/>
      <c r="D89" s="22"/>
      <c r="E89" s="25" t="str">
        <f t="shared" si="1"/>
        <v>0</v>
      </c>
      <c r="F89" s="25">
        <f t="shared" si="2"/>
        <v>1</v>
      </c>
      <c r="G89" s="25" t="str">
        <f t="shared" si="3"/>
        <v>0</v>
      </c>
      <c r="H89" s="25" t="str">
        <f t="shared" si="4"/>
        <v>0</v>
      </c>
      <c r="I89" s="25" t="str">
        <f t="shared" si="5"/>
        <v>0</v>
      </c>
      <c r="J89" s="25">
        <f t="shared" si="6"/>
        <v>1</v>
      </c>
      <c r="K89" s="25" t="str">
        <f t="shared" si="7"/>
        <v>0</v>
      </c>
      <c r="L89" s="102"/>
      <c r="M89" s="102"/>
      <c r="N89" s="102"/>
      <c r="O89" s="102"/>
      <c r="P89" s="102"/>
      <c r="Q89" s="102"/>
      <c r="R89" s="103"/>
    </row>
    <row r="90" spans="1:18" ht="41.45" customHeight="1" x14ac:dyDescent="0.25">
      <c r="A90" s="19"/>
      <c r="B90" s="3"/>
      <c r="C90" s="22"/>
      <c r="D90" s="22"/>
      <c r="E90" s="25" t="str">
        <f t="shared" si="1"/>
        <v>0</v>
      </c>
      <c r="F90" s="25">
        <f t="shared" si="2"/>
        <v>1</v>
      </c>
      <c r="G90" s="25" t="str">
        <f t="shared" si="3"/>
        <v>0</v>
      </c>
      <c r="H90" s="25" t="str">
        <f t="shared" si="4"/>
        <v>0</v>
      </c>
      <c r="I90" s="25" t="str">
        <f t="shared" si="5"/>
        <v>0</v>
      </c>
      <c r="J90" s="25">
        <f t="shared" si="6"/>
        <v>1</v>
      </c>
      <c r="K90" s="25" t="str">
        <f t="shared" si="7"/>
        <v>0</v>
      </c>
      <c r="L90" s="102"/>
      <c r="M90" s="102"/>
      <c r="N90" s="102"/>
      <c r="O90" s="102"/>
      <c r="P90" s="102"/>
      <c r="Q90" s="102"/>
      <c r="R90" s="103"/>
    </row>
    <row r="91" spans="1:18" ht="41.45" customHeight="1" x14ac:dyDescent="0.25">
      <c r="A91" s="19"/>
      <c r="B91" s="3"/>
      <c r="C91" s="22"/>
      <c r="D91" s="22"/>
      <c r="E91" s="25" t="str">
        <f t="shared" si="1"/>
        <v>0</v>
      </c>
      <c r="F91" s="25">
        <f t="shared" si="2"/>
        <v>1</v>
      </c>
      <c r="G91" s="25" t="str">
        <f t="shared" si="3"/>
        <v>0</v>
      </c>
      <c r="H91" s="25" t="str">
        <f t="shared" si="4"/>
        <v>0</v>
      </c>
      <c r="I91" s="25" t="str">
        <f t="shared" si="5"/>
        <v>0</v>
      </c>
      <c r="J91" s="25">
        <f t="shared" si="6"/>
        <v>1</v>
      </c>
      <c r="K91" s="25" t="str">
        <f t="shared" si="7"/>
        <v>0</v>
      </c>
      <c r="L91" s="102"/>
      <c r="M91" s="102"/>
      <c r="N91" s="102"/>
      <c r="O91" s="102"/>
      <c r="P91" s="102"/>
      <c r="Q91" s="102"/>
      <c r="R91" s="103"/>
    </row>
    <row r="92" spans="1:18" ht="41.45" customHeight="1" x14ac:dyDescent="0.25">
      <c r="A92" s="19"/>
      <c r="B92" s="3"/>
      <c r="C92" s="22"/>
      <c r="D92" s="22"/>
      <c r="E92" s="25" t="str">
        <f t="shared" si="1"/>
        <v>0</v>
      </c>
      <c r="F92" s="25">
        <f t="shared" si="2"/>
        <v>1</v>
      </c>
      <c r="G92" s="25" t="str">
        <f t="shared" si="3"/>
        <v>0</v>
      </c>
      <c r="H92" s="25" t="str">
        <f t="shared" si="4"/>
        <v>0</v>
      </c>
      <c r="I92" s="25" t="str">
        <f t="shared" si="5"/>
        <v>0</v>
      </c>
      <c r="J92" s="25">
        <f t="shared" si="6"/>
        <v>1</v>
      </c>
      <c r="K92" s="25" t="str">
        <f t="shared" si="7"/>
        <v>0</v>
      </c>
      <c r="L92" s="102"/>
      <c r="M92" s="102"/>
      <c r="N92" s="102"/>
      <c r="O92" s="102"/>
      <c r="P92" s="102"/>
      <c r="Q92" s="102"/>
      <c r="R92" s="103"/>
    </row>
    <row r="93" spans="1:18" ht="41.45" customHeight="1" x14ac:dyDescent="0.25">
      <c r="A93" s="19"/>
      <c r="B93" s="3"/>
      <c r="C93" s="22"/>
      <c r="D93" s="22"/>
      <c r="E93" s="25" t="str">
        <f t="shared" si="1"/>
        <v>0</v>
      </c>
      <c r="F93" s="25">
        <f t="shared" si="2"/>
        <v>1</v>
      </c>
      <c r="G93" s="25" t="str">
        <f t="shared" si="3"/>
        <v>0</v>
      </c>
      <c r="H93" s="25" t="str">
        <f t="shared" si="4"/>
        <v>0</v>
      </c>
      <c r="I93" s="25" t="str">
        <f t="shared" si="5"/>
        <v>0</v>
      </c>
      <c r="J93" s="25">
        <f t="shared" si="6"/>
        <v>1</v>
      </c>
      <c r="K93" s="25" t="str">
        <f t="shared" si="7"/>
        <v>0</v>
      </c>
      <c r="L93" s="102"/>
      <c r="M93" s="102"/>
      <c r="N93" s="102"/>
      <c r="O93" s="102"/>
      <c r="P93" s="102"/>
      <c r="Q93" s="102"/>
      <c r="R93" s="103"/>
    </row>
    <row r="94" spans="1:18" ht="41.45" customHeight="1" x14ac:dyDescent="0.25">
      <c r="A94" s="19"/>
      <c r="B94" s="3"/>
      <c r="C94" s="22"/>
      <c r="D94" s="22"/>
      <c r="E94" s="25" t="str">
        <f t="shared" si="1"/>
        <v>0</v>
      </c>
      <c r="F94" s="25">
        <f t="shared" si="2"/>
        <v>1</v>
      </c>
      <c r="G94" s="25" t="str">
        <f t="shared" si="3"/>
        <v>0</v>
      </c>
      <c r="H94" s="25" t="str">
        <f t="shared" si="4"/>
        <v>0</v>
      </c>
      <c r="I94" s="25" t="str">
        <f t="shared" si="5"/>
        <v>0</v>
      </c>
      <c r="J94" s="25">
        <f t="shared" si="6"/>
        <v>1</v>
      </c>
      <c r="K94" s="25" t="str">
        <f t="shared" si="7"/>
        <v>0</v>
      </c>
      <c r="L94" s="102"/>
      <c r="M94" s="102"/>
      <c r="N94" s="102"/>
      <c r="O94" s="102"/>
      <c r="P94" s="102"/>
      <c r="Q94" s="102"/>
      <c r="R94" s="103"/>
    </row>
    <row r="95" spans="1:18" ht="41.45" customHeight="1" x14ac:dyDescent="0.25">
      <c r="A95" s="19"/>
      <c r="B95" s="3"/>
      <c r="C95" s="22"/>
      <c r="D95" s="22"/>
      <c r="E95" s="25" t="str">
        <f t="shared" si="1"/>
        <v>0</v>
      </c>
      <c r="F95" s="25">
        <f t="shared" si="2"/>
        <v>1</v>
      </c>
      <c r="G95" s="25" t="str">
        <f t="shared" si="3"/>
        <v>0</v>
      </c>
      <c r="H95" s="25" t="str">
        <f t="shared" si="4"/>
        <v>0</v>
      </c>
      <c r="I95" s="25" t="str">
        <f t="shared" si="5"/>
        <v>0</v>
      </c>
      <c r="J95" s="25">
        <f t="shared" si="6"/>
        <v>1</v>
      </c>
      <c r="K95" s="25" t="str">
        <f t="shared" si="7"/>
        <v>0</v>
      </c>
      <c r="L95" s="102"/>
      <c r="M95" s="102"/>
      <c r="N95" s="102"/>
      <c r="O95" s="102"/>
      <c r="P95" s="102"/>
      <c r="Q95" s="102"/>
      <c r="R95" s="103"/>
    </row>
    <row r="96" spans="1:18" ht="41.45" customHeight="1" x14ac:dyDescent="0.25">
      <c r="A96" s="19"/>
      <c r="B96" s="3"/>
      <c r="C96" s="22"/>
      <c r="D96" s="22"/>
      <c r="E96" s="25" t="str">
        <f t="shared" si="1"/>
        <v>0</v>
      </c>
      <c r="F96" s="25">
        <f t="shared" si="2"/>
        <v>1</v>
      </c>
      <c r="G96" s="25" t="str">
        <f t="shared" si="3"/>
        <v>0</v>
      </c>
      <c r="H96" s="25" t="str">
        <f t="shared" si="4"/>
        <v>0</v>
      </c>
      <c r="I96" s="25" t="str">
        <f t="shared" si="5"/>
        <v>0</v>
      </c>
      <c r="J96" s="25">
        <f t="shared" si="6"/>
        <v>1</v>
      </c>
      <c r="K96" s="25" t="str">
        <f t="shared" si="7"/>
        <v>0</v>
      </c>
      <c r="L96" s="102"/>
      <c r="M96" s="102"/>
      <c r="N96" s="102"/>
      <c r="O96" s="102"/>
      <c r="P96" s="102"/>
      <c r="Q96" s="102"/>
      <c r="R96" s="103"/>
    </row>
    <row r="97" spans="1:18" ht="41.45" customHeight="1" x14ac:dyDescent="0.25">
      <c r="A97" s="19"/>
      <c r="B97" s="3"/>
      <c r="C97" s="22"/>
      <c r="D97" s="22"/>
      <c r="E97" s="25" t="str">
        <f t="shared" si="1"/>
        <v>0</v>
      </c>
      <c r="F97" s="25">
        <f t="shared" si="2"/>
        <v>1</v>
      </c>
      <c r="G97" s="25" t="str">
        <f t="shared" si="3"/>
        <v>0</v>
      </c>
      <c r="H97" s="25" t="str">
        <f t="shared" si="4"/>
        <v>0</v>
      </c>
      <c r="I97" s="25" t="str">
        <f t="shared" si="5"/>
        <v>0</v>
      </c>
      <c r="J97" s="25">
        <f t="shared" si="6"/>
        <v>1</v>
      </c>
      <c r="K97" s="25" t="str">
        <f t="shared" si="7"/>
        <v>0</v>
      </c>
      <c r="L97" s="102"/>
      <c r="M97" s="102"/>
      <c r="N97" s="102"/>
      <c r="O97" s="102"/>
      <c r="P97" s="102"/>
      <c r="Q97" s="102"/>
      <c r="R97" s="103"/>
    </row>
    <row r="98" spans="1:18" ht="41.45" customHeight="1" x14ac:dyDescent="0.25">
      <c r="A98" s="19"/>
      <c r="B98" s="3"/>
      <c r="C98" s="22"/>
      <c r="D98" s="22"/>
      <c r="E98" s="25" t="str">
        <f t="shared" si="1"/>
        <v>0</v>
      </c>
      <c r="F98" s="25">
        <f t="shared" si="2"/>
        <v>1</v>
      </c>
      <c r="G98" s="25" t="str">
        <f t="shared" si="3"/>
        <v>0</v>
      </c>
      <c r="H98" s="25" t="str">
        <f t="shared" si="4"/>
        <v>0</v>
      </c>
      <c r="I98" s="25" t="str">
        <f t="shared" si="5"/>
        <v>0</v>
      </c>
      <c r="J98" s="25">
        <f t="shared" si="6"/>
        <v>1</v>
      </c>
      <c r="K98" s="25" t="str">
        <f t="shared" si="7"/>
        <v>0</v>
      </c>
      <c r="L98" s="102"/>
      <c r="M98" s="102"/>
      <c r="N98" s="102"/>
      <c r="O98" s="102"/>
      <c r="P98" s="102"/>
      <c r="Q98" s="102"/>
      <c r="R98" s="103"/>
    </row>
    <row r="99" spans="1:18" ht="41.45" customHeight="1" x14ac:dyDescent="0.25">
      <c r="A99" s="19"/>
      <c r="B99" s="3"/>
      <c r="C99" s="22"/>
      <c r="D99" s="22"/>
      <c r="E99" s="25" t="str">
        <f t="shared" si="1"/>
        <v>0</v>
      </c>
      <c r="F99" s="25">
        <f t="shared" si="2"/>
        <v>1</v>
      </c>
      <c r="G99" s="25" t="str">
        <f t="shared" si="3"/>
        <v>0</v>
      </c>
      <c r="H99" s="25" t="str">
        <f t="shared" si="4"/>
        <v>0</v>
      </c>
      <c r="I99" s="25" t="str">
        <f t="shared" si="5"/>
        <v>0</v>
      </c>
      <c r="J99" s="25">
        <f t="shared" si="6"/>
        <v>1</v>
      </c>
      <c r="K99" s="25" t="str">
        <f t="shared" si="7"/>
        <v>0</v>
      </c>
      <c r="L99" s="102"/>
      <c r="M99" s="102"/>
      <c r="N99" s="102"/>
      <c r="O99" s="102"/>
      <c r="P99" s="102"/>
      <c r="Q99" s="102"/>
      <c r="R99" s="103"/>
    </row>
    <row r="100" spans="1:18" ht="41.45" customHeight="1" x14ac:dyDescent="0.25">
      <c r="A100" s="19"/>
      <c r="B100" s="3"/>
      <c r="C100" s="22"/>
      <c r="D100" s="22"/>
      <c r="E100" s="25" t="str">
        <f t="shared" si="1"/>
        <v>0</v>
      </c>
      <c r="F100" s="25">
        <f t="shared" si="2"/>
        <v>1</v>
      </c>
      <c r="G100" s="25" t="str">
        <f t="shared" si="3"/>
        <v>0</v>
      </c>
      <c r="H100" s="25" t="str">
        <f t="shared" si="4"/>
        <v>0</v>
      </c>
      <c r="I100" s="25" t="str">
        <f t="shared" si="5"/>
        <v>0</v>
      </c>
      <c r="J100" s="25">
        <f t="shared" si="6"/>
        <v>1</v>
      </c>
      <c r="K100" s="25" t="str">
        <f t="shared" si="7"/>
        <v>0</v>
      </c>
      <c r="L100" s="102"/>
      <c r="M100" s="102"/>
      <c r="N100" s="102"/>
      <c r="O100" s="102"/>
      <c r="P100" s="102"/>
      <c r="Q100" s="102"/>
      <c r="R100" s="103"/>
    </row>
    <row r="101" spans="1:18" ht="41.45" customHeight="1" x14ac:dyDescent="0.25">
      <c r="A101" s="19"/>
      <c r="B101" s="3"/>
      <c r="C101" s="22"/>
      <c r="D101" s="22"/>
      <c r="E101" s="25" t="str">
        <f t="shared" si="1"/>
        <v>0</v>
      </c>
      <c r="F101" s="25">
        <f t="shared" si="2"/>
        <v>1</v>
      </c>
      <c r="G101" s="25" t="str">
        <f t="shared" si="3"/>
        <v>0</v>
      </c>
      <c r="H101" s="25" t="str">
        <f t="shared" si="4"/>
        <v>0</v>
      </c>
      <c r="I101" s="25" t="str">
        <f t="shared" si="5"/>
        <v>0</v>
      </c>
      <c r="J101" s="25">
        <f t="shared" si="6"/>
        <v>1</v>
      </c>
      <c r="K101" s="25" t="str">
        <f t="shared" si="7"/>
        <v>0</v>
      </c>
      <c r="L101" s="102"/>
      <c r="M101" s="102"/>
      <c r="N101" s="102"/>
      <c r="O101" s="102"/>
      <c r="P101" s="102"/>
      <c r="Q101" s="102"/>
      <c r="R101" s="103"/>
    </row>
    <row r="102" spans="1:18" ht="41.45" customHeight="1" x14ac:dyDescent="0.25">
      <c r="A102" s="19"/>
      <c r="B102" s="3"/>
      <c r="C102" s="22"/>
      <c r="D102" s="22"/>
      <c r="E102" s="25" t="str">
        <f t="shared" si="1"/>
        <v>0</v>
      </c>
      <c r="F102" s="25">
        <f t="shared" si="2"/>
        <v>1</v>
      </c>
      <c r="G102" s="25" t="str">
        <f t="shared" si="3"/>
        <v>0</v>
      </c>
      <c r="H102" s="25" t="str">
        <f t="shared" si="4"/>
        <v>0</v>
      </c>
      <c r="I102" s="25" t="str">
        <f t="shared" si="5"/>
        <v>0</v>
      </c>
      <c r="J102" s="25">
        <f t="shared" si="6"/>
        <v>1</v>
      </c>
      <c r="K102" s="25" t="str">
        <f t="shared" si="7"/>
        <v>0</v>
      </c>
      <c r="L102" s="102"/>
      <c r="M102" s="102"/>
      <c r="N102" s="102"/>
      <c r="O102" s="102"/>
      <c r="P102" s="102"/>
      <c r="Q102" s="102"/>
      <c r="R102" s="103"/>
    </row>
    <row r="103" spans="1:18" ht="41.45" customHeight="1" x14ac:dyDescent="0.25">
      <c r="A103" s="19"/>
      <c r="B103" s="3"/>
      <c r="C103" s="22"/>
      <c r="D103" s="22"/>
      <c r="E103" s="25" t="str">
        <f t="shared" si="1"/>
        <v>0</v>
      </c>
      <c r="F103" s="25">
        <f t="shared" si="2"/>
        <v>1</v>
      </c>
      <c r="G103" s="25" t="str">
        <f t="shared" si="3"/>
        <v>0</v>
      </c>
      <c r="H103" s="25" t="str">
        <f t="shared" si="4"/>
        <v>0</v>
      </c>
      <c r="I103" s="25" t="str">
        <f t="shared" si="5"/>
        <v>0</v>
      </c>
      <c r="J103" s="25">
        <f t="shared" si="6"/>
        <v>1</v>
      </c>
      <c r="K103" s="25" t="str">
        <f t="shared" si="7"/>
        <v>0</v>
      </c>
      <c r="L103" s="102"/>
      <c r="M103" s="102"/>
      <c r="N103" s="102"/>
      <c r="O103" s="102"/>
      <c r="P103" s="102"/>
      <c r="Q103" s="102"/>
      <c r="R103" s="103"/>
    </row>
    <row r="104" spans="1:18" ht="41.45" customHeight="1" x14ac:dyDescent="0.25">
      <c r="A104" s="19"/>
      <c r="B104" s="3"/>
      <c r="C104" s="22"/>
      <c r="D104" s="22"/>
      <c r="E104" s="25" t="str">
        <f>IF(E54="X",(D54-C54),"0")</f>
        <v>0</v>
      </c>
      <c r="F104" s="25">
        <f t="shared" si="2"/>
        <v>0.35999999999999943</v>
      </c>
      <c r="G104" s="25" t="str">
        <f t="shared" si="3"/>
        <v>0</v>
      </c>
      <c r="H104" s="25" t="str">
        <f t="shared" si="4"/>
        <v>0</v>
      </c>
      <c r="I104" s="25" t="str">
        <f t="shared" si="5"/>
        <v>0</v>
      </c>
      <c r="J104" s="25">
        <f t="shared" si="6"/>
        <v>0.35999999999999943</v>
      </c>
      <c r="K104" s="25" t="str">
        <f t="shared" si="7"/>
        <v>0</v>
      </c>
      <c r="L104" s="102"/>
      <c r="M104" s="102"/>
      <c r="N104" s="102"/>
      <c r="O104" s="102"/>
      <c r="P104" s="102"/>
      <c r="Q104" s="102"/>
      <c r="R104" s="103"/>
    </row>
    <row r="105" spans="1:18" ht="41.45" customHeight="1" x14ac:dyDescent="0.25">
      <c r="A105" s="19"/>
      <c r="B105" s="3"/>
      <c r="C105" s="22"/>
      <c r="D105" s="22"/>
      <c r="E105" s="25" t="str">
        <f t="shared" si="1"/>
        <v>0</v>
      </c>
      <c r="F105" s="25" t="str">
        <f t="shared" si="2"/>
        <v>0</v>
      </c>
      <c r="G105" s="25" t="str">
        <f t="shared" si="3"/>
        <v>0</v>
      </c>
      <c r="H105" s="25" t="str">
        <f t="shared" si="4"/>
        <v>0</v>
      </c>
      <c r="I105" s="25" t="str">
        <f t="shared" si="5"/>
        <v>0</v>
      </c>
      <c r="J105" s="25" t="str">
        <f t="shared" si="6"/>
        <v>0</v>
      </c>
      <c r="K105" s="25" t="str">
        <f t="shared" si="7"/>
        <v>0</v>
      </c>
      <c r="L105" s="102"/>
      <c r="M105" s="102"/>
      <c r="N105" s="102"/>
      <c r="O105" s="102"/>
      <c r="P105" s="102"/>
      <c r="Q105" s="102"/>
      <c r="R105" s="103"/>
    </row>
    <row r="106" spans="1:18" ht="41.45" customHeight="1" x14ac:dyDescent="0.25">
      <c r="A106" s="19"/>
      <c r="B106" s="3"/>
      <c r="C106" s="22"/>
      <c r="D106" s="22"/>
      <c r="E106" s="25" t="str">
        <f t="shared" si="1"/>
        <v>0</v>
      </c>
      <c r="F106" s="25" t="str">
        <f t="shared" si="2"/>
        <v>0</v>
      </c>
      <c r="G106" s="25" t="str">
        <f t="shared" si="3"/>
        <v>0</v>
      </c>
      <c r="H106" s="25" t="str">
        <f t="shared" si="4"/>
        <v>0</v>
      </c>
      <c r="I106" s="25" t="str">
        <f t="shared" si="5"/>
        <v>0</v>
      </c>
      <c r="J106" s="25" t="str">
        <f t="shared" si="6"/>
        <v>0</v>
      </c>
      <c r="K106" s="25" t="str">
        <f t="shared" si="7"/>
        <v>0</v>
      </c>
      <c r="L106" s="102"/>
      <c r="M106" s="102"/>
      <c r="N106" s="102"/>
      <c r="O106" s="102"/>
      <c r="P106" s="102"/>
      <c r="Q106" s="102"/>
      <c r="R106" s="103"/>
    </row>
    <row r="107" spans="1:18" ht="41.45" customHeight="1" x14ac:dyDescent="0.25">
      <c r="A107" s="19"/>
      <c r="B107" s="3"/>
      <c r="C107" s="22"/>
      <c r="D107" s="22"/>
      <c r="E107" s="25" t="str">
        <f t="shared" si="1"/>
        <v>0</v>
      </c>
      <c r="F107" s="25" t="str">
        <f t="shared" si="2"/>
        <v>0</v>
      </c>
      <c r="G107" s="25" t="str">
        <f t="shared" si="3"/>
        <v>0</v>
      </c>
      <c r="H107" s="25" t="str">
        <f t="shared" si="4"/>
        <v>0</v>
      </c>
      <c r="I107" s="25" t="str">
        <f t="shared" si="5"/>
        <v>0</v>
      </c>
      <c r="J107" s="25" t="str">
        <f t="shared" si="6"/>
        <v>0</v>
      </c>
      <c r="K107" s="25" t="str">
        <f t="shared" si="7"/>
        <v>0</v>
      </c>
      <c r="L107" s="102"/>
      <c r="M107" s="102"/>
      <c r="N107" s="102"/>
      <c r="O107" s="102"/>
      <c r="P107" s="102"/>
      <c r="Q107" s="102"/>
      <c r="R107" s="103"/>
    </row>
    <row r="108" spans="1:18" ht="41.45" customHeight="1" x14ac:dyDescent="0.25">
      <c r="A108" s="19"/>
      <c r="B108" s="3"/>
      <c r="C108" s="22"/>
      <c r="D108" s="22"/>
      <c r="E108" s="22">
        <f>SUM(E57:E107)</f>
        <v>0</v>
      </c>
      <c r="F108" s="22">
        <f t="shared" ref="F108:K108" si="8">SUM(F57:F107)</f>
        <v>47.36</v>
      </c>
      <c r="G108" s="22">
        <f t="shared" si="8"/>
        <v>0</v>
      </c>
      <c r="H108" s="22">
        <f t="shared" si="8"/>
        <v>0</v>
      </c>
      <c r="I108" s="22">
        <f t="shared" si="8"/>
        <v>0</v>
      </c>
      <c r="J108" s="22">
        <f t="shared" si="8"/>
        <v>47.36</v>
      </c>
      <c r="K108" s="22">
        <f t="shared" si="8"/>
        <v>0</v>
      </c>
      <c r="L108" s="102"/>
      <c r="M108" s="102"/>
      <c r="N108" s="102"/>
      <c r="O108" s="102"/>
      <c r="P108" s="102"/>
      <c r="Q108" s="102"/>
      <c r="R108" s="103"/>
    </row>
    <row r="109" spans="1:18" ht="41.45" customHeight="1" x14ac:dyDescent="0.25">
      <c r="A109" s="19"/>
      <c r="B109" s="3"/>
      <c r="C109" s="22"/>
      <c r="D109" s="22"/>
      <c r="E109" s="22"/>
      <c r="F109" s="21"/>
      <c r="G109" s="21"/>
      <c r="H109" s="21"/>
      <c r="I109" s="21"/>
      <c r="J109" s="21"/>
      <c r="K109" s="21"/>
      <c r="L109" s="102"/>
      <c r="M109" s="102"/>
      <c r="N109" s="102"/>
      <c r="O109" s="102"/>
      <c r="P109" s="102"/>
      <c r="Q109" s="102"/>
      <c r="R109" s="103"/>
    </row>
    <row r="110" spans="1:18" ht="41.45" customHeight="1" x14ac:dyDescent="0.25">
      <c r="A110" s="19"/>
      <c r="B110" s="3"/>
      <c r="C110" s="22"/>
      <c r="D110" s="22"/>
      <c r="E110" s="22"/>
      <c r="F110" s="21"/>
      <c r="G110" s="21"/>
      <c r="H110" s="21"/>
      <c r="I110" s="21"/>
      <c r="J110" s="21"/>
      <c r="K110" s="21"/>
      <c r="L110" s="102"/>
      <c r="M110" s="102"/>
      <c r="N110" s="102"/>
      <c r="O110" s="102"/>
      <c r="P110" s="102"/>
      <c r="Q110" s="102"/>
      <c r="R110" s="103"/>
    </row>
    <row r="111" spans="1:18" ht="41.45" customHeight="1" x14ac:dyDescent="0.25">
      <c r="A111" s="19"/>
      <c r="B111" s="3"/>
      <c r="C111" s="22"/>
      <c r="D111" s="22"/>
      <c r="E111" s="22"/>
      <c r="F111" s="21"/>
      <c r="G111" s="21"/>
      <c r="H111" s="21"/>
      <c r="I111" s="21"/>
      <c r="J111" s="21"/>
      <c r="K111" s="21"/>
      <c r="L111" s="102"/>
      <c r="M111" s="102"/>
      <c r="N111" s="102"/>
      <c r="O111" s="102"/>
      <c r="P111" s="102"/>
      <c r="Q111" s="102"/>
      <c r="R111" s="103"/>
    </row>
    <row r="112" spans="1:18" ht="41.45" customHeight="1" x14ac:dyDescent="0.25">
      <c r="A112" s="19"/>
      <c r="B112" s="3"/>
      <c r="C112" s="22"/>
      <c r="D112" s="22"/>
      <c r="E112" s="22"/>
      <c r="F112" s="21"/>
      <c r="G112" s="21"/>
      <c r="H112" s="21"/>
      <c r="I112" s="21"/>
      <c r="J112" s="21"/>
      <c r="K112" s="21"/>
      <c r="L112" s="102"/>
      <c r="M112" s="102"/>
      <c r="N112" s="102"/>
      <c r="O112" s="102"/>
      <c r="P112" s="102"/>
      <c r="Q112" s="102"/>
      <c r="R112" s="103"/>
    </row>
    <row r="113" spans="1:18" ht="41.45" customHeight="1" x14ac:dyDescent="0.25">
      <c r="A113" s="19"/>
      <c r="B113" s="3"/>
      <c r="C113" s="22"/>
      <c r="D113" s="22"/>
      <c r="E113" s="22"/>
      <c r="F113" s="21"/>
      <c r="G113" s="21"/>
      <c r="H113" s="21"/>
      <c r="I113" s="21"/>
      <c r="J113" s="21"/>
      <c r="K113" s="21"/>
      <c r="L113" s="102"/>
      <c r="M113" s="102"/>
      <c r="N113" s="102"/>
      <c r="O113" s="102"/>
      <c r="P113" s="102"/>
      <c r="Q113" s="102"/>
      <c r="R113" s="103"/>
    </row>
    <row r="114" spans="1:18" ht="41.45" customHeight="1" thickBot="1" x14ac:dyDescent="0.3">
      <c r="A114" s="20"/>
      <c r="B114" s="4"/>
      <c r="C114" s="26"/>
      <c r="D114" s="26"/>
      <c r="E114" s="26"/>
      <c r="F114" s="27"/>
      <c r="G114" s="27"/>
      <c r="H114" s="27"/>
      <c r="I114" s="27"/>
      <c r="J114" s="27"/>
      <c r="K114" s="27"/>
      <c r="L114" s="107"/>
      <c r="M114" s="107"/>
      <c r="N114" s="107"/>
      <c r="O114" s="107"/>
      <c r="P114" s="107"/>
      <c r="Q114" s="107"/>
      <c r="R114" s="108"/>
    </row>
  </sheetData>
  <mergeCells count="119">
    <mergeCell ref="L77:R77"/>
    <mergeCell ref="L78:R78"/>
    <mergeCell ref="L94:R94"/>
    <mergeCell ref="L89:R89"/>
    <mergeCell ref="L90:R90"/>
    <mergeCell ref="L91:R91"/>
    <mergeCell ref="L92:R92"/>
    <mergeCell ref="L93:R93"/>
    <mergeCell ref="L84:R84"/>
    <mergeCell ref="L85:R85"/>
    <mergeCell ref="L86:R86"/>
    <mergeCell ref="L87:R87"/>
    <mergeCell ref="L88:R88"/>
    <mergeCell ref="L21:R21"/>
    <mergeCell ref="L22:R22"/>
    <mergeCell ref="L23:R23"/>
    <mergeCell ref="L24:R24"/>
    <mergeCell ref="L26:R26"/>
    <mergeCell ref="L27:R27"/>
    <mergeCell ref="L28:R28"/>
    <mergeCell ref="L29:R29"/>
    <mergeCell ref="L30:R30"/>
    <mergeCell ref="L112:R112"/>
    <mergeCell ref="L113:R113"/>
    <mergeCell ref="L114:R114"/>
    <mergeCell ref="L106:R106"/>
    <mergeCell ref="L107:R107"/>
    <mergeCell ref="L108:R108"/>
    <mergeCell ref="L109:R109"/>
    <mergeCell ref="L110:R110"/>
    <mergeCell ref="L111:R111"/>
    <mergeCell ref="L105:R105"/>
    <mergeCell ref="L69:R69"/>
    <mergeCell ref="L95:R95"/>
    <mergeCell ref="L96:R96"/>
    <mergeCell ref="L97:R97"/>
    <mergeCell ref="L98:R98"/>
    <mergeCell ref="L99:R99"/>
    <mergeCell ref="L100:R100"/>
    <mergeCell ref="L101:R101"/>
    <mergeCell ref="L102:R102"/>
    <mergeCell ref="L103:R103"/>
    <mergeCell ref="L104:R104"/>
    <mergeCell ref="L70:R70"/>
    <mergeCell ref="L71:R71"/>
    <mergeCell ref="L72:R72"/>
    <mergeCell ref="L73:R73"/>
    <mergeCell ref="L79:R79"/>
    <mergeCell ref="L80:R80"/>
    <mergeCell ref="L81:R81"/>
    <mergeCell ref="L82:R82"/>
    <mergeCell ref="L83:R83"/>
    <mergeCell ref="L74:R74"/>
    <mergeCell ref="L75:R75"/>
    <mergeCell ref="L76:R76"/>
    <mergeCell ref="L68:R68"/>
    <mergeCell ref="L57:R57"/>
    <mergeCell ref="L58:R58"/>
    <mergeCell ref="L59:R59"/>
    <mergeCell ref="L60:R60"/>
    <mergeCell ref="L61:R61"/>
    <mergeCell ref="L62:R62"/>
    <mergeCell ref="L63:R63"/>
    <mergeCell ref="L64:R64"/>
    <mergeCell ref="L65:R65"/>
    <mergeCell ref="L66:R66"/>
    <mergeCell ref="L67:R67"/>
    <mergeCell ref="L56:R56"/>
    <mergeCell ref="L45:R45"/>
    <mergeCell ref="L46:R46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44:R44"/>
    <mergeCell ref="L12:R12"/>
    <mergeCell ref="L13:R13"/>
    <mergeCell ref="L35:R35"/>
    <mergeCell ref="L36:R36"/>
    <mergeCell ref="L37:R37"/>
    <mergeCell ref="L38:R38"/>
    <mergeCell ref="L39:R39"/>
    <mergeCell ref="L40:R40"/>
    <mergeCell ref="L41:R41"/>
    <mergeCell ref="L42:R42"/>
    <mergeCell ref="L43:R43"/>
    <mergeCell ref="L14:R14"/>
    <mergeCell ref="L15:R15"/>
    <mergeCell ref="L16:R16"/>
    <mergeCell ref="L25:R25"/>
    <mergeCell ref="L31:R31"/>
    <mergeCell ref="L32:R32"/>
    <mergeCell ref="L33:R33"/>
    <mergeCell ref="L34:R34"/>
    <mergeCell ref="L17:R17"/>
    <mergeCell ref="L18:R18"/>
    <mergeCell ref="L19:R19"/>
    <mergeCell ref="L20:R20"/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</mergeCells>
  <pageMargins left="0.511811024" right="0.511811024" top="0.78740157499999996" bottom="0.78740157499999996" header="0.31496062000000002" footer="0.31496062000000002"/>
  <pageSetup scale="2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R68"/>
  <sheetViews>
    <sheetView view="pageBreakPreview" zoomScale="55" zoomScaleNormal="40" zoomScaleSheetLayoutView="55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Trechos!E84</f>
        <v>RODOVIA TO-426 - TRECHO POVOADO CRAOLÂNDIA - ENTR. TO-226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349</v>
      </c>
      <c r="B7" s="21" t="s">
        <v>20</v>
      </c>
      <c r="C7" s="22">
        <v>0</v>
      </c>
      <c r="D7" s="22">
        <v>31.73</v>
      </c>
      <c r="E7" s="21"/>
      <c r="F7" s="74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/>
      <c r="B8" s="21"/>
      <c r="C8" s="22"/>
      <c r="D8" s="22"/>
      <c r="E8" s="21"/>
      <c r="F8" s="21"/>
      <c r="G8" s="21"/>
      <c r="H8" s="21"/>
      <c r="I8" s="21"/>
      <c r="J8" s="21"/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/>
      <c r="D9" s="22"/>
      <c r="E9" s="21"/>
      <c r="F9" s="21"/>
      <c r="G9" s="21"/>
      <c r="H9" s="21"/>
      <c r="I9" s="21"/>
      <c r="J9" s="21"/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23"/>
      <c r="B36" s="24"/>
      <c r="C36" s="25"/>
      <c r="D36" s="25"/>
      <c r="E36" s="25" t="str">
        <f>IF(E7="X",(D7-C7),"0")</f>
        <v>0</v>
      </c>
      <c r="F36" s="25">
        <f>IF(F7="X",(D7-C7),"0")</f>
        <v>31.73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31.73</v>
      </c>
      <c r="K36" s="25" t="str">
        <f>IF(K7="X",(D7-C7),"0")</f>
        <v>0</v>
      </c>
      <c r="L36" s="104"/>
      <c r="M36" s="105"/>
      <c r="N36" s="105"/>
      <c r="O36" s="105"/>
      <c r="P36" s="105"/>
      <c r="Q36" s="105"/>
      <c r="R36" s="106"/>
    </row>
    <row r="37" spans="1:18" ht="41.45" customHeight="1" x14ac:dyDescent="0.25">
      <c r="A37" s="19"/>
      <c r="B37" s="3"/>
      <c r="C37" s="22"/>
      <c r="D37" s="22"/>
      <c r="E37" s="25" t="str">
        <f t="shared" ref="E37:E61" si="0">IF(E8="X",(D8-C8),"0")</f>
        <v>0</v>
      </c>
      <c r="F37" s="25" t="str">
        <f t="shared" ref="F37:F61" si="1">IF(F8="X",(D8-C8),"0")</f>
        <v>0</v>
      </c>
      <c r="G37" s="25" t="str">
        <f t="shared" ref="G37:G61" si="2">IF(G8="X",(D8-C8),"0")</f>
        <v>0</v>
      </c>
      <c r="H37" s="25" t="str">
        <f t="shared" ref="H37:H61" si="3">IF(H8="X",(D8-C8),"0")</f>
        <v>0</v>
      </c>
      <c r="I37" s="25" t="str">
        <f t="shared" ref="I37:I61" si="4">IF(I8="X",(D8-C8),"0")</f>
        <v>0</v>
      </c>
      <c r="J37" s="25" t="str">
        <f t="shared" ref="J37:J61" si="5">IF(J8="X",(D8-C8),"0")</f>
        <v>0</v>
      </c>
      <c r="K37" s="25" t="str">
        <f t="shared" ref="K37:K61" si="6">IF(K8="X",(D8-C8),"0")</f>
        <v>0</v>
      </c>
      <c r="L37" s="102"/>
      <c r="M37" s="102"/>
      <c r="N37" s="102"/>
      <c r="O37" s="102"/>
      <c r="P37" s="102"/>
      <c r="Q37" s="102"/>
      <c r="R37" s="103"/>
    </row>
    <row r="38" spans="1:18" ht="41.45" customHeight="1" x14ac:dyDescent="0.25">
      <c r="A38" s="19"/>
      <c r="B38" s="3"/>
      <c r="C38" s="22"/>
      <c r="D38" s="22"/>
      <c r="E38" s="25" t="str">
        <f t="shared" si="0"/>
        <v>0</v>
      </c>
      <c r="F38" s="25" t="str">
        <f t="shared" si="1"/>
        <v>0</v>
      </c>
      <c r="G38" s="25" t="str">
        <f t="shared" si="2"/>
        <v>0</v>
      </c>
      <c r="H38" s="25" t="str">
        <f t="shared" si="3"/>
        <v>0</v>
      </c>
      <c r="I38" s="25" t="str">
        <f t="shared" si="4"/>
        <v>0</v>
      </c>
      <c r="J38" s="25" t="str">
        <f t="shared" si="5"/>
        <v>0</v>
      </c>
      <c r="K38" s="25" t="str">
        <f t="shared" si="6"/>
        <v>0</v>
      </c>
      <c r="L38" s="102"/>
      <c r="M38" s="102"/>
      <c r="N38" s="102"/>
      <c r="O38" s="102"/>
      <c r="P38" s="102"/>
      <c r="Q38" s="102"/>
      <c r="R38" s="103"/>
    </row>
    <row r="39" spans="1:18" ht="41.45" customHeight="1" x14ac:dyDescent="0.25">
      <c r="A39" s="19"/>
      <c r="B39" s="3"/>
      <c r="C39" s="22"/>
      <c r="D39" s="22"/>
      <c r="E39" s="25" t="str">
        <f t="shared" si="0"/>
        <v>0</v>
      </c>
      <c r="F39" s="25" t="str">
        <f t="shared" si="1"/>
        <v>0</v>
      </c>
      <c r="G39" s="25" t="str">
        <f t="shared" si="2"/>
        <v>0</v>
      </c>
      <c r="H39" s="25" t="str">
        <f t="shared" si="3"/>
        <v>0</v>
      </c>
      <c r="I39" s="25" t="str">
        <f t="shared" si="4"/>
        <v>0</v>
      </c>
      <c r="J39" s="25" t="str">
        <f t="shared" si="5"/>
        <v>0</v>
      </c>
      <c r="K39" s="25" t="str">
        <f t="shared" si="6"/>
        <v>0</v>
      </c>
      <c r="L39" s="102"/>
      <c r="M39" s="102"/>
      <c r="N39" s="102"/>
      <c r="O39" s="102"/>
      <c r="P39" s="102"/>
      <c r="Q39" s="102"/>
      <c r="R39" s="103"/>
    </row>
    <row r="40" spans="1:18" ht="41.45" customHeight="1" x14ac:dyDescent="0.25">
      <c r="A40" s="19"/>
      <c r="B40" s="3"/>
      <c r="C40" s="22"/>
      <c r="D40" s="22"/>
      <c r="E40" s="25" t="str">
        <f t="shared" si="0"/>
        <v>0</v>
      </c>
      <c r="F40" s="25" t="str">
        <f t="shared" si="1"/>
        <v>0</v>
      </c>
      <c r="G40" s="25" t="str">
        <f t="shared" si="2"/>
        <v>0</v>
      </c>
      <c r="H40" s="25" t="str">
        <f t="shared" si="3"/>
        <v>0</v>
      </c>
      <c r="I40" s="25" t="str">
        <f t="shared" si="4"/>
        <v>0</v>
      </c>
      <c r="J40" s="25" t="str">
        <f t="shared" si="5"/>
        <v>0</v>
      </c>
      <c r="K40" s="25" t="str">
        <f t="shared" si="6"/>
        <v>0</v>
      </c>
      <c r="L40" s="102"/>
      <c r="M40" s="102"/>
      <c r="N40" s="102"/>
      <c r="O40" s="102"/>
      <c r="P40" s="102"/>
      <c r="Q40" s="102"/>
      <c r="R40" s="103"/>
    </row>
    <row r="41" spans="1:18" ht="41.45" customHeight="1" x14ac:dyDescent="0.25">
      <c r="A41" s="19"/>
      <c r="B41" s="3"/>
      <c r="C41" s="22"/>
      <c r="D41" s="22"/>
      <c r="E41" s="25" t="str">
        <f t="shared" si="0"/>
        <v>0</v>
      </c>
      <c r="F41" s="25" t="str">
        <f t="shared" si="1"/>
        <v>0</v>
      </c>
      <c r="G41" s="25" t="str">
        <f t="shared" si="2"/>
        <v>0</v>
      </c>
      <c r="H41" s="25" t="str">
        <f t="shared" si="3"/>
        <v>0</v>
      </c>
      <c r="I41" s="25" t="str">
        <f t="shared" si="4"/>
        <v>0</v>
      </c>
      <c r="J41" s="25" t="str">
        <f t="shared" si="5"/>
        <v>0</v>
      </c>
      <c r="K41" s="25" t="str">
        <f t="shared" si="6"/>
        <v>0</v>
      </c>
      <c r="L41" s="102"/>
      <c r="M41" s="102"/>
      <c r="N41" s="102"/>
      <c r="O41" s="102"/>
      <c r="P41" s="102"/>
      <c r="Q41" s="102"/>
      <c r="R41" s="103"/>
    </row>
    <row r="42" spans="1:18" ht="41.45" customHeight="1" x14ac:dyDescent="0.25">
      <c r="A42" s="19"/>
      <c r="B42" s="3"/>
      <c r="C42" s="22"/>
      <c r="D42" s="22"/>
      <c r="E42" s="25" t="str">
        <f t="shared" si="0"/>
        <v>0</v>
      </c>
      <c r="F42" s="25" t="str">
        <f t="shared" si="1"/>
        <v>0</v>
      </c>
      <c r="G42" s="25" t="str">
        <f t="shared" si="2"/>
        <v>0</v>
      </c>
      <c r="H42" s="25" t="str">
        <f t="shared" si="3"/>
        <v>0</v>
      </c>
      <c r="I42" s="25" t="str">
        <f t="shared" si="4"/>
        <v>0</v>
      </c>
      <c r="J42" s="25" t="str">
        <f t="shared" si="5"/>
        <v>0</v>
      </c>
      <c r="K42" s="25" t="str">
        <f t="shared" si="6"/>
        <v>0</v>
      </c>
      <c r="L42" s="102"/>
      <c r="M42" s="102"/>
      <c r="N42" s="102"/>
      <c r="O42" s="102"/>
      <c r="P42" s="102"/>
      <c r="Q42" s="102"/>
      <c r="R42" s="103"/>
    </row>
    <row r="43" spans="1:18" ht="41.45" customHeight="1" x14ac:dyDescent="0.25">
      <c r="A43" s="19"/>
      <c r="B43" s="3"/>
      <c r="C43" s="22"/>
      <c r="D43" s="22"/>
      <c r="E43" s="25" t="str">
        <f t="shared" si="0"/>
        <v>0</v>
      </c>
      <c r="F43" s="25" t="str">
        <f t="shared" si="1"/>
        <v>0</v>
      </c>
      <c r="G43" s="25" t="str">
        <f t="shared" si="2"/>
        <v>0</v>
      </c>
      <c r="H43" s="25" t="str">
        <f t="shared" si="3"/>
        <v>0</v>
      </c>
      <c r="I43" s="25" t="str">
        <f t="shared" si="4"/>
        <v>0</v>
      </c>
      <c r="J43" s="25" t="str">
        <f t="shared" si="5"/>
        <v>0</v>
      </c>
      <c r="K43" s="25" t="str">
        <f t="shared" si="6"/>
        <v>0</v>
      </c>
      <c r="L43" s="102"/>
      <c r="M43" s="102"/>
      <c r="N43" s="102"/>
      <c r="O43" s="102"/>
      <c r="P43" s="102"/>
      <c r="Q43" s="102"/>
      <c r="R43" s="103"/>
    </row>
    <row r="44" spans="1:18" ht="41.45" customHeight="1" x14ac:dyDescent="0.25">
      <c r="A44" s="19"/>
      <c r="B44" s="3"/>
      <c r="C44" s="22"/>
      <c r="D44" s="22"/>
      <c r="E44" s="25" t="str">
        <f t="shared" si="0"/>
        <v>0</v>
      </c>
      <c r="F44" s="25" t="str">
        <f t="shared" si="1"/>
        <v>0</v>
      </c>
      <c r="G44" s="25" t="str">
        <f t="shared" si="2"/>
        <v>0</v>
      </c>
      <c r="H44" s="25" t="str">
        <f t="shared" si="3"/>
        <v>0</v>
      </c>
      <c r="I44" s="25" t="str">
        <f t="shared" si="4"/>
        <v>0</v>
      </c>
      <c r="J44" s="25" t="str">
        <f t="shared" si="5"/>
        <v>0</v>
      </c>
      <c r="K44" s="25" t="str">
        <f t="shared" si="6"/>
        <v>0</v>
      </c>
      <c r="L44" s="102"/>
      <c r="M44" s="102"/>
      <c r="N44" s="102"/>
      <c r="O44" s="102"/>
      <c r="P44" s="102"/>
      <c r="Q44" s="102"/>
      <c r="R44" s="103"/>
    </row>
    <row r="45" spans="1:18" ht="41.45" customHeight="1" x14ac:dyDescent="0.25">
      <c r="A45" s="19"/>
      <c r="B45" s="3"/>
      <c r="C45" s="22"/>
      <c r="D45" s="22"/>
      <c r="E45" s="25" t="str">
        <f t="shared" si="0"/>
        <v>0</v>
      </c>
      <c r="F45" s="25" t="str">
        <f t="shared" si="1"/>
        <v>0</v>
      </c>
      <c r="G45" s="25" t="str">
        <f t="shared" si="2"/>
        <v>0</v>
      </c>
      <c r="H45" s="25" t="str">
        <f t="shared" si="3"/>
        <v>0</v>
      </c>
      <c r="I45" s="25" t="str">
        <f t="shared" si="4"/>
        <v>0</v>
      </c>
      <c r="J45" s="25" t="str">
        <f t="shared" si="5"/>
        <v>0</v>
      </c>
      <c r="K45" s="25" t="str">
        <f t="shared" si="6"/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0"/>
        <v>0</v>
      </c>
      <c r="F46" s="25" t="str">
        <f t="shared" si="1"/>
        <v>0</v>
      </c>
      <c r="G46" s="25" t="str">
        <f t="shared" si="2"/>
        <v>0</v>
      </c>
      <c r="H46" s="25" t="str">
        <f t="shared" si="3"/>
        <v>0</v>
      </c>
      <c r="I46" s="25" t="str">
        <f t="shared" si="4"/>
        <v>0</v>
      </c>
      <c r="J46" s="25" t="str">
        <f t="shared" si="5"/>
        <v>0</v>
      </c>
      <c r="K46" s="25" t="str">
        <f t="shared" si="6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0"/>
        <v>0</v>
      </c>
      <c r="F47" s="25" t="str">
        <f t="shared" si="1"/>
        <v>0</v>
      </c>
      <c r="G47" s="25" t="str">
        <f t="shared" si="2"/>
        <v>0</v>
      </c>
      <c r="H47" s="25" t="str">
        <f t="shared" si="3"/>
        <v>0</v>
      </c>
      <c r="I47" s="25" t="str">
        <f t="shared" si="4"/>
        <v>0</v>
      </c>
      <c r="J47" s="25" t="str">
        <f t="shared" si="5"/>
        <v>0</v>
      </c>
      <c r="K47" s="25" t="str">
        <f t="shared" si="6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0"/>
        <v>0</v>
      </c>
      <c r="F48" s="25" t="str">
        <f t="shared" si="1"/>
        <v>0</v>
      </c>
      <c r="G48" s="25" t="str">
        <f t="shared" si="2"/>
        <v>0</v>
      </c>
      <c r="H48" s="25" t="str">
        <f t="shared" si="3"/>
        <v>0</v>
      </c>
      <c r="I48" s="25" t="str">
        <f t="shared" si="4"/>
        <v>0</v>
      </c>
      <c r="J48" s="25" t="str">
        <f t="shared" si="5"/>
        <v>0</v>
      </c>
      <c r="K48" s="25" t="str">
        <f t="shared" si="6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0"/>
        <v>0</v>
      </c>
      <c r="F49" s="25" t="str">
        <f t="shared" si="1"/>
        <v>0</v>
      </c>
      <c r="G49" s="25" t="str">
        <f t="shared" si="2"/>
        <v>0</v>
      </c>
      <c r="H49" s="25" t="str">
        <f t="shared" si="3"/>
        <v>0</v>
      </c>
      <c r="I49" s="25" t="str">
        <f t="shared" si="4"/>
        <v>0</v>
      </c>
      <c r="J49" s="25" t="str">
        <f t="shared" si="5"/>
        <v>0</v>
      </c>
      <c r="K49" s="25" t="str">
        <f t="shared" si="6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0"/>
        <v>0</v>
      </c>
      <c r="F50" s="25" t="str">
        <f t="shared" si="1"/>
        <v>0</v>
      </c>
      <c r="G50" s="25" t="str">
        <f t="shared" si="2"/>
        <v>0</v>
      </c>
      <c r="H50" s="25" t="str">
        <f t="shared" si="3"/>
        <v>0</v>
      </c>
      <c r="I50" s="25" t="str">
        <f t="shared" si="4"/>
        <v>0</v>
      </c>
      <c r="J50" s="25" t="str">
        <f t="shared" si="5"/>
        <v>0</v>
      </c>
      <c r="K50" s="25" t="str">
        <f t="shared" si="6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0"/>
        <v>0</v>
      </c>
      <c r="F51" s="25" t="str">
        <f t="shared" si="1"/>
        <v>0</v>
      </c>
      <c r="G51" s="25" t="str">
        <f t="shared" si="2"/>
        <v>0</v>
      </c>
      <c r="H51" s="25" t="str">
        <f t="shared" si="3"/>
        <v>0</v>
      </c>
      <c r="I51" s="25" t="str">
        <f t="shared" si="4"/>
        <v>0</v>
      </c>
      <c r="J51" s="25" t="str">
        <f t="shared" si="5"/>
        <v>0</v>
      </c>
      <c r="K51" s="25" t="str">
        <f t="shared" si="6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0"/>
        <v>0</v>
      </c>
      <c r="F52" s="25" t="str">
        <f t="shared" si="1"/>
        <v>0</v>
      </c>
      <c r="G52" s="25" t="str">
        <f t="shared" si="2"/>
        <v>0</v>
      </c>
      <c r="H52" s="25" t="str">
        <f t="shared" si="3"/>
        <v>0</v>
      </c>
      <c r="I52" s="25" t="str">
        <f t="shared" si="4"/>
        <v>0</v>
      </c>
      <c r="J52" s="25" t="str">
        <f t="shared" si="5"/>
        <v>0</v>
      </c>
      <c r="K52" s="25" t="str">
        <f t="shared" si="6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0"/>
        <v>0</v>
      </c>
      <c r="F53" s="25" t="str">
        <f t="shared" si="1"/>
        <v>0</v>
      </c>
      <c r="G53" s="25" t="str">
        <f t="shared" si="2"/>
        <v>0</v>
      </c>
      <c r="H53" s="25" t="str">
        <f t="shared" si="3"/>
        <v>0</v>
      </c>
      <c r="I53" s="25" t="str">
        <f t="shared" si="4"/>
        <v>0</v>
      </c>
      <c r="J53" s="25" t="str">
        <f t="shared" si="5"/>
        <v>0</v>
      </c>
      <c r="K53" s="25" t="str">
        <f t="shared" si="6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0"/>
        <v>0</v>
      </c>
      <c r="F54" s="25" t="str">
        <f t="shared" si="1"/>
        <v>0</v>
      </c>
      <c r="G54" s="25" t="str">
        <f t="shared" si="2"/>
        <v>0</v>
      </c>
      <c r="H54" s="25" t="str">
        <f t="shared" si="3"/>
        <v>0</v>
      </c>
      <c r="I54" s="25" t="str">
        <f t="shared" si="4"/>
        <v>0</v>
      </c>
      <c r="J54" s="25" t="str">
        <f t="shared" si="5"/>
        <v>0</v>
      </c>
      <c r="K54" s="25" t="str">
        <f t="shared" si="6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0"/>
        <v>0</v>
      </c>
      <c r="F55" s="25" t="str">
        <f t="shared" si="1"/>
        <v>0</v>
      </c>
      <c r="G55" s="25" t="str">
        <f t="shared" si="2"/>
        <v>0</v>
      </c>
      <c r="H55" s="25" t="str">
        <f t="shared" si="3"/>
        <v>0</v>
      </c>
      <c r="I55" s="25" t="str">
        <f t="shared" si="4"/>
        <v>0</v>
      </c>
      <c r="J55" s="25" t="str">
        <f t="shared" si="5"/>
        <v>0</v>
      </c>
      <c r="K55" s="25" t="str">
        <f t="shared" si="6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0"/>
        <v>0</v>
      </c>
      <c r="F56" s="25" t="str">
        <f t="shared" si="1"/>
        <v>0</v>
      </c>
      <c r="G56" s="25" t="str">
        <f t="shared" si="2"/>
        <v>0</v>
      </c>
      <c r="H56" s="25" t="str">
        <f t="shared" si="3"/>
        <v>0</v>
      </c>
      <c r="I56" s="25" t="str">
        <f t="shared" si="4"/>
        <v>0</v>
      </c>
      <c r="J56" s="25" t="str">
        <f t="shared" si="5"/>
        <v>0</v>
      </c>
      <c r="K56" s="25" t="str">
        <f t="shared" si="6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0"/>
        <v>0</v>
      </c>
      <c r="F57" s="25" t="str">
        <f t="shared" si="1"/>
        <v>0</v>
      </c>
      <c r="G57" s="25" t="str">
        <f t="shared" si="2"/>
        <v>0</v>
      </c>
      <c r="H57" s="25" t="str">
        <f t="shared" si="3"/>
        <v>0</v>
      </c>
      <c r="I57" s="25" t="str">
        <f t="shared" si="4"/>
        <v>0</v>
      </c>
      <c r="J57" s="25" t="str">
        <f t="shared" si="5"/>
        <v>0</v>
      </c>
      <c r="K57" s="25" t="str">
        <f t="shared" si="6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0"/>
        <v>0</v>
      </c>
      <c r="F58" s="25" t="str">
        <f t="shared" si="1"/>
        <v>0</v>
      </c>
      <c r="G58" s="25" t="str">
        <f t="shared" si="2"/>
        <v>0</v>
      </c>
      <c r="H58" s="25" t="str">
        <f t="shared" si="3"/>
        <v>0</v>
      </c>
      <c r="I58" s="25" t="str">
        <f t="shared" si="4"/>
        <v>0</v>
      </c>
      <c r="J58" s="25" t="str">
        <f t="shared" si="5"/>
        <v>0</v>
      </c>
      <c r="K58" s="25" t="str">
        <f t="shared" si="6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0"/>
        <v>0</v>
      </c>
      <c r="F59" s="25" t="str">
        <f t="shared" si="1"/>
        <v>0</v>
      </c>
      <c r="G59" s="25" t="str">
        <f t="shared" si="2"/>
        <v>0</v>
      </c>
      <c r="H59" s="25" t="str">
        <f t="shared" si="3"/>
        <v>0</v>
      </c>
      <c r="I59" s="25" t="str">
        <f t="shared" si="4"/>
        <v>0</v>
      </c>
      <c r="J59" s="25" t="str">
        <f t="shared" si="5"/>
        <v>0</v>
      </c>
      <c r="K59" s="25" t="str">
        <f t="shared" si="6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0"/>
        <v>0</v>
      </c>
      <c r="F60" s="25" t="str">
        <f t="shared" si="1"/>
        <v>0</v>
      </c>
      <c r="G60" s="25" t="str">
        <f t="shared" si="2"/>
        <v>0</v>
      </c>
      <c r="H60" s="25" t="str">
        <f t="shared" si="3"/>
        <v>0</v>
      </c>
      <c r="I60" s="25" t="str">
        <f t="shared" si="4"/>
        <v>0</v>
      </c>
      <c r="J60" s="25" t="str">
        <f t="shared" si="5"/>
        <v>0</v>
      </c>
      <c r="K60" s="25" t="str">
        <f t="shared" si="6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0"/>
        <v>0</v>
      </c>
      <c r="F61" s="25" t="str">
        <f t="shared" si="1"/>
        <v>0</v>
      </c>
      <c r="G61" s="25" t="str">
        <f t="shared" si="2"/>
        <v>0</v>
      </c>
      <c r="H61" s="25" t="str">
        <f t="shared" si="3"/>
        <v>0</v>
      </c>
      <c r="I61" s="25" t="str">
        <f t="shared" si="4"/>
        <v>0</v>
      </c>
      <c r="J61" s="25" t="str">
        <f t="shared" si="5"/>
        <v>0</v>
      </c>
      <c r="K61" s="25" t="str">
        <f t="shared" si="6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2">
        <f>SUM(E36:E61)</f>
        <v>0</v>
      </c>
      <c r="F62" s="22">
        <f t="shared" ref="F62:K62" si="7">SUM(F36:F61)</f>
        <v>31.73</v>
      </c>
      <c r="G62" s="22">
        <f t="shared" si="7"/>
        <v>0</v>
      </c>
      <c r="H62" s="22">
        <f t="shared" si="7"/>
        <v>0</v>
      </c>
      <c r="I62" s="22">
        <f t="shared" si="7"/>
        <v>0</v>
      </c>
      <c r="J62" s="22">
        <f t="shared" si="7"/>
        <v>31.73</v>
      </c>
      <c r="K62" s="22">
        <f t="shared" si="7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02"/>
      <c r="M67" s="102"/>
      <c r="N67" s="102"/>
      <c r="O67" s="102"/>
      <c r="P67" s="102"/>
      <c r="Q67" s="102"/>
      <c r="R67" s="103"/>
    </row>
    <row r="68" spans="1:18" ht="41.45" customHeight="1" thickBot="1" x14ac:dyDescent="0.3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07"/>
      <c r="M68" s="107"/>
      <c r="N68" s="107"/>
      <c r="O68" s="107"/>
      <c r="P68" s="107"/>
      <c r="Q68" s="107"/>
      <c r="R68" s="108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R68"/>
  <sheetViews>
    <sheetView view="pageBreakPreview" zoomScale="55" zoomScaleNormal="40" zoomScaleSheetLayoutView="55" workbookViewId="0">
      <selection activeCell="J3" sqref="J3"/>
    </sheetView>
  </sheetViews>
  <sheetFormatPr defaultColWidth="8.875" defaultRowHeight="15" x14ac:dyDescent="0.25"/>
  <cols>
    <col min="1" max="1" width="33.25" style="1" customWidth="1"/>
    <col min="2" max="2" width="17.125" style="1" customWidth="1"/>
    <col min="3" max="4" width="13.25" style="1" customWidth="1"/>
    <col min="5" max="5" width="26.75" style="2" customWidth="1"/>
    <col min="6" max="6" width="30.125" style="2" customWidth="1"/>
    <col min="7" max="7" width="26.75" style="2" customWidth="1"/>
    <col min="8" max="8" width="33.125" style="2" customWidth="1"/>
    <col min="9" max="11" width="32" style="2" customWidth="1"/>
    <col min="12" max="14" width="14.25" style="1" customWidth="1"/>
    <col min="15" max="17" width="14.75" style="1" customWidth="1"/>
    <col min="18" max="18" width="37.25" style="1" customWidth="1"/>
    <col min="19" max="16384" width="8.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83" t="s">
        <v>3</v>
      </c>
      <c r="J1" s="85">
        <f>'67'!$J$1</f>
        <v>46204</v>
      </c>
      <c r="K1" s="11"/>
      <c r="L1" s="87" t="s">
        <v>4</v>
      </c>
      <c r="M1" s="87"/>
      <c r="N1" s="89" t="str">
        <f>'67'!$N$1</f>
        <v>ENG. VINICIUS RODRIGUES FERREIRA DE OLIVEIRA</v>
      </c>
      <c r="O1" s="89"/>
      <c r="P1" s="89"/>
      <c r="Q1" s="89"/>
      <c r="R1" s="90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84"/>
      <c r="J2" s="86"/>
      <c r="K2" s="16"/>
      <c r="L2" s="88"/>
      <c r="M2" s="88"/>
      <c r="N2" s="91"/>
      <c r="O2" s="91"/>
      <c r="P2" s="91"/>
      <c r="Q2" s="91"/>
      <c r="R2" s="92"/>
    </row>
    <row r="3" spans="1:18" ht="19.5" x14ac:dyDescent="0.3">
      <c r="A3" s="13" t="s">
        <v>36</v>
      </c>
      <c r="B3" s="47" t="str">
        <f>Trechos!E85</f>
        <v>RODOVIA TO-428 - TRECHO POVOADO BANDEIRA - ENTR. TO-226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 x14ac:dyDescent="0.35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">
      <c r="A5" s="75" t="s">
        <v>1</v>
      </c>
      <c r="B5" s="77" t="s">
        <v>7</v>
      </c>
      <c r="C5" s="79" t="s">
        <v>5</v>
      </c>
      <c r="D5" s="79" t="s">
        <v>6</v>
      </c>
      <c r="E5" s="77" t="s">
        <v>10</v>
      </c>
      <c r="F5" s="77"/>
      <c r="G5" s="77"/>
      <c r="H5" s="77"/>
      <c r="I5" s="93" t="s">
        <v>11</v>
      </c>
      <c r="J5" s="94"/>
      <c r="K5" s="95"/>
      <c r="L5" s="96" t="s">
        <v>8</v>
      </c>
      <c r="M5" s="97"/>
      <c r="N5" s="97"/>
      <c r="O5" s="97"/>
      <c r="P5" s="97"/>
      <c r="Q5" s="97"/>
      <c r="R5" s="98"/>
    </row>
    <row r="6" spans="1:18" s="6" customFormat="1" ht="79.150000000000006" customHeight="1" x14ac:dyDescent="0.2">
      <c r="A6" s="76"/>
      <c r="B6" s="78"/>
      <c r="C6" s="78"/>
      <c r="D6" s="78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9"/>
      <c r="M6" s="100"/>
      <c r="N6" s="100"/>
      <c r="O6" s="100"/>
      <c r="P6" s="100"/>
      <c r="Q6" s="100"/>
      <c r="R6" s="101"/>
    </row>
    <row r="7" spans="1:18" ht="41.45" customHeight="1" x14ac:dyDescent="0.25">
      <c r="A7" s="21" t="s">
        <v>352</v>
      </c>
      <c r="B7" s="21" t="s">
        <v>20</v>
      </c>
      <c r="C7" s="22">
        <v>0</v>
      </c>
      <c r="D7" s="60">
        <v>28.070200140400001</v>
      </c>
      <c r="E7" s="21"/>
      <c r="F7" s="74" t="s">
        <v>21</v>
      </c>
      <c r="G7" s="21"/>
      <c r="H7" s="21"/>
      <c r="I7" s="21"/>
      <c r="J7" s="21" t="s">
        <v>21</v>
      </c>
      <c r="K7" s="21"/>
      <c r="L7" s="80"/>
      <c r="M7" s="81"/>
      <c r="N7" s="81"/>
      <c r="O7" s="81"/>
      <c r="P7" s="81"/>
      <c r="Q7" s="81"/>
      <c r="R7" s="82"/>
    </row>
    <row r="8" spans="1:18" ht="41.45" customHeight="1" x14ac:dyDescent="0.25">
      <c r="A8" s="21" t="s">
        <v>354</v>
      </c>
      <c r="B8" s="21" t="s">
        <v>20</v>
      </c>
      <c r="C8" s="22">
        <v>0</v>
      </c>
      <c r="D8" s="60">
        <v>13.451488918100001</v>
      </c>
      <c r="E8" s="21"/>
      <c r="F8" s="74" t="s">
        <v>21</v>
      </c>
      <c r="G8" s="21"/>
      <c r="H8" s="21"/>
      <c r="I8" s="21"/>
      <c r="J8" s="21" t="s">
        <v>21</v>
      </c>
      <c r="K8" s="21"/>
      <c r="L8" s="80"/>
      <c r="M8" s="81"/>
      <c r="N8" s="81"/>
      <c r="O8" s="81"/>
      <c r="P8" s="81"/>
      <c r="Q8" s="81"/>
      <c r="R8" s="82"/>
    </row>
    <row r="9" spans="1:18" ht="41.45" customHeight="1" x14ac:dyDescent="0.25">
      <c r="A9" s="21"/>
      <c r="B9" s="21"/>
      <c r="C9" s="22"/>
      <c r="D9" s="22"/>
      <c r="E9" s="21"/>
      <c r="F9" s="21"/>
      <c r="G9" s="21"/>
      <c r="H9" s="21"/>
      <c r="I9" s="21"/>
      <c r="J9" s="21"/>
      <c r="K9" s="21"/>
      <c r="L9" s="80"/>
      <c r="M9" s="81"/>
      <c r="N9" s="81"/>
      <c r="O9" s="81"/>
      <c r="P9" s="81"/>
      <c r="Q9" s="81"/>
      <c r="R9" s="82"/>
    </row>
    <row r="10" spans="1:18" ht="41.45" customHeight="1" x14ac:dyDescent="0.25">
      <c r="A10" s="21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80"/>
      <c r="M10" s="81"/>
      <c r="N10" s="81"/>
      <c r="O10" s="81"/>
      <c r="P10" s="81"/>
      <c r="Q10" s="81"/>
      <c r="R10" s="82"/>
    </row>
    <row r="11" spans="1:18" ht="41.45" customHeight="1" x14ac:dyDescent="0.25">
      <c r="A11" s="21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80"/>
      <c r="M11" s="81"/>
      <c r="N11" s="81"/>
      <c r="O11" s="81"/>
      <c r="P11" s="81"/>
      <c r="Q11" s="81"/>
      <c r="R11" s="82"/>
    </row>
    <row r="12" spans="1:18" ht="41.45" customHeight="1" x14ac:dyDescent="0.25">
      <c r="A12" s="21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80"/>
      <c r="M12" s="81"/>
      <c r="N12" s="81"/>
      <c r="O12" s="81"/>
      <c r="P12" s="81"/>
      <c r="Q12" s="81"/>
      <c r="R12" s="82"/>
    </row>
    <row r="13" spans="1:18" ht="41.45" customHeight="1" x14ac:dyDescent="0.25">
      <c r="A13" s="21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80"/>
      <c r="M13" s="81"/>
      <c r="N13" s="81"/>
      <c r="O13" s="81"/>
      <c r="P13" s="81"/>
      <c r="Q13" s="81"/>
      <c r="R13" s="82"/>
    </row>
    <row r="14" spans="1:18" ht="41.45" customHeight="1" x14ac:dyDescent="0.25">
      <c r="A14" s="21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80"/>
      <c r="M14" s="81"/>
      <c r="N14" s="81"/>
      <c r="O14" s="81"/>
      <c r="P14" s="81"/>
      <c r="Q14" s="81"/>
      <c r="R14" s="82"/>
    </row>
    <row r="15" spans="1:18" ht="41.45" customHeight="1" x14ac:dyDescent="0.25">
      <c r="A15" s="21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80"/>
      <c r="M15" s="81"/>
      <c r="N15" s="81"/>
      <c r="O15" s="81"/>
      <c r="P15" s="81"/>
      <c r="Q15" s="81"/>
      <c r="R15" s="82"/>
    </row>
    <row r="16" spans="1:18" ht="41.45" customHeight="1" x14ac:dyDescent="0.25">
      <c r="A16" s="21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80"/>
      <c r="M16" s="81"/>
      <c r="N16" s="81"/>
      <c r="O16" s="81"/>
      <c r="P16" s="81"/>
      <c r="Q16" s="81"/>
      <c r="R16" s="82"/>
    </row>
    <row r="17" spans="1:18" ht="41.45" customHeight="1" x14ac:dyDescent="0.25">
      <c r="A17" s="21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80"/>
      <c r="M17" s="81"/>
      <c r="N17" s="81"/>
      <c r="O17" s="81"/>
      <c r="P17" s="81"/>
      <c r="Q17" s="81"/>
      <c r="R17" s="82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80"/>
      <c r="M18" s="81"/>
      <c r="N18" s="81"/>
      <c r="O18" s="81"/>
      <c r="P18" s="81"/>
      <c r="Q18" s="81"/>
      <c r="R18" s="82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80"/>
      <c r="M19" s="81"/>
      <c r="N19" s="81"/>
      <c r="O19" s="81"/>
      <c r="P19" s="81"/>
      <c r="Q19" s="81"/>
      <c r="R19" s="82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80"/>
      <c r="M20" s="81"/>
      <c r="N20" s="81"/>
      <c r="O20" s="81"/>
      <c r="P20" s="81"/>
      <c r="Q20" s="81"/>
      <c r="R20" s="82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80"/>
      <c r="M21" s="81"/>
      <c r="N21" s="81"/>
      <c r="O21" s="81"/>
      <c r="P21" s="81"/>
      <c r="Q21" s="81"/>
      <c r="R21" s="82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80"/>
      <c r="M22" s="81"/>
      <c r="N22" s="81"/>
      <c r="O22" s="81"/>
      <c r="P22" s="81"/>
      <c r="Q22" s="81"/>
      <c r="R22" s="82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80"/>
      <c r="M23" s="81"/>
      <c r="N23" s="81"/>
      <c r="O23" s="81"/>
      <c r="P23" s="81"/>
      <c r="Q23" s="81"/>
      <c r="R23" s="82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80"/>
      <c r="M24" s="81"/>
      <c r="N24" s="81"/>
      <c r="O24" s="81"/>
      <c r="P24" s="81"/>
      <c r="Q24" s="81"/>
      <c r="R24" s="82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80"/>
      <c r="M25" s="81"/>
      <c r="N25" s="81"/>
      <c r="O25" s="81"/>
      <c r="P25" s="81"/>
      <c r="Q25" s="81"/>
      <c r="R25" s="82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80"/>
      <c r="M26" s="81"/>
      <c r="N26" s="81"/>
      <c r="O26" s="81"/>
      <c r="P26" s="81"/>
      <c r="Q26" s="81"/>
      <c r="R26" s="82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80"/>
      <c r="M27" s="81"/>
      <c r="N27" s="81"/>
      <c r="O27" s="81"/>
      <c r="P27" s="81"/>
      <c r="Q27" s="81"/>
      <c r="R27" s="82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80"/>
      <c r="M28" s="81"/>
      <c r="N28" s="81"/>
      <c r="O28" s="81"/>
      <c r="P28" s="81"/>
      <c r="Q28" s="81"/>
      <c r="R28" s="82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80"/>
      <c r="M29" s="81"/>
      <c r="N29" s="81"/>
      <c r="O29" s="81"/>
      <c r="P29" s="81"/>
      <c r="Q29" s="81"/>
      <c r="R29" s="82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80"/>
      <c r="M30" s="81"/>
      <c r="N30" s="81"/>
      <c r="O30" s="81"/>
      <c r="P30" s="81"/>
      <c r="Q30" s="81"/>
      <c r="R30" s="82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80"/>
      <c r="M31" s="81"/>
      <c r="N31" s="81"/>
      <c r="O31" s="81"/>
      <c r="P31" s="81"/>
      <c r="Q31" s="81"/>
      <c r="R31" s="82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80"/>
      <c r="M32" s="81"/>
      <c r="N32" s="81"/>
      <c r="O32" s="81"/>
      <c r="P32" s="81"/>
      <c r="Q32" s="81"/>
      <c r="R32" s="82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80"/>
      <c r="M33" s="81"/>
      <c r="N33" s="81"/>
      <c r="O33" s="81"/>
      <c r="P33" s="81"/>
      <c r="Q33" s="81"/>
      <c r="R33" s="82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80"/>
      <c r="M34" s="81"/>
      <c r="N34" s="81"/>
      <c r="O34" s="81"/>
      <c r="P34" s="81"/>
      <c r="Q34" s="81"/>
      <c r="R34" s="82"/>
    </row>
    <row r="35" spans="1:18" ht="41.45" customHeight="1" x14ac:dyDescent="0.25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80"/>
      <c r="M35" s="81"/>
      <c r="N35" s="81"/>
      <c r="O35" s="81"/>
      <c r="P35" s="81"/>
      <c r="Q35" s="81"/>
      <c r="R35" s="82"/>
    </row>
    <row r="36" spans="1:18" ht="41.45" customHeight="1" x14ac:dyDescent="0.25">
      <c r="A36" s="23"/>
      <c r="B36" s="24"/>
      <c r="C36" s="25"/>
      <c r="D36" s="25"/>
      <c r="E36" s="25" t="str">
        <f>IF(E7="X",(D7-C7),"0")</f>
        <v>0</v>
      </c>
      <c r="F36" s="25">
        <f>IF(F7="X",(D7-C7),"0")</f>
        <v>28.070200140400001</v>
      </c>
      <c r="G36" s="25" t="str">
        <f>IF(G7="X",(D7-C7),"0")</f>
        <v>0</v>
      </c>
      <c r="H36" s="25" t="str">
        <f>IF(H7="X",(D7-C7),"0")</f>
        <v>0</v>
      </c>
      <c r="I36" s="25" t="str">
        <f>IF(I7="X",(D7-C7),"0")</f>
        <v>0</v>
      </c>
      <c r="J36" s="25">
        <f>IF(J7="X",(D7-C7),"0")</f>
        <v>28.070200140400001</v>
      </c>
      <c r="K36" s="25" t="str">
        <f>IF(K7="X",(D7-C7),"0")</f>
        <v>0</v>
      </c>
      <c r="L36" s="104"/>
      <c r="M36" s="105"/>
      <c r="N36" s="105"/>
      <c r="O36" s="105"/>
      <c r="P36" s="105"/>
      <c r="Q36" s="105"/>
      <c r="R36" s="106"/>
    </row>
    <row r="37" spans="1:18" ht="41.45" customHeight="1" x14ac:dyDescent="0.25">
      <c r="A37" s="19"/>
      <c r="B37" s="3"/>
      <c r="C37" s="22"/>
      <c r="D37" s="22"/>
      <c r="E37" s="25" t="str">
        <f t="shared" ref="E37:E61" si="0">IF(E8="X",(D8-C8),"0")</f>
        <v>0</v>
      </c>
      <c r="F37" s="25">
        <f t="shared" ref="F37:F61" si="1">IF(F8="X",(D8-C8),"0")</f>
        <v>13.451488918100001</v>
      </c>
      <c r="G37" s="25" t="str">
        <f t="shared" ref="G37:G61" si="2">IF(G8="X",(D8-C8),"0")</f>
        <v>0</v>
      </c>
      <c r="H37" s="25" t="str">
        <f t="shared" ref="H37:H61" si="3">IF(H8="X",(D8-C8),"0")</f>
        <v>0</v>
      </c>
      <c r="I37" s="25" t="str">
        <f t="shared" ref="I37:I61" si="4">IF(I8="X",(D8-C8),"0")</f>
        <v>0</v>
      </c>
      <c r="J37" s="25">
        <f t="shared" ref="J37:J61" si="5">IF(J8="X",(D8-C8),"0")</f>
        <v>13.451488918100001</v>
      </c>
      <c r="K37" s="25" t="str">
        <f t="shared" ref="K37:K61" si="6">IF(K8="X",(D8-C8),"0")</f>
        <v>0</v>
      </c>
      <c r="L37" s="102"/>
      <c r="M37" s="102"/>
      <c r="N37" s="102"/>
      <c r="O37" s="102"/>
      <c r="P37" s="102"/>
      <c r="Q37" s="102"/>
      <c r="R37" s="103"/>
    </row>
    <row r="38" spans="1:18" ht="41.45" customHeight="1" x14ac:dyDescent="0.25">
      <c r="A38" s="19"/>
      <c r="B38" s="3"/>
      <c r="C38" s="22"/>
      <c r="D38" s="22"/>
      <c r="E38" s="25" t="str">
        <f t="shared" si="0"/>
        <v>0</v>
      </c>
      <c r="F38" s="25" t="str">
        <f t="shared" si="1"/>
        <v>0</v>
      </c>
      <c r="G38" s="25" t="str">
        <f t="shared" si="2"/>
        <v>0</v>
      </c>
      <c r="H38" s="25" t="str">
        <f t="shared" si="3"/>
        <v>0</v>
      </c>
      <c r="I38" s="25" t="str">
        <f t="shared" si="4"/>
        <v>0</v>
      </c>
      <c r="J38" s="25" t="str">
        <f t="shared" si="5"/>
        <v>0</v>
      </c>
      <c r="K38" s="25" t="str">
        <f t="shared" si="6"/>
        <v>0</v>
      </c>
      <c r="L38" s="102"/>
      <c r="M38" s="102"/>
      <c r="N38" s="102"/>
      <c r="O38" s="102"/>
      <c r="P38" s="102"/>
      <c r="Q38" s="102"/>
      <c r="R38" s="103"/>
    </row>
    <row r="39" spans="1:18" ht="41.45" customHeight="1" x14ac:dyDescent="0.25">
      <c r="A39" s="19"/>
      <c r="B39" s="3"/>
      <c r="C39" s="22"/>
      <c r="D39" s="22"/>
      <c r="E39" s="25" t="str">
        <f t="shared" si="0"/>
        <v>0</v>
      </c>
      <c r="F39" s="25" t="str">
        <f t="shared" si="1"/>
        <v>0</v>
      </c>
      <c r="G39" s="25" t="str">
        <f t="shared" si="2"/>
        <v>0</v>
      </c>
      <c r="H39" s="25" t="str">
        <f t="shared" si="3"/>
        <v>0</v>
      </c>
      <c r="I39" s="25" t="str">
        <f t="shared" si="4"/>
        <v>0</v>
      </c>
      <c r="J39" s="25" t="str">
        <f t="shared" si="5"/>
        <v>0</v>
      </c>
      <c r="K39" s="25" t="str">
        <f t="shared" si="6"/>
        <v>0</v>
      </c>
      <c r="L39" s="102"/>
      <c r="M39" s="102"/>
      <c r="N39" s="102"/>
      <c r="O39" s="102"/>
      <c r="P39" s="102"/>
      <c r="Q39" s="102"/>
      <c r="R39" s="103"/>
    </row>
    <row r="40" spans="1:18" ht="41.45" customHeight="1" x14ac:dyDescent="0.25">
      <c r="A40" s="19"/>
      <c r="B40" s="3"/>
      <c r="C40" s="22"/>
      <c r="D40" s="22"/>
      <c r="E40" s="25" t="str">
        <f t="shared" si="0"/>
        <v>0</v>
      </c>
      <c r="F40" s="25" t="str">
        <f t="shared" si="1"/>
        <v>0</v>
      </c>
      <c r="G40" s="25" t="str">
        <f t="shared" si="2"/>
        <v>0</v>
      </c>
      <c r="H40" s="25" t="str">
        <f t="shared" si="3"/>
        <v>0</v>
      </c>
      <c r="I40" s="25" t="str">
        <f t="shared" si="4"/>
        <v>0</v>
      </c>
      <c r="J40" s="25" t="str">
        <f t="shared" si="5"/>
        <v>0</v>
      </c>
      <c r="K40" s="25" t="str">
        <f t="shared" si="6"/>
        <v>0</v>
      </c>
      <c r="L40" s="102"/>
      <c r="M40" s="102"/>
      <c r="N40" s="102"/>
      <c r="O40" s="102"/>
      <c r="P40" s="102"/>
      <c r="Q40" s="102"/>
      <c r="R40" s="103"/>
    </row>
    <row r="41" spans="1:18" ht="41.45" customHeight="1" x14ac:dyDescent="0.25">
      <c r="A41" s="19"/>
      <c r="B41" s="3"/>
      <c r="C41" s="22"/>
      <c r="D41" s="22"/>
      <c r="E41" s="25" t="str">
        <f t="shared" si="0"/>
        <v>0</v>
      </c>
      <c r="F41" s="25" t="str">
        <f t="shared" si="1"/>
        <v>0</v>
      </c>
      <c r="G41" s="25" t="str">
        <f t="shared" si="2"/>
        <v>0</v>
      </c>
      <c r="H41" s="25" t="str">
        <f t="shared" si="3"/>
        <v>0</v>
      </c>
      <c r="I41" s="25" t="str">
        <f t="shared" si="4"/>
        <v>0</v>
      </c>
      <c r="J41" s="25" t="str">
        <f t="shared" si="5"/>
        <v>0</v>
      </c>
      <c r="K41" s="25" t="str">
        <f t="shared" si="6"/>
        <v>0</v>
      </c>
      <c r="L41" s="102"/>
      <c r="M41" s="102"/>
      <c r="N41" s="102"/>
      <c r="O41" s="102"/>
      <c r="P41" s="102"/>
      <c r="Q41" s="102"/>
      <c r="R41" s="103"/>
    </row>
    <row r="42" spans="1:18" ht="41.45" customHeight="1" x14ac:dyDescent="0.25">
      <c r="A42" s="19"/>
      <c r="B42" s="3"/>
      <c r="C42" s="22"/>
      <c r="D42" s="22"/>
      <c r="E42" s="25" t="str">
        <f t="shared" si="0"/>
        <v>0</v>
      </c>
      <c r="F42" s="25" t="str">
        <f t="shared" si="1"/>
        <v>0</v>
      </c>
      <c r="G42" s="25" t="str">
        <f t="shared" si="2"/>
        <v>0</v>
      </c>
      <c r="H42" s="25" t="str">
        <f t="shared" si="3"/>
        <v>0</v>
      </c>
      <c r="I42" s="25" t="str">
        <f t="shared" si="4"/>
        <v>0</v>
      </c>
      <c r="J42" s="25" t="str">
        <f t="shared" si="5"/>
        <v>0</v>
      </c>
      <c r="K42" s="25" t="str">
        <f t="shared" si="6"/>
        <v>0</v>
      </c>
      <c r="L42" s="102"/>
      <c r="M42" s="102"/>
      <c r="N42" s="102"/>
      <c r="O42" s="102"/>
      <c r="P42" s="102"/>
      <c r="Q42" s="102"/>
      <c r="R42" s="103"/>
    </row>
    <row r="43" spans="1:18" ht="41.45" customHeight="1" x14ac:dyDescent="0.25">
      <c r="A43" s="19"/>
      <c r="B43" s="3"/>
      <c r="C43" s="22"/>
      <c r="D43" s="22"/>
      <c r="E43" s="25" t="str">
        <f t="shared" si="0"/>
        <v>0</v>
      </c>
      <c r="F43" s="25" t="str">
        <f t="shared" si="1"/>
        <v>0</v>
      </c>
      <c r="G43" s="25" t="str">
        <f t="shared" si="2"/>
        <v>0</v>
      </c>
      <c r="H43" s="25" t="str">
        <f t="shared" si="3"/>
        <v>0</v>
      </c>
      <c r="I43" s="25" t="str">
        <f t="shared" si="4"/>
        <v>0</v>
      </c>
      <c r="J43" s="25" t="str">
        <f t="shared" si="5"/>
        <v>0</v>
      </c>
      <c r="K43" s="25" t="str">
        <f t="shared" si="6"/>
        <v>0</v>
      </c>
      <c r="L43" s="102"/>
      <c r="M43" s="102"/>
      <c r="N43" s="102"/>
      <c r="O43" s="102"/>
      <c r="P43" s="102"/>
      <c r="Q43" s="102"/>
      <c r="R43" s="103"/>
    </row>
    <row r="44" spans="1:18" ht="41.45" customHeight="1" x14ac:dyDescent="0.25">
      <c r="A44" s="19"/>
      <c r="B44" s="3"/>
      <c r="C44" s="22"/>
      <c r="D44" s="22"/>
      <c r="E44" s="25" t="str">
        <f t="shared" si="0"/>
        <v>0</v>
      </c>
      <c r="F44" s="25" t="str">
        <f t="shared" si="1"/>
        <v>0</v>
      </c>
      <c r="G44" s="25" t="str">
        <f t="shared" si="2"/>
        <v>0</v>
      </c>
      <c r="H44" s="25" t="str">
        <f t="shared" si="3"/>
        <v>0</v>
      </c>
      <c r="I44" s="25" t="str">
        <f t="shared" si="4"/>
        <v>0</v>
      </c>
      <c r="J44" s="25" t="str">
        <f t="shared" si="5"/>
        <v>0</v>
      </c>
      <c r="K44" s="25" t="str">
        <f t="shared" si="6"/>
        <v>0</v>
      </c>
      <c r="L44" s="102"/>
      <c r="M44" s="102"/>
      <c r="N44" s="102"/>
      <c r="O44" s="102"/>
      <c r="P44" s="102"/>
      <c r="Q44" s="102"/>
      <c r="R44" s="103"/>
    </row>
    <row r="45" spans="1:18" ht="41.45" customHeight="1" x14ac:dyDescent="0.25">
      <c r="A45" s="19"/>
      <c r="B45" s="3"/>
      <c r="C45" s="22"/>
      <c r="D45" s="22"/>
      <c r="E45" s="25" t="str">
        <f t="shared" si="0"/>
        <v>0</v>
      </c>
      <c r="F45" s="25" t="str">
        <f t="shared" si="1"/>
        <v>0</v>
      </c>
      <c r="G45" s="25" t="str">
        <f t="shared" si="2"/>
        <v>0</v>
      </c>
      <c r="H45" s="25" t="str">
        <f t="shared" si="3"/>
        <v>0</v>
      </c>
      <c r="I45" s="25" t="str">
        <f t="shared" si="4"/>
        <v>0</v>
      </c>
      <c r="J45" s="25" t="str">
        <f t="shared" si="5"/>
        <v>0</v>
      </c>
      <c r="K45" s="25" t="str">
        <f t="shared" si="6"/>
        <v>0</v>
      </c>
      <c r="L45" s="102"/>
      <c r="M45" s="102"/>
      <c r="N45" s="102"/>
      <c r="O45" s="102"/>
      <c r="P45" s="102"/>
      <c r="Q45" s="102"/>
      <c r="R45" s="103"/>
    </row>
    <row r="46" spans="1:18" ht="41.45" customHeight="1" x14ac:dyDescent="0.25">
      <c r="A46" s="19"/>
      <c r="B46" s="3"/>
      <c r="C46" s="22"/>
      <c r="D46" s="22"/>
      <c r="E46" s="25" t="str">
        <f t="shared" si="0"/>
        <v>0</v>
      </c>
      <c r="F46" s="25" t="str">
        <f t="shared" si="1"/>
        <v>0</v>
      </c>
      <c r="G46" s="25" t="str">
        <f t="shared" si="2"/>
        <v>0</v>
      </c>
      <c r="H46" s="25" t="str">
        <f t="shared" si="3"/>
        <v>0</v>
      </c>
      <c r="I46" s="25" t="str">
        <f t="shared" si="4"/>
        <v>0</v>
      </c>
      <c r="J46" s="25" t="str">
        <f t="shared" si="5"/>
        <v>0</v>
      </c>
      <c r="K46" s="25" t="str">
        <f t="shared" si="6"/>
        <v>0</v>
      </c>
      <c r="L46" s="102"/>
      <c r="M46" s="102"/>
      <c r="N46" s="102"/>
      <c r="O46" s="102"/>
      <c r="P46" s="102"/>
      <c r="Q46" s="102"/>
      <c r="R46" s="103"/>
    </row>
    <row r="47" spans="1:18" ht="41.45" customHeight="1" x14ac:dyDescent="0.25">
      <c r="A47" s="19"/>
      <c r="B47" s="3"/>
      <c r="C47" s="22"/>
      <c r="D47" s="22"/>
      <c r="E47" s="25" t="str">
        <f t="shared" si="0"/>
        <v>0</v>
      </c>
      <c r="F47" s="25" t="str">
        <f t="shared" si="1"/>
        <v>0</v>
      </c>
      <c r="G47" s="25" t="str">
        <f t="shared" si="2"/>
        <v>0</v>
      </c>
      <c r="H47" s="25" t="str">
        <f t="shared" si="3"/>
        <v>0</v>
      </c>
      <c r="I47" s="25" t="str">
        <f t="shared" si="4"/>
        <v>0</v>
      </c>
      <c r="J47" s="25" t="str">
        <f t="shared" si="5"/>
        <v>0</v>
      </c>
      <c r="K47" s="25" t="str">
        <f t="shared" si="6"/>
        <v>0</v>
      </c>
      <c r="L47" s="102"/>
      <c r="M47" s="102"/>
      <c r="N47" s="102"/>
      <c r="O47" s="102"/>
      <c r="P47" s="102"/>
      <c r="Q47" s="102"/>
      <c r="R47" s="103"/>
    </row>
    <row r="48" spans="1:18" ht="41.45" customHeight="1" x14ac:dyDescent="0.25">
      <c r="A48" s="19"/>
      <c r="B48" s="3"/>
      <c r="C48" s="22"/>
      <c r="D48" s="22"/>
      <c r="E48" s="25" t="str">
        <f t="shared" si="0"/>
        <v>0</v>
      </c>
      <c r="F48" s="25" t="str">
        <f t="shared" si="1"/>
        <v>0</v>
      </c>
      <c r="G48" s="25" t="str">
        <f t="shared" si="2"/>
        <v>0</v>
      </c>
      <c r="H48" s="25" t="str">
        <f t="shared" si="3"/>
        <v>0</v>
      </c>
      <c r="I48" s="25" t="str">
        <f t="shared" si="4"/>
        <v>0</v>
      </c>
      <c r="J48" s="25" t="str">
        <f t="shared" si="5"/>
        <v>0</v>
      </c>
      <c r="K48" s="25" t="str">
        <f t="shared" si="6"/>
        <v>0</v>
      </c>
      <c r="L48" s="102"/>
      <c r="M48" s="102"/>
      <c r="N48" s="102"/>
      <c r="O48" s="102"/>
      <c r="P48" s="102"/>
      <c r="Q48" s="102"/>
      <c r="R48" s="103"/>
    </row>
    <row r="49" spans="1:18" ht="41.45" customHeight="1" x14ac:dyDescent="0.25">
      <c r="A49" s="19"/>
      <c r="B49" s="3"/>
      <c r="C49" s="22"/>
      <c r="D49" s="22"/>
      <c r="E49" s="25" t="str">
        <f t="shared" si="0"/>
        <v>0</v>
      </c>
      <c r="F49" s="25" t="str">
        <f t="shared" si="1"/>
        <v>0</v>
      </c>
      <c r="G49" s="25" t="str">
        <f t="shared" si="2"/>
        <v>0</v>
      </c>
      <c r="H49" s="25" t="str">
        <f t="shared" si="3"/>
        <v>0</v>
      </c>
      <c r="I49" s="25" t="str">
        <f t="shared" si="4"/>
        <v>0</v>
      </c>
      <c r="J49" s="25" t="str">
        <f t="shared" si="5"/>
        <v>0</v>
      </c>
      <c r="K49" s="25" t="str">
        <f t="shared" si="6"/>
        <v>0</v>
      </c>
      <c r="L49" s="102"/>
      <c r="M49" s="102"/>
      <c r="N49" s="102"/>
      <c r="O49" s="102"/>
      <c r="P49" s="102"/>
      <c r="Q49" s="102"/>
      <c r="R49" s="103"/>
    </row>
    <row r="50" spans="1:18" ht="41.45" customHeight="1" x14ac:dyDescent="0.25">
      <c r="A50" s="19"/>
      <c r="B50" s="3"/>
      <c r="C50" s="22"/>
      <c r="D50" s="22"/>
      <c r="E50" s="25" t="str">
        <f t="shared" si="0"/>
        <v>0</v>
      </c>
      <c r="F50" s="25" t="str">
        <f t="shared" si="1"/>
        <v>0</v>
      </c>
      <c r="G50" s="25" t="str">
        <f t="shared" si="2"/>
        <v>0</v>
      </c>
      <c r="H50" s="25" t="str">
        <f t="shared" si="3"/>
        <v>0</v>
      </c>
      <c r="I50" s="25" t="str">
        <f t="shared" si="4"/>
        <v>0</v>
      </c>
      <c r="J50" s="25" t="str">
        <f t="shared" si="5"/>
        <v>0</v>
      </c>
      <c r="K50" s="25" t="str">
        <f t="shared" si="6"/>
        <v>0</v>
      </c>
      <c r="L50" s="102"/>
      <c r="M50" s="102"/>
      <c r="N50" s="102"/>
      <c r="O50" s="102"/>
      <c r="P50" s="102"/>
      <c r="Q50" s="102"/>
      <c r="R50" s="103"/>
    </row>
    <row r="51" spans="1:18" ht="41.45" customHeight="1" x14ac:dyDescent="0.25">
      <c r="A51" s="19"/>
      <c r="B51" s="3"/>
      <c r="C51" s="22"/>
      <c r="D51" s="22"/>
      <c r="E51" s="25" t="str">
        <f t="shared" si="0"/>
        <v>0</v>
      </c>
      <c r="F51" s="25" t="str">
        <f t="shared" si="1"/>
        <v>0</v>
      </c>
      <c r="G51" s="25" t="str">
        <f t="shared" si="2"/>
        <v>0</v>
      </c>
      <c r="H51" s="25" t="str">
        <f t="shared" si="3"/>
        <v>0</v>
      </c>
      <c r="I51" s="25" t="str">
        <f t="shared" si="4"/>
        <v>0</v>
      </c>
      <c r="J51" s="25" t="str">
        <f t="shared" si="5"/>
        <v>0</v>
      </c>
      <c r="K51" s="25" t="str">
        <f t="shared" si="6"/>
        <v>0</v>
      </c>
      <c r="L51" s="102"/>
      <c r="M51" s="102"/>
      <c r="N51" s="102"/>
      <c r="O51" s="102"/>
      <c r="P51" s="102"/>
      <c r="Q51" s="102"/>
      <c r="R51" s="103"/>
    </row>
    <row r="52" spans="1:18" ht="41.45" customHeight="1" x14ac:dyDescent="0.25">
      <c r="A52" s="19"/>
      <c r="B52" s="3"/>
      <c r="C52" s="22"/>
      <c r="D52" s="22"/>
      <c r="E52" s="25" t="str">
        <f t="shared" si="0"/>
        <v>0</v>
      </c>
      <c r="F52" s="25" t="str">
        <f t="shared" si="1"/>
        <v>0</v>
      </c>
      <c r="G52" s="25" t="str">
        <f t="shared" si="2"/>
        <v>0</v>
      </c>
      <c r="H52" s="25" t="str">
        <f t="shared" si="3"/>
        <v>0</v>
      </c>
      <c r="I52" s="25" t="str">
        <f t="shared" si="4"/>
        <v>0</v>
      </c>
      <c r="J52" s="25" t="str">
        <f t="shared" si="5"/>
        <v>0</v>
      </c>
      <c r="K52" s="25" t="str">
        <f t="shared" si="6"/>
        <v>0</v>
      </c>
      <c r="L52" s="102"/>
      <c r="M52" s="102"/>
      <c r="N52" s="102"/>
      <c r="O52" s="102"/>
      <c r="P52" s="102"/>
      <c r="Q52" s="102"/>
      <c r="R52" s="103"/>
    </row>
    <row r="53" spans="1:18" ht="41.45" customHeight="1" x14ac:dyDescent="0.25">
      <c r="A53" s="19"/>
      <c r="B53" s="3"/>
      <c r="C53" s="22"/>
      <c r="D53" s="22"/>
      <c r="E53" s="25" t="str">
        <f t="shared" si="0"/>
        <v>0</v>
      </c>
      <c r="F53" s="25" t="str">
        <f t="shared" si="1"/>
        <v>0</v>
      </c>
      <c r="G53" s="25" t="str">
        <f t="shared" si="2"/>
        <v>0</v>
      </c>
      <c r="H53" s="25" t="str">
        <f t="shared" si="3"/>
        <v>0</v>
      </c>
      <c r="I53" s="25" t="str">
        <f t="shared" si="4"/>
        <v>0</v>
      </c>
      <c r="J53" s="25" t="str">
        <f t="shared" si="5"/>
        <v>0</v>
      </c>
      <c r="K53" s="25" t="str">
        <f t="shared" si="6"/>
        <v>0</v>
      </c>
      <c r="L53" s="102"/>
      <c r="M53" s="102"/>
      <c r="N53" s="102"/>
      <c r="O53" s="102"/>
      <c r="P53" s="102"/>
      <c r="Q53" s="102"/>
      <c r="R53" s="103"/>
    </row>
    <row r="54" spans="1:18" ht="41.45" customHeight="1" x14ac:dyDescent="0.25">
      <c r="A54" s="19"/>
      <c r="B54" s="3"/>
      <c r="C54" s="22"/>
      <c r="D54" s="22"/>
      <c r="E54" s="25" t="str">
        <f t="shared" si="0"/>
        <v>0</v>
      </c>
      <c r="F54" s="25" t="str">
        <f t="shared" si="1"/>
        <v>0</v>
      </c>
      <c r="G54" s="25" t="str">
        <f t="shared" si="2"/>
        <v>0</v>
      </c>
      <c r="H54" s="25" t="str">
        <f t="shared" si="3"/>
        <v>0</v>
      </c>
      <c r="I54" s="25" t="str">
        <f t="shared" si="4"/>
        <v>0</v>
      </c>
      <c r="J54" s="25" t="str">
        <f t="shared" si="5"/>
        <v>0</v>
      </c>
      <c r="K54" s="25" t="str">
        <f t="shared" si="6"/>
        <v>0</v>
      </c>
      <c r="L54" s="102"/>
      <c r="M54" s="102"/>
      <c r="N54" s="102"/>
      <c r="O54" s="102"/>
      <c r="P54" s="102"/>
      <c r="Q54" s="102"/>
      <c r="R54" s="103"/>
    </row>
    <row r="55" spans="1:18" ht="41.45" customHeight="1" x14ac:dyDescent="0.25">
      <c r="A55" s="19"/>
      <c r="B55" s="3"/>
      <c r="C55" s="22"/>
      <c r="D55" s="22"/>
      <c r="E55" s="25" t="str">
        <f t="shared" si="0"/>
        <v>0</v>
      </c>
      <c r="F55" s="25" t="str">
        <f t="shared" si="1"/>
        <v>0</v>
      </c>
      <c r="G55" s="25" t="str">
        <f t="shared" si="2"/>
        <v>0</v>
      </c>
      <c r="H55" s="25" t="str">
        <f t="shared" si="3"/>
        <v>0</v>
      </c>
      <c r="I55" s="25" t="str">
        <f t="shared" si="4"/>
        <v>0</v>
      </c>
      <c r="J55" s="25" t="str">
        <f t="shared" si="5"/>
        <v>0</v>
      </c>
      <c r="K55" s="25" t="str">
        <f t="shared" si="6"/>
        <v>0</v>
      </c>
      <c r="L55" s="102"/>
      <c r="M55" s="102"/>
      <c r="N55" s="102"/>
      <c r="O55" s="102"/>
      <c r="P55" s="102"/>
      <c r="Q55" s="102"/>
      <c r="R55" s="103"/>
    </row>
    <row r="56" spans="1:18" ht="41.45" customHeight="1" x14ac:dyDescent="0.25">
      <c r="A56" s="19"/>
      <c r="B56" s="3"/>
      <c r="C56" s="22"/>
      <c r="D56" s="22"/>
      <c r="E56" s="25" t="str">
        <f t="shared" si="0"/>
        <v>0</v>
      </c>
      <c r="F56" s="25" t="str">
        <f t="shared" si="1"/>
        <v>0</v>
      </c>
      <c r="G56" s="25" t="str">
        <f t="shared" si="2"/>
        <v>0</v>
      </c>
      <c r="H56" s="25" t="str">
        <f t="shared" si="3"/>
        <v>0</v>
      </c>
      <c r="I56" s="25" t="str">
        <f t="shared" si="4"/>
        <v>0</v>
      </c>
      <c r="J56" s="25" t="str">
        <f t="shared" si="5"/>
        <v>0</v>
      </c>
      <c r="K56" s="25" t="str">
        <f t="shared" si="6"/>
        <v>0</v>
      </c>
      <c r="L56" s="102"/>
      <c r="M56" s="102"/>
      <c r="N56" s="102"/>
      <c r="O56" s="102"/>
      <c r="P56" s="102"/>
      <c r="Q56" s="102"/>
      <c r="R56" s="103"/>
    </row>
    <row r="57" spans="1:18" ht="41.45" customHeight="1" x14ac:dyDescent="0.25">
      <c r="A57" s="19"/>
      <c r="B57" s="3"/>
      <c r="C57" s="22"/>
      <c r="D57" s="22"/>
      <c r="E57" s="25" t="str">
        <f t="shared" si="0"/>
        <v>0</v>
      </c>
      <c r="F57" s="25" t="str">
        <f t="shared" si="1"/>
        <v>0</v>
      </c>
      <c r="G57" s="25" t="str">
        <f t="shared" si="2"/>
        <v>0</v>
      </c>
      <c r="H57" s="25" t="str">
        <f t="shared" si="3"/>
        <v>0</v>
      </c>
      <c r="I57" s="25" t="str">
        <f t="shared" si="4"/>
        <v>0</v>
      </c>
      <c r="J57" s="25" t="str">
        <f t="shared" si="5"/>
        <v>0</v>
      </c>
      <c r="K57" s="25" t="str">
        <f t="shared" si="6"/>
        <v>0</v>
      </c>
      <c r="L57" s="102"/>
      <c r="M57" s="102"/>
      <c r="N57" s="102"/>
      <c r="O57" s="102"/>
      <c r="P57" s="102"/>
      <c r="Q57" s="102"/>
      <c r="R57" s="103"/>
    </row>
    <row r="58" spans="1:18" ht="41.45" customHeight="1" x14ac:dyDescent="0.25">
      <c r="A58" s="19"/>
      <c r="B58" s="3"/>
      <c r="C58" s="22"/>
      <c r="D58" s="22"/>
      <c r="E58" s="25" t="str">
        <f t="shared" si="0"/>
        <v>0</v>
      </c>
      <c r="F58" s="25" t="str">
        <f t="shared" si="1"/>
        <v>0</v>
      </c>
      <c r="G58" s="25" t="str">
        <f t="shared" si="2"/>
        <v>0</v>
      </c>
      <c r="H58" s="25" t="str">
        <f t="shared" si="3"/>
        <v>0</v>
      </c>
      <c r="I58" s="25" t="str">
        <f t="shared" si="4"/>
        <v>0</v>
      </c>
      <c r="J58" s="25" t="str">
        <f t="shared" si="5"/>
        <v>0</v>
      </c>
      <c r="K58" s="25" t="str">
        <f t="shared" si="6"/>
        <v>0</v>
      </c>
      <c r="L58" s="102"/>
      <c r="M58" s="102"/>
      <c r="N58" s="102"/>
      <c r="O58" s="102"/>
      <c r="P58" s="102"/>
      <c r="Q58" s="102"/>
      <c r="R58" s="103"/>
    </row>
    <row r="59" spans="1:18" ht="41.45" customHeight="1" x14ac:dyDescent="0.25">
      <c r="A59" s="19"/>
      <c r="B59" s="3"/>
      <c r="C59" s="22"/>
      <c r="D59" s="22"/>
      <c r="E59" s="25" t="str">
        <f t="shared" si="0"/>
        <v>0</v>
      </c>
      <c r="F59" s="25" t="str">
        <f t="shared" si="1"/>
        <v>0</v>
      </c>
      <c r="G59" s="25" t="str">
        <f t="shared" si="2"/>
        <v>0</v>
      </c>
      <c r="H59" s="25" t="str">
        <f t="shared" si="3"/>
        <v>0</v>
      </c>
      <c r="I59" s="25" t="str">
        <f t="shared" si="4"/>
        <v>0</v>
      </c>
      <c r="J59" s="25" t="str">
        <f t="shared" si="5"/>
        <v>0</v>
      </c>
      <c r="K59" s="25" t="str">
        <f t="shared" si="6"/>
        <v>0</v>
      </c>
      <c r="L59" s="102"/>
      <c r="M59" s="102"/>
      <c r="N59" s="102"/>
      <c r="O59" s="102"/>
      <c r="P59" s="102"/>
      <c r="Q59" s="102"/>
      <c r="R59" s="103"/>
    </row>
    <row r="60" spans="1:18" ht="41.45" customHeight="1" x14ac:dyDescent="0.25">
      <c r="A60" s="19"/>
      <c r="B60" s="3"/>
      <c r="C60" s="22"/>
      <c r="D60" s="22"/>
      <c r="E60" s="25" t="str">
        <f t="shared" si="0"/>
        <v>0</v>
      </c>
      <c r="F60" s="25" t="str">
        <f t="shared" si="1"/>
        <v>0</v>
      </c>
      <c r="G60" s="25" t="str">
        <f t="shared" si="2"/>
        <v>0</v>
      </c>
      <c r="H60" s="25" t="str">
        <f t="shared" si="3"/>
        <v>0</v>
      </c>
      <c r="I60" s="25" t="str">
        <f t="shared" si="4"/>
        <v>0</v>
      </c>
      <c r="J60" s="25" t="str">
        <f t="shared" si="5"/>
        <v>0</v>
      </c>
      <c r="K60" s="25" t="str">
        <f t="shared" si="6"/>
        <v>0</v>
      </c>
      <c r="L60" s="102"/>
      <c r="M60" s="102"/>
      <c r="N60" s="102"/>
      <c r="O60" s="102"/>
      <c r="P60" s="102"/>
      <c r="Q60" s="102"/>
      <c r="R60" s="103"/>
    </row>
    <row r="61" spans="1:18" ht="41.45" customHeight="1" x14ac:dyDescent="0.25">
      <c r="A61" s="19"/>
      <c r="B61" s="3"/>
      <c r="C61" s="22"/>
      <c r="D61" s="22"/>
      <c r="E61" s="25" t="str">
        <f t="shared" si="0"/>
        <v>0</v>
      </c>
      <c r="F61" s="25" t="str">
        <f t="shared" si="1"/>
        <v>0</v>
      </c>
      <c r="G61" s="25" t="str">
        <f t="shared" si="2"/>
        <v>0</v>
      </c>
      <c r="H61" s="25" t="str">
        <f t="shared" si="3"/>
        <v>0</v>
      </c>
      <c r="I61" s="25" t="str">
        <f t="shared" si="4"/>
        <v>0</v>
      </c>
      <c r="J61" s="25" t="str">
        <f t="shared" si="5"/>
        <v>0</v>
      </c>
      <c r="K61" s="25" t="str">
        <f t="shared" si="6"/>
        <v>0</v>
      </c>
      <c r="L61" s="102"/>
      <c r="M61" s="102"/>
      <c r="N61" s="102"/>
      <c r="O61" s="102"/>
      <c r="P61" s="102"/>
      <c r="Q61" s="102"/>
      <c r="R61" s="103"/>
    </row>
    <row r="62" spans="1:18" ht="41.45" customHeight="1" x14ac:dyDescent="0.25">
      <c r="A62" s="19"/>
      <c r="B62" s="3"/>
      <c r="C62" s="22"/>
      <c r="D62" s="22"/>
      <c r="E62" s="22">
        <f>SUM(E36:E61)</f>
        <v>0</v>
      </c>
      <c r="F62" s="22">
        <f t="shared" ref="F62:K62" si="7">SUM(F36:F61)</f>
        <v>41.521689058500002</v>
      </c>
      <c r="G62" s="22">
        <f t="shared" si="7"/>
        <v>0</v>
      </c>
      <c r="H62" s="22">
        <f t="shared" si="7"/>
        <v>0</v>
      </c>
      <c r="I62" s="22">
        <f t="shared" si="7"/>
        <v>0</v>
      </c>
      <c r="J62" s="22">
        <f t="shared" si="7"/>
        <v>41.521689058500002</v>
      </c>
      <c r="K62" s="22">
        <f t="shared" si="7"/>
        <v>0</v>
      </c>
      <c r="L62" s="102"/>
      <c r="M62" s="102"/>
      <c r="N62" s="102"/>
      <c r="O62" s="102"/>
      <c r="P62" s="102"/>
      <c r="Q62" s="102"/>
      <c r="R62" s="103"/>
    </row>
    <row r="63" spans="1:18" ht="41.45" customHeight="1" x14ac:dyDescent="0.25">
      <c r="A63" s="19"/>
      <c r="B63" s="3"/>
      <c r="C63" s="22"/>
      <c r="D63" s="22"/>
      <c r="E63" s="22"/>
      <c r="F63" s="21"/>
      <c r="G63" s="21"/>
      <c r="H63" s="21"/>
      <c r="I63" s="21"/>
      <c r="J63" s="21"/>
      <c r="K63" s="21"/>
      <c r="L63" s="102"/>
      <c r="M63" s="102"/>
      <c r="N63" s="102"/>
      <c r="O63" s="102"/>
      <c r="P63" s="102"/>
      <c r="Q63" s="102"/>
      <c r="R63" s="103"/>
    </row>
    <row r="64" spans="1:18" ht="41.45" customHeight="1" x14ac:dyDescent="0.25">
      <c r="A64" s="19"/>
      <c r="B64" s="3"/>
      <c r="C64" s="22"/>
      <c r="D64" s="22"/>
      <c r="E64" s="22"/>
      <c r="F64" s="21"/>
      <c r="G64" s="21"/>
      <c r="H64" s="21"/>
      <c r="I64" s="21"/>
      <c r="J64" s="21"/>
      <c r="K64" s="21"/>
      <c r="L64" s="102"/>
      <c r="M64" s="102"/>
      <c r="N64" s="102"/>
      <c r="O64" s="102"/>
      <c r="P64" s="102"/>
      <c r="Q64" s="102"/>
      <c r="R64" s="103"/>
    </row>
    <row r="65" spans="1:18" ht="41.45" customHeight="1" x14ac:dyDescent="0.25">
      <c r="A65" s="19"/>
      <c r="B65" s="3"/>
      <c r="C65" s="22"/>
      <c r="D65" s="22"/>
      <c r="E65" s="22"/>
      <c r="F65" s="21"/>
      <c r="G65" s="21"/>
      <c r="H65" s="21"/>
      <c r="I65" s="21"/>
      <c r="J65" s="21"/>
      <c r="K65" s="21"/>
      <c r="L65" s="102"/>
      <c r="M65" s="102"/>
      <c r="N65" s="102"/>
      <c r="O65" s="102"/>
      <c r="P65" s="102"/>
      <c r="Q65" s="102"/>
      <c r="R65" s="103"/>
    </row>
    <row r="66" spans="1:18" ht="41.45" customHeight="1" x14ac:dyDescent="0.25">
      <c r="A66" s="19"/>
      <c r="B66" s="3"/>
      <c r="C66" s="22"/>
      <c r="D66" s="22"/>
      <c r="E66" s="22"/>
      <c r="F66" s="21"/>
      <c r="G66" s="21"/>
      <c r="H66" s="21"/>
      <c r="I66" s="21"/>
      <c r="J66" s="21"/>
      <c r="K66" s="21"/>
      <c r="L66" s="102"/>
      <c r="M66" s="102"/>
      <c r="N66" s="102"/>
      <c r="O66" s="102"/>
      <c r="P66" s="102"/>
      <c r="Q66" s="102"/>
      <c r="R66" s="103"/>
    </row>
    <row r="67" spans="1:18" ht="41.45" customHeight="1" x14ac:dyDescent="0.25">
      <c r="A67" s="19"/>
      <c r="B67" s="3"/>
      <c r="C67" s="22"/>
      <c r="D67" s="22"/>
      <c r="E67" s="22"/>
      <c r="F67" s="21"/>
      <c r="G67" s="21"/>
      <c r="H67" s="21"/>
      <c r="I67" s="21"/>
      <c r="J67" s="21"/>
      <c r="K67" s="21"/>
      <c r="L67" s="102"/>
      <c r="M67" s="102"/>
      <c r="N67" s="102"/>
      <c r="O67" s="102"/>
      <c r="P67" s="102"/>
      <c r="Q67" s="102"/>
      <c r="R67" s="103"/>
    </row>
    <row r="68" spans="1:18" ht="41.45" customHeight="1" thickBot="1" x14ac:dyDescent="0.3">
      <c r="A68" s="20"/>
      <c r="B68" s="4"/>
      <c r="C68" s="26"/>
      <c r="D68" s="26"/>
      <c r="E68" s="26"/>
      <c r="F68" s="27"/>
      <c r="G68" s="27"/>
      <c r="H68" s="27"/>
      <c r="I68" s="27"/>
      <c r="J68" s="27"/>
      <c r="K68" s="27"/>
      <c r="L68" s="107"/>
      <c r="M68" s="107"/>
      <c r="N68" s="107"/>
      <c r="O68" s="107"/>
      <c r="P68" s="107"/>
      <c r="Q68" s="107"/>
      <c r="R68" s="108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109"/>
  <sheetViews>
    <sheetView view="pageBreakPreview" topLeftCell="B1" zoomScale="70" zoomScaleNormal="55" zoomScaleSheetLayoutView="70" workbookViewId="0">
      <selection activeCell="B11" sqref="B11"/>
    </sheetView>
  </sheetViews>
  <sheetFormatPr defaultColWidth="8.875" defaultRowHeight="23.25" x14ac:dyDescent="0.2"/>
  <cols>
    <col min="1" max="1" width="0" style="58" hidden="1" customWidth="1"/>
    <col min="2" max="2" width="19.25" style="58" customWidth="1"/>
    <col min="3" max="3" width="91.875" style="59" bestFit="1" customWidth="1"/>
    <col min="4" max="4" width="26.75" style="58" customWidth="1"/>
    <col min="5" max="5" width="30.125" style="58" customWidth="1"/>
    <col min="6" max="6" width="26.75" style="58" customWidth="1"/>
    <col min="7" max="7" width="33.125" style="58" customWidth="1"/>
    <col min="8" max="10" width="32" style="58" customWidth="1"/>
    <col min="11" max="16384" width="8.875" style="58"/>
  </cols>
  <sheetData>
    <row r="1" spans="2:10" ht="24" thickBot="1" x14ac:dyDescent="0.25">
      <c r="B1" s="109" t="s">
        <v>22</v>
      </c>
      <c r="C1" s="109"/>
      <c r="D1" s="109"/>
      <c r="E1" s="109"/>
      <c r="F1" s="109"/>
      <c r="G1" s="109"/>
      <c r="H1" s="109"/>
      <c r="I1" s="109"/>
      <c r="J1" s="109"/>
    </row>
    <row r="2" spans="2:10" ht="24" thickBot="1" x14ac:dyDescent="0.25">
      <c r="B2" s="115" t="s">
        <v>35</v>
      </c>
      <c r="C2" s="115" t="s">
        <v>23</v>
      </c>
      <c r="D2" s="110" t="s">
        <v>10</v>
      </c>
      <c r="E2" s="111"/>
      <c r="F2" s="111"/>
      <c r="G2" s="111"/>
      <c r="H2" s="112" t="s">
        <v>11</v>
      </c>
      <c r="I2" s="113"/>
      <c r="J2" s="114"/>
    </row>
    <row r="3" spans="2:10" ht="67.5" x14ac:dyDescent="0.2">
      <c r="B3" s="116"/>
      <c r="C3" s="116"/>
      <c r="D3" s="50" t="s">
        <v>2</v>
      </c>
      <c r="E3" s="51" t="s">
        <v>15</v>
      </c>
      <c r="F3" s="51" t="s">
        <v>16</v>
      </c>
      <c r="G3" s="51" t="s">
        <v>17</v>
      </c>
      <c r="H3" s="52" t="s">
        <v>12</v>
      </c>
      <c r="I3" s="52" t="s">
        <v>13</v>
      </c>
      <c r="J3" s="53" t="s">
        <v>14</v>
      </c>
    </row>
    <row r="4" spans="2:10" ht="46.5" x14ac:dyDescent="0.2">
      <c r="B4" s="70" t="s">
        <v>309</v>
      </c>
      <c r="C4" s="71" t="s">
        <v>24</v>
      </c>
      <c r="D4" s="22">
        <f>'67'!E62</f>
        <v>0</v>
      </c>
      <c r="E4" s="22">
        <f>'67'!F62</f>
        <v>77.592132807300004</v>
      </c>
      <c r="F4" s="22">
        <f>'67'!G62</f>
        <v>0</v>
      </c>
      <c r="G4" s="22">
        <f>'67'!H62</f>
        <v>0</v>
      </c>
      <c r="H4" s="22">
        <f>'67'!I62</f>
        <v>0</v>
      </c>
      <c r="I4" s="22">
        <f>'67'!J62</f>
        <v>77.592132807300004</v>
      </c>
      <c r="J4" s="22">
        <f>'67'!K62</f>
        <v>0</v>
      </c>
    </row>
    <row r="5" spans="2:10" ht="46.5" x14ac:dyDescent="0.2">
      <c r="B5" s="70" t="s">
        <v>315</v>
      </c>
      <c r="C5" s="71" t="s">
        <v>25</v>
      </c>
      <c r="D5" s="22">
        <f>'69'!E87</f>
        <v>38.430000000000007</v>
      </c>
      <c r="E5" s="22">
        <f>'69'!F87</f>
        <v>0</v>
      </c>
      <c r="F5" s="22">
        <f>'69'!G87</f>
        <v>0</v>
      </c>
      <c r="G5" s="22">
        <f>'69'!H87</f>
        <v>0</v>
      </c>
      <c r="H5" s="22">
        <f>'69'!I87</f>
        <v>33.590000000000003</v>
      </c>
      <c r="I5" s="22">
        <f>'69'!J87</f>
        <v>0</v>
      </c>
      <c r="J5" s="22">
        <f>'69'!K87</f>
        <v>4.84</v>
      </c>
    </row>
    <row r="6" spans="2:10" ht="46.5" x14ac:dyDescent="0.2">
      <c r="B6" s="70" t="s">
        <v>318</v>
      </c>
      <c r="C6" s="71" t="s">
        <v>26</v>
      </c>
      <c r="D6" s="22">
        <f>'71'!E84</f>
        <v>0</v>
      </c>
      <c r="E6" s="22">
        <f>'71'!F84</f>
        <v>25</v>
      </c>
      <c r="F6" s="22">
        <f>'71'!G84</f>
        <v>8</v>
      </c>
      <c r="G6" s="22">
        <f>'71'!H84</f>
        <v>0</v>
      </c>
      <c r="H6" s="22">
        <f>'71'!I84</f>
        <v>0</v>
      </c>
      <c r="I6" s="22">
        <f>'71'!J84</f>
        <v>33</v>
      </c>
      <c r="J6" s="22">
        <f>'71'!K84</f>
        <v>0</v>
      </c>
    </row>
    <row r="7" spans="2:10" ht="46.5" x14ac:dyDescent="0.2">
      <c r="B7" s="70" t="s">
        <v>322</v>
      </c>
      <c r="C7" s="71" t="s">
        <v>27</v>
      </c>
      <c r="D7" s="22">
        <f>'72'!E53</f>
        <v>0</v>
      </c>
      <c r="E7" s="22">
        <f>'72'!F53</f>
        <v>19.329999999999998</v>
      </c>
      <c r="F7" s="22">
        <f>'72'!G53</f>
        <v>0</v>
      </c>
      <c r="G7" s="22">
        <f>'72'!H53</f>
        <v>0</v>
      </c>
      <c r="H7" s="22">
        <f>'72'!I53</f>
        <v>0</v>
      </c>
      <c r="I7" s="22">
        <f>'72'!J53</f>
        <v>19.329999999999998</v>
      </c>
      <c r="J7" s="22">
        <f>'72'!K53</f>
        <v>0</v>
      </c>
    </row>
    <row r="8" spans="2:10" x14ac:dyDescent="0.2">
      <c r="B8" s="70" t="s">
        <v>325</v>
      </c>
      <c r="C8" s="71" t="s">
        <v>28</v>
      </c>
      <c r="D8" s="22">
        <f>'75'!E89</f>
        <v>0</v>
      </c>
      <c r="E8" s="22">
        <f>'75'!F89</f>
        <v>54.389999999999993</v>
      </c>
      <c r="F8" s="22">
        <f>'75'!G89</f>
        <v>0</v>
      </c>
      <c r="G8" s="22">
        <f>'75'!H89</f>
        <v>0</v>
      </c>
      <c r="H8" s="22">
        <f>'75'!I89</f>
        <v>0</v>
      </c>
      <c r="I8" s="22">
        <f>'75'!J89</f>
        <v>54.389999999999993</v>
      </c>
      <c r="J8" s="22">
        <f>'75'!K89</f>
        <v>0</v>
      </c>
    </row>
    <row r="9" spans="2:10" ht="46.5" x14ac:dyDescent="0.2">
      <c r="B9" s="70" t="s">
        <v>330</v>
      </c>
      <c r="C9" s="72" t="s">
        <v>29</v>
      </c>
      <c r="D9" s="22">
        <f>'76'!E89</f>
        <v>0</v>
      </c>
      <c r="E9" s="22">
        <f>'76'!F89</f>
        <v>0</v>
      </c>
      <c r="F9" s="22">
        <f>'76'!G89</f>
        <v>0</v>
      </c>
      <c r="G9" s="22">
        <f>'76'!H89</f>
        <v>0</v>
      </c>
      <c r="H9" s="22">
        <f>'76'!I89</f>
        <v>0</v>
      </c>
      <c r="I9" s="22">
        <f>'76'!J89</f>
        <v>0</v>
      </c>
      <c r="J9" s="22">
        <f>'76'!K89</f>
        <v>0</v>
      </c>
    </row>
    <row r="10" spans="2:10" ht="44.45" customHeight="1" x14ac:dyDescent="0.2">
      <c r="B10" s="66" t="s">
        <v>335</v>
      </c>
      <c r="C10" s="72" t="s">
        <v>30</v>
      </c>
      <c r="D10" s="22">
        <f>'79'!E69</f>
        <v>0</v>
      </c>
      <c r="E10" s="22">
        <f>'79'!F69</f>
        <v>26.59</v>
      </c>
      <c r="F10" s="22">
        <f>'79'!G69</f>
        <v>2</v>
      </c>
      <c r="G10" s="22">
        <f>'79'!H69</f>
        <v>0</v>
      </c>
      <c r="H10" s="22">
        <f>'79'!I69</f>
        <v>0</v>
      </c>
      <c r="I10" s="22">
        <f>'79'!J69</f>
        <v>28.59</v>
      </c>
      <c r="J10" s="22">
        <f>'79'!K69</f>
        <v>0</v>
      </c>
    </row>
    <row r="11" spans="2:10" ht="46.5" x14ac:dyDescent="0.2">
      <c r="B11" s="66" t="s">
        <v>338</v>
      </c>
      <c r="C11" s="72" t="s">
        <v>31</v>
      </c>
      <c r="D11" s="22">
        <f>'76'!E89</f>
        <v>0</v>
      </c>
      <c r="E11" s="22">
        <f>'76'!F89</f>
        <v>0</v>
      </c>
      <c r="F11" s="22">
        <f>'76'!G89</f>
        <v>0</v>
      </c>
      <c r="G11" s="22">
        <f>'76'!H89</f>
        <v>0</v>
      </c>
      <c r="H11" s="22">
        <f>'76'!I89</f>
        <v>0</v>
      </c>
      <c r="I11" s="22">
        <f>'76'!J89</f>
        <v>0</v>
      </c>
      <c r="J11" s="22">
        <f>'76'!K89</f>
        <v>0</v>
      </c>
    </row>
    <row r="12" spans="2:10" ht="46.5" x14ac:dyDescent="0.2">
      <c r="B12" s="70" t="s">
        <v>345</v>
      </c>
      <c r="C12" s="73" t="s">
        <v>32</v>
      </c>
      <c r="D12" s="22">
        <f>'82'!E108</f>
        <v>0</v>
      </c>
      <c r="E12" s="22">
        <f>'82'!F108</f>
        <v>47.36</v>
      </c>
      <c r="F12" s="22">
        <f>'82'!G108</f>
        <v>0</v>
      </c>
      <c r="G12" s="22">
        <f>'82'!H108</f>
        <v>0</v>
      </c>
      <c r="H12" s="22">
        <f>'82'!I108</f>
        <v>0</v>
      </c>
      <c r="I12" s="22">
        <f>'82'!J108</f>
        <v>47.36</v>
      </c>
      <c r="J12" s="22">
        <f>'82'!K108</f>
        <v>0</v>
      </c>
    </row>
    <row r="13" spans="2:10" ht="46.5" x14ac:dyDescent="0.2">
      <c r="B13" s="70" t="s">
        <v>348</v>
      </c>
      <c r="C13" s="73" t="s">
        <v>33</v>
      </c>
      <c r="D13" s="22">
        <f>'83'!E62</f>
        <v>0</v>
      </c>
      <c r="E13" s="22">
        <f>'83'!F62</f>
        <v>31.73</v>
      </c>
      <c r="F13" s="22">
        <f>'83'!G62</f>
        <v>0</v>
      </c>
      <c r="G13" s="22">
        <f>'83'!H62</f>
        <v>0</v>
      </c>
      <c r="H13" s="22">
        <f>'83'!I62</f>
        <v>0</v>
      </c>
      <c r="I13" s="22">
        <f>'83'!J62</f>
        <v>31.73</v>
      </c>
      <c r="J13" s="22">
        <f>'83'!K62</f>
        <v>0</v>
      </c>
    </row>
    <row r="14" spans="2:10" ht="46.5" x14ac:dyDescent="0.2">
      <c r="B14" s="21" t="s">
        <v>351</v>
      </c>
      <c r="C14" s="54" t="s">
        <v>34</v>
      </c>
      <c r="D14" s="22">
        <f>'84'!E62</f>
        <v>0</v>
      </c>
      <c r="E14" s="22">
        <f>'84'!F62</f>
        <v>41.521689058500002</v>
      </c>
      <c r="F14" s="22">
        <f>'84'!G62</f>
        <v>0</v>
      </c>
      <c r="G14" s="22">
        <f>'84'!H62</f>
        <v>0</v>
      </c>
      <c r="H14" s="22">
        <f>'84'!I62</f>
        <v>0</v>
      </c>
      <c r="I14" s="22">
        <f>'84'!J62</f>
        <v>41.521689058500002</v>
      </c>
      <c r="J14" s="22">
        <f>'84'!K62</f>
        <v>0</v>
      </c>
    </row>
    <row r="15" spans="2:10" ht="30" customHeight="1" x14ac:dyDescent="0.2"/>
    <row r="16" spans="2:10" ht="30" customHeight="1" x14ac:dyDescent="0.2">
      <c r="B16" s="78" t="s">
        <v>359</v>
      </c>
      <c r="C16" s="78"/>
      <c r="D16" s="56">
        <f>SUM(D4:D14)</f>
        <v>38.430000000000007</v>
      </c>
      <c r="E16" s="56">
        <f t="shared" ref="E16:J16" si="0">SUM(E4:E14)</f>
        <v>323.51382186580003</v>
      </c>
      <c r="F16" s="56">
        <f t="shared" si="0"/>
        <v>10</v>
      </c>
      <c r="G16" s="56">
        <f t="shared" si="0"/>
        <v>0</v>
      </c>
      <c r="H16" s="56">
        <f t="shared" si="0"/>
        <v>33.590000000000003</v>
      </c>
      <c r="I16" s="56">
        <f t="shared" si="0"/>
        <v>333.51382186579997</v>
      </c>
      <c r="J16" s="56">
        <f t="shared" si="0"/>
        <v>4.84</v>
      </c>
    </row>
    <row r="17" spans="2:10" ht="30" customHeight="1" x14ac:dyDescent="0.2">
      <c r="B17" s="78" t="s">
        <v>360</v>
      </c>
      <c r="C17" s="78"/>
      <c r="G17" s="56">
        <f>SUM(D16:G16)</f>
        <v>371.94382186580003</v>
      </c>
    </row>
    <row r="18" spans="2:10" ht="30" customHeight="1" x14ac:dyDescent="0.2">
      <c r="B18" s="78" t="s">
        <v>361</v>
      </c>
      <c r="C18" s="78"/>
      <c r="G18" s="57">
        <f>G17/Trechos!H275</f>
        <v>0.67973482733007073</v>
      </c>
      <c r="J18" s="55"/>
    </row>
    <row r="19" spans="2:10" ht="30" customHeight="1" x14ac:dyDescent="0.2"/>
    <row r="20" spans="2:10" ht="30" customHeight="1" x14ac:dyDescent="0.2"/>
    <row r="21" spans="2:10" ht="30" customHeight="1" x14ac:dyDescent="0.2"/>
    <row r="22" spans="2:10" ht="30" customHeight="1" x14ac:dyDescent="0.2"/>
    <row r="23" spans="2:10" ht="30" customHeight="1" x14ac:dyDescent="0.2"/>
    <row r="24" spans="2:10" ht="30" customHeight="1" x14ac:dyDescent="0.2"/>
    <row r="25" spans="2:10" ht="30" customHeight="1" x14ac:dyDescent="0.2"/>
    <row r="26" spans="2:10" ht="30" customHeight="1" x14ac:dyDescent="0.2"/>
    <row r="27" spans="2:10" ht="30" customHeight="1" x14ac:dyDescent="0.2"/>
    <row r="28" spans="2:10" ht="30" customHeight="1" x14ac:dyDescent="0.2"/>
    <row r="29" spans="2:10" ht="30" customHeight="1" x14ac:dyDescent="0.2"/>
    <row r="30" spans="2:10" ht="30" customHeight="1" x14ac:dyDescent="0.2"/>
    <row r="31" spans="2:10" ht="30" customHeight="1" x14ac:dyDescent="0.2"/>
    <row r="32" spans="2:10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</sheetData>
  <mergeCells count="8">
    <mergeCell ref="B17:C17"/>
    <mergeCell ref="B18:C18"/>
    <mergeCell ref="B1:J1"/>
    <mergeCell ref="B16:C16"/>
    <mergeCell ref="D2:G2"/>
    <mergeCell ref="H2:J2"/>
    <mergeCell ref="C2:C3"/>
    <mergeCell ref="B2:B3"/>
  </mergeCells>
  <pageMargins left="0.511811024" right="0.511811024" top="0.78740157499999996" bottom="0.78740157499999996" header="0.31496062000000002" footer="0.31496062000000002"/>
  <pageSetup paperSize="9" scale="28" orientation="portrait" horizontalDpi="1200" verticalDpi="1200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13</vt:i4>
      </vt:variant>
    </vt:vector>
  </HeadingPairs>
  <TitlesOfParts>
    <vt:vector size="26" baseType="lpstr">
      <vt:lpstr>Trechos</vt:lpstr>
      <vt:lpstr>67</vt:lpstr>
      <vt:lpstr>69</vt:lpstr>
      <vt:lpstr>71</vt:lpstr>
      <vt:lpstr>72</vt:lpstr>
      <vt:lpstr>75</vt:lpstr>
      <vt:lpstr>76</vt:lpstr>
      <vt:lpstr>79</vt:lpstr>
      <vt:lpstr>81</vt:lpstr>
      <vt:lpstr>82</vt:lpstr>
      <vt:lpstr>83</vt:lpstr>
      <vt:lpstr>84</vt:lpstr>
      <vt:lpstr>TT</vt:lpstr>
      <vt:lpstr>'67'!Area_de_impressao</vt:lpstr>
      <vt:lpstr>'69'!Area_de_impressao</vt:lpstr>
      <vt:lpstr>'71'!Area_de_impressao</vt:lpstr>
      <vt:lpstr>'72'!Area_de_impressao</vt:lpstr>
      <vt:lpstr>'75'!Area_de_impressao</vt:lpstr>
      <vt:lpstr>'76'!Area_de_impressao</vt:lpstr>
      <vt:lpstr>'79'!Area_de_impressao</vt:lpstr>
      <vt:lpstr>'81'!Area_de_impressao</vt:lpstr>
      <vt:lpstr>'82'!Area_de_impressao</vt:lpstr>
      <vt:lpstr>'83'!Area_de_impressao</vt:lpstr>
      <vt:lpstr>'84'!Area_de_impressao</vt:lpstr>
      <vt:lpstr>TT!Area_de_impressao</vt:lpstr>
      <vt:lpstr>'75'!Titulos_de_impressao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CLIENTE</cp:lastModifiedBy>
  <cp:lastPrinted>2025-08-14T18:20:02Z</cp:lastPrinted>
  <dcterms:created xsi:type="dcterms:W3CDTF">2025-07-22T11:15:05Z</dcterms:created>
  <dcterms:modified xsi:type="dcterms:W3CDTF">2026-07-30T09:33:20Z</dcterms:modified>
</cp:coreProperties>
</file>