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/>
  <mc:AlternateContent xmlns:mc="http://schemas.openxmlformats.org/markup-compatibility/2006">
    <mc:Choice Requires="x15">
      <x15ac:absPath xmlns:x15ac="http://schemas.microsoft.com/office/spreadsheetml/2010/11/ac" url="F:\O.S LOTE 01\PLANILHAS SUPERVISÃO\JULHO\"/>
    </mc:Choice>
  </mc:AlternateContent>
  <xr:revisionPtr revIDLastSave="0" documentId="13_ncr:1_{D477AC83-FBEF-480A-A429-7A203BF4581A}" xr6:coauthVersionLast="36" xr6:coauthVersionMax="36" xr10:uidLastSave="{00000000-0000-0000-0000-000000000000}"/>
  <bookViews>
    <workbookView xWindow="0" yWindow="0" windowWidth="23040" windowHeight="9075" activeTab="1" xr2:uid="{00000000-000D-0000-FFFF-FFFF00000000}"/>
  </bookViews>
  <sheets>
    <sheet name="Trechos" sheetId="21" r:id="rId1"/>
    <sheet name="46" sheetId="3" r:id="rId2"/>
    <sheet name="47" sheetId="12" r:id="rId3"/>
    <sheet name="48" sheetId="13" r:id="rId4"/>
    <sheet name="49" sheetId="14" r:id="rId5"/>
    <sheet name="59" sheetId="15" r:id="rId6"/>
    <sheet name="60" sheetId="16" r:id="rId7"/>
    <sheet name="62" sheetId="17" r:id="rId8"/>
    <sheet name="64" sheetId="18" r:id="rId9"/>
    <sheet name="65" sheetId="19" r:id="rId10"/>
    <sheet name="66" sheetId="20" r:id="rId11"/>
    <sheet name="TT" sheetId="2" r:id="rId12"/>
  </sheets>
  <definedNames>
    <definedName name="_xlnm.Print_Area" localSheetId="1">'46'!$A$1:$R$34</definedName>
    <definedName name="_xlnm.Print_Area" localSheetId="2">'47'!$A$1:$R$33</definedName>
    <definedName name="_xlnm.Print_Area" localSheetId="3">'48'!$A$1:$R$34</definedName>
    <definedName name="_xlnm.Print_Area" localSheetId="4">'49'!$A$1:$R$34</definedName>
    <definedName name="_xlnm.Print_Area" localSheetId="5">'59'!$A$1:$R$34</definedName>
    <definedName name="_xlnm.Print_Area" localSheetId="6">'60'!$A$1:$R$43</definedName>
    <definedName name="_xlnm.Print_Area" localSheetId="7">'62'!$A$1:$R$34</definedName>
    <definedName name="_xlnm.Print_Area" localSheetId="8">'64'!$A$1:$R$34</definedName>
    <definedName name="_xlnm.Print_Area" localSheetId="9">'65'!$A$1:$R$34</definedName>
    <definedName name="_xlnm.Print_Area" localSheetId="10">'66'!$A$1:$R$34</definedName>
    <definedName name="_xlnm.Print_Area" localSheetId="11">TT!$A$1:$J$19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20" l="1"/>
  <c r="N1" i="19"/>
  <c r="N1" i="18"/>
  <c r="N1" i="17"/>
  <c r="N1" i="16"/>
  <c r="N1" i="15"/>
  <c r="N1" i="14"/>
  <c r="N1" i="13"/>
  <c r="N1" i="12"/>
  <c r="J1" i="20"/>
  <c r="J1" i="19"/>
  <c r="J1" i="18"/>
  <c r="J1" i="17"/>
  <c r="J1" i="16"/>
  <c r="J1" i="15"/>
  <c r="J1" i="14"/>
  <c r="J1" i="12"/>
  <c r="J1" i="13"/>
  <c r="F37" i="17"/>
  <c r="G37" i="17"/>
  <c r="H37" i="17"/>
  <c r="J37" i="17"/>
  <c r="K37" i="17"/>
  <c r="F38" i="17"/>
  <c r="H38" i="17"/>
  <c r="J38" i="17"/>
  <c r="K38" i="17"/>
  <c r="E39" i="17"/>
  <c r="H39" i="17"/>
  <c r="J39" i="17"/>
  <c r="K39" i="17"/>
  <c r="E40" i="17"/>
  <c r="H40" i="17"/>
  <c r="J40" i="17"/>
  <c r="K40" i="17"/>
  <c r="E41" i="17"/>
  <c r="F41" i="17"/>
  <c r="H41" i="17"/>
  <c r="I41" i="17"/>
  <c r="K41" i="17"/>
  <c r="E42" i="17"/>
  <c r="H42" i="17"/>
  <c r="I42" i="17"/>
  <c r="K42" i="17"/>
  <c r="F43" i="17"/>
  <c r="H43" i="17"/>
  <c r="I43" i="17"/>
  <c r="K43" i="17"/>
  <c r="E44" i="17"/>
  <c r="H44" i="17"/>
  <c r="I44" i="17"/>
  <c r="K44" i="17"/>
  <c r="E45" i="17"/>
  <c r="F45" i="17"/>
  <c r="H45" i="17"/>
  <c r="J45" i="17"/>
  <c r="K45" i="17"/>
  <c r="E46" i="17"/>
  <c r="F46" i="17"/>
  <c r="H46" i="17"/>
  <c r="J46" i="17"/>
  <c r="K46" i="17"/>
  <c r="F47" i="17"/>
  <c r="H47" i="17"/>
  <c r="J47" i="17"/>
  <c r="K47" i="17"/>
  <c r="E48" i="17"/>
  <c r="F48" i="17"/>
  <c r="G48" i="17"/>
  <c r="H48" i="17"/>
  <c r="I48" i="17"/>
  <c r="J48" i="17"/>
  <c r="K48" i="17"/>
  <c r="E49" i="17"/>
  <c r="F49" i="17"/>
  <c r="G49" i="17"/>
  <c r="H49" i="17"/>
  <c r="I49" i="17"/>
  <c r="J49" i="17"/>
  <c r="K49" i="17"/>
  <c r="E50" i="17"/>
  <c r="F50" i="17"/>
  <c r="G50" i="17"/>
  <c r="H50" i="17"/>
  <c r="I50" i="17"/>
  <c r="J50" i="17"/>
  <c r="K50" i="17"/>
  <c r="E51" i="17"/>
  <c r="F51" i="17"/>
  <c r="G51" i="17"/>
  <c r="H51" i="17"/>
  <c r="I51" i="17"/>
  <c r="J51" i="17"/>
  <c r="K51" i="17"/>
  <c r="E52" i="17"/>
  <c r="F52" i="17"/>
  <c r="G52" i="17"/>
  <c r="H52" i="17"/>
  <c r="I52" i="17"/>
  <c r="J52" i="17"/>
  <c r="K52" i="17"/>
  <c r="E53" i="17"/>
  <c r="F53" i="17"/>
  <c r="G53" i="17"/>
  <c r="H53" i="17"/>
  <c r="I53" i="17"/>
  <c r="J53" i="17"/>
  <c r="K53" i="17"/>
  <c r="E54" i="17"/>
  <c r="F54" i="17"/>
  <c r="G54" i="17"/>
  <c r="H54" i="17"/>
  <c r="I54" i="17"/>
  <c r="J54" i="17"/>
  <c r="K54" i="17"/>
  <c r="E55" i="17"/>
  <c r="F55" i="17"/>
  <c r="G55" i="17"/>
  <c r="H55" i="17"/>
  <c r="I55" i="17"/>
  <c r="J55" i="17"/>
  <c r="K55" i="17"/>
  <c r="E56" i="17"/>
  <c r="F56" i="17"/>
  <c r="G56" i="17"/>
  <c r="H56" i="17"/>
  <c r="I56" i="17"/>
  <c r="J56" i="17"/>
  <c r="K56" i="17"/>
  <c r="E57" i="17"/>
  <c r="F57" i="17"/>
  <c r="G57" i="17"/>
  <c r="H57" i="17"/>
  <c r="I57" i="17"/>
  <c r="J57" i="17"/>
  <c r="K57" i="17"/>
  <c r="E58" i="17"/>
  <c r="F58" i="17"/>
  <c r="G58" i="17"/>
  <c r="H58" i="17"/>
  <c r="I58" i="17"/>
  <c r="J58" i="17"/>
  <c r="K58" i="17"/>
  <c r="E59" i="17"/>
  <c r="F59" i="17"/>
  <c r="G59" i="17"/>
  <c r="H59" i="17"/>
  <c r="I59" i="17"/>
  <c r="J59" i="17"/>
  <c r="K59" i="17"/>
  <c r="E60" i="17"/>
  <c r="F60" i="17"/>
  <c r="G60" i="17"/>
  <c r="H60" i="17"/>
  <c r="I60" i="17"/>
  <c r="J60" i="17"/>
  <c r="K60" i="17"/>
  <c r="E61" i="17"/>
  <c r="F61" i="17"/>
  <c r="G61" i="17"/>
  <c r="H61" i="17"/>
  <c r="I61" i="17"/>
  <c r="J61" i="17"/>
  <c r="K61" i="17"/>
  <c r="C9" i="17"/>
  <c r="G38" i="17" s="1"/>
  <c r="C10" i="17"/>
  <c r="G39" i="17" s="1"/>
  <c r="C11" i="17"/>
  <c r="F40" i="17" s="1"/>
  <c r="C12" i="17"/>
  <c r="J41" i="17" s="1"/>
  <c r="C13" i="17"/>
  <c r="G42" i="17" s="1"/>
  <c r="C14" i="17"/>
  <c r="G43" i="17" s="1"/>
  <c r="C15" i="17"/>
  <c r="F44" i="17" s="1"/>
  <c r="C16" i="17"/>
  <c r="G45" i="17" s="1"/>
  <c r="C17" i="17"/>
  <c r="I46" i="17" s="1"/>
  <c r="C18" i="17"/>
  <c r="G47" i="17" s="1"/>
  <c r="C8" i="17"/>
  <c r="E74" i="16"/>
  <c r="F74" i="16"/>
  <c r="G74" i="16"/>
  <c r="H74" i="16"/>
  <c r="I74" i="16"/>
  <c r="J74" i="16"/>
  <c r="K74" i="16"/>
  <c r="F67" i="16"/>
  <c r="G67" i="16"/>
  <c r="H67" i="16"/>
  <c r="K67" i="16"/>
  <c r="G68" i="16"/>
  <c r="H68" i="16"/>
  <c r="K68" i="16"/>
  <c r="G69" i="16"/>
  <c r="H69" i="16"/>
  <c r="K69" i="16"/>
  <c r="G70" i="16"/>
  <c r="H70" i="16"/>
  <c r="I70" i="16"/>
  <c r="J70" i="16"/>
  <c r="F71" i="16"/>
  <c r="G71" i="16"/>
  <c r="H71" i="16"/>
  <c r="J71" i="16"/>
  <c r="F72" i="16"/>
  <c r="G72" i="16"/>
  <c r="H72" i="16"/>
  <c r="J72" i="16"/>
  <c r="F73" i="16"/>
  <c r="G73" i="16"/>
  <c r="H73" i="16"/>
  <c r="J73" i="16"/>
  <c r="F46" i="16"/>
  <c r="G46" i="16"/>
  <c r="H46" i="16"/>
  <c r="J46" i="16"/>
  <c r="K46" i="16"/>
  <c r="F47" i="16"/>
  <c r="H47" i="16"/>
  <c r="J47" i="16"/>
  <c r="F48" i="16"/>
  <c r="H48" i="16"/>
  <c r="J48" i="16"/>
  <c r="G49" i="16"/>
  <c r="H49" i="16"/>
  <c r="J49" i="16"/>
  <c r="F50" i="16"/>
  <c r="G50" i="16"/>
  <c r="H50" i="16"/>
  <c r="I50" i="16"/>
  <c r="K50" i="16"/>
  <c r="F51" i="16"/>
  <c r="G51" i="16"/>
  <c r="H51" i="16"/>
  <c r="J51" i="16"/>
  <c r="G52" i="16"/>
  <c r="H52" i="16"/>
  <c r="K52" i="16"/>
  <c r="G53" i="16"/>
  <c r="H53" i="16"/>
  <c r="J53" i="16"/>
  <c r="G54" i="16"/>
  <c r="H54" i="16"/>
  <c r="I54" i="16"/>
  <c r="K54" i="16"/>
  <c r="F55" i="16"/>
  <c r="G55" i="16"/>
  <c r="H55" i="16"/>
  <c r="K55" i="16"/>
  <c r="F56" i="16"/>
  <c r="G56" i="16"/>
  <c r="H56" i="16"/>
  <c r="K56" i="16"/>
  <c r="F57" i="16"/>
  <c r="G57" i="16"/>
  <c r="H57" i="16"/>
  <c r="K57" i="16"/>
  <c r="F58" i="16"/>
  <c r="G58" i="16"/>
  <c r="H58" i="16"/>
  <c r="I58" i="16"/>
  <c r="K58" i="16"/>
  <c r="G59" i="16"/>
  <c r="H59" i="16"/>
  <c r="K59" i="16"/>
  <c r="G60" i="16"/>
  <c r="H60" i="16"/>
  <c r="K60" i="16"/>
  <c r="F61" i="16"/>
  <c r="G61" i="16"/>
  <c r="H61" i="16"/>
  <c r="J61" i="16"/>
  <c r="F62" i="16"/>
  <c r="G62" i="16"/>
  <c r="H62" i="16"/>
  <c r="I62" i="16"/>
  <c r="J62" i="16"/>
  <c r="G63" i="16"/>
  <c r="H63" i="16"/>
  <c r="J63" i="16"/>
  <c r="G64" i="16"/>
  <c r="H64" i="16"/>
  <c r="K64" i="16"/>
  <c r="F65" i="16"/>
  <c r="G65" i="16"/>
  <c r="H65" i="16"/>
  <c r="K65" i="16"/>
  <c r="F66" i="16"/>
  <c r="G66" i="16"/>
  <c r="H66" i="16"/>
  <c r="I66" i="16"/>
  <c r="K66" i="16"/>
  <c r="E37" i="12"/>
  <c r="F37" i="12"/>
  <c r="G37" i="12"/>
  <c r="H37" i="12"/>
  <c r="I37" i="12"/>
  <c r="J37" i="12"/>
  <c r="K37" i="12"/>
  <c r="E38" i="12"/>
  <c r="F38" i="12"/>
  <c r="G38" i="12"/>
  <c r="H38" i="12"/>
  <c r="I38" i="12"/>
  <c r="J38" i="12"/>
  <c r="K38" i="12"/>
  <c r="E39" i="12"/>
  <c r="F39" i="12"/>
  <c r="G39" i="12"/>
  <c r="H39" i="12"/>
  <c r="I39" i="12"/>
  <c r="J39" i="12"/>
  <c r="K39" i="12"/>
  <c r="E40" i="12"/>
  <c r="F40" i="12"/>
  <c r="G40" i="12"/>
  <c r="H40" i="12"/>
  <c r="I40" i="12"/>
  <c r="J40" i="12"/>
  <c r="K40" i="12"/>
  <c r="E41" i="12"/>
  <c r="F41" i="12"/>
  <c r="G41" i="12"/>
  <c r="H41" i="12"/>
  <c r="I41" i="12"/>
  <c r="J41" i="12"/>
  <c r="K41" i="12"/>
  <c r="E42" i="12"/>
  <c r="F42" i="12"/>
  <c r="G42" i="12"/>
  <c r="H42" i="12"/>
  <c r="I42" i="12"/>
  <c r="J42" i="12"/>
  <c r="K42" i="12"/>
  <c r="E43" i="12"/>
  <c r="F43" i="12"/>
  <c r="G43" i="12"/>
  <c r="H43" i="12"/>
  <c r="I43" i="12"/>
  <c r="J43" i="12"/>
  <c r="K43" i="12"/>
  <c r="E44" i="12"/>
  <c r="F44" i="12"/>
  <c r="G44" i="12"/>
  <c r="H44" i="12"/>
  <c r="I44" i="12"/>
  <c r="J44" i="12"/>
  <c r="K44" i="12"/>
  <c r="E45" i="12"/>
  <c r="F45" i="12"/>
  <c r="G45" i="12"/>
  <c r="H45" i="12"/>
  <c r="I45" i="12"/>
  <c r="J45" i="12"/>
  <c r="K45" i="12"/>
  <c r="E46" i="12"/>
  <c r="F46" i="12"/>
  <c r="G46" i="12"/>
  <c r="H46" i="12"/>
  <c r="I46" i="12"/>
  <c r="J46" i="12"/>
  <c r="K46" i="12"/>
  <c r="E47" i="12"/>
  <c r="G47" i="12"/>
  <c r="H47" i="12"/>
  <c r="I47" i="12"/>
  <c r="K47" i="12"/>
  <c r="E48" i="12"/>
  <c r="F48" i="12"/>
  <c r="G48" i="12"/>
  <c r="H48" i="12"/>
  <c r="I48" i="12"/>
  <c r="J48" i="12"/>
  <c r="K48" i="12"/>
  <c r="E49" i="12"/>
  <c r="F49" i="12"/>
  <c r="G49" i="12"/>
  <c r="H49" i="12"/>
  <c r="I49" i="12"/>
  <c r="J49" i="12"/>
  <c r="K49" i="12"/>
  <c r="E50" i="12"/>
  <c r="F50" i="12"/>
  <c r="G50" i="12"/>
  <c r="H50" i="12"/>
  <c r="I50" i="12"/>
  <c r="J50" i="12"/>
  <c r="K50" i="12"/>
  <c r="E51" i="12"/>
  <c r="F51" i="12"/>
  <c r="G51" i="12"/>
  <c r="H51" i="12"/>
  <c r="I51" i="12"/>
  <c r="J51" i="12"/>
  <c r="K51" i="12"/>
  <c r="E52" i="12"/>
  <c r="F52" i="12"/>
  <c r="G52" i="12"/>
  <c r="H52" i="12"/>
  <c r="I52" i="12"/>
  <c r="J52" i="12"/>
  <c r="K52" i="12"/>
  <c r="E53" i="12"/>
  <c r="F53" i="12"/>
  <c r="G53" i="12"/>
  <c r="H53" i="12"/>
  <c r="I53" i="12"/>
  <c r="J53" i="12"/>
  <c r="K53" i="12"/>
  <c r="E54" i="12"/>
  <c r="F54" i="12"/>
  <c r="G54" i="12"/>
  <c r="H54" i="12"/>
  <c r="I54" i="12"/>
  <c r="J54" i="12"/>
  <c r="K54" i="12"/>
  <c r="E55" i="12"/>
  <c r="F55" i="12"/>
  <c r="G55" i="12"/>
  <c r="H55" i="12"/>
  <c r="I55" i="12"/>
  <c r="J55" i="12"/>
  <c r="K55" i="12"/>
  <c r="E56" i="12"/>
  <c r="F56" i="12"/>
  <c r="G56" i="12"/>
  <c r="H56" i="12"/>
  <c r="I56" i="12"/>
  <c r="J56" i="12"/>
  <c r="K56" i="12"/>
  <c r="E57" i="12"/>
  <c r="F57" i="12"/>
  <c r="G57" i="12"/>
  <c r="H57" i="12"/>
  <c r="I57" i="12"/>
  <c r="J57" i="12"/>
  <c r="K57" i="12"/>
  <c r="E58" i="12"/>
  <c r="F58" i="12"/>
  <c r="G58" i="12"/>
  <c r="H58" i="12"/>
  <c r="I58" i="12"/>
  <c r="J58" i="12"/>
  <c r="K58" i="12"/>
  <c r="E59" i="12"/>
  <c r="F59" i="12"/>
  <c r="G59" i="12"/>
  <c r="H59" i="12"/>
  <c r="I59" i="12"/>
  <c r="J59" i="12"/>
  <c r="K59" i="12"/>
  <c r="E60" i="12"/>
  <c r="F60" i="12"/>
  <c r="G60" i="12"/>
  <c r="H60" i="12"/>
  <c r="I60" i="12"/>
  <c r="J60" i="12"/>
  <c r="K60" i="12"/>
  <c r="C35" i="16"/>
  <c r="K73" i="16" s="1"/>
  <c r="C34" i="16"/>
  <c r="K72" i="16" s="1"/>
  <c r="C33" i="16"/>
  <c r="E71" i="16" s="1"/>
  <c r="C32" i="16"/>
  <c r="F70" i="16" s="1"/>
  <c r="C31" i="16"/>
  <c r="F69" i="16" s="1"/>
  <c r="C30" i="16"/>
  <c r="F68" i="16" s="1"/>
  <c r="C29" i="16"/>
  <c r="E67" i="16" s="1"/>
  <c r="C28" i="16"/>
  <c r="E66" i="16" s="1"/>
  <c r="C27" i="16"/>
  <c r="J65" i="16" s="1"/>
  <c r="C26" i="16"/>
  <c r="F64" i="16" s="1"/>
  <c r="C25" i="16"/>
  <c r="F63" i="16" s="1"/>
  <c r="C24" i="16"/>
  <c r="E62" i="16" s="1"/>
  <c r="C23" i="16"/>
  <c r="K61" i="16" s="1"/>
  <c r="C22" i="16"/>
  <c r="F60" i="16" s="1"/>
  <c r="C21" i="16"/>
  <c r="F59" i="16" s="1"/>
  <c r="C20" i="16"/>
  <c r="E58" i="16" s="1"/>
  <c r="C19" i="16"/>
  <c r="E57" i="16" s="1"/>
  <c r="C18" i="16"/>
  <c r="J56" i="16" s="1"/>
  <c r="C17" i="16"/>
  <c r="J55" i="16" s="1"/>
  <c r="C16" i="16"/>
  <c r="F54" i="16" s="1"/>
  <c r="C15" i="16"/>
  <c r="K53" i="16" s="1"/>
  <c r="C14" i="16"/>
  <c r="F52" i="16" s="1"/>
  <c r="C13" i="16"/>
  <c r="K51" i="16" s="1"/>
  <c r="C12" i="16"/>
  <c r="E50" i="16" s="1"/>
  <c r="C11" i="16"/>
  <c r="K49" i="16" s="1"/>
  <c r="C10" i="16"/>
  <c r="G48" i="16" s="1"/>
  <c r="C9" i="16"/>
  <c r="K47" i="16" s="1"/>
  <c r="C8" i="16"/>
  <c r="E46" i="16" s="1"/>
  <c r="E49" i="16" l="1"/>
  <c r="G46" i="17"/>
  <c r="I65" i="16"/>
  <c r="E64" i="16"/>
  <c r="I61" i="16"/>
  <c r="E60" i="16"/>
  <c r="I57" i="16"/>
  <c r="I53" i="16"/>
  <c r="E52" i="16"/>
  <c r="I49" i="16"/>
  <c r="E48" i="16"/>
  <c r="I73" i="16"/>
  <c r="I69" i="16"/>
  <c r="E68" i="16"/>
  <c r="I45" i="17"/>
  <c r="G40" i="17"/>
  <c r="E53" i="16"/>
  <c r="E69" i="16"/>
  <c r="I64" i="16"/>
  <c r="E63" i="16"/>
  <c r="I60" i="16"/>
  <c r="E59" i="16"/>
  <c r="I56" i="16"/>
  <c r="I52" i="16"/>
  <c r="I48" i="16"/>
  <c r="E47" i="16"/>
  <c r="I72" i="16"/>
  <c r="I68" i="16"/>
  <c r="G44" i="17"/>
  <c r="G41" i="17"/>
  <c r="I63" i="16"/>
  <c r="I59" i="16"/>
  <c r="I55" i="16"/>
  <c r="E54" i="16"/>
  <c r="I51" i="16"/>
  <c r="I47" i="16"/>
  <c r="I71" i="16"/>
  <c r="E70" i="16"/>
  <c r="I67" i="16"/>
  <c r="J44" i="17"/>
  <c r="I40" i="17"/>
  <c r="E38" i="17"/>
  <c r="I38" i="17"/>
  <c r="F39" i="17"/>
  <c r="I39" i="17"/>
  <c r="F42" i="17"/>
  <c r="J42" i="17"/>
  <c r="E43" i="17"/>
  <c r="J43" i="17"/>
  <c r="E47" i="17"/>
  <c r="I47" i="17"/>
  <c r="E37" i="17"/>
  <c r="I37" i="17"/>
  <c r="J69" i="16"/>
  <c r="G47" i="16"/>
  <c r="E72" i="16"/>
  <c r="E51" i="16"/>
  <c r="E73" i="16"/>
  <c r="K70" i="16"/>
  <c r="K62" i="16"/>
  <c r="E55" i="16"/>
  <c r="J67" i="16"/>
  <c r="K71" i="16"/>
  <c r="K63" i="16"/>
  <c r="J68" i="16"/>
  <c r="J57" i="16"/>
  <c r="E56" i="16"/>
  <c r="F53" i="16"/>
  <c r="F49" i="16"/>
  <c r="J66" i="16"/>
  <c r="E65" i="16"/>
  <c r="E61" i="16"/>
  <c r="J58" i="16"/>
  <c r="J54" i="16"/>
  <c r="J50" i="16"/>
  <c r="J59" i="16"/>
  <c r="K48" i="16"/>
  <c r="I46" i="16"/>
  <c r="J64" i="16"/>
  <c r="J60" i="16"/>
  <c r="J52" i="16"/>
  <c r="D18" i="12" l="1"/>
  <c r="F47" i="12" l="1"/>
  <c r="J47" i="12"/>
  <c r="H17" i="21"/>
  <c r="F17" i="21"/>
  <c r="B3" i="20" l="1"/>
  <c r="K61" i="20"/>
  <c r="J61" i="20"/>
  <c r="I61" i="20"/>
  <c r="H61" i="20"/>
  <c r="G61" i="20"/>
  <c r="F61" i="20"/>
  <c r="E61" i="20"/>
  <c r="K60" i="20"/>
  <c r="J60" i="20"/>
  <c r="I60" i="20"/>
  <c r="H60" i="20"/>
  <c r="G60" i="20"/>
  <c r="F60" i="20"/>
  <c r="E60" i="20"/>
  <c r="K59" i="20"/>
  <c r="J59" i="20"/>
  <c r="I59" i="20"/>
  <c r="H59" i="20"/>
  <c r="G59" i="20"/>
  <c r="F59" i="20"/>
  <c r="E59" i="20"/>
  <c r="K58" i="20"/>
  <c r="J58" i="20"/>
  <c r="I58" i="20"/>
  <c r="H58" i="20"/>
  <c r="G58" i="20"/>
  <c r="F58" i="20"/>
  <c r="E58" i="20"/>
  <c r="K57" i="20"/>
  <c r="J57" i="20"/>
  <c r="I57" i="20"/>
  <c r="H57" i="20"/>
  <c r="G57" i="20"/>
  <c r="F57" i="20"/>
  <c r="E57" i="20"/>
  <c r="K56" i="20"/>
  <c r="J56" i="20"/>
  <c r="I56" i="20"/>
  <c r="H56" i="20"/>
  <c r="G56" i="20"/>
  <c r="F56" i="20"/>
  <c r="E56" i="20"/>
  <c r="K55" i="20"/>
  <c r="J55" i="20"/>
  <c r="I55" i="20"/>
  <c r="H55" i="20"/>
  <c r="G55" i="20"/>
  <c r="F55" i="20"/>
  <c r="E55" i="20"/>
  <c r="K54" i="20"/>
  <c r="J54" i="20"/>
  <c r="I54" i="20"/>
  <c r="H54" i="20"/>
  <c r="G54" i="20"/>
  <c r="F54" i="20"/>
  <c r="E54" i="20"/>
  <c r="K53" i="20"/>
  <c r="J53" i="20"/>
  <c r="I53" i="20"/>
  <c r="H53" i="20"/>
  <c r="G53" i="20"/>
  <c r="F53" i="20"/>
  <c r="E53" i="20"/>
  <c r="K52" i="20"/>
  <c r="J52" i="20"/>
  <c r="I52" i="20"/>
  <c r="H52" i="20"/>
  <c r="G52" i="20"/>
  <c r="F52" i="20"/>
  <c r="E52" i="20"/>
  <c r="K51" i="20"/>
  <c r="J51" i="20"/>
  <c r="I51" i="20"/>
  <c r="H51" i="20"/>
  <c r="G51" i="20"/>
  <c r="F51" i="20"/>
  <c r="E51" i="20"/>
  <c r="K50" i="20"/>
  <c r="J50" i="20"/>
  <c r="I50" i="20"/>
  <c r="H50" i="20"/>
  <c r="G50" i="20"/>
  <c r="F50" i="20"/>
  <c r="E50" i="20"/>
  <c r="K49" i="20"/>
  <c r="J49" i="20"/>
  <c r="I49" i="20"/>
  <c r="H49" i="20"/>
  <c r="G49" i="20"/>
  <c r="F49" i="20"/>
  <c r="E49" i="20"/>
  <c r="K48" i="20"/>
  <c r="J48" i="20"/>
  <c r="I48" i="20"/>
  <c r="H48" i="20"/>
  <c r="G48" i="20"/>
  <c r="F48" i="20"/>
  <c r="E48" i="20"/>
  <c r="K47" i="20"/>
  <c r="J47" i="20"/>
  <c r="I47" i="20"/>
  <c r="H47" i="20"/>
  <c r="G47" i="20"/>
  <c r="F47" i="20"/>
  <c r="E47" i="20"/>
  <c r="K46" i="20"/>
  <c r="J46" i="20"/>
  <c r="I46" i="20"/>
  <c r="H46" i="20"/>
  <c r="G46" i="20"/>
  <c r="F46" i="20"/>
  <c r="E46" i="20"/>
  <c r="K45" i="20"/>
  <c r="J45" i="20"/>
  <c r="I45" i="20"/>
  <c r="H45" i="20"/>
  <c r="G45" i="20"/>
  <c r="F45" i="20"/>
  <c r="E45" i="20"/>
  <c r="K44" i="20"/>
  <c r="J44" i="20"/>
  <c r="I44" i="20"/>
  <c r="H44" i="20"/>
  <c r="G44" i="20"/>
  <c r="F44" i="20"/>
  <c r="E44" i="20"/>
  <c r="K43" i="20"/>
  <c r="J43" i="20"/>
  <c r="I43" i="20"/>
  <c r="H43" i="20"/>
  <c r="G43" i="20"/>
  <c r="F43" i="20"/>
  <c r="E43" i="20"/>
  <c r="K42" i="20"/>
  <c r="J42" i="20"/>
  <c r="I42" i="20"/>
  <c r="H42" i="20"/>
  <c r="G42" i="20"/>
  <c r="F42" i="20"/>
  <c r="E42" i="20"/>
  <c r="K41" i="20"/>
  <c r="J41" i="20"/>
  <c r="I41" i="20"/>
  <c r="H41" i="20"/>
  <c r="G41" i="20"/>
  <c r="F41" i="20"/>
  <c r="E41" i="20"/>
  <c r="K40" i="20"/>
  <c r="J40" i="20"/>
  <c r="I40" i="20"/>
  <c r="H40" i="20"/>
  <c r="G40" i="20"/>
  <c r="F40" i="20"/>
  <c r="E40" i="20"/>
  <c r="K39" i="20"/>
  <c r="J39" i="20"/>
  <c r="I39" i="20"/>
  <c r="H39" i="20"/>
  <c r="G39" i="20"/>
  <c r="F39" i="20"/>
  <c r="E39" i="20"/>
  <c r="K38" i="20"/>
  <c r="J38" i="20"/>
  <c r="I38" i="20"/>
  <c r="H38" i="20"/>
  <c r="G38" i="20"/>
  <c r="F38" i="20"/>
  <c r="E38" i="20"/>
  <c r="K37" i="20"/>
  <c r="J37" i="20"/>
  <c r="I37" i="20"/>
  <c r="H37" i="20"/>
  <c r="G37" i="20"/>
  <c r="F37" i="20"/>
  <c r="E37" i="20"/>
  <c r="K36" i="20"/>
  <c r="J36" i="20"/>
  <c r="I36" i="20"/>
  <c r="H36" i="20"/>
  <c r="G36" i="20"/>
  <c r="F36" i="20"/>
  <c r="E36" i="20"/>
  <c r="B3" i="19"/>
  <c r="K61" i="19"/>
  <c r="J61" i="19"/>
  <c r="I61" i="19"/>
  <c r="H61" i="19"/>
  <c r="G61" i="19"/>
  <c r="F61" i="19"/>
  <c r="E61" i="19"/>
  <c r="K60" i="19"/>
  <c r="J60" i="19"/>
  <c r="I60" i="19"/>
  <c r="H60" i="19"/>
  <c r="G60" i="19"/>
  <c r="F60" i="19"/>
  <c r="E60" i="19"/>
  <c r="K59" i="19"/>
  <c r="J59" i="19"/>
  <c r="I59" i="19"/>
  <c r="H59" i="19"/>
  <c r="G59" i="19"/>
  <c r="F59" i="19"/>
  <c r="E59" i="19"/>
  <c r="K58" i="19"/>
  <c r="J58" i="19"/>
  <c r="I58" i="19"/>
  <c r="H58" i="19"/>
  <c r="G58" i="19"/>
  <c r="F58" i="19"/>
  <c r="E58" i="19"/>
  <c r="K57" i="19"/>
  <c r="J57" i="19"/>
  <c r="I57" i="19"/>
  <c r="H57" i="19"/>
  <c r="G57" i="19"/>
  <c r="F57" i="19"/>
  <c r="E57" i="19"/>
  <c r="K56" i="19"/>
  <c r="J56" i="19"/>
  <c r="I56" i="19"/>
  <c r="H56" i="19"/>
  <c r="G56" i="19"/>
  <c r="F56" i="19"/>
  <c r="E56" i="19"/>
  <c r="K55" i="19"/>
  <c r="J55" i="19"/>
  <c r="I55" i="19"/>
  <c r="H55" i="19"/>
  <c r="G55" i="19"/>
  <c r="F55" i="19"/>
  <c r="E55" i="19"/>
  <c r="K54" i="19"/>
  <c r="J54" i="19"/>
  <c r="I54" i="19"/>
  <c r="H54" i="19"/>
  <c r="G54" i="19"/>
  <c r="F54" i="19"/>
  <c r="E54" i="19"/>
  <c r="K53" i="19"/>
  <c r="J53" i="19"/>
  <c r="I53" i="19"/>
  <c r="H53" i="19"/>
  <c r="G53" i="19"/>
  <c r="F53" i="19"/>
  <c r="E53" i="19"/>
  <c r="K52" i="19"/>
  <c r="J52" i="19"/>
  <c r="I52" i="19"/>
  <c r="H52" i="19"/>
  <c r="G52" i="19"/>
  <c r="F52" i="19"/>
  <c r="E52" i="19"/>
  <c r="K51" i="19"/>
  <c r="J51" i="19"/>
  <c r="I51" i="19"/>
  <c r="H51" i="19"/>
  <c r="G51" i="19"/>
  <c r="F51" i="19"/>
  <c r="E51" i="19"/>
  <c r="K50" i="19"/>
  <c r="J50" i="19"/>
  <c r="I50" i="19"/>
  <c r="H50" i="19"/>
  <c r="G50" i="19"/>
  <c r="F50" i="19"/>
  <c r="E50" i="19"/>
  <c r="K49" i="19"/>
  <c r="J49" i="19"/>
  <c r="I49" i="19"/>
  <c r="H49" i="19"/>
  <c r="G49" i="19"/>
  <c r="F49" i="19"/>
  <c r="E49" i="19"/>
  <c r="K48" i="19"/>
  <c r="J48" i="19"/>
  <c r="I48" i="19"/>
  <c r="H48" i="19"/>
  <c r="G48" i="19"/>
  <c r="F48" i="19"/>
  <c r="E48" i="19"/>
  <c r="K47" i="19"/>
  <c r="J47" i="19"/>
  <c r="I47" i="19"/>
  <c r="H47" i="19"/>
  <c r="G47" i="19"/>
  <c r="F47" i="19"/>
  <c r="E47" i="19"/>
  <c r="K46" i="19"/>
  <c r="J46" i="19"/>
  <c r="I46" i="19"/>
  <c r="H46" i="19"/>
  <c r="G46" i="19"/>
  <c r="F46" i="19"/>
  <c r="E46" i="19"/>
  <c r="K45" i="19"/>
  <c r="J45" i="19"/>
  <c r="I45" i="19"/>
  <c r="H45" i="19"/>
  <c r="G45" i="19"/>
  <c r="F45" i="19"/>
  <c r="E45" i="19"/>
  <c r="K44" i="19"/>
  <c r="J44" i="19"/>
  <c r="I44" i="19"/>
  <c r="H44" i="19"/>
  <c r="G44" i="19"/>
  <c r="F44" i="19"/>
  <c r="E44" i="19"/>
  <c r="K43" i="19"/>
  <c r="J43" i="19"/>
  <c r="I43" i="19"/>
  <c r="H43" i="19"/>
  <c r="G43" i="19"/>
  <c r="F43" i="19"/>
  <c r="E43" i="19"/>
  <c r="K42" i="19"/>
  <c r="J42" i="19"/>
  <c r="I42" i="19"/>
  <c r="H42" i="19"/>
  <c r="G42" i="19"/>
  <c r="F42" i="19"/>
  <c r="E42" i="19"/>
  <c r="K41" i="19"/>
  <c r="J41" i="19"/>
  <c r="I41" i="19"/>
  <c r="H41" i="19"/>
  <c r="G41" i="19"/>
  <c r="F41" i="19"/>
  <c r="E41" i="19"/>
  <c r="K40" i="19"/>
  <c r="J40" i="19"/>
  <c r="I40" i="19"/>
  <c r="H40" i="19"/>
  <c r="G40" i="19"/>
  <c r="F40" i="19"/>
  <c r="E40" i="19"/>
  <c r="K39" i="19"/>
  <c r="J39" i="19"/>
  <c r="I39" i="19"/>
  <c r="H39" i="19"/>
  <c r="G39" i="19"/>
  <c r="F39" i="19"/>
  <c r="E39" i="19"/>
  <c r="K38" i="19"/>
  <c r="J38" i="19"/>
  <c r="I38" i="19"/>
  <c r="H38" i="19"/>
  <c r="G38" i="19"/>
  <c r="F38" i="19"/>
  <c r="E38" i="19"/>
  <c r="K37" i="19"/>
  <c r="J37" i="19"/>
  <c r="I37" i="19"/>
  <c r="H37" i="19"/>
  <c r="G37" i="19"/>
  <c r="F37" i="19"/>
  <c r="E37" i="19"/>
  <c r="K36" i="19"/>
  <c r="J36" i="19"/>
  <c r="I36" i="19"/>
  <c r="H36" i="19"/>
  <c r="G36" i="19"/>
  <c r="F36" i="19"/>
  <c r="E36" i="19"/>
  <c r="B3" i="18"/>
  <c r="K61" i="18"/>
  <c r="J61" i="18"/>
  <c r="I61" i="18"/>
  <c r="H61" i="18"/>
  <c r="G61" i="18"/>
  <c r="F61" i="18"/>
  <c r="E61" i="18"/>
  <c r="K60" i="18"/>
  <c r="J60" i="18"/>
  <c r="I60" i="18"/>
  <c r="H60" i="18"/>
  <c r="G60" i="18"/>
  <c r="F60" i="18"/>
  <c r="E60" i="18"/>
  <c r="K59" i="18"/>
  <c r="J59" i="18"/>
  <c r="I59" i="18"/>
  <c r="H59" i="18"/>
  <c r="G59" i="18"/>
  <c r="F59" i="18"/>
  <c r="E59" i="18"/>
  <c r="K58" i="18"/>
  <c r="J58" i="18"/>
  <c r="I58" i="18"/>
  <c r="H58" i="18"/>
  <c r="G58" i="18"/>
  <c r="F58" i="18"/>
  <c r="E58" i="18"/>
  <c r="K57" i="18"/>
  <c r="J57" i="18"/>
  <c r="I57" i="18"/>
  <c r="H57" i="18"/>
  <c r="G57" i="18"/>
  <c r="F57" i="18"/>
  <c r="E57" i="18"/>
  <c r="K56" i="18"/>
  <c r="J56" i="18"/>
  <c r="I56" i="18"/>
  <c r="H56" i="18"/>
  <c r="G56" i="18"/>
  <c r="F56" i="18"/>
  <c r="E56" i="18"/>
  <c r="K55" i="18"/>
  <c r="J55" i="18"/>
  <c r="I55" i="18"/>
  <c r="H55" i="18"/>
  <c r="G55" i="18"/>
  <c r="F55" i="18"/>
  <c r="E55" i="18"/>
  <c r="K54" i="18"/>
  <c r="J54" i="18"/>
  <c r="I54" i="18"/>
  <c r="H54" i="18"/>
  <c r="G54" i="18"/>
  <c r="F54" i="18"/>
  <c r="E54" i="18"/>
  <c r="K53" i="18"/>
  <c r="J53" i="18"/>
  <c r="I53" i="18"/>
  <c r="H53" i="18"/>
  <c r="G53" i="18"/>
  <c r="F53" i="18"/>
  <c r="E53" i="18"/>
  <c r="K52" i="18"/>
  <c r="J52" i="18"/>
  <c r="I52" i="18"/>
  <c r="H52" i="18"/>
  <c r="G52" i="18"/>
  <c r="F52" i="18"/>
  <c r="E52" i="18"/>
  <c r="K51" i="18"/>
  <c r="J51" i="18"/>
  <c r="I51" i="18"/>
  <c r="H51" i="18"/>
  <c r="G51" i="18"/>
  <c r="F51" i="18"/>
  <c r="E51" i="18"/>
  <c r="K50" i="18"/>
  <c r="J50" i="18"/>
  <c r="I50" i="18"/>
  <c r="H50" i="18"/>
  <c r="G50" i="18"/>
  <c r="F50" i="18"/>
  <c r="E50" i="18"/>
  <c r="K49" i="18"/>
  <c r="J49" i="18"/>
  <c r="I49" i="18"/>
  <c r="H49" i="18"/>
  <c r="G49" i="18"/>
  <c r="F49" i="18"/>
  <c r="E49" i="18"/>
  <c r="K48" i="18"/>
  <c r="J48" i="18"/>
  <c r="I48" i="18"/>
  <c r="H48" i="18"/>
  <c r="G48" i="18"/>
  <c r="F48" i="18"/>
  <c r="E48" i="18"/>
  <c r="K47" i="18"/>
  <c r="J47" i="18"/>
  <c r="I47" i="18"/>
  <c r="H47" i="18"/>
  <c r="G47" i="18"/>
  <c r="F47" i="18"/>
  <c r="E47" i="18"/>
  <c r="K46" i="18"/>
  <c r="J46" i="18"/>
  <c r="I46" i="18"/>
  <c r="H46" i="18"/>
  <c r="G46" i="18"/>
  <c r="F46" i="18"/>
  <c r="E46" i="18"/>
  <c r="K45" i="18"/>
  <c r="J45" i="18"/>
  <c r="I45" i="18"/>
  <c r="H45" i="18"/>
  <c r="G45" i="18"/>
  <c r="F45" i="18"/>
  <c r="E45" i="18"/>
  <c r="K44" i="18"/>
  <c r="J44" i="18"/>
  <c r="I44" i="18"/>
  <c r="H44" i="18"/>
  <c r="G44" i="18"/>
  <c r="F44" i="18"/>
  <c r="E44" i="18"/>
  <c r="K43" i="18"/>
  <c r="J43" i="18"/>
  <c r="I43" i="18"/>
  <c r="H43" i="18"/>
  <c r="G43" i="18"/>
  <c r="F43" i="18"/>
  <c r="E43" i="18"/>
  <c r="K42" i="18"/>
  <c r="J42" i="18"/>
  <c r="I42" i="18"/>
  <c r="H42" i="18"/>
  <c r="G42" i="18"/>
  <c r="F42" i="18"/>
  <c r="E42" i="18"/>
  <c r="K41" i="18"/>
  <c r="J41" i="18"/>
  <c r="I41" i="18"/>
  <c r="H41" i="18"/>
  <c r="G41" i="18"/>
  <c r="F41" i="18"/>
  <c r="E41" i="18"/>
  <c r="K40" i="18"/>
  <c r="J40" i="18"/>
  <c r="I40" i="18"/>
  <c r="H40" i="18"/>
  <c r="G40" i="18"/>
  <c r="F40" i="18"/>
  <c r="E40" i="18"/>
  <c r="K39" i="18"/>
  <c r="J39" i="18"/>
  <c r="I39" i="18"/>
  <c r="H39" i="18"/>
  <c r="G39" i="18"/>
  <c r="F39" i="18"/>
  <c r="E39" i="18"/>
  <c r="K38" i="18"/>
  <c r="J38" i="18"/>
  <c r="I38" i="18"/>
  <c r="H38" i="18"/>
  <c r="G38" i="18"/>
  <c r="F38" i="18"/>
  <c r="E38" i="18"/>
  <c r="K37" i="18"/>
  <c r="J37" i="18"/>
  <c r="I37" i="18"/>
  <c r="H37" i="18"/>
  <c r="G37" i="18"/>
  <c r="F37" i="18"/>
  <c r="E37" i="18"/>
  <c r="K36" i="18"/>
  <c r="J36" i="18"/>
  <c r="I36" i="18"/>
  <c r="H36" i="18"/>
  <c r="G36" i="18"/>
  <c r="F36" i="18"/>
  <c r="E36" i="18"/>
  <c r="B3" i="17"/>
  <c r="K36" i="17"/>
  <c r="J36" i="17"/>
  <c r="I36" i="17"/>
  <c r="H36" i="17"/>
  <c r="G36" i="17"/>
  <c r="F36" i="17"/>
  <c r="E36" i="17"/>
  <c r="B3" i="16"/>
  <c r="K45" i="16"/>
  <c r="J45" i="16"/>
  <c r="I45" i="16"/>
  <c r="H45" i="16"/>
  <c r="G45" i="16"/>
  <c r="F45" i="16"/>
  <c r="E45" i="16"/>
  <c r="B3" i="15"/>
  <c r="K61" i="15"/>
  <c r="J61" i="15"/>
  <c r="I61" i="15"/>
  <c r="H61" i="15"/>
  <c r="G61" i="15"/>
  <c r="F61" i="15"/>
  <c r="E61" i="15"/>
  <c r="K60" i="15"/>
  <c r="J60" i="15"/>
  <c r="I60" i="15"/>
  <c r="H60" i="15"/>
  <c r="G60" i="15"/>
  <c r="F60" i="15"/>
  <c r="E60" i="15"/>
  <c r="K59" i="15"/>
  <c r="J59" i="15"/>
  <c r="I59" i="15"/>
  <c r="H59" i="15"/>
  <c r="G59" i="15"/>
  <c r="F59" i="15"/>
  <c r="E59" i="15"/>
  <c r="K58" i="15"/>
  <c r="J58" i="15"/>
  <c r="I58" i="15"/>
  <c r="H58" i="15"/>
  <c r="G58" i="15"/>
  <c r="F58" i="15"/>
  <c r="E58" i="15"/>
  <c r="K57" i="15"/>
  <c r="J57" i="15"/>
  <c r="I57" i="15"/>
  <c r="H57" i="15"/>
  <c r="G57" i="15"/>
  <c r="F57" i="15"/>
  <c r="E57" i="15"/>
  <c r="K56" i="15"/>
  <c r="J56" i="15"/>
  <c r="I56" i="15"/>
  <c r="H56" i="15"/>
  <c r="G56" i="15"/>
  <c r="F56" i="15"/>
  <c r="E56" i="15"/>
  <c r="K55" i="15"/>
  <c r="J55" i="15"/>
  <c r="I55" i="15"/>
  <c r="H55" i="15"/>
  <c r="G55" i="15"/>
  <c r="F55" i="15"/>
  <c r="E55" i="15"/>
  <c r="K54" i="15"/>
  <c r="J54" i="15"/>
  <c r="I54" i="15"/>
  <c r="H54" i="15"/>
  <c r="G54" i="15"/>
  <c r="F54" i="15"/>
  <c r="E54" i="15"/>
  <c r="K53" i="15"/>
  <c r="J53" i="15"/>
  <c r="I53" i="15"/>
  <c r="H53" i="15"/>
  <c r="G53" i="15"/>
  <c r="F53" i="15"/>
  <c r="E53" i="15"/>
  <c r="K52" i="15"/>
  <c r="J52" i="15"/>
  <c r="I52" i="15"/>
  <c r="H52" i="15"/>
  <c r="G52" i="15"/>
  <c r="F52" i="15"/>
  <c r="E52" i="15"/>
  <c r="K51" i="15"/>
  <c r="J51" i="15"/>
  <c r="I51" i="15"/>
  <c r="H51" i="15"/>
  <c r="G51" i="15"/>
  <c r="F51" i="15"/>
  <c r="E51" i="15"/>
  <c r="K50" i="15"/>
  <c r="J50" i="15"/>
  <c r="I50" i="15"/>
  <c r="H50" i="15"/>
  <c r="G50" i="15"/>
  <c r="F50" i="15"/>
  <c r="E50" i="15"/>
  <c r="K49" i="15"/>
  <c r="J49" i="15"/>
  <c r="I49" i="15"/>
  <c r="H49" i="15"/>
  <c r="G49" i="15"/>
  <c r="F49" i="15"/>
  <c r="E49" i="15"/>
  <c r="K48" i="15"/>
  <c r="J48" i="15"/>
  <c r="I48" i="15"/>
  <c r="H48" i="15"/>
  <c r="G48" i="15"/>
  <c r="F48" i="15"/>
  <c r="E48" i="15"/>
  <c r="K47" i="15"/>
  <c r="J47" i="15"/>
  <c r="I47" i="15"/>
  <c r="H47" i="15"/>
  <c r="G47" i="15"/>
  <c r="F47" i="15"/>
  <c r="E47" i="15"/>
  <c r="K46" i="15"/>
  <c r="J46" i="15"/>
  <c r="I46" i="15"/>
  <c r="H46" i="15"/>
  <c r="G46" i="15"/>
  <c r="F46" i="15"/>
  <c r="E46" i="15"/>
  <c r="K45" i="15"/>
  <c r="J45" i="15"/>
  <c r="I45" i="15"/>
  <c r="H45" i="15"/>
  <c r="G45" i="15"/>
  <c r="F45" i="15"/>
  <c r="E45" i="15"/>
  <c r="K44" i="15"/>
  <c r="J44" i="15"/>
  <c r="I44" i="15"/>
  <c r="H44" i="15"/>
  <c r="G44" i="15"/>
  <c r="F44" i="15"/>
  <c r="E44" i="15"/>
  <c r="K43" i="15"/>
  <c r="J43" i="15"/>
  <c r="I43" i="15"/>
  <c r="H43" i="15"/>
  <c r="G43" i="15"/>
  <c r="F43" i="15"/>
  <c r="E43" i="15"/>
  <c r="K42" i="15"/>
  <c r="J42" i="15"/>
  <c r="I42" i="15"/>
  <c r="H42" i="15"/>
  <c r="G42" i="15"/>
  <c r="F42" i="15"/>
  <c r="E42" i="15"/>
  <c r="K41" i="15"/>
  <c r="J41" i="15"/>
  <c r="I41" i="15"/>
  <c r="H41" i="15"/>
  <c r="G41" i="15"/>
  <c r="F41" i="15"/>
  <c r="E41" i="15"/>
  <c r="K40" i="15"/>
  <c r="J40" i="15"/>
  <c r="I40" i="15"/>
  <c r="H40" i="15"/>
  <c r="G40" i="15"/>
  <c r="F40" i="15"/>
  <c r="E40" i="15"/>
  <c r="K39" i="15"/>
  <c r="J39" i="15"/>
  <c r="I39" i="15"/>
  <c r="H39" i="15"/>
  <c r="G39" i="15"/>
  <c r="F39" i="15"/>
  <c r="E39" i="15"/>
  <c r="K38" i="15"/>
  <c r="J38" i="15"/>
  <c r="I38" i="15"/>
  <c r="H38" i="15"/>
  <c r="G38" i="15"/>
  <c r="F38" i="15"/>
  <c r="E38" i="15"/>
  <c r="K37" i="15"/>
  <c r="J37" i="15"/>
  <c r="I37" i="15"/>
  <c r="H37" i="15"/>
  <c r="G37" i="15"/>
  <c r="F37" i="15"/>
  <c r="E37" i="15"/>
  <c r="K36" i="15"/>
  <c r="J36" i="15"/>
  <c r="I36" i="15"/>
  <c r="H36" i="15"/>
  <c r="G36" i="15"/>
  <c r="F36" i="15"/>
  <c r="E36" i="15"/>
  <c r="B3" i="14"/>
  <c r="K61" i="14"/>
  <c r="J61" i="14"/>
  <c r="I61" i="14"/>
  <c r="H61" i="14"/>
  <c r="G61" i="14"/>
  <c r="F61" i="14"/>
  <c r="E61" i="14"/>
  <c r="K60" i="14"/>
  <c r="J60" i="14"/>
  <c r="I60" i="14"/>
  <c r="H60" i="14"/>
  <c r="G60" i="14"/>
  <c r="F60" i="14"/>
  <c r="E60" i="14"/>
  <c r="K59" i="14"/>
  <c r="J59" i="14"/>
  <c r="I59" i="14"/>
  <c r="H59" i="14"/>
  <c r="G59" i="14"/>
  <c r="F59" i="14"/>
  <c r="E59" i="14"/>
  <c r="K58" i="14"/>
  <c r="J58" i="14"/>
  <c r="I58" i="14"/>
  <c r="H58" i="14"/>
  <c r="G58" i="14"/>
  <c r="F58" i="14"/>
  <c r="E58" i="14"/>
  <c r="K57" i="14"/>
  <c r="J57" i="14"/>
  <c r="I57" i="14"/>
  <c r="H57" i="14"/>
  <c r="G57" i="14"/>
  <c r="F57" i="14"/>
  <c r="E57" i="14"/>
  <c r="K56" i="14"/>
  <c r="J56" i="14"/>
  <c r="I56" i="14"/>
  <c r="H56" i="14"/>
  <c r="G56" i="14"/>
  <c r="F56" i="14"/>
  <c r="E56" i="14"/>
  <c r="K55" i="14"/>
  <c r="J55" i="14"/>
  <c r="I55" i="14"/>
  <c r="H55" i="14"/>
  <c r="G55" i="14"/>
  <c r="F55" i="14"/>
  <c r="E55" i="14"/>
  <c r="K54" i="14"/>
  <c r="J54" i="14"/>
  <c r="I54" i="14"/>
  <c r="H54" i="14"/>
  <c r="G54" i="14"/>
  <c r="F54" i="14"/>
  <c r="E54" i="14"/>
  <c r="K53" i="14"/>
  <c r="J53" i="14"/>
  <c r="I53" i="14"/>
  <c r="H53" i="14"/>
  <c r="G53" i="14"/>
  <c r="F53" i="14"/>
  <c r="E53" i="14"/>
  <c r="K52" i="14"/>
  <c r="J52" i="14"/>
  <c r="I52" i="14"/>
  <c r="H52" i="14"/>
  <c r="G52" i="14"/>
  <c r="F52" i="14"/>
  <c r="E52" i="14"/>
  <c r="K51" i="14"/>
  <c r="J51" i="14"/>
  <c r="I51" i="14"/>
  <c r="H51" i="14"/>
  <c r="G51" i="14"/>
  <c r="F51" i="14"/>
  <c r="E51" i="14"/>
  <c r="K50" i="14"/>
  <c r="J50" i="14"/>
  <c r="I50" i="14"/>
  <c r="H50" i="14"/>
  <c r="G50" i="14"/>
  <c r="F50" i="14"/>
  <c r="E50" i="14"/>
  <c r="K49" i="14"/>
  <c r="J49" i="14"/>
  <c r="I49" i="14"/>
  <c r="H49" i="14"/>
  <c r="G49" i="14"/>
  <c r="F49" i="14"/>
  <c r="E49" i="14"/>
  <c r="K48" i="14"/>
  <c r="J48" i="14"/>
  <c r="I48" i="14"/>
  <c r="H48" i="14"/>
  <c r="G48" i="14"/>
  <c r="F48" i="14"/>
  <c r="E48" i="14"/>
  <c r="K47" i="14"/>
  <c r="J47" i="14"/>
  <c r="I47" i="14"/>
  <c r="H47" i="14"/>
  <c r="G47" i="14"/>
  <c r="F47" i="14"/>
  <c r="E47" i="14"/>
  <c r="K46" i="14"/>
  <c r="J46" i="14"/>
  <c r="I46" i="14"/>
  <c r="H46" i="14"/>
  <c r="G46" i="14"/>
  <c r="F46" i="14"/>
  <c r="E46" i="14"/>
  <c r="K45" i="14"/>
  <c r="J45" i="14"/>
  <c r="I45" i="14"/>
  <c r="H45" i="14"/>
  <c r="G45" i="14"/>
  <c r="F45" i="14"/>
  <c r="E45" i="14"/>
  <c r="K44" i="14"/>
  <c r="J44" i="14"/>
  <c r="I44" i="14"/>
  <c r="H44" i="14"/>
  <c r="G44" i="14"/>
  <c r="F44" i="14"/>
  <c r="E44" i="14"/>
  <c r="K43" i="14"/>
  <c r="J43" i="14"/>
  <c r="I43" i="14"/>
  <c r="H43" i="14"/>
  <c r="G43" i="14"/>
  <c r="F43" i="14"/>
  <c r="E43" i="14"/>
  <c r="K42" i="14"/>
  <c r="J42" i="14"/>
  <c r="I42" i="14"/>
  <c r="H42" i="14"/>
  <c r="G42" i="14"/>
  <c r="F42" i="14"/>
  <c r="E42" i="14"/>
  <c r="K41" i="14"/>
  <c r="J41" i="14"/>
  <c r="I41" i="14"/>
  <c r="H41" i="14"/>
  <c r="G41" i="14"/>
  <c r="F41" i="14"/>
  <c r="E41" i="14"/>
  <c r="K40" i="14"/>
  <c r="J40" i="14"/>
  <c r="I40" i="14"/>
  <c r="H40" i="14"/>
  <c r="G40" i="14"/>
  <c r="F40" i="14"/>
  <c r="E40" i="14"/>
  <c r="K39" i="14"/>
  <c r="J39" i="14"/>
  <c r="I39" i="14"/>
  <c r="H39" i="14"/>
  <c r="G39" i="14"/>
  <c r="F39" i="14"/>
  <c r="E39" i="14"/>
  <c r="K38" i="14"/>
  <c r="J38" i="14"/>
  <c r="I38" i="14"/>
  <c r="H38" i="14"/>
  <c r="G38" i="14"/>
  <c r="F38" i="14"/>
  <c r="E38" i="14"/>
  <c r="K37" i="14"/>
  <c r="J37" i="14"/>
  <c r="I37" i="14"/>
  <c r="H37" i="14"/>
  <c r="G37" i="14"/>
  <c r="F37" i="14"/>
  <c r="E37" i="14"/>
  <c r="K36" i="14"/>
  <c r="J36" i="14"/>
  <c r="I36" i="14"/>
  <c r="H36" i="14"/>
  <c r="G36" i="14"/>
  <c r="F36" i="14"/>
  <c r="E36" i="14"/>
  <c r="B3" i="13"/>
  <c r="K61" i="13"/>
  <c r="J61" i="13"/>
  <c r="I61" i="13"/>
  <c r="H61" i="13"/>
  <c r="G61" i="13"/>
  <c r="F61" i="13"/>
  <c r="E61" i="13"/>
  <c r="K60" i="13"/>
  <c r="J60" i="13"/>
  <c r="I60" i="13"/>
  <c r="H60" i="13"/>
  <c r="G60" i="13"/>
  <c r="F60" i="13"/>
  <c r="E60" i="13"/>
  <c r="K59" i="13"/>
  <c r="J59" i="13"/>
  <c r="I59" i="13"/>
  <c r="H59" i="13"/>
  <c r="G59" i="13"/>
  <c r="F59" i="13"/>
  <c r="E59" i="13"/>
  <c r="K58" i="13"/>
  <c r="J58" i="13"/>
  <c r="I58" i="13"/>
  <c r="H58" i="13"/>
  <c r="G58" i="13"/>
  <c r="F58" i="13"/>
  <c r="E58" i="13"/>
  <c r="K57" i="13"/>
  <c r="J57" i="13"/>
  <c r="I57" i="13"/>
  <c r="H57" i="13"/>
  <c r="G57" i="13"/>
  <c r="F57" i="13"/>
  <c r="E57" i="13"/>
  <c r="K56" i="13"/>
  <c r="J56" i="13"/>
  <c r="I56" i="13"/>
  <c r="H56" i="13"/>
  <c r="G56" i="13"/>
  <c r="F56" i="13"/>
  <c r="E56" i="13"/>
  <c r="K55" i="13"/>
  <c r="J55" i="13"/>
  <c r="I55" i="13"/>
  <c r="H55" i="13"/>
  <c r="G55" i="13"/>
  <c r="F55" i="13"/>
  <c r="E55" i="13"/>
  <c r="K54" i="13"/>
  <c r="J54" i="13"/>
  <c r="I54" i="13"/>
  <c r="H54" i="13"/>
  <c r="G54" i="13"/>
  <c r="F54" i="13"/>
  <c r="E54" i="13"/>
  <c r="K53" i="13"/>
  <c r="J53" i="13"/>
  <c r="I53" i="13"/>
  <c r="H53" i="13"/>
  <c r="G53" i="13"/>
  <c r="F53" i="13"/>
  <c r="E53" i="13"/>
  <c r="K52" i="13"/>
  <c r="J52" i="13"/>
  <c r="I52" i="13"/>
  <c r="H52" i="13"/>
  <c r="G52" i="13"/>
  <c r="F52" i="13"/>
  <c r="E52" i="13"/>
  <c r="K51" i="13"/>
  <c r="J51" i="13"/>
  <c r="I51" i="13"/>
  <c r="H51" i="13"/>
  <c r="G51" i="13"/>
  <c r="F51" i="13"/>
  <c r="E51" i="13"/>
  <c r="K50" i="13"/>
  <c r="J50" i="13"/>
  <c r="I50" i="13"/>
  <c r="H50" i="13"/>
  <c r="G50" i="13"/>
  <c r="F50" i="13"/>
  <c r="E50" i="13"/>
  <c r="K49" i="13"/>
  <c r="J49" i="13"/>
  <c r="I49" i="13"/>
  <c r="H49" i="13"/>
  <c r="G49" i="13"/>
  <c r="F49" i="13"/>
  <c r="E49" i="13"/>
  <c r="K48" i="13"/>
  <c r="J48" i="13"/>
  <c r="I48" i="13"/>
  <c r="H48" i="13"/>
  <c r="G48" i="13"/>
  <c r="F48" i="13"/>
  <c r="E48" i="13"/>
  <c r="K47" i="13"/>
  <c r="J47" i="13"/>
  <c r="I47" i="13"/>
  <c r="H47" i="13"/>
  <c r="G47" i="13"/>
  <c r="F47" i="13"/>
  <c r="E47" i="13"/>
  <c r="K46" i="13"/>
  <c r="J46" i="13"/>
  <c r="I46" i="13"/>
  <c r="H46" i="13"/>
  <c r="G46" i="13"/>
  <c r="F46" i="13"/>
  <c r="E46" i="13"/>
  <c r="K45" i="13"/>
  <c r="J45" i="13"/>
  <c r="I45" i="13"/>
  <c r="H45" i="13"/>
  <c r="G45" i="13"/>
  <c r="F45" i="13"/>
  <c r="E45" i="13"/>
  <c r="K44" i="13"/>
  <c r="J44" i="13"/>
  <c r="I44" i="13"/>
  <c r="H44" i="13"/>
  <c r="G44" i="13"/>
  <c r="F44" i="13"/>
  <c r="E44" i="13"/>
  <c r="K43" i="13"/>
  <c r="J43" i="13"/>
  <c r="I43" i="13"/>
  <c r="H43" i="13"/>
  <c r="G43" i="13"/>
  <c r="F43" i="13"/>
  <c r="E43" i="13"/>
  <c r="K42" i="13"/>
  <c r="J42" i="13"/>
  <c r="I42" i="13"/>
  <c r="H42" i="13"/>
  <c r="G42" i="13"/>
  <c r="F42" i="13"/>
  <c r="E42" i="13"/>
  <c r="K41" i="13"/>
  <c r="J41" i="13"/>
  <c r="I41" i="13"/>
  <c r="H41" i="13"/>
  <c r="G41" i="13"/>
  <c r="F41" i="13"/>
  <c r="E41" i="13"/>
  <c r="K40" i="13"/>
  <c r="J40" i="13"/>
  <c r="I40" i="13"/>
  <c r="H40" i="13"/>
  <c r="G40" i="13"/>
  <c r="F40" i="13"/>
  <c r="E40" i="13"/>
  <c r="K39" i="13"/>
  <c r="J39" i="13"/>
  <c r="I39" i="13"/>
  <c r="H39" i="13"/>
  <c r="G39" i="13"/>
  <c r="F39" i="13"/>
  <c r="E39" i="13"/>
  <c r="K38" i="13"/>
  <c r="J38" i="13"/>
  <c r="I38" i="13"/>
  <c r="H38" i="13"/>
  <c r="G38" i="13"/>
  <c r="F38" i="13"/>
  <c r="E38" i="13"/>
  <c r="K37" i="13"/>
  <c r="J37" i="13"/>
  <c r="I37" i="13"/>
  <c r="H37" i="13"/>
  <c r="G37" i="13"/>
  <c r="F37" i="13"/>
  <c r="E37" i="13"/>
  <c r="K36" i="13"/>
  <c r="J36" i="13"/>
  <c r="I36" i="13"/>
  <c r="H36" i="13"/>
  <c r="G36" i="13"/>
  <c r="F36" i="13"/>
  <c r="E36" i="13"/>
  <c r="B3" i="12"/>
  <c r="K36" i="12"/>
  <c r="J36" i="12"/>
  <c r="I36" i="12"/>
  <c r="H36" i="12"/>
  <c r="G36" i="12"/>
  <c r="F36" i="12"/>
  <c r="E36" i="12"/>
  <c r="B3" i="3"/>
  <c r="K61" i="3"/>
  <c r="J61" i="3"/>
  <c r="I61" i="3"/>
  <c r="H61" i="3"/>
  <c r="G61" i="3"/>
  <c r="F61" i="3"/>
  <c r="E61" i="3"/>
  <c r="K60" i="3"/>
  <c r="J60" i="3"/>
  <c r="I60" i="3"/>
  <c r="H60" i="3"/>
  <c r="G60" i="3"/>
  <c r="F60" i="3"/>
  <c r="E60" i="3"/>
  <c r="K59" i="3"/>
  <c r="J59" i="3"/>
  <c r="I59" i="3"/>
  <c r="H59" i="3"/>
  <c r="G59" i="3"/>
  <c r="F59" i="3"/>
  <c r="E59" i="3"/>
  <c r="K58" i="3"/>
  <c r="J58" i="3"/>
  <c r="I58" i="3"/>
  <c r="H58" i="3"/>
  <c r="G58" i="3"/>
  <c r="F58" i="3"/>
  <c r="E58" i="3"/>
  <c r="K57" i="3"/>
  <c r="J57" i="3"/>
  <c r="I57" i="3"/>
  <c r="H57" i="3"/>
  <c r="G57" i="3"/>
  <c r="F57" i="3"/>
  <c r="E57" i="3"/>
  <c r="K56" i="3"/>
  <c r="J56" i="3"/>
  <c r="I56" i="3"/>
  <c r="H56" i="3"/>
  <c r="G56" i="3"/>
  <c r="F56" i="3"/>
  <c r="E56" i="3"/>
  <c r="K55" i="3"/>
  <c r="J55" i="3"/>
  <c r="I55" i="3"/>
  <c r="H55" i="3"/>
  <c r="G55" i="3"/>
  <c r="F55" i="3"/>
  <c r="E55" i="3"/>
  <c r="K54" i="3"/>
  <c r="J54" i="3"/>
  <c r="I54" i="3"/>
  <c r="H54" i="3"/>
  <c r="G54" i="3"/>
  <c r="F54" i="3"/>
  <c r="E54" i="3"/>
  <c r="K53" i="3"/>
  <c r="J53" i="3"/>
  <c r="I53" i="3"/>
  <c r="H53" i="3"/>
  <c r="G53" i="3"/>
  <c r="F53" i="3"/>
  <c r="E53" i="3"/>
  <c r="K52" i="3"/>
  <c r="J52" i="3"/>
  <c r="I52" i="3"/>
  <c r="H52" i="3"/>
  <c r="G52" i="3"/>
  <c r="F52" i="3"/>
  <c r="E52" i="3"/>
  <c r="K51" i="3"/>
  <c r="J51" i="3"/>
  <c r="I51" i="3"/>
  <c r="H51" i="3"/>
  <c r="G51" i="3"/>
  <c r="F51" i="3"/>
  <c r="E51" i="3"/>
  <c r="K50" i="3"/>
  <c r="J50" i="3"/>
  <c r="I50" i="3"/>
  <c r="H50" i="3"/>
  <c r="G50" i="3"/>
  <c r="F50" i="3"/>
  <c r="E50" i="3"/>
  <c r="K49" i="3"/>
  <c r="J49" i="3"/>
  <c r="I49" i="3"/>
  <c r="H49" i="3"/>
  <c r="G49" i="3"/>
  <c r="F49" i="3"/>
  <c r="E49" i="3"/>
  <c r="K48" i="3"/>
  <c r="J48" i="3"/>
  <c r="I48" i="3"/>
  <c r="H48" i="3"/>
  <c r="G48" i="3"/>
  <c r="F48" i="3"/>
  <c r="E48" i="3"/>
  <c r="K47" i="3"/>
  <c r="J47" i="3"/>
  <c r="I47" i="3"/>
  <c r="H47" i="3"/>
  <c r="G47" i="3"/>
  <c r="F47" i="3"/>
  <c r="E47" i="3"/>
  <c r="K46" i="3"/>
  <c r="I46" i="3"/>
  <c r="H46" i="3"/>
  <c r="G46" i="3"/>
  <c r="F46" i="3"/>
  <c r="E46" i="3"/>
  <c r="K45" i="3"/>
  <c r="J45" i="3"/>
  <c r="I45" i="3"/>
  <c r="H45" i="3"/>
  <c r="F45" i="3"/>
  <c r="E45" i="3"/>
  <c r="K44" i="3"/>
  <c r="I44" i="3"/>
  <c r="H44" i="3"/>
  <c r="G44" i="3"/>
  <c r="F44" i="3"/>
  <c r="E44" i="3"/>
  <c r="K43" i="3"/>
  <c r="I43" i="3"/>
  <c r="G43" i="3"/>
  <c r="F43" i="3"/>
  <c r="E43" i="3"/>
  <c r="K42" i="3"/>
  <c r="I42" i="3"/>
  <c r="H42" i="3"/>
  <c r="G42" i="3"/>
  <c r="E42" i="3"/>
  <c r="K41" i="3"/>
  <c r="J41" i="3"/>
  <c r="I41" i="3"/>
  <c r="H41" i="3"/>
  <c r="G41" i="3"/>
  <c r="F41" i="3"/>
  <c r="K40" i="3"/>
  <c r="I40" i="3"/>
  <c r="H40" i="3"/>
  <c r="F40" i="3"/>
  <c r="E40" i="3"/>
  <c r="K39" i="3"/>
  <c r="I39" i="3"/>
  <c r="H39" i="3"/>
  <c r="F39" i="3"/>
  <c r="E39" i="3"/>
  <c r="K38" i="3"/>
  <c r="I38" i="3"/>
  <c r="H38" i="3"/>
  <c r="G38" i="3"/>
  <c r="F38" i="3"/>
  <c r="E38" i="3"/>
  <c r="K37" i="3"/>
  <c r="J37" i="3"/>
  <c r="I37" i="3"/>
  <c r="H37" i="3"/>
  <c r="G37" i="3"/>
  <c r="F37" i="3"/>
  <c r="E37" i="3"/>
  <c r="K36" i="3"/>
  <c r="J36" i="3"/>
  <c r="I36" i="3"/>
  <c r="H36" i="3"/>
  <c r="G36" i="3"/>
  <c r="F36" i="3"/>
  <c r="E36" i="3"/>
  <c r="J46" i="3"/>
  <c r="G45" i="3"/>
  <c r="J44" i="3"/>
  <c r="J43" i="3"/>
  <c r="J42" i="3"/>
  <c r="E41" i="3"/>
  <c r="J39" i="3"/>
  <c r="G39" i="3"/>
  <c r="J38" i="3"/>
  <c r="H62" i="15" l="1"/>
  <c r="G8" i="2" s="1"/>
  <c r="K62" i="19"/>
  <c r="J12" i="2" s="1"/>
  <c r="J62" i="18"/>
  <c r="I11" i="2" s="1"/>
  <c r="H62" i="14"/>
  <c r="G7" i="2" s="1"/>
  <c r="I62" i="15"/>
  <c r="H8" i="2" s="1"/>
  <c r="K62" i="18"/>
  <c r="J11" i="2" s="1"/>
  <c r="I62" i="14"/>
  <c r="H7" i="2" s="1"/>
  <c r="J62" i="15"/>
  <c r="I8" i="2" s="1"/>
  <c r="K62" i="15"/>
  <c r="J8" i="2" s="1"/>
  <c r="F62" i="18"/>
  <c r="E11" i="2" s="1"/>
  <c r="H62" i="20"/>
  <c r="G13" i="2" s="1"/>
  <c r="E62" i="15"/>
  <c r="D8" i="2" s="1"/>
  <c r="F62" i="17"/>
  <c r="E10" i="2" s="1"/>
  <c r="G62" i="18"/>
  <c r="F11" i="2" s="1"/>
  <c r="F62" i="15"/>
  <c r="E8" i="2" s="1"/>
  <c r="G62" i="17"/>
  <c r="F10" i="2" s="1"/>
  <c r="H62" i="18"/>
  <c r="G11" i="2" s="1"/>
  <c r="J62" i="20"/>
  <c r="I13" i="2" s="1"/>
  <c r="H62" i="17"/>
  <c r="G10" i="2" s="1"/>
  <c r="I62" i="18"/>
  <c r="H11" i="2" s="1"/>
  <c r="J62" i="19"/>
  <c r="I12" i="2" s="1"/>
  <c r="K76" i="16"/>
  <c r="J9" i="2" s="1"/>
  <c r="H76" i="16"/>
  <c r="G9" i="2" s="1"/>
  <c r="I76" i="16"/>
  <c r="H9" i="2" s="1"/>
  <c r="F76" i="16"/>
  <c r="E9" i="2" s="1"/>
  <c r="J76" i="16"/>
  <c r="I9" i="2" s="1"/>
  <c r="E62" i="18"/>
  <c r="D11" i="2" s="1"/>
  <c r="E62" i="17"/>
  <c r="D10" i="2" s="1"/>
  <c r="I62" i="17"/>
  <c r="H10" i="2" s="1"/>
  <c r="J62" i="17"/>
  <c r="I10" i="2" s="1"/>
  <c r="K62" i="17"/>
  <c r="J10" i="2" s="1"/>
  <c r="G76" i="16"/>
  <c r="F9" i="2" s="1"/>
  <c r="E76" i="16"/>
  <c r="D9" i="2" s="1"/>
  <c r="G62" i="15"/>
  <c r="F8" i="2" s="1"/>
  <c r="J62" i="14"/>
  <c r="I7" i="2" s="1"/>
  <c r="K62" i="14"/>
  <c r="J7" i="2" s="1"/>
  <c r="G62" i="14"/>
  <c r="F7" i="2" s="1"/>
  <c r="E62" i="14"/>
  <c r="D7" i="2" s="1"/>
  <c r="F62" i="14"/>
  <c r="E7" i="2" s="1"/>
  <c r="G62" i="20"/>
  <c r="F13" i="2" s="1"/>
  <c r="I62" i="20"/>
  <c r="H13" i="2" s="1"/>
  <c r="G61" i="12"/>
  <c r="F5" i="2" s="1"/>
  <c r="F62" i="20"/>
  <c r="E13" i="2" s="1"/>
  <c r="K62" i="20"/>
  <c r="J13" i="2" s="1"/>
  <c r="E62" i="20"/>
  <c r="D13" i="2" s="1"/>
  <c r="F62" i="19"/>
  <c r="E12" i="2" s="1"/>
  <c r="G62" i="19"/>
  <c r="F12" i="2" s="1"/>
  <c r="H62" i="19"/>
  <c r="G12" i="2" s="1"/>
  <c r="I62" i="19"/>
  <c r="H12" i="2" s="1"/>
  <c r="E62" i="19"/>
  <c r="D12" i="2" s="1"/>
  <c r="F62" i="13"/>
  <c r="E6" i="2" s="1"/>
  <c r="G62" i="13"/>
  <c r="F6" i="2" s="1"/>
  <c r="H62" i="13"/>
  <c r="G6" i="2" s="1"/>
  <c r="I62" i="13"/>
  <c r="H6" i="2" s="1"/>
  <c r="J62" i="13"/>
  <c r="I6" i="2" s="1"/>
  <c r="K62" i="13"/>
  <c r="J6" i="2" s="1"/>
  <c r="E62" i="13"/>
  <c r="D6" i="2" s="1"/>
  <c r="F61" i="12"/>
  <c r="E5" i="2" s="1"/>
  <c r="I61" i="12"/>
  <c r="H5" i="2" s="1"/>
  <c r="J61" i="12"/>
  <c r="I5" i="2" s="1"/>
  <c r="H61" i="12"/>
  <c r="G5" i="2" s="1"/>
  <c r="K61" i="12"/>
  <c r="J5" i="2" s="1"/>
  <c r="E61" i="12"/>
  <c r="D5" i="2" s="1"/>
  <c r="K62" i="3"/>
  <c r="J4" i="2" s="1"/>
  <c r="I62" i="3"/>
  <c r="H4" i="2" s="1"/>
  <c r="E62" i="3"/>
  <c r="D4" i="2" s="1"/>
  <c r="F42" i="3"/>
  <c r="F62" i="3" s="1"/>
  <c r="E4" i="2" s="1"/>
  <c r="H43" i="3"/>
  <c r="H62" i="3" s="1"/>
  <c r="G4" i="2" s="1"/>
  <c r="G15" i="2" l="1"/>
  <c r="H15" i="2"/>
  <c r="J15" i="2"/>
  <c r="D15" i="2"/>
  <c r="E15" i="2"/>
  <c r="J40" i="3"/>
  <c r="J62" i="3" s="1"/>
  <c r="I4" i="2" s="1"/>
  <c r="I15" i="2" s="1"/>
  <c r="G40" i="3"/>
  <c r="G62" i="3" s="1"/>
  <c r="F4" i="2" s="1"/>
  <c r="F15" i="2" s="1"/>
  <c r="G16" i="2" l="1"/>
  <c r="G17" i="2" s="1"/>
</calcChain>
</file>

<file path=xl/sharedStrings.xml><?xml version="1.0" encoding="utf-8"?>
<sst xmlns="http://schemas.openxmlformats.org/spreadsheetml/2006/main" count="496" uniqueCount="91">
  <si>
    <t>PROGRAMA DE MANUTENÇÃORODOVIÁRIA</t>
  </si>
  <si>
    <t>S.R.E.</t>
  </si>
  <si>
    <t>BOM</t>
  </si>
  <si>
    <t>DATA:</t>
  </si>
  <si>
    <t>TÉCNICO RESP.</t>
  </si>
  <si>
    <t>INÍCIO
(KM)</t>
  </si>
  <si>
    <t>FIM
(KM)</t>
  </si>
  <si>
    <t>SENTIDO</t>
  </si>
  <si>
    <t>OBSERV.</t>
  </si>
  <si>
    <t>RODOVIAS NÃO PAVIMENTADAS</t>
  </si>
  <si>
    <t>CONDIÇÃO DA PLATAFORMA</t>
  </si>
  <si>
    <t>DRENAGEM SUPERFICIAL</t>
  </si>
  <si>
    <t>LIMPA</t>
  </si>
  <si>
    <t>OBSTRUÍDA</t>
  </si>
  <si>
    <t>AUSENTE</t>
  </si>
  <si>
    <t>REG.
(ATÉ 10 IRR./KM)</t>
  </si>
  <si>
    <t>RUÍM
(+ 10 IRR./KM)</t>
  </si>
  <si>
    <t>PÉSSIMA
(ATOLEIRO/PTO. CRÍTICO)</t>
  </si>
  <si>
    <t>C</t>
  </si>
  <si>
    <t>X</t>
  </si>
  <si>
    <t>RESUMO</t>
  </si>
  <si>
    <t>TRECHO</t>
  </si>
  <si>
    <t>Nº DO TRECHO</t>
  </si>
  <si>
    <t>FICHA DE INSPEÇÃO:</t>
  </si>
  <si>
    <t>46</t>
  </si>
  <si>
    <t>RODOVIA TO-164 - TRECHO ENTR. TO-226 - POVOADO DEZENOVE - BERNARDO SAYÃO</t>
  </si>
  <si>
    <t>47</t>
  </si>
  <si>
    <t>RODOVIA TO-164 - TRECHO MURICILÂNDIA - ENTR. TO-226</t>
  </si>
  <si>
    <t>48</t>
  </si>
  <si>
    <t>RODOVIA TO-165 - TRECHO SANTA FÉ DO ARAGUAIA - ENTR. TO-226 - ARAPOEMA</t>
  </si>
  <si>
    <t>49</t>
  </si>
  <si>
    <t>RODOVIA TO-166 - TRECHO ENTR. TO-222 - ENTR. TO-226 - ARAPOEMA</t>
  </si>
  <si>
    <t>59</t>
  </si>
  <si>
    <t>RODOVIA TO-418 - TRECHO ENTR. BR-153 - ENTR. TO-164</t>
  </si>
  <si>
    <t>60</t>
  </si>
  <si>
    <t>RODOVIA TO-419 - TRECHO POVOADO BARRA DA GROTA - ENTR. TO-222</t>
  </si>
  <si>
    <t>62</t>
  </si>
  <si>
    <t>RODOVIA TO-421 - TRECHO ARAGUAÍNA - POVOADO GROTÃO</t>
  </si>
  <si>
    <t>64</t>
  </si>
  <si>
    <t>RODOVIA TO-429 - TRECHO ENTR. TO-230 (ARAPOEMA) - POVOADO ARACAJI</t>
  </si>
  <si>
    <t>65</t>
  </si>
  <si>
    <t>RODOVIA TO-430 - TRECHO POVOADO CORIOLANDO (ENTR. TO-230 - ARAPOEMA) - ENTR. TO-164</t>
  </si>
  <si>
    <t>66</t>
  </si>
  <si>
    <t>RODOVIA TO-433 - TRECHO ENTR. TO-230 (POVOADO BRASILENE) - BERNARDO SAYÃO (ENTR. TO-164)</t>
  </si>
  <si>
    <t>433EGO0010</t>
  </si>
  <si>
    <t>D</t>
  </si>
  <si>
    <t>430ETO0010</t>
  </si>
  <si>
    <t>PERCORRIDO NO MÊS:</t>
  </si>
  <si>
    <t>TOTAL:</t>
  </si>
  <si>
    <t>% DA EXTENSÃO DA MALHA:</t>
  </si>
  <si>
    <t>LOTE</t>
  </si>
  <si>
    <t>S.R.E</t>
  </si>
  <si>
    <t>TIPO</t>
  </si>
  <si>
    <t>164ETO0190</t>
  </si>
  <si>
    <t>ENTR. TO-226 (B) - ENTR. TO-230</t>
  </si>
  <si>
    <t>EOP</t>
  </si>
  <si>
    <t>164ETO0160</t>
  </si>
  <si>
    <t>MURICILÃNDIA  * TRECHO URBANO* - COCALANDIA</t>
  </si>
  <si>
    <t>164ETO0170</t>
  </si>
  <si>
    <t>COCALANDIA - ENTR. TO-226 (A)</t>
  </si>
  <si>
    <t>165ETO0100</t>
  </si>
  <si>
    <t>SANTA FÉ DO ARAGUAIA *TRECHO URBANO* - ENTR. TO-226</t>
  </si>
  <si>
    <t>LEN</t>
  </si>
  <si>
    <t>165ETO0120</t>
  </si>
  <si>
    <t>ENTR. TO-226 (B) - ARAPOEMA *TRECHO URBANO*</t>
  </si>
  <si>
    <t>166ETO0100</t>
  </si>
  <si>
    <t>ENTR. TO-222 - ENTR.TO-226 (A)</t>
  </si>
  <si>
    <t>166ETO0120</t>
  </si>
  <si>
    <t>ENTR. TO-226 - ARAPOEMA *TRECHO URBANO*</t>
  </si>
  <si>
    <t>418ETO0010</t>
  </si>
  <si>
    <t>ENTR. TO-164 (XAMBIOAZINHO) - ENTR. BR-153</t>
  </si>
  <si>
    <t>419ETO0010</t>
  </si>
  <si>
    <t>ENTR. TO-222 (BARRA DA GROTA) - ENTR. TO-222 (BRITADOR)</t>
  </si>
  <si>
    <t>421ETO0020</t>
  </si>
  <si>
    <t>ARAGUAÍNA *TRECHO URBANO* - GROTÃO</t>
  </si>
  <si>
    <t>421ETO0040</t>
  </si>
  <si>
    <t>GROTÃO - ÁGUA AMARELA</t>
  </si>
  <si>
    <t>429ETO0010</t>
  </si>
  <si>
    <t>ENTR. TO-230 - DIV TO-PA (ARACAJI)</t>
  </si>
  <si>
    <t>ENTR. TO-230 - ENTR. TO-164</t>
  </si>
  <si>
    <t>433ETO0010</t>
  </si>
  <si>
    <t>ENTR. TO-230 (BRASILENE) - ENTR. TO-164</t>
  </si>
  <si>
    <t>SUBTRECHOS</t>
  </si>
  <si>
    <t>N°</t>
  </si>
  <si>
    <t>EXT. (KM)</t>
  </si>
  <si>
    <t>x</t>
  </si>
  <si>
    <t>164ETO0210</t>
  </si>
  <si>
    <t>164ETO0230</t>
  </si>
  <si>
    <t>164ETO0240</t>
  </si>
  <si>
    <t>164ETO0250</t>
  </si>
  <si>
    <t>ENG. VINÍCIUS RODRIGUES FERREIRA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</si>
</sst>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mmm\-yy;@"/>
  </numFmts>
  <fonts count="13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7"/>
      <color theme="1"/>
      <name val="Times New Roman"/>
      <family val="1"/>
    </font>
    <font>
      <b/>
      <sz val="18"/>
      <color theme="1"/>
      <name val="Times New Roman"/>
      <family val="1"/>
    </font>
    <font>
      <sz val="15"/>
      <color rgb="FFFF000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Aptos Narrow"/>
      <family val="2"/>
      <scheme val="minor"/>
    </font>
    <font>
      <sz val="15"/>
      <name val="Times New Roman"/>
      <family val="1"/>
    </font>
    <font>
      <b/>
      <sz val="11"/>
      <color theme="1"/>
      <name val="Times New Roman"/>
      <family val="1"/>
    </font>
    <font>
      <b/>
      <sz val="15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2" borderId="7" xfId="0" applyFont="1" applyFill="1" applyBorder="1"/>
    <xf numFmtId="0" fontId="4" fillId="2" borderId="5" xfId="0" applyFont="1" applyFill="1" applyBorder="1"/>
    <xf numFmtId="0" fontId="4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0" xfId="0" applyFont="1" applyFill="1" applyBorder="1"/>
    <xf numFmtId="0" fontId="4" fillId="2" borderId="8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8" fillId="0" borderId="2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/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9" fillId="0" borderId="14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left" vertical="center"/>
    </xf>
    <xf numFmtId="2" fontId="9" fillId="0" borderId="12" xfId="0" applyNumberFormat="1" applyFont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left" vertical="center"/>
    </xf>
    <xf numFmtId="2" fontId="9" fillId="0" borderId="3" xfId="0" applyNumberFormat="1" applyFont="1" applyBorder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" fillId="0" borderId="5" xfId="0" applyFont="1" applyBorder="1"/>
    <xf numFmtId="2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2" borderId="0" xfId="0" applyFont="1" applyFill="1"/>
    <xf numFmtId="2" fontId="10" fillId="2" borderId="0" xfId="0" applyNumberFormat="1" applyFont="1" applyFill="1"/>
    <xf numFmtId="2" fontId="9" fillId="0" borderId="25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0" fontId="6" fillId="0" borderId="2" xfId="3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4" fontId="11" fillId="0" borderId="2" xfId="0" applyNumberFormat="1" applyFont="1" applyBorder="1" applyAlignment="1">
      <alignment horizontal="center" vertical="center" wrapText="1"/>
    </xf>
    <xf numFmtId="17" fontId="11" fillId="0" borderId="0" xfId="0" applyNumberFormat="1" applyFont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2" fontId="9" fillId="0" borderId="26" xfId="0" applyNumberFormat="1" applyFont="1" applyBorder="1" applyAlignment="1">
      <alignment horizontal="center" vertical="center"/>
    </xf>
    <xf numFmtId="4" fontId="1" fillId="0" borderId="0" xfId="2" applyNumberFormat="1" applyFont="1" applyAlignment="1">
      <alignment vertical="center"/>
    </xf>
    <xf numFmtId="0" fontId="8" fillId="0" borderId="2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 wrapText="1"/>
    </xf>
    <xf numFmtId="4" fontId="8" fillId="0" borderId="2" xfId="2" applyNumberFormat="1" applyFont="1" applyBorder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/>
    </xf>
    <xf numFmtId="2" fontId="9" fillId="3" borderId="12" xfId="0" applyNumberFormat="1" applyFont="1" applyFill="1" applyBorder="1" applyAlignment="1">
      <alignment horizontal="center" vertical="center"/>
    </xf>
    <xf numFmtId="2" fontId="9" fillId="3" borderId="2" xfId="0" applyNumberFormat="1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12" fillId="2" borderId="5" xfId="0" applyNumberFormat="1" applyFont="1" applyFill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 vertical="center"/>
    </xf>
    <xf numFmtId="44" fontId="3" fillId="2" borderId="5" xfId="1" applyFont="1" applyFill="1" applyBorder="1" applyAlignment="1">
      <alignment horizontal="center" vertical="center"/>
    </xf>
    <xf numFmtId="44" fontId="3" fillId="2" borderId="4" xfId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</cellXfs>
  <cellStyles count="4">
    <cellStyle name="Moeda" xfId="1" builtinId="4"/>
    <cellStyle name="Normal" xfId="0" builtinId="0"/>
    <cellStyle name="Normal 9" xfId="2" xr:uid="{00000000-0005-0000-0000-000002000000}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A5-4D94-A00F-381E4ECBED5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A5-4D94-A00F-381E4ECBED5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A5-4D94-A00F-381E4ECBED5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8A5-4D94-A00F-381E4ECBED5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A5-4D94-A00F-381E4ECBED5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A5-4D94-A00F-381E4ECBED5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A5-4D94-A00F-381E4ECBED5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'46'!$E$62:$H$62</c:f>
              <c:numCache>
                <c:formatCode>0.00</c:formatCode>
                <c:ptCount val="4"/>
                <c:pt idx="0">
                  <c:v>0</c:v>
                </c:pt>
                <c:pt idx="1">
                  <c:v>68.96339607601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A5-4D94-A00F-381E4ECBED5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'46'!$I$62:$K$62</c:f>
              <c:strCache>
                <c:ptCount val="3"/>
                <c:pt idx="0">
                  <c:v>0,00</c:v>
                </c:pt>
                <c:pt idx="1">
                  <c:v>68,96</c:v>
                </c:pt>
                <c:pt idx="2">
                  <c:v>0,00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9D5-41EB-BBF4-96C10050901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9D5-41EB-BBF4-96C10050901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9D5-41EB-BBF4-96C100509013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9D5-41EB-BBF4-96C10050901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D5-41EB-BBF4-96C10050901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'46'!$I$62:$K$62</c:f>
              <c:numCache>
                <c:formatCode>0.00</c:formatCode>
                <c:ptCount val="3"/>
                <c:pt idx="0">
                  <c:v>0</c:v>
                </c:pt>
                <c:pt idx="1">
                  <c:v>68.96339607601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9D5-41EB-BBF4-96C10050901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5B-43DE-AA96-BF7328C6686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5B-43DE-AA96-BF7328C66867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5B-43DE-AA96-BF7328C66867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F5B-43DE-AA96-BF7328C66867}"/>
              </c:ext>
            </c:extLst>
          </c:dPt>
          <c:dLbls>
            <c:dLbl>
              <c:idx val="3"/>
              <c:layout>
                <c:manualLayout>
                  <c:x val="-3.3571807468230192E-3"/>
                  <c:y val="0.1899836115801214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5B-43DE-AA96-BF7328C6686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'47'!$E$6:$H$6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'47'!$E$61:$H$61</c:f>
              <c:numCache>
                <c:formatCode>0.00</c:formatCode>
                <c:ptCount val="4"/>
                <c:pt idx="0">
                  <c:v>4.9000000000000004</c:v>
                </c:pt>
                <c:pt idx="1">
                  <c:v>38.419240710080004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5B-43DE-AA96-BF7328C6686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'47'!$I$61:$K$61</c:f>
              <c:strCache>
                <c:ptCount val="3"/>
                <c:pt idx="0">
                  <c:v>0,00</c:v>
                </c:pt>
                <c:pt idx="1">
                  <c:v>43,32</c:v>
                </c:pt>
                <c:pt idx="2">
                  <c:v>0,00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A3-4DF4-BB3E-1A5B8207DE1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A3-4DF4-BB3E-1A5B8207DE1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A3-4DF4-BB3E-1A5B8207DE1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A3-4DF4-BB3E-1A5B8207DE1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A3-4DF4-BB3E-1A5B8207DE12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'47'!$I$6:$K$6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'47'!$I$61:$K$61</c:f>
              <c:numCache>
                <c:formatCode>0.00</c:formatCode>
                <c:ptCount val="3"/>
                <c:pt idx="0">
                  <c:v>0</c:v>
                </c:pt>
                <c:pt idx="1">
                  <c:v>43.319240710080003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A3-4DF4-BB3E-1A5B8207DE1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B18-4638-8E6D-38012DE81FC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B18-4638-8E6D-38012DE81FC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B18-4638-8E6D-38012DE81FC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B18-4638-8E6D-38012DE81FC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18-4638-8E6D-38012DE81FC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18-4638-8E6D-38012DE81FC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18-4638-8E6D-38012DE81FC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'48'!$E$6:$H$6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'48'!$E$62:$H$62</c:f>
              <c:numCache>
                <c:formatCode>0.00</c:formatCode>
                <c:ptCount val="4"/>
                <c:pt idx="0">
                  <c:v>0</c:v>
                </c:pt>
                <c:pt idx="1">
                  <c:v>92.523276156099996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18-4638-8E6D-38012DE81FC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'48'!$I$62:$K$62</c:f>
              <c:strCache>
                <c:ptCount val="3"/>
                <c:pt idx="0">
                  <c:v>0,00</c:v>
                </c:pt>
                <c:pt idx="1">
                  <c:v>92,52</c:v>
                </c:pt>
                <c:pt idx="2">
                  <c:v>0,00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B98-48BF-898D-6102D0175AF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B98-48BF-898D-6102D0175AF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B98-48BF-898D-6102D0175AF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98-48BF-898D-6102D0175AF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B98-48BF-898D-6102D0175AF2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'48'!$I$6:$K$6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'48'!$I$62:$K$62</c:f>
              <c:numCache>
                <c:formatCode>0.00</c:formatCode>
                <c:ptCount val="3"/>
                <c:pt idx="0">
                  <c:v>0</c:v>
                </c:pt>
                <c:pt idx="1">
                  <c:v>92.523276156099996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98-48BF-898D-6102D0175AF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05-4703-8D1A-44BE24F1DBA5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505-4703-8D1A-44BE24F1DBA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505-4703-8D1A-44BE24F1DBA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505-4703-8D1A-44BE24F1DBA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05-4703-8D1A-44BE24F1DBA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05-4703-8D1A-44BE24F1DBA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05-4703-8D1A-44BE24F1DBA5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'49'!$E$62:$H$62</c:f>
              <c:numCache>
                <c:formatCode>0.00</c:formatCode>
                <c:ptCount val="4"/>
                <c:pt idx="0">
                  <c:v>0</c:v>
                </c:pt>
                <c:pt idx="1">
                  <c:v>91.536749372299994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05-4703-8D1A-44BE24F1DBA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'49'!$I$62:$K$62</c:f>
              <c:strCache>
                <c:ptCount val="3"/>
                <c:pt idx="0">
                  <c:v>0,00</c:v>
                </c:pt>
                <c:pt idx="1">
                  <c:v>91,54</c:v>
                </c:pt>
                <c:pt idx="2">
                  <c:v>0,00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75-42DE-8476-D3EB21910A3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75-42DE-8476-D3EB21910A3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75-42DE-8476-D3EB21910A3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75-42DE-8476-D3EB21910A3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75-42DE-8476-D3EB21910A3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'49'!$I$62:$K$62</c:f>
              <c:numCache>
                <c:formatCode>0.00</c:formatCode>
                <c:ptCount val="3"/>
                <c:pt idx="0">
                  <c:v>0</c:v>
                </c:pt>
                <c:pt idx="1">
                  <c:v>91.536749372299994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75-42DE-8476-D3EB21910A3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C43-4A5D-8437-CD148564CF02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C43-4A5D-8437-CD148564CF02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C43-4A5D-8437-CD148564CF0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C43-4A5D-8437-CD148564CF0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43-4A5D-8437-CD148564CF0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43-4A5D-8437-CD148564CF0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43-4A5D-8437-CD148564CF02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'59'!$E$6:$H$6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'59'!$E$62:$H$62</c:f>
              <c:numCache>
                <c:formatCode>0.00</c:formatCode>
                <c:ptCount val="4"/>
                <c:pt idx="0">
                  <c:v>0</c:v>
                </c:pt>
                <c:pt idx="1">
                  <c:v>43.09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43-4A5D-8437-CD148564CF0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'59'!$I$62:$K$62</c:f>
              <c:strCache>
                <c:ptCount val="3"/>
                <c:pt idx="0">
                  <c:v>0,00</c:v>
                </c:pt>
                <c:pt idx="1">
                  <c:v>43,09</c:v>
                </c:pt>
                <c:pt idx="2">
                  <c:v>0,00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60-4FA1-BF63-DEA44E187AA6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60-4FA1-BF63-DEA44E187AA6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60-4FA1-BF63-DEA44E187AA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60-4FA1-BF63-DEA44E187AA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60-4FA1-BF63-DEA44E187AA6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'59'!$I$6:$K$6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'59'!$I$62:$K$62</c:f>
              <c:numCache>
                <c:formatCode>0.00</c:formatCode>
                <c:ptCount val="3"/>
                <c:pt idx="0">
                  <c:v>0</c:v>
                </c:pt>
                <c:pt idx="1">
                  <c:v>43.09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60-4FA1-BF63-DEA44E187A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0ED-4864-9E04-02D67EE7186C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0ED-4864-9E04-02D67EE7186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0ED-4864-9E04-02D67EE7186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0ED-4864-9E04-02D67EE7186C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ED-4864-9E04-02D67EE7186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'60'!$E$6:$H$6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'60'!$E$76:$H$76</c:f>
              <c:numCache>
                <c:formatCode>0.00</c:formatCode>
                <c:ptCount val="4"/>
                <c:pt idx="0">
                  <c:v>29.12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ED-4864-9E04-02D67EE7186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'60'!$I$76:$K$76</c:f>
              <c:strCache>
                <c:ptCount val="3"/>
                <c:pt idx="0">
                  <c:v>29,12</c:v>
                </c:pt>
                <c:pt idx="1">
                  <c:v>0,00</c:v>
                </c:pt>
                <c:pt idx="2">
                  <c:v>0,00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B5-4E9E-8A0B-DD23CF8E752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B5-4E9E-8A0B-DD23CF8E752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B5-4E9E-8A0B-DD23CF8E752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'60'!$I$6:$K$6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'60'!$I$76:$K$76</c:f>
              <c:numCache>
                <c:formatCode>0.00</c:formatCode>
                <c:ptCount val="3"/>
                <c:pt idx="0">
                  <c:v>29.12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B5-4E9E-8A0B-DD23CF8E752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926-47FF-B814-F00BA5C2FB2B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926-47FF-B814-F00BA5C2FB2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926-47FF-B814-F00BA5C2FB2B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926-47FF-B814-F00BA5C2FB2B}"/>
              </c:ext>
            </c:extLst>
          </c:dPt>
          <c:dLbls>
            <c:dLbl>
              <c:idx val="0"/>
              <c:layout>
                <c:manualLayout>
                  <c:x val="-0.19980173834338472"/>
                  <c:y val="-9.384691361292708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26-47FF-B814-F00BA5C2FB2B}"/>
                </c:ext>
              </c:extLst>
            </c:dLbl>
            <c:dLbl>
              <c:idx val="1"/>
              <c:layout>
                <c:manualLayout>
                  <c:x val="0.15604976881760779"/>
                  <c:y val="0.1018654013559185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26-47FF-B814-F00BA5C2FB2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26-47FF-B814-F00BA5C2FB2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926-47FF-B814-F00BA5C2FB2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'62'!$E$6:$H$6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'62'!$E$62:$H$62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13.56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26-47FF-B814-F00BA5C2FB2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'62'!$I$62:$K$62</c:f>
              <c:strCache>
                <c:ptCount val="3"/>
                <c:pt idx="0">
                  <c:v>9,56</c:v>
                </c:pt>
                <c:pt idx="1">
                  <c:v>4,00</c:v>
                </c:pt>
                <c:pt idx="2">
                  <c:v>0,00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0B-4B0E-BD62-CF31C101A1B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0B-4B0E-BD62-CF31C101A1B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0B-4B0E-BD62-CF31C101A1B9}"/>
              </c:ext>
            </c:extLst>
          </c:dPt>
          <c:dLbls>
            <c:dLbl>
              <c:idx val="0"/>
              <c:layout>
                <c:manualLayout>
                  <c:x val="-0.17247654759645281"/>
                  <c:y val="-0.1484294486133696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0B-4B0E-BD62-CF31C101A1B9}"/>
                </c:ext>
              </c:extLst>
            </c:dLbl>
            <c:dLbl>
              <c:idx val="1"/>
              <c:layout>
                <c:manualLayout>
                  <c:x val="0.14452440974531744"/>
                  <c:y val="0.1493853064667353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0B-4B0E-BD62-CF31C101A1B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0B-4B0E-BD62-CF31C101A1B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'62'!$I$6:$K$6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'62'!$I$62:$K$62</c:f>
              <c:numCache>
                <c:formatCode>0.00</c:formatCode>
                <c:ptCount val="3"/>
                <c:pt idx="0">
                  <c:v>9.56</c:v>
                </c:pt>
                <c:pt idx="1">
                  <c:v>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0B-4B0E-BD62-CF31C101A1B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90-46DA-804C-815CAA37C70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90-46DA-804C-815CAA37C70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90-46DA-804C-815CAA37C701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E90-46DA-804C-815CAA37C70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90-46DA-804C-815CAA37C70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90-46DA-804C-815CAA37C70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90-46DA-804C-815CAA37C70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'64'!$E$6:$H$6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'64'!$E$62:$H$62</c:f>
              <c:numCache>
                <c:formatCode>0.00</c:formatCode>
                <c:ptCount val="4"/>
                <c:pt idx="0">
                  <c:v>16.850000000000001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90-46DA-804C-815CAA37C70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'64'!$I$62:$K$62</c:f>
              <c:strCache>
                <c:ptCount val="3"/>
                <c:pt idx="0">
                  <c:v>16,85</c:v>
                </c:pt>
                <c:pt idx="1">
                  <c:v>0,00</c:v>
                </c:pt>
                <c:pt idx="2">
                  <c:v>0,00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F66-4FAE-A9F5-EB503E73442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F66-4FAE-A9F5-EB503E73442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F66-4FAE-A9F5-EB503E73442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66-4FAE-A9F5-EB503E73442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66-4FAE-A9F5-EB503E73442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'64'!$I$6:$K$6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'64'!$I$62:$K$62</c:f>
              <c:numCache>
                <c:formatCode>0.00</c:formatCode>
                <c:ptCount val="3"/>
                <c:pt idx="0">
                  <c:v>16.850000000000001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66-4FAE-A9F5-EB503E73442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A2-4071-8D83-3F2A3D286572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A2-4071-8D83-3F2A3D286572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A2-4071-8D83-3F2A3D286572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9A2-4071-8D83-3F2A3D28657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A2-4071-8D83-3F2A3D28657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A2-4071-8D83-3F2A3D28657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A2-4071-8D83-3F2A3D286572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'65'!$E$6:$H$6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'65'!$E$62:$H$62</c:f>
              <c:numCache>
                <c:formatCode>0.00</c:formatCode>
                <c:ptCount val="4"/>
                <c:pt idx="0">
                  <c:v>16.64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A2-4071-8D83-3F2A3D28657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'65'!$I$62:$K$62</c:f>
              <c:strCache>
                <c:ptCount val="3"/>
                <c:pt idx="0">
                  <c:v>16,64</c:v>
                </c:pt>
                <c:pt idx="1">
                  <c:v>0,00</c:v>
                </c:pt>
                <c:pt idx="2">
                  <c:v>0,00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62-40C0-ABDE-B20F3374816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62-40C0-ABDE-B20F3374816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62-40C0-ABDE-B20F3374816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62-40C0-ABDE-B20F3374816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62-40C0-ABDE-B20F3374816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'65'!$I$6:$K$6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'65'!$I$62:$K$62</c:f>
              <c:numCache>
                <c:formatCode>0.00</c:formatCode>
                <c:ptCount val="3"/>
                <c:pt idx="0">
                  <c:v>16.64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62-40C0-ABDE-B20F3374816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3D-42B5-84B2-1A2BBBB9170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3D-42B5-84B2-1A2BBBB91708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3D-42B5-84B2-1A2BBBB91708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93D-42B5-84B2-1A2BBBB91708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93D-42B5-84B2-1A2BBBB9170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3D-42B5-84B2-1A2BBBB9170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'66'!$E$62:$H$62</c:f>
              <c:numCache>
                <c:formatCode>0.00</c:formatCode>
                <c:ptCount val="4"/>
                <c:pt idx="0">
                  <c:v>0</c:v>
                </c:pt>
                <c:pt idx="1">
                  <c:v>32.28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3D-42B5-84B2-1A2BBBB9170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'66'!$I$62:$K$62</c:f>
              <c:strCache>
                <c:ptCount val="3"/>
                <c:pt idx="0">
                  <c:v>0,00</c:v>
                </c:pt>
                <c:pt idx="1">
                  <c:v>32,28</c:v>
                </c:pt>
                <c:pt idx="2">
                  <c:v>0,00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62-4E36-B935-E19F7B7BB78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62-4E36-B935-E19F7B7BB78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862-4E36-B935-E19F7B7BB78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62-4E36-B935-E19F7B7BB78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62-4E36-B935-E19F7B7BB788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'66'!$I$62:$K$62</c:f>
              <c:numCache>
                <c:formatCode>0.00</c:formatCode>
                <c:ptCount val="3"/>
                <c:pt idx="0">
                  <c:v>0</c:v>
                </c:pt>
                <c:pt idx="1">
                  <c:v>32.28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62-4E36-B935-E19F7B7BB78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PLATAFORMA (EXT. (KM); %)</a:t>
            </a:r>
          </a:p>
        </c:rich>
      </c:tx>
      <c:layout>
        <c:manualLayout>
          <c:xMode val="edge"/>
          <c:yMode val="edge"/>
          <c:x val="0.18101473935112394"/>
          <c:y val="1.6271500882600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68-4479-B830-8A7129004169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068-4479-B830-8A712900416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068-4479-B830-8A7129004169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068-4479-B830-8A7129004169}"/>
              </c:ext>
            </c:extLst>
          </c:dPt>
          <c:dLbls>
            <c:dLbl>
              <c:idx val="0"/>
              <c:layout>
                <c:manualLayout>
                  <c:x val="8.5986143403440976E-2"/>
                  <c:y val="2.621301989049522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90673495297387"/>
                      <c:h val="5.738712359469327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068-4479-B830-8A7129004169}"/>
                </c:ext>
              </c:extLst>
            </c:dLbl>
            <c:dLbl>
              <c:idx val="1"/>
              <c:layout>
                <c:manualLayout>
                  <c:x val="0.12358197888536047"/>
                  <c:y val="-0.2740817365044672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68-4479-B830-8A712900416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'66'!$E$6:$H$6</c:f>
              <c:strCache>
                <c:ptCount val="4"/>
                <c:pt idx="0">
                  <c:v>BOM</c:v>
                </c:pt>
                <c:pt idx="1">
                  <c:v>REG.
(ATÉ 10 IRR./KM)</c:v>
                </c:pt>
                <c:pt idx="2">
                  <c:v>RUÍM
(+ 10 IRR./KM)</c:v>
                </c:pt>
                <c:pt idx="3">
                  <c:v>PÉSSIMA
(ATOLEIRO/PTO. CRÍTICO)</c:v>
                </c:pt>
              </c:strCache>
            </c:strRef>
          </c:cat>
          <c:val>
            <c:numRef>
              <c:f>TT!$D$15:$G$15</c:f>
              <c:numCache>
                <c:formatCode>0.00</c:formatCode>
                <c:ptCount val="4"/>
                <c:pt idx="0">
                  <c:v>67.510000000000005</c:v>
                </c:pt>
                <c:pt idx="1">
                  <c:v>366.81266231449001</c:v>
                </c:pt>
                <c:pt idx="2">
                  <c:v>13.56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68-4479-B830-8A71290041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DOS ELEMENTOS DE DRENAGEM SUPERFICIAL - EDS </a:t>
            </a: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  <a:endParaRPr lang="pt-BR" sz="12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FF-4745-9D5C-60A0DA6992C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FF-4745-9D5C-60A0DA6992C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FF-4745-9D5C-60A0DA6992C4}"/>
              </c:ext>
            </c:extLst>
          </c:dPt>
          <c:dLbls>
            <c:dLbl>
              <c:idx val="0"/>
              <c:layout>
                <c:manualLayout>
                  <c:x val="3.8005985433821304E-2"/>
                  <c:y val="1.26785878497563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FF-4745-9D5C-60A0DA6992C4}"/>
                </c:ext>
              </c:extLst>
            </c:dLbl>
            <c:dLbl>
              <c:idx val="1"/>
              <c:layout>
                <c:manualLayout>
                  <c:x val="6.1894544117267497E-2"/>
                  <c:y val="-0.2784058831233611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FF-4745-9D5C-60A0DA6992C4}"/>
                </c:ext>
              </c:extLst>
            </c:dLbl>
            <c:dLbl>
              <c:idx val="2"/>
              <c:layout>
                <c:manualLayout>
                  <c:x val="-5.6333699376286968E-2"/>
                  <c:y val="5.9410851676294455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FF-4745-9D5C-60A0DA6992C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'66'!$I$6:$K$6</c:f>
              <c:strCache>
                <c:ptCount val="3"/>
                <c:pt idx="0">
                  <c:v>LIMPA</c:v>
                </c:pt>
                <c:pt idx="1">
                  <c:v>OBSTRUÍDA</c:v>
                </c:pt>
                <c:pt idx="2">
                  <c:v>AUSENTE</c:v>
                </c:pt>
              </c:strCache>
            </c:strRef>
          </c:cat>
          <c:val>
            <c:numRef>
              <c:f>TT!$H$15:$J$15</c:f>
              <c:numCache>
                <c:formatCode>0.00</c:formatCode>
                <c:ptCount val="3"/>
                <c:pt idx="0">
                  <c:v>72.17</c:v>
                </c:pt>
                <c:pt idx="1">
                  <c:v>375.71266231448999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FF-4745-9D5C-60A0DA6992C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A396AA-FA1D-4B51-9138-1F4645DA0B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515736</xdr:colOff>
      <xdr:row>5</xdr:row>
      <xdr:rowOff>301971</xdr:rowOff>
    </xdr:from>
    <xdr:to>
      <xdr:col>36</xdr:col>
      <xdr:colOff>470034</xdr:colOff>
      <xdr:row>11</xdr:row>
      <xdr:rowOff>309314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9397D3-68A9-42A3-AA3C-031EDBFF48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106952</xdr:colOff>
      <xdr:row>15</xdr:row>
      <xdr:rowOff>487952</xdr:rowOff>
    </xdr:from>
    <xdr:to>
      <xdr:col>29</xdr:col>
      <xdr:colOff>526676</xdr:colOff>
      <xdr:row>16</xdr:row>
      <xdr:rowOff>235322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20D4FC0-90C4-4C8A-B20A-62B42DEA8056}"/>
            </a:ext>
          </a:extLst>
        </xdr:cNvPr>
        <xdr:cNvSpPr txBox="1"/>
      </xdr:nvSpPr>
      <xdr:spPr>
        <a:xfrm>
          <a:off x="34565040" y="7906246"/>
          <a:ext cx="1024842" cy="2740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321135</xdr:colOff>
      <xdr:row>11</xdr:row>
      <xdr:rowOff>287476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5BEF52-147F-4685-8A3D-0150F8AF8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389561</xdr:colOff>
      <xdr:row>5</xdr:row>
      <xdr:rowOff>326671</xdr:rowOff>
    </xdr:from>
    <xdr:to>
      <xdr:col>36</xdr:col>
      <xdr:colOff>213626</xdr:colOff>
      <xdr:row>11</xdr:row>
      <xdr:rowOff>307171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AB7CE8C-9BA7-4ADF-95C3-AC23F2F744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105046</xdr:colOff>
      <xdr:row>14</xdr:row>
      <xdr:rowOff>486048</xdr:rowOff>
    </xdr:from>
    <xdr:to>
      <xdr:col>29</xdr:col>
      <xdr:colOff>503464</xdr:colOff>
      <xdr:row>15</xdr:row>
      <xdr:rowOff>204107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46479FAA-2034-4AEF-BD1C-49CDC086964E}"/>
            </a:ext>
          </a:extLst>
        </xdr:cNvPr>
        <xdr:cNvSpPr txBox="1"/>
      </xdr:nvSpPr>
      <xdr:spPr>
        <a:xfrm>
          <a:off x="34667189" y="7929155"/>
          <a:ext cx="1010739" cy="2487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321135</xdr:colOff>
      <xdr:row>11</xdr:row>
      <xdr:rowOff>287476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0704EB-71FF-4BFF-B30C-675F2550D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445423</xdr:colOff>
      <xdr:row>5</xdr:row>
      <xdr:rowOff>315586</xdr:rowOff>
    </xdr:from>
    <xdr:to>
      <xdr:col>36</xdr:col>
      <xdr:colOff>277108</xdr:colOff>
      <xdr:row>11</xdr:row>
      <xdr:rowOff>284656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304B0F-E548-4580-9878-F622A7532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105046</xdr:colOff>
      <xdr:row>15</xdr:row>
      <xdr:rowOff>486048</xdr:rowOff>
    </xdr:from>
    <xdr:to>
      <xdr:col>29</xdr:col>
      <xdr:colOff>503464</xdr:colOff>
      <xdr:row>16</xdr:row>
      <xdr:rowOff>204107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77EC140-C1BA-4774-AD10-959EA5DEF7C1}"/>
            </a:ext>
          </a:extLst>
        </xdr:cNvPr>
        <xdr:cNvSpPr txBox="1"/>
      </xdr:nvSpPr>
      <xdr:spPr>
        <a:xfrm>
          <a:off x="34621741" y="7885068"/>
          <a:ext cx="1011828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9294C4-8AAF-48D9-83DC-AC5DC1D26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574185</xdr:colOff>
      <xdr:row>5</xdr:row>
      <xdr:rowOff>322860</xdr:rowOff>
    </xdr:from>
    <xdr:to>
      <xdr:col>36</xdr:col>
      <xdr:colOff>513243</xdr:colOff>
      <xdr:row>11</xdr:row>
      <xdr:rowOff>316868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E293371-2E52-49CE-8442-D8592AA84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105046</xdr:colOff>
      <xdr:row>15</xdr:row>
      <xdr:rowOff>486048</xdr:rowOff>
    </xdr:from>
    <xdr:to>
      <xdr:col>29</xdr:col>
      <xdr:colOff>503464</xdr:colOff>
      <xdr:row>16</xdr:row>
      <xdr:rowOff>204107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5C036F0-DA03-4D95-BB4D-8A44F24D5AEA}"/>
            </a:ext>
          </a:extLst>
        </xdr:cNvPr>
        <xdr:cNvSpPr txBox="1"/>
      </xdr:nvSpPr>
      <xdr:spPr>
        <a:xfrm>
          <a:off x="34621741" y="7885068"/>
          <a:ext cx="1011828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438015</xdr:colOff>
      <xdr:row>5</xdr:row>
      <xdr:rowOff>241253</xdr:rowOff>
    </xdr:from>
    <xdr:to>
      <xdr:col>27</xdr:col>
      <xdr:colOff>382788</xdr:colOff>
      <xdr:row>11</xdr:row>
      <xdr:rowOff>239071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3FCA79-E385-4EC1-949D-3C8B90E5E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476769</xdr:colOff>
      <xdr:row>5</xdr:row>
      <xdr:rowOff>266056</xdr:rowOff>
    </xdr:from>
    <xdr:to>
      <xdr:col>36</xdr:col>
      <xdr:colOff>415827</xdr:colOff>
      <xdr:row>11</xdr:row>
      <xdr:rowOff>263874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4AE086F-C21B-4A61-9345-A2A48533D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105046</xdr:colOff>
      <xdr:row>15</xdr:row>
      <xdr:rowOff>486048</xdr:rowOff>
    </xdr:from>
    <xdr:to>
      <xdr:col>29</xdr:col>
      <xdr:colOff>503464</xdr:colOff>
      <xdr:row>16</xdr:row>
      <xdr:rowOff>204107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3DCAE8C-99E5-44B8-A68D-8E6FB8CF1BA4}"/>
            </a:ext>
          </a:extLst>
        </xdr:cNvPr>
        <xdr:cNvSpPr txBox="1"/>
      </xdr:nvSpPr>
      <xdr:spPr>
        <a:xfrm>
          <a:off x="34621741" y="7885068"/>
          <a:ext cx="1011828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382367</xdr:colOff>
      <xdr:row>11</xdr:row>
      <xdr:rowOff>246654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9DB581-7D1A-408D-8539-1CA70720A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469039</xdr:colOff>
      <xdr:row>5</xdr:row>
      <xdr:rowOff>306569</xdr:rowOff>
    </xdr:from>
    <xdr:to>
      <xdr:col>36</xdr:col>
      <xdr:colOff>350526</xdr:colOff>
      <xdr:row>11</xdr:row>
      <xdr:rowOff>242437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16674B-94FD-408C-9F59-79ADB687A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E3EFF5-5B3E-4032-A19D-9B0A93000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536516</xdr:colOff>
      <xdr:row>5</xdr:row>
      <xdr:rowOff>319396</xdr:rowOff>
    </xdr:from>
    <xdr:to>
      <xdr:col>36</xdr:col>
      <xdr:colOff>485099</xdr:colOff>
      <xdr:row>11</xdr:row>
      <xdr:rowOff>313404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2442CE-C2F9-4BB8-9071-F9081495F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105046</xdr:colOff>
      <xdr:row>15</xdr:row>
      <xdr:rowOff>486048</xdr:rowOff>
    </xdr:from>
    <xdr:to>
      <xdr:col>29</xdr:col>
      <xdr:colOff>503464</xdr:colOff>
      <xdr:row>16</xdr:row>
      <xdr:rowOff>204107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640CB59F-9C7E-4D5A-8817-19C90C5B8629}"/>
            </a:ext>
          </a:extLst>
        </xdr:cNvPr>
        <xdr:cNvSpPr txBox="1"/>
      </xdr:nvSpPr>
      <xdr:spPr>
        <a:xfrm>
          <a:off x="34621741" y="7885068"/>
          <a:ext cx="1011828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004C527-1E5F-4308-96F2-17B7FEDADF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536517</xdr:colOff>
      <xdr:row>5</xdr:row>
      <xdr:rowOff>319397</xdr:rowOff>
    </xdr:from>
    <xdr:to>
      <xdr:col>36</xdr:col>
      <xdr:colOff>485100</xdr:colOff>
      <xdr:row>11</xdr:row>
      <xdr:rowOff>313405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2D455AD-52A8-48ED-9618-9BBDA2CF1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105046</xdr:colOff>
      <xdr:row>15</xdr:row>
      <xdr:rowOff>486048</xdr:rowOff>
    </xdr:from>
    <xdr:to>
      <xdr:col>29</xdr:col>
      <xdr:colOff>503464</xdr:colOff>
      <xdr:row>16</xdr:row>
      <xdr:rowOff>204107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E94707-B6B4-471D-982D-E1D2D6C8AC30}"/>
            </a:ext>
          </a:extLst>
        </xdr:cNvPr>
        <xdr:cNvSpPr txBox="1"/>
      </xdr:nvSpPr>
      <xdr:spPr>
        <a:xfrm>
          <a:off x="34621741" y="7885068"/>
          <a:ext cx="1011828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6646BB-19B1-450C-B279-1EBF8EEB62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536517</xdr:colOff>
      <xdr:row>5</xdr:row>
      <xdr:rowOff>284760</xdr:rowOff>
    </xdr:from>
    <xdr:to>
      <xdr:col>36</xdr:col>
      <xdr:colOff>485100</xdr:colOff>
      <xdr:row>11</xdr:row>
      <xdr:rowOff>278768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6F6C5E-8659-462B-B2D3-BBCAB529C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105046</xdr:colOff>
      <xdr:row>15</xdr:row>
      <xdr:rowOff>486048</xdr:rowOff>
    </xdr:from>
    <xdr:to>
      <xdr:col>29</xdr:col>
      <xdr:colOff>503464</xdr:colOff>
      <xdr:row>16</xdr:row>
      <xdr:rowOff>204107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F46E4283-B55F-47DD-A797-9D85F5DA2A47}"/>
            </a:ext>
          </a:extLst>
        </xdr:cNvPr>
        <xdr:cNvSpPr txBox="1"/>
      </xdr:nvSpPr>
      <xdr:spPr>
        <a:xfrm>
          <a:off x="34621741" y="7885068"/>
          <a:ext cx="1011828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493260</xdr:colOff>
      <xdr:row>5</xdr:row>
      <xdr:rowOff>312691</xdr:rowOff>
    </xdr:from>
    <xdr:to>
      <xdr:col>27</xdr:col>
      <xdr:colOff>438033</xdr:colOff>
      <xdr:row>11</xdr:row>
      <xdr:rowOff>308604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66DCEE-6FF6-45A7-8930-23962FE682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570373</xdr:colOff>
      <xdr:row>5</xdr:row>
      <xdr:rowOff>320176</xdr:rowOff>
    </xdr:from>
    <xdr:to>
      <xdr:col>36</xdr:col>
      <xdr:colOff>518956</xdr:colOff>
      <xdr:row>11</xdr:row>
      <xdr:rowOff>325614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12D7A9-B888-499D-89BB-8D17C0C29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105046</xdr:colOff>
      <xdr:row>15</xdr:row>
      <xdr:rowOff>486048</xdr:rowOff>
    </xdr:from>
    <xdr:to>
      <xdr:col>29</xdr:col>
      <xdr:colOff>503464</xdr:colOff>
      <xdr:row>16</xdr:row>
      <xdr:rowOff>204107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193EC59-8ACA-4577-B1CD-736867E43BA9}"/>
            </a:ext>
          </a:extLst>
        </xdr:cNvPr>
        <xdr:cNvSpPr txBox="1"/>
      </xdr:nvSpPr>
      <xdr:spPr>
        <a:xfrm>
          <a:off x="34621741" y="7885068"/>
          <a:ext cx="1011828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493259</xdr:colOff>
      <xdr:row>5</xdr:row>
      <xdr:rowOff>269964</xdr:rowOff>
    </xdr:from>
    <xdr:to>
      <xdr:col>20</xdr:col>
      <xdr:colOff>447200</xdr:colOff>
      <xdr:row>15</xdr:row>
      <xdr:rowOff>56154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A65C7D-F2D2-4EEC-95CC-EE0819E9A1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527163</xdr:colOff>
      <xdr:row>5</xdr:row>
      <xdr:rowOff>258856</xdr:rowOff>
    </xdr:from>
    <xdr:to>
      <xdr:col>29</xdr:col>
      <xdr:colOff>479199</xdr:colOff>
      <xdr:row>15</xdr:row>
      <xdr:rowOff>37426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57AB15-DC3E-478B-8DF7-5F23C25B6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7"/>
  <sheetViews>
    <sheetView workbookViewId="0">
      <selection activeCell="C20" sqref="C20"/>
    </sheetView>
  </sheetViews>
  <sheetFormatPr defaultColWidth="8.875" defaultRowHeight="14.25"/>
  <cols>
    <col min="1" max="1" width="6.625" style="51" customWidth="1"/>
    <col min="2" max="2" width="5.875" style="51" customWidth="1"/>
    <col min="3" max="3" width="88.25" style="51" bestFit="1" customWidth="1"/>
    <col min="4" max="4" width="11.25" style="51" bestFit="1" customWidth="1"/>
    <col min="5" max="5" width="53.375" style="51" bestFit="1" customWidth="1"/>
    <col min="6" max="6" width="14" style="52" bestFit="1" customWidth="1"/>
    <col min="7" max="7" width="5" style="51" bestFit="1" customWidth="1"/>
    <col min="8" max="16384" width="8.875" style="51"/>
  </cols>
  <sheetData>
    <row r="2" spans="1:13">
      <c r="A2" s="53" t="s">
        <v>50</v>
      </c>
      <c r="B2" s="54" t="s">
        <v>83</v>
      </c>
      <c r="C2" s="54" t="s">
        <v>21</v>
      </c>
      <c r="D2" s="53" t="s">
        <v>51</v>
      </c>
      <c r="E2" s="54" t="s">
        <v>82</v>
      </c>
      <c r="F2" s="55" t="s">
        <v>84</v>
      </c>
      <c r="G2" s="53" t="s">
        <v>52</v>
      </c>
      <c r="H2" s="56">
        <v>45839</v>
      </c>
      <c r="I2" s="56">
        <v>45870</v>
      </c>
      <c r="J2" s="56">
        <v>45901</v>
      </c>
      <c r="K2" s="56">
        <v>45931</v>
      </c>
      <c r="L2" s="56">
        <v>45962</v>
      </c>
      <c r="M2" s="56">
        <v>45992</v>
      </c>
    </row>
    <row r="3" spans="1:13">
      <c r="A3" s="57">
        <v>2</v>
      </c>
      <c r="B3" s="57" t="s">
        <v>24</v>
      </c>
      <c r="C3" s="57" t="s">
        <v>25</v>
      </c>
      <c r="D3" s="57" t="s">
        <v>53</v>
      </c>
      <c r="E3" s="57" t="s">
        <v>54</v>
      </c>
      <c r="F3" s="58">
        <v>27.9739821549</v>
      </c>
      <c r="G3" s="57" t="s">
        <v>55</v>
      </c>
    </row>
    <row r="4" spans="1:13">
      <c r="A4" s="57">
        <v>2</v>
      </c>
      <c r="B4" s="57" t="s">
        <v>26</v>
      </c>
      <c r="C4" s="57" t="s">
        <v>27</v>
      </c>
      <c r="D4" s="57" t="s">
        <v>56</v>
      </c>
      <c r="E4" s="57" t="s">
        <v>57</v>
      </c>
      <c r="F4" s="58">
        <v>9.0092407100800003</v>
      </c>
      <c r="G4" s="57" t="s">
        <v>55</v>
      </c>
      <c r="H4" s="51" t="s">
        <v>85</v>
      </c>
    </row>
    <row r="5" spans="1:13">
      <c r="A5" s="57">
        <v>2</v>
      </c>
      <c r="B5" s="57" t="s">
        <v>26</v>
      </c>
      <c r="C5" s="57" t="s">
        <v>27</v>
      </c>
      <c r="D5" s="57" t="s">
        <v>58</v>
      </c>
      <c r="E5" s="57" t="s">
        <v>59</v>
      </c>
      <c r="F5" s="58">
        <v>34.312592009600003</v>
      </c>
      <c r="G5" s="57" t="s">
        <v>55</v>
      </c>
      <c r="H5" s="51" t="s">
        <v>85</v>
      </c>
    </row>
    <row r="6" spans="1:13">
      <c r="A6" s="57">
        <v>2</v>
      </c>
      <c r="B6" s="57" t="s">
        <v>28</v>
      </c>
      <c r="C6" s="57" t="s">
        <v>29</v>
      </c>
      <c r="D6" s="57" t="s">
        <v>60</v>
      </c>
      <c r="E6" s="57" t="s">
        <v>61</v>
      </c>
      <c r="F6" s="58">
        <v>51.5343878045</v>
      </c>
      <c r="G6" s="57" t="s">
        <v>62</v>
      </c>
    </row>
    <row r="7" spans="1:13">
      <c r="A7" s="57">
        <v>2</v>
      </c>
      <c r="B7" s="57" t="s">
        <v>28</v>
      </c>
      <c r="C7" s="57" t="s">
        <v>29</v>
      </c>
      <c r="D7" s="57" t="s">
        <v>63</v>
      </c>
      <c r="E7" s="57" t="s">
        <v>64</v>
      </c>
      <c r="F7" s="58">
        <v>40.988888351600004</v>
      </c>
      <c r="G7" s="57" t="s">
        <v>62</v>
      </c>
    </row>
    <row r="8" spans="1:13">
      <c r="A8" s="57">
        <v>2</v>
      </c>
      <c r="B8" s="57" t="s">
        <v>30</v>
      </c>
      <c r="C8" s="57" t="s">
        <v>31</v>
      </c>
      <c r="D8" s="57" t="s">
        <v>65</v>
      </c>
      <c r="E8" s="57" t="s">
        <v>66</v>
      </c>
      <c r="F8" s="58">
        <v>56.5312585629</v>
      </c>
      <c r="G8" s="57" t="s">
        <v>62</v>
      </c>
    </row>
    <row r="9" spans="1:13">
      <c r="A9" s="57">
        <v>2</v>
      </c>
      <c r="B9" s="57" t="s">
        <v>30</v>
      </c>
      <c r="C9" s="57" t="s">
        <v>31</v>
      </c>
      <c r="D9" s="57" t="s">
        <v>67</v>
      </c>
      <c r="E9" s="57" t="s">
        <v>68</v>
      </c>
      <c r="F9" s="58">
        <v>35.005490809400001</v>
      </c>
      <c r="G9" s="57" t="s">
        <v>62</v>
      </c>
    </row>
    <row r="10" spans="1:13">
      <c r="A10" s="57">
        <v>2</v>
      </c>
      <c r="B10" s="57" t="s">
        <v>32</v>
      </c>
      <c r="C10" s="57" t="s">
        <v>33</v>
      </c>
      <c r="D10" s="57" t="s">
        <v>69</v>
      </c>
      <c r="E10" s="57" t="s">
        <v>70</v>
      </c>
      <c r="F10" s="58">
        <v>43.086791463899999</v>
      </c>
      <c r="G10" s="57" t="s">
        <v>62</v>
      </c>
    </row>
    <row r="11" spans="1:13">
      <c r="A11" s="69">
        <v>2</v>
      </c>
      <c r="B11" s="69" t="s">
        <v>34</v>
      </c>
      <c r="C11" s="69" t="s">
        <v>35</v>
      </c>
      <c r="D11" s="69" t="s">
        <v>71</v>
      </c>
      <c r="E11" s="69" t="s">
        <v>72</v>
      </c>
      <c r="F11" s="70">
        <v>29.115564879200001</v>
      </c>
      <c r="G11" s="69" t="s">
        <v>62</v>
      </c>
    </row>
    <row r="12" spans="1:13">
      <c r="A12" s="69">
        <v>2</v>
      </c>
      <c r="B12" s="69" t="s">
        <v>36</v>
      </c>
      <c r="C12" s="69" t="s">
        <v>37</v>
      </c>
      <c r="D12" s="69" t="s">
        <v>73</v>
      </c>
      <c r="E12" s="69" t="s">
        <v>74</v>
      </c>
      <c r="F12" s="70">
        <v>12.296031151999999</v>
      </c>
      <c r="G12" s="69" t="s">
        <v>62</v>
      </c>
    </row>
    <row r="13" spans="1:13">
      <c r="A13" s="69">
        <v>2</v>
      </c>
      <c r="B13" s="69" t="s">
        <v>36</v>
      </c>
      <c r="C13" s="69" t="s">
        <v>37</v>
      </c>
      <c r="D13" s="69" t="s">
        <v>75</v>
      </c>
      <c r="E13" s="69" t="s">
        <v>76</v>
      </c>
      <c r="F13" s="70">
        <v>1.25838521613</v>
      </c>
      <c r="G13" s="69" t="s">
        <v>62</v>
      </c>
    </row>
    <row r="14" spans="1:13">
      <c r="A14" s="69">
        <v>2</v>
      </c>
      <c r="B14" s="69" t="s">
        <v>38</v>
      </c>
      <c r="C14" s="69" t="s">
        <v>39</v>
      </c>
      <c r="D14" s="69" t="s">
        <v>77</v>
      </c>
      <c r="E14" s="69" t="s">
        <v>78</v>
      </c>
      <c r="F14" s="70">
        <v>16.852537210800001</v>
      </c>
      <c r="G14" s="69" t="s">
        <v>62</v>
      </c>
    </row>
    <row r="15" spans="1:13">
      <c r="A15" s="57">
        <v>2</v>
      </c>
      <c r="B15" s="57" t="s">
        <v>40</v>
      </c>
      <c r="C15" s="57" t="s">
        <v>41</v>
      </c>
      <c r="D15" s="57" t="s">
        <v>46</v>
      </c>
      <c r="E15" s="57" t="s">
        <v>79</v>
      </c>
      <c r="F15" s="58">
        <v>16.639885323600001</v>
      </c>
      <c r="G15" s="57" t="s">
        <v>62</v>
      </c>
      <c r="H15" s="51" t="s">
        <v>85</v>
      </c>
    </row>
    <row r="16" spans="1:13">
      <c r="A16" s="57">
        <v>2</v>
      </c>
      <c r="B16" s="57" t="s">
        <v>42</v>
      </c>
      <c r="C16" s="57" t="s">
        <v>43</v>
      </c>
      <c r="D16" s="57" t="s">
        <v>80</v>
      </c>
      <c r="E16" s="57" t="s">
        <v>81</v>
      </c>
      <c r="F16" s="58">
        <v>32.279870488500002</v>
      </c>
      <c r="G16" s="57" t="s">
        <v>62</v>
      </c>
      <c r="H16" s="51" t="s">
        <v>85</v>
      </c>
    </row>
    <row r="17" spans="6:8">
      <c r="F17" s="52">
        <f>SUM(F3:F16)</f>
        <v>406.88490613711008</v>
      </c>
      <c r="H17" s="52">
        <f>F16+F15+F5+F4</f>
        <v>92.241588531780025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R68"/>
  <sheetViews>
    <sheetView tabSelected="1" view="pageBreakPreview" zoomScale="55" zoomScaleNormal="55" zoomScaleSheetLayoutView="55" workbookViewId="0">
      <selection activeCell="J3" sqref="J3"/>
    </sheetView>
  </sheetViews>
  <sheetFormatPr defaultColWidth="8.875" defaultRowHeight="15"/>
  <cols>
    <col min="1" max="1" width="33.375" style="1" customWidth="1"/>
    <col min="2" max="2" width="17.125" style="1" customWidth="1"/>
    <col min="3" max="4" width="13.375" style="1" customWidth="1"/>
    <col min="5" max="5" width="26.375" style="2" customWidth="1"/>
    <col min="6" max="6" width="30.125" style="2" customWidth="1"/>
    <col min="7" max="7" width="26.375" style="2" customWidth="1"/>
    <col min="8" max="8" width="33.125" style="2" customWidth="1"/>
    <col min="9" max="11" width="32" style="2" customWidth="1"/>
    <col min="12" max="14" width="14.375" style="1" customWidth="1"/>
    <col min="15" max="17" width="14.625" style="1" customWidth="1"/>
    <col min="18" max="18" width="37.37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84" t="s">
        <v>3</v>
      </c>
      <c r="J1" s="86">
        <v>46204</v>
      </c>
      <c r="K1" s="11"/>
      <c r="L1" s="88" t="s">
        <v>4</v>
      </c>
      <c r="M1" s="88"/>
      <c r="N1" s="90" t="s">
        <v>90</v>
      </c>
      <c r="O1" s="90"/>
      <c r="P1" s="90"/>
      <c r="Q1" s="90"/>
      <c r="R1" s="91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85"/>
      <c r="J2" s="87"/>
      <c r="K2" s="16"/>
      <c r="L2" s="89"/>
      <c r="M2" s="89"/>
      <c r="N2" s="92"/>
      <c r="O2" s="92"/>
      <c r="P2" s="92"/>
      <c r="Q2" s="92"/>
      <c r="R2" s="93"/>
    </row>
    <row r="3" spans="1:18" ht="19.5">
      <c r="A3" s="13" t="s">
        <v>23</v>
      </c>
      <c r="B3" s="44" t="str">
        <f>TT!C4</f>
        <v>RODOVIA TO-164 - TRECHO ENTR. TO-226 - POVOADO DEZENOVE - BERNARDO SAYÃO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98" t="s">
        <v>1</v>
      </c>
      <c r="B5" s="94" t="s">
        <v>7</v>
      </c>
      <c r="C5" s="100" t="s">
        <v>5</v>
      </c>
      <c r="D5" s="100" t="s">
        <v>6</v>
      </c>
      <c r="E5" s="94" t="s">
        <v>10</v>
      </c>
      <c r="F5" s="94"/>
      <c r="G5" s="94"/>
      <c r="H5" s="94"/>
      <c r="I5" s="94" t="s">
        <v>11</v>
      </c>
      <c r="J5" s="94"/>
      <c r="K5" s="94"/>
      <c r="L5" s="94" t="s">
        <v>8</v>
      </c>
      <c r="M5" s="94"/>
      <c r="N5" s="94"/>
      <c r="O5" s="94"/>
      <c r="P5" s="94"/>
      <c r="Q5" s="94"/>
      <c r="R5" s="95"/>
    </row>
    <row r="6" spans="1:18" s="6" customFormat="1" ht="79.150000000000006" customHeight="1">
      <c r="A6" s="99"/>
      <c r="B6" s="96"/>
      <c r="C6" s="96"/>
      <c r="D6" s="96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6"/>
      <c r="M6" s="96"/>
      <c r="N6" s="96"/>
      <c r="O6" s="96"/>
      <c r="P6" s="96"/>
      <c r="Q6" s="96"/>
      <c r="R6" s="97"/>
    </row>
    <row r="7" spans="1:18" ht="41.45" customHeight="1">
      <c r="A7" s="64" t="s">
        <v>53</v>
      </c>
      <c r="B7" s="21" t="s">
        <v>18</v>
      </c>
      <c r="C7" s="22">
        <v>0</v>
      </c>
      <c r="D7" s="65">
        <v>27.9739821549</v>
      </c>
      <c r="E7" s="21"/>
      <c r="F7" s="21" t="s">
        <v>19</v>
      </c>
      <c r="G7" s="21"/>
      <c r="H7" s="21"/>
      <c r="I7" s="21"/>
      <c r="J7" s="21" t="s">
        <v>19</v>
      </c>
      <c r="K7" s="21"/>
      <c r="L7" s="78"/>
      <c r="M7" s="78"/>
      <c r="N7" s="78"/>
      <c r="O7" s="78"/>
      <c r="P7" s="78"/>
      <c r="Q7" s="78"/>
      <c r="R7" s="78"/>
    </row>
    <row r="8" spans="1:18" ht="41.45" customHeight="1">
      <c r="A8" s="64" t="s">
        <v>86</v>
      </c>
      <c r="B8" s="21" t="s">
        <v>18</v>
      </c>
      <c r="C8" s="22">
        <v>0</v>
      </c>
      <c r="D8" s="65">
        <v>24.683840012699999</v>
      </c>
      <c r="E8" s="21"/>
      <c r="F8" s="21" t="s">
        <v>19</v>
      </c>
      <c r="G8" s="21"/>
      <c r="H8" s="21"/>
      <c r="I8" s="21"/>
      <c r="J8" s="21" t="s">
        <v>19</v>
      </c>
      <c r="K8" s="21"/>
      <c r="L8" s="78"/>
      <c r="M8" s="78"/>
      <c r="N8" s="78"/>
      <c r="O8" s="78"/>
      <c r="P8" s="78"/>
      <c r="Q8" s="78"/>
      <c r="R8" s="78"/>
    </row>
    <row r="9" spans="1:18" ht="41.45" customHeight="1">
      <c r="A9" s="64" t="s">
        <v>87</v>
      </c>
      <c r="B9" s="21" t="s">
        <v>18</v>
      </c>
      <c r="C9" s="22">
        <v>0</v>
      </c>
      <c r="D9" s="65">
        <v>4.9826601516000002</v>
      </c>
      <c r="E9" s="21"/>
      <c r="F9" s="21" t="s">
        <v>19</v>
      </c>
      <c r="G9" s="21"/>
      <c r="H9" s="21"/>
      <c r="I9" s="21"/>
      <c r="J9" s="21" t="s">
        <v>19</v>
      </c>
      <c r="K9" s="21"/>
      <c r="L9" s="78"/>
      <c r="M9" s="78"/>
      <c r="N9" s="78"/>
      <c r="O9" s="78"/>
      <c r="P9" s="78"/>
      <c r="Q9" s="78"/>
      <c r="R9" s="78"/>
    </row>
    <row r="10" spans="1:18" ht="41.45" customHeight="1">
      <c r="A10" s="64" t="s">
        <v>88</v>
      </c>
      <c r="B10" s="21" t="s">
        <v>18</v>
      </c>
      <c r="C10" s="22">
        <v>0</v>
      </c>
      <c r="D10" s="65">
        <v>8.8198806538600003</v>
      </c>
      <c r="E10" s="21"/>
      <c r="F10" s="21" t="s">
        <v>19</v>
      </c>
      <c r="G10" s="21"/>
      <c r="H10" s="21"/>
      <c r="I10" s="21"/>
      <c r="J10" s="21" t="s">
        <v>19</v>
      </c>
      <c r="K10" s="21"/>
      <c r="L10" s="78"/>
      <c r="M10" s="78"/>
      <c r="N10" s="78"/>
      <c r="O10" s="78"/>
      <c r="P10" s="78"/>
      <c r="Q10" s="78"/>
      <c r="R10" s="78"/>
    </row>
    <row r="11" spans="1:18" ht="41.45" customHeight="1">
      <c r="A11" s="64" t="s">
        <v>89</v>
      </c>
      <c r="B11" s="21" t="s">
        <v>18</v>
      </c>
      <c r="C11" s="22">
        <v>0</v>
      </c>
      <c r="D11" s="65">
        <v>2.5030331029499999</v>
      </c>
      <c r="E11" s="21"/>
      <c r="F11" s="21" t="s">
        <v>19</v>
      </c>
      <c r="G11" s="21"/>
      <c r="H11" s="21"/>
      <c r="I11" s="21"/>
      <c r="J11" s="21" t="s">
        <v>19</v>
      </c>
      <c r="K11" s="21"/>
      <c r="L11" s="78"/>
      <c r="M11" s="78"/>
      <c r="N11" s="78"/>
      <c r="O11" s="78"/>
      <c r="P11" s="78"/>
      <c r="Q11" s="78"/>
      <c r="R11" s="78"/>
    </row>
    <row r="12" spans="1:18" ht="41.45" customHeight="1">
      <c r="A12" s="61"/>
      <c r="B12" s="62"/>
      <c r="C12" s="63"/>
      <c r="D12" s="60"/>
      <c r="E12" s="62"/>
      <c r="F12" s="62"/>
      <c r="G12" s="62"/>
      <c r="H12" s="62"/>
      <c r="I12" s="62"/>
      <c r="J12" s="62"/>
      <c r="K12" s="62"/>
      <c r="L12" s="82"/>
      <c r="M12" s="82"/>
      <c r="N12" s="82"/>
      <c r="O12" s="82"/>
      <c r="P12" s="82"/>
      <c r="Q12" s="82"/>
      <c r="R12" s="83"/>
    </row>
    <row r="13" spans="1:18" ht="41.45" customHeight="1">
      <c r="A13" s="38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78"/>
      <c r="M13" s="78"/>
      <c r="N13" s="78"/>
      <c r="O13" s="78"/>
      <c r="P13" s="78"/>
      <c r="Q13" s="78"/>
      <c r="R13" s="79"/>
    </row>
    <row r="14" spans="1:18" ht="41.45" customHeight="1">
      <c r="A14" s="38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78"/>
      <c r="M14" s="78"/>
      <c r="N14" s="78"/>
      <c r="O14" s="78"/>
      <c r="P14" s="78"/>
      <c r="Q14" s="78"/>
      <c r="R14" s="79"/>
    </row>
    <row r="15" spans="1:18" ht="41.45" customHeight="1">
      <c r="A15" s="38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78"/>
      <c r="M15" s="78"/>
      <c r="N15" s="78"/>
      <c r="O15" s="78"/>
      <c r="P15" s="78"/>
      <c r="Q15" s="78"/>
      <c r="R15" s="79"/>
    </row>
    <row r="16" spans="1:18" ht="41.45" customHeight="1">
      <c r="A16" s="38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78"/>
      <c r="M16" s="78"/>
      <c r="N16" s="78"/>
      <c r="O16" s="78"/>
      <c r="P16" s="78"/>
      <c r="Q16" s="78"/>
      <c r="R16" s="79"/>
    </row>
    <row r="17" spans="1:18" ht="41.45" customHeight="1">
      <c r="A17" s="38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78"/>
      <c r="M17" s="78"/>
      <c r="N17" s="78"/>
      <c r="O17" s="78"/>
      <c r="P17" s="78"/>
      <c r="Q17" s="78"/>
      <c r="R17" s="79"/>
    </row>
    <row r="18" spans="1:18" ht="41.45" customHeight="1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78"/>
      <c r="M18" s="78"/>
      <c r="N18" s="78"/>
      <c r="O18" s="78"/>
      <c r="P18" s="78"/>
      <c r="Q18" s="78"/>
      <c r="R18" s="79"/>
    </row>
    <row r="19" spans="1:18" ht="41.45" customHeight="1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78"/>
      <c r="M19" s="78"/>
      <c r="N19" s="78"/>
      <c r="O19" s="78"/>
      <c r="P19" s="78"/>
      <c r="Q19" s="78"/>
      <c r="R19" s="79"/>
    </row>
    <row r="20" spans="1:18" ht="41.45" customHeight="1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78"/>
      <c r="M20" s="78"/>
      <c r="N20" s="78"/>
      <c r="O20" s="78"/>
      <c r="P20" s="78"/>
      <c r="Q20" s="78"/>
      <c r="R20" s="79"/>
    </row>
    <row r="21" spans="1:18" ht="41.45" customHeight="1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78"/>
      <c r="M21" s="78"/>
      <c r="N21" s="78"/>
      <c r="O21" s="78"/>
      <c r="P21" s="78"/>
      <c r="Q21" s="78"/>
      <c r="R21" s="79"/>
    </row>
    <row r="22" spans="1:18" ht="41.45" customHeight="1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78"/>
      <c r="M22" s="78"/>
      <c r="N22" s="78"/>
      <c r="O22" s="78"/>
      <c r="P22" s="78"/>
      <c r="Q22" s="78"/>
      <c r="R22" s="79"/>
    </row>
    <row r="23" spans="1:18" ht="41.45" customHeight="1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78"/>
      <c r="M23" s="78"/>
      <c r="N23" s="78"/>
      <c r="O23" s="78"/>
      <c r="P23" s="78"/>
      <c r="Q23" s="78"/>
      <c r="R23" s="79"/>
    </row>
    <row r="24" spans="1:18" ht="41.45" customHeight="1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78"/>
      <c r="M24" s="78"/>
      <c r="N24" s="78"/>
      <c r="O24" s="78"/>
      <c r="P24" s="78"/>
      <c r="Q24" s="78"/>
      <c r="R24" s="79"/>
    </row>
    <row r="25" spans="1:18" ht="41.45" customHeight="1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78"/>
      <c r="M25" s="78"/>
      <c r="N25" s="78"/>
      <c r="O25" s="78"/>
      <c r="P25" s="78"/>
      <c r="Q25" s="78"/>
      <c r="R25" s="79"/>
    </row>
    <row r="26" spans="1:18" ht="41.45" customHeight="1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78"/>
      <c r="M26" s="78"/>
      <c r="N26" s="78"/>
      <c r="O26" s="78"/>
      <c r="P26" s="78"/>
      <c r="Q26" s="78"/>
      <c r="R26" s="79"/>
    </row>
    <row r="27" spans="1:18" ht="41.45" customHeight="1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78"/>
      <c r="M27" s="78"/>
      <c r="N27" s="78"/>
      <c r="O27" s="78"/>
      <c r="P27" s="78"/>
      <c r="Q27" s="78"/>
      <c r="R27" s="79"/>
    </row>
    <row r="28" spans="1:18" ht="41.45" customHeight="1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78"/>
      <c r="M28" s="78"/>
      <c r="N28" s="78"/>
      <c r="O28" s="78"/>
      <c r="P28" s="78"/>
      <c r="Q28" s="78"/>
      <c r="R28" s="79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78"/>
      <c r="M29" s="78"/>
      <c r="N29" s="78"/>
      <c r="O29" s="78"/>
      <c r="P29" s="78"/>
      <c r="Q29" s="78"/>
      <c r="R29" s="79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78"/>
      <c r="M30" s="78"/>
      <c r="N30" s="78"/>
      <c r="O30" s="78"/>
      <c r="P30" s="78"/>
      <c r="Q30" s="78"/>
      <c r="R30" s="79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78"/>
      <c r="M31" s="78"/>
      <c r="N31" s="78"/>
      <c r="O31" s="78"/>
      <c r="P31" s="78"/>
      <c r="Q31" s="78"/>
      <c r="R31" s="79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78"/>
      <c r="M32" s="78"/>
      <c r="N32" s="78"/>
      <c r="O32" s="78"/>
      <c r="P32" s="78"/>
      <c r="Q32" s="78"/>
      <c r="R32" s="79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78"/>
      <c r="M33" s="78"/>
      <c r="N33" s="78"/>
      <c r="O33" s="78"/>
      <c r="P33" s="78"/>
      <c r="Q33" s="78"/>
      <c r="R33" s="79"/>
    </row>
    <row r="34" spans="1:18" ht="41.45" customHeight="1" thickBot="1">
      <c r="A34" s="20"/>
      <c r="B34" s="4"/>
      <c r="C34" s="23"/>
      <c r="D34" s="23"/>
      <c r="E34" s="24"/>
      <c r="F34" s="24"/>
      <c r="G34" s="24"/>
      <c r="H34" s="24"/>
      <c r="I34" s="24"/>
      <c r="J34" s="24"/>
      <c r="K34" s="24"/>
      <c r="L34" s="80"/>
      <c r="M34" s="80"/>
      <c r="N34" s="80"/>
      <c r="O34" s="80"/>
      <c r="P34" s="80"/>
      <c r="Q34" s="80"/>
      <c r="R34" s="81"/>
    </row>
    <row r="35" spans="1:18" ht="41.45" customHeight="1">
      <c r="A35" s="39"/>
      <c r="B35" s="39"/>
      <c r="C35" s="40"/>
      <c r="D35" s="40"/>
      <c r="E35" s="41"/>
      <c r="F35" s="41"/>
      <c r="G35" s="41"/>
      <c r="H35" s="41"/>
      <c r="I35" s="41"/>
      <c r="J35" s="41"/>
      <c r="K35" s="41"/>
      <c r="L35" s="77"/>
      <c r="M35" s="77"/>
      <c r="N35" s="77"/>
      <c r="O35" s="77"/>
      <c r="P35" s="77"/>
      <c r="Q35" s="77"/>
      <c r="R35" s="77"/>
    </row>
    <row r="36" spans="1:18" ht="41.45" customHeight="1">
      <c r="C36" s="42"/>
      <c r="D36" s="42"/>
      <c r="E36" s="42" t="str">
        <f>IF(E7="X",(D7-C7),"0")</f>
        <v>0</v>
      </c>
      <c r="F36" s="42">
        <f>IF(F7="X",(D7-C7),"0")</f>
        <v>27.9739821549</v>
      </c>
      <c r="G36" s="42" t="str">
        <f>IF(G7="X",(D7-C7),"0")</f>
        <v>0</v>
      </c>
      <c r="H36" s="42" t="str">
        <f>IF(H7="X",(D7-C7),"0")</f>
        <v>0</v>
      </c>
      <c r="I36" s="42" t="str">
        <f>IF(I7="X",(D7-C7),"0")</f>
        <v>0</v>
      </c>
      <c r="J36" s="42">
        <f>IF(J7="X",(D7-C7),"0")</f>
        <v>27.9739821549</v>
      </c>
      <c r="K36" s="42" t="str">
        <f>IF(K7="X",(D7-C7),"0")</f>
        <v>0</v>
      </c>
      <c r="L36" s="76"/>
      <c r="M36" s="76"/>
      <c r="N36" s="76"/>
      <c r="O36" s="76"/>
      <c r="P36" s="76"/>
      <c r="Q36" s="76"/>
      <c r="R36" s="76"/>
    </row>
    <row r="37" spans="1:18" ht="41.45" customHeight="1">
      <c r="C37" s="42"/>
      <c r="D37" s="42"/>
      <c r="E37" s="42" t="str">
        <f t="shared" ref="E37:E61" si="0">IF(E8="X",(D8-C8),"0")</f>
        <v>0</v>
      </c>
      <c r="F37" s="42">
        <f t="shared" ref="F37:F61" si="1">IF(F8="X",(D8-C8),"0")</f>
        <v>24.683840012699999</v>
      </c>
      <c r="G37" s="42" t="str">
        <f t="shared" ref="G37:G61" si="2">IF(G8="X",(D8-C8),"0")</f>
        <v>0</v>
      </c>
      <c r="H37" s="42" t="str">
        <f t="shared" ref="H37:H61" si="3">IF(H8="X",(D8-C8),"0")</f>
        <v>0</v>
      </c>
      <c r="I37" s="42" t="str">
        <f t="shared" ref="I37:I61" si="4">IF(I8="X",(D8-C8),"0")</f>
        <v>0</v>
      </c>
      <c r="J37" s="42">
        <f t="shared" ref="J37:J61" si="5">IF(J8="X",(D8-C8),"0")</f>
        <v>24.683840012699999</v>
      </c>
      <c r="K37" s="42" t="str">
        <f t="shared" ref="K37:K61" si="6">IF(K8="X",(D8-C8),"0")</f>
        <v>0</v>
      </c>
      <c r="L37" s="76"/>
      <c r="M37" s="76"/>
      <c r="N37" s="76"/>
      <c r="O37" s="76"/>
      <c r="P37" s="76"/>
      <c r="Q37" s="76"/>
      <c r="R37" s="76"/>
    </row>
    <row r="38" spans="1:18" ht="41.45" customHeight="1">
      <c r="C38" s="42"/>
      <c r="D38" s="42"/>
      <c r="E38" s="42" t="str">
        <f t="shared" si="0"/>
        <v>0</v>
      </c>
      <c r="F38" s="42">
        <f t="shared" si="1"/>
        <v>4.9826601516000002</v>
      </c>
      <c r="G38" s="42" t="str">
        <f t="shared" si="2"/>
        <v>0</v>
      </c>
      <c r="H38" s="42" t="str">
        <f t="shared" si="3"/>
        <v>0</v>
      </c>
      <c r="I38" s="42" t="str">
        <f t="shared" si="4"/>
        <v>0</v>
      </c>
      <c r="J38" s="42">
        <f t="shared" si="5"/>
        <v>4.9826601516000002</v>
      </c>
      <c r="K38" s="42" t="str">
        <f t="shared" si="6"/>
        <v>0</v>
      </c>
      <c r="L38" s="76"/>
      <c r="M38" s="76"/>
      <c r="N38" s="76"/>
      <c r="O38" s="76"/>
      <c r="P38" s="76"/>
      <c r="Q38" s="76"/>
      <c r="R38" s="76"/>
    </row>
    <row r="39" spans="1:18" ht="41.45" customHeight="1">
      <c r="C39" s="42"/>
      <c r="D39" s="42"/>
      <c r="E39" s="42" t="str">
        <f t="shared" si="0"/>
        <v>0</v>
      </c>
      <c r="F39" s="42">
        <f t="shared" si="1"/>
        <v>8.8198806538600003</v>
      </c>
      <c r="G39" s="42" t="str">
        <f t="shared" si="2"/>
        <v>0</v>
      </c>
      <c r="H39" s="42" t="str">
        <f t="shared" si="3"/>
        <v>0</v>
      </c>
      <c r="I39" s="42" t="str">
        <f t="shared" si="4"/>
        <v>0</v>
      </c>
      <c r="J39" s="42">
        <f t="shared" si="5"/>
        <v>8.8198806538600003</v>
      </c>
      <c r="K39" s="42" t="str">
        <f t="shared" si="6"/>
        <v>0</v>
      </c>
      <c r="L39" s="76"/>
      <c r="M39" s="76"/>
      <c r="N39" s="76"/>
      <c r="O39" s="76"/>
      <c r="P39" s="76"/>
      <c r="Q39" s="76"/>
      <c r="R39" s="76"/>
    </row>
    <row r="40" spans="1:18" ht="41.45" customHeight="1">
      <c r="C40" s="42"/>
      <c r="D40" s="42"/>
      <c r="E40" s="42" t="str">
        <f t="shared" si="0"/>
        <v>0</v>
      </c>
      <c r="F40" s="42">
        <f t="shared" si="1"/>
        <v>2.5030331029499999</v>
      </c>
      <c r="G40" s="42" t="str">
        <f t="shared" si="2"/>
        <v>0</v>
      </c>
      <c r="H40" s="42" t="str">
        <f t="shared" si="3"/>
        <v>0</v>
      </c>
      <c r="I40" s="42" t="str">
        <f t="shared" si="4"/>
        <v>0</v>
      </c>
      <c r="J40" s="42">
        <f t="shared" si="5"/>
        <v>2.5030331029499999</v>
      </c>
      <c r="K40" s="42" t="str">
        <f t="shared" si="6"/>
        <v>0</v>
      </c>
      <c r="L40" s="76"/>
      <c r="M40" s="76"/>
      <c r="N40" s="76"/>
      <c r="O40" s="76"/>
      <c r="P40" s="76"/>
      <c r="Q40" s="76"/>
      <c r="R40" s="76"/>
    </row>
    <row r="41" spans="1:18" ht="41.45" customHeight="1">
      <c r="C41" s="42"/>
      <c r="D41" s="42"/>
      <c r="E41" s="42" t="str">
        <f t="shared" si="0"/>
        <v>0</v>
      </c>
      <c r="F41" s="42" t="str">
        <f t="shared" si="1"/>
        <v>0</v>
      </c>
      <c r="G41" s="42" t="str">
        <f t="shared" si="2"/>
        <v>0</v>
      </c>
      <c r="H41" s="42" t="str">
        <f t="shared" si="3"/>
        <v>0</v>
      </c>
      <c r="I41" s="42" t="str">
        <f t="shared" si="4"/>
        <v>0</v>
      </c>
      <c r="J41" s="42" t="str">
        <f t="shared" si="5"/>
        <v>0</v>
      </c>
      <c r="K41" s="42" t="str">
        <f t="shared" si="6"/>
        <v>0</v>
      </c>
      <c r="L41" s="76"/>
      <c r="M41" s="76"/>
      <c r="N41" s="76"/>
      <c r="O41" s="76"/>
      <c r="P41" s="76"/>
      <c r="Q41" s="76"/>
      <c r="R41" s="76"/>
    </row>
    <row r="42" spans="1:18" ht="41.45" customHeight="1">
      <c r="C42" s="42"/>
      <c r="D42" s="42"/>
      <c r="E42" s="42" t="str">
        <f t="shared" si="0"/>
        <v>0</v>
      </c>
      <c r="F42" s="42" t="str">
        <f t="shared" si="1"/>
        <v>0</v>
      </c>
      <c r="G42" s="42" t="str">
        <f t="shared" si="2"/>
        <v>0</v>
      </c>
      <c r="H42" s="42" t="str">
        <f t="shared" si="3"/>
        <v>0</v>
      </c>
      <c r="I42" s="42" t="str">
        <f t="shared" si="4"/>
        <v>0</v>
      </c>
      <c r="J42" s="42" t="str">
        <f t="shared" si="5"/>
        <v>0</v>
      </c>
      <c r="K42" s="42" t="str">
        <f t="shared" si="6"/>
        <v>0</v>
      </c>
      <c r="L42" s="76"/>
      <c r="M42" s="76"/>
      <c r="N42" s="76"/>
      <c r="O42" s="76"/>
      <c r="P42" s="76"/>
      <c r="Q42" s="76"/>
      <c r="R42" s="76"/>
    </row>
    <row r="43" spans="1:18" ht="41.45" customHeight="1">
      <c r="C43" s="42"/>
      <c r="D43" s="42"/>
      <c r="E43" s="42" t="str">
        <f t="shared" si="0"/>
        <v>0</v>
      </c>
      <c r="F43" s="42" t="str">
        <f t="shared" si="1"/>
        <v>0</v>
      </c>
      <c r="G43" s="42" t="str">
        <f t="shared" si="2"/>
        <v>0</v>
      </c>
      <c r="H43" s="42" t="str">
        <f t="shared" si="3"/>
        <v>0</v>
      </c>
      <c r="I43" s="42" t="str">
        <f t="shared" si="4"/>
        <v>0</v>
      </c>
      <c r="J43" s="42" t="str">
        <f t="shared" si="5"/>
        <v>0</v>
      </c>
      <c r="K43" s="42" t="str">
        <f t="shared" si="6"/>
        <v>0</v>
      </c>
      <c r="L43" s="76"/>
      <c r="M43" s="76"/>
      <c r="N43" s="76"/>
      <c r="O43" s="76"/>
      <c r="P43" s="76"/>
      <c r="Q43" s="76"/>
      <c r="R43" s="76"/>
    </row>
    <row r="44" spans="1:18" ht="41.45" customHeight="1">
      <c r="C44" s="42"/>
      <c r="D44" s="42"/>
      <c r="E44" s="42" t="str">
        <f t="shared" si="0"/>
        <v>0</v>
      </c>
      <c r="F44" s="42" t="str">
        <f t="shared" si="1"/>
        <v>0</v>
      </c>
      <c r="G44" s="42" t="str">
        <f t="shared" si="2"/>
        <v>0</v>
      </c>
      <c r="H44" s="42" t="str">
        <f t="shared" si="3"/>
        <v>0</v>
      </c>
      <c r="I44" s="42" t="str">
        <f t="shared" si="4"/>
        <v>0</v>
      </c>
      <c r="J44" s="42" t="str">
        <f t="shared" si="5"/>
        <v>0</v>
      </c>
      <c r="K44" s="42" t="str">
        <f t="shared" si="6"/>
        <v>0</v>
      </c>
      <c r="L44" s="76"/>
      <c r="M44" s="76"/>
      <c r="N44" s="76"/>
      <c r="O44" s="76"/>
      <c r="P44" s="76"/>
      <c r="Q44" s="76"/>
      <c r="R44" s="76"/>
    </row>
    <row r="45" spans="1:18" ht="41.45" customHeight="1">
      <c r="C45" s="42"/>
      <c r="D45" s="42"/>
      <c r="E45" s="42" t="str">
        <f t="shared" si="0"/>
        <v>0</v>
      </c>
      <c r="F45" s="42" t="str">
        <f t="shared" si="1"/>
        <v>0</v>
      </c>
      <c r="G45" s="42" t="str">
        <f t="shared" si="2"/>
        <v>0</v>
      </c>
      <c r="H45" s="42" t="str">
        <f t="shared" si="3"/>
        <v>0</v>
      </c>
      <c r="I45" s="42" t="str">
        <f t="shared" si="4"/>
        <v>0</v>
      </c>
      <c r="J45" s="42" t="str">
        <f t="shared" si="5"/>
        <v>0</v>
      </c>
      <c r="K45" s="42" t="str">
        <f t="shared" si="6"/>
        <v>0</v>
      </c>
      <c r="L45" s="76"/>
      <c r="M45" s="76"/>
      <c r="N45" s="76"/>
      <c r="O45" s="76"/>
      <c r="P45" s="76"/>
      <c r="Q45" s="76"/>
      <c r="R45" s="76"/>
    </row>
    <row r="46" spans="1:18" ht="41.45" customHeight="1">
      <c r="C46" s="42"/>
      <c r="D46" s="42"/>
      <c r="E46" s="42" t="str">
        <f t="shared" si="0"/>
        <v>0</v>
      </c>
      <c r="F46" s="42" t="str">
        <f t="shared" si="1"/>
        <v>0</v>
      </c>
      <c r="G46" s="42" t="str">
        <f t="shared" si="2"/>
        <v>0</v>
      </c>
      <c r="H46" s="42" t="str">
        <f t="shared" si="3"/>
        <v>0</v>
      </c>
      <c r="I46" s="42" t="str">
        <f t="shared" si="4"/>
        <v>0</v>
      </c>
      <c r="J46" s="42" t="str">
        <f t="shared" si="5"/>
        <v>0</v>
      </c>
      <c r="K46" s="42" t="str">
        <f t="shared" si="6"/>
        <v>0</v>
      </c>
      <c r="L46" s="76"/>
      <c r="M46" s="76"/>
      <c r="N46" s="76"/>
      <c r="O46" s="76"/>
      <c r="P46" s="76"/>
      <c r="Q46" s="76"/>
      <c r="R46" s="76"/>
    </row>
    <row r="47" spans="1:18" ht="41.45" customHeight="1">
      <c r="C47" s="42"/>
      <c r="D47" s="42"/>
      <c r="E47" s="42" t="str">
        <f t="shared" si="0"/>
        <v>0</v>
      </c>
      <c r="F47" s="42" t="str">
        <f t="shared" si="1"/>
        <v>0</v>
      </c>
      <c r="G47" s="42" t="str">
        <f t="shared" si="2"/>
        <v>0</v>
      </c>
      <c r="H47" s="42" t="str">
        <f t="shared" si="3"/>
        <v>0</v>
      </c>
      <c r="I47" s="42" t="str">
        <f t="shared" si="4"/>
        <v>0</v>
      </c>
      <c r="J47" s="42" t="str">
        <f t="shared" si="5"/>
        <v>0</v>
      </c>
      <c r="K47" s="42" t="str">
        <f t="shared" si="6"/>
        <v>0</v>
      </c>
      <c r="L47" s="76"/>
      <c r="M47" s="76"/>
      <c r="N47" s="76"/>
      <c r="O47" s="76"/>
      <c r="P47" s="76"/>
      <c r="Q47" s="76"/>
      <c r="R47" s="76"/>
    </row>
    <row r="48" spans="1:18" ht="41.45" customHeight="1">
      <c r="C48" s="42"/>
      <c r="D48" s="42"/>
      <c r="E48" s="42" t="str">
        <f t="shared" si="0"/>
        <v>0</v>
      </c>
      <c r="F48" s="42" t="str">
        <f t="shared" si="1"/>
        <v>0</v>
      </c>
      <c r="G48" s="42" t="str">
        <f t="shared" si="2"/>
        <v>0</v>
      </c>
      <c r="H48" s="42" t="str">
        <f t="shared" si="3"/>
        <v>0</v>
      </c>
      <c r="I48" s="42" t="str">
        <f t="shared" si="4"/>
        <v>0</v>
      </c>
      <c r="J48" s="42" t="str">
        <f t="shared" si="5"/>
        <v>0</v>
      </c>
      <c r="K48" s="42" t="str">
        <f t="shared" si="6"/>
        <v>0</v>
      </c>
      <c r="L48" s="76"/>
      <c r="M48" s="76"/>
      <c r="N48" s="76"/>
      <c r="O48" s="76"/>
      <c r="P48" s="76"/>
      <c r="Q48" s="76"/>
      <c r="R48" s="76"/>
    </row>
    <row r="49" spans="3:18" ht="41.45" customHeight="1">
      <c r="C49" s="42"/>
      <c r="D49" s="42"/>
      <c r="E49" s="42" t="str">
        <f t="shared" si="0"/>
        <v>0</v>
      </c>
      <c r="F49" s="42" t="str">
        <f t="shared" si="1"/>
        <v>0</v>
      </c>
      <c r="G49" s="42" t="str">
        <f t="shared" si="2"/>
        <v>0</v>
      </c>
      <c r="H49" s="42" t="str">
        <f t="shared" si="3"/>
        <v>0</v>
      </c>
      <c r="I49" s="42" t="str">
        <f t="shared" si="4"/>
        <v>0</v>
      </c>
      <c r="J49" s="42" t="str">
        <f t="shared" si="5"/>
        <v>0</v>
      </c>
      <c r="K49" s="42" t="str">
        <f t="shared" si="6"/>
        <v>0</v>
      </c>
      <c r="L49" s="76"/>
      <c r="M49" s="76"/>
      <c r="N49" s="76"/>
      <c r="O49" s="76"/>
      <c r="P49" s="76"/>
      <c r="Q49" s="76"/>
      <c r="R49" s="76"/>
    </row>
    <row r="50" spans="3:18" ht="41.45" customHeight="1">
      <c r="C50" s="42"/>
      <c r="D50" s="42"/>
      <c r="E50" s="42" t="str">
        <f t="shared" si="0"/>
        <v>0</v>
      </c>
      <c r="F50" s="42" t="str">
        <f t="shared" si="1"/>
        <v>0</v>
      </c>
      <c r="G50" s="42" t="str">
        <f t="shared" si="2"/>
        <v>0</v>
      </c>
      <c r="H50" s="42" t="str">
        <f t="shared" si="3"/>
        <v>0</v>
      </c>
      <c r="I50" s="42" t="str">
        <f t="shared" si="4"/>
        <v>0</v>
      </c>
      <c r="J50" s="42" t="str">
        <f t="shared" si="5"/>
        <v>0</v>
      </c>
      <c r="K50" s="42" t="str">
        <f t="shared" si="6"/>
        <v>0</v>
      </c>
      <c r="L50" s="76"/>
      <c r="M50" s="76"/>
      <c r="N50" s="76"/>
      <c r="O50" s="76"/>
      <c r="P50" s="76"/>
      <c r="Q50" s="76"/>
      <c r="R50" s="76"/>
    </row>
    <row r="51" spans="3:18" ht="41.45" customHeight="1">
      <c r="C51" s="42"/>
      <c r="D51" s="42"/>
      <c r="E51" s="42" t="str">
        <f t="shared" si="0"/>
        <v>0</v>
      </c>
      <c r="F51" s="42" t="str">
        <f t="shared" si="1"/>
        <v>0</v>
      </c>
      <c r="G51" s="42" t="str">
        <f t="shared" si="2"/>
        <v>0</v>
      </c>
      <c r="H51" s="42" t="str">
        <f t="shared" si="3"/>
        <v>0</v>
      </c>
      <c r="I51" s="42" t="str">
        <f t="shared" si="4"/>
        <v>0</v>
      </c>
      <c r="J51" s="42" t="str">
        <f t="shared" si="5"/>
        <v>0</v>
      </c>
      <c r="K51" s="42" t="str">
        <f t="shared" si="6"/>
        <v>0</v>
      </c>
      <c r="L51" s="76"/>
      <c r="M51" s="76"/>
      <c r="N51" s="76"/>
      <c r="O51" s="76"/>
      <c r="P51" s="76"/>
      <c r="Q51" s="76"/>
      <c r="R51" s="76"/>
    </row>
    <row r="52" spans="3:18" ht="41.45" customHeight="1">
      <c r="C52" s="42"/>
      <c r="D52" s="42"/>
      <c r="E52" s="42" t="str">
        <f t="shared" si="0"/>
        <v>0</v>
      </c>
      <c r="F52" s="42" t="str">
        <f t="shared" si="1"/>
        <v>0</v>
      </c>
      <c r="G52" s="42" t="str">
        <f t="shared" si="2"/>
        <v>0</v>
      </c>
      <c r="H52" s="42" t="str">
        <f t="shared" si="3"/>
        <v>0</v>
      </c>
      <c r="I52" s="42" t="str">
        <f t="shared" si="4"/>
        <v>0</v>
      </c>
      <c r="J52" s="42" t="str">
        <f t="shared" si="5"/>
        <v>0</v>
      </c>
      <c r="K52" s="42" t="str">
        <f t="shared" si="6"/>
        <v>0</v>
      </c>
      <c r="L52" s="76"/>
      <c r="M52" s="76"/>
      <c r="N52" s="76"/>
      <c r="O52" s="76"/>
      <c r="P52" s="76"/>
      <c r="Q52" s="76"/>
      <c r="R52" s="76"/>
    </row>
    <row r="53" spans="3:18" ht="41.45" customHeight="1">
      <c r="C53" s="42"/>
      <c r="D53" s="42"/>
      <c r="E53" s="42" t="str">
        <f t="shared" si="0"/>
        <v>0</v>
      </c>
      <c r="F53" s="42" t="str">
        <f t="shared" si="1"/>
        <v>0</v>
      </c>
      <c r="G53" s="42" t="str">
        <f t="shared" si="2"/>
        <v>0</v>
      </c>
      <c r="H53" s="42" t="str">
        <f t="shared" si="3"/>
        <v>0</v>
      </c>
      <c r="I53" s="42" t="str">
        <f t="shared" si="4"/>
        <v>0</v>
      </c>
      <c r="J53" s="42" t="str">
        <f t="shared" si="5"/>
        <v>0</v>
      </c>
      <c r="K53" s="42" t="str">
        <f t="shared" si="6"/>
        <v>0</v>
      </c>
      <c r="L53" s="76"/>
      <c r="M53" s="76"/>
      <c r="N53" s="76"/>
      <c r="O53" s="76"/>
      <c r="P53" s="76"/>
      <c r="Q53" s="76"/>
      <c r="R53" s="76"/>
    </row>
    <row r="54" spans="3:18" ht="41.45" customHeight="1">
      <c r="C54" s="42"/>
      <c r="D54" s="42"/>
      <c r="E54" s="42" t="str">
        <f t="shared" si="0"/>
        <v>0</v>
      </c>
      <c r="F54" s="42" t="str">
        <f t="shared" si="1"/>
        <v>0</v>
      </c>
      <c r="G54" s="42" t="str">
        <f t="shared" si="2"/>
        <v>0</v>
      </c>
      <c r="H54" s="42" t="str">
        <f t="shared" si="3"/>
        <v>0</v>
      </c>
      <c r="I54" s="42" t="str">
        <f t="shared" si="4"/>
        <v>0</v>
      </c>
      <c r="J54" s="42" t="str">
        <f t="shared" si="5"/>
        <v>0</v>
      </c>
      <c r="K54" s="42" t="str">
        <f t="shared" si="6"/>
        <v>0</v>
      </c>
      <c r="L54" s="76"/>
      <c r="M54" s="76"/>
      <c r="N54" s="76"/>
      <c r="O54" s="76"/>
      <c r="P54" s="76"/>
      <c r="Q54" s="76"/>
      <c r="R54" s="76"/>
    </row>
    <row r="55" spans="3:18" ht="41.45" customHeight="1">
      <c r="C55" s="42"/>
      <c r="D55" s="42"/>
      <c r="E55" s="42" t="str">
        <f t="shared" si="0"/>
        <v>0</v>
      </c>
      <c r="F55" s="42" t="str">
        <f t="shared" si="1"/>
        <v>0</v>
      </c>
      <c r="G55" s="42" t="str">
        <f t="shared" si="2"/>
        <v>0</v>
      </c>
      <c r="H55" s="42" t="str">
        <f t="shared" si="3"/>
        <v>0</v>
      </c>
      <c r="I55" s="42" t="str">
        <f t="shared" si="4"/>
        <v>0</v>
      </c>
      <c r="J55" s="42" t="str">
        <f t="shared" si="5"/>
        <v>0</v>
      </c>
      <c r="K55" s="42" t="str">
        <f t="shared" si="6"/>
        <v>0</v>
      </c>
      <c r="L55" s="76"/>
      <c r="M55" s="76"/>
      <c r="N55" s="76"/>
      <c r="O55" s="76"/>
      <c r="P55" s="76"/>
      <c r="Q55" s="76"/>
      <c r="R55" s="76"/>
    </row>
    <row r="56" spans="3:18" ht="41.45" customHeight="1">
      <c r="C56" s="42"/>
      <c r="D56" s="42"/>
      <c r="E56" s="42" t="str">
        <f t="shared" si="0"/>
        <v>0</v>
      </c>
      <c r="F56" s="42" t="str">
        <f t="shared" si="1"/>
        <v>0</v>
      </c>
      <c r="G56" s="42" t="str">
        <f t="shared" si="2"/>
        <v>0</v>
      </c>
      <c r="H56" s="42" t="str">
        <f t="shared" si="3"/>
        <v>0</v>
      </c>
      <c r="I56" s="42" t="str">
        <f t="shared" si="4"/>
        <v>0</v>
      </c>
      <c r="J56" s="42" t="str">
        <f t="shared" si="5"/>
        <v>0</v>
      </c>
      <c r="K56" s="42" t="str">
        <f t="shared" si="6"/>
        <v>0</v>
      </c>
      <c r="L56" s="76"/>
      <c r="M56" s="76"/>
      <c r="N56" s="76"/>
      <c r="O56" s="76"/>
      <c r="P56" s="76"/>
      <c r="Q56" s="76"/>
      <c r="R56" s="76"/>
    </row>
    <row r="57" spans="3:18" ht="41.45" customHeight="1">
      <c r="C57" s="42"/>
      <c r="D57" s="42"/>
      <c r="E57" s="42" t="str">
        <f t="shared" si="0"/>
        <v>0</v>
      </c>
      <c r="F57" s="42" t="str">
        <f t="shared" si="1"/>
        <v>0</v>
      </c>
      <c r="G57" s="42" t="str">
        <f t="shared" si="2"/>
        <v>0</v>
      </c>
      <c r="H57" s="42" t="str">
        <f t="shared" si="3"/>
        <v>0</v>
      </c>
      <c r="I57" s="42" t="str">
        <f t="shared" si="4"/>
        <v>0</v>
      </c>
      <c r="J57" s="42" t="str">
        <f t="shared" si="5"/>
        <v>0</v>
      </c>
      <c r="K57" s="42" t="str">
        <f t="shared" si="6"/>
        <v>0</v>
      </c>
      <c r="L57" s="76"/>
      <c r="M57" s="76"/>
      <c r="N57" s="76"/>
      <c r="O57" s="76"/>
      <c r="P57" s="76"/>
      <c r="Q57" s="76"/>
      <c r="R57" s="76"/>
    </row>
    <row r="58" spans="3:18" ht="41.45" customHeight="1">
      <c r="C58" s="42"/>
      <c r="D58" s="42"/>
      <c r="E58" s="42" t="str">
        <f t="shared" si="0"/>
        <v>0</v>
      </c>
      <c r="F58" s="42" t="str">
        <f t="shared" si="1"/>
        <v>0</v>
      </c>
      <c r="G58" s="42" t="str">
        <f t="shared" si="2"/>
        <v>0</v>
      </c>
      <c r="H58" s="42" t="str">
        <f t="shared" si="3"/>
        <v>0</v>
      </c>
      <c r="I58" s="42" t="str">
        <f t="shared" si="4"/>
        <v>0</v>
      </c>
      <c r="J58" s="42" t="str">
        <f t="shared" si="5"/>
        <v>0</v>
      </c>
      <c r="K58" s="42" t="str">
        <f t="shared" si="6"/>
        <v>0</v>
      </c>
      <c r="L58" s="76"/>
      <c r="M58" s="76"/>
      <c r="N58" s="76"/>
      <c r="O58" s="76"/>
      <c r="P58" s="76"/>
      <c r="Q58" s="76"/>
      <c r="R58" s="76"/>
    </row>
    <row r="59" spans="3:18" ht="41.45" customHeight="1">
      <c r="C59" s="42"/>
      <c r="D59" s="42"/>
      <c r="E59" s="42" t="str">
        <f t="shared" si="0"/>
        <v>0</v>
      </c>
      <c r="F59" s="42" t="str">
        <f t="shared" si="1"/>
        <v>0</v>
      </c>
      <c r="G59" s="42" t="str">
        <f t="shared" si="2"/>
        <v>0</v>
      </c>
      <c r="H59" s="42" t="str">
        <f t="shared" si="3"/>
        <v>0</v>
      </c>
      <c r="I59" s="42" t="str">
        <f t="shared" si="4"/>
        <v>0</v>
      </c>
      <c r="J59" s="42" t="str">
        <f t="shared" si="5"/>
        <v>0</v>
      </c>
      <c r="K59" s="42" t="str">
        <f t="shared" si="6"/>
        <v>0</v>
      </c>
      <c r="L59" s="76"/>
      <c r="M59" s="76"/>
      <c r="N59" s="76"/>
      <c r="O59" s="76"/>
      <c r="P59" s="76"/>
      <c r="Q59" s="76"/>
      <c r="R59" s="76"/>
    </row>
    <row r="60" spans="3:18" ht="41.45" customHeight="1">
      <c r="C60" s="42"/>
      <c r="D60" s="42"/>
      <c r="E60" s="42" t="str">
        <f t="shared" si="0"/>
        <v>0</v>
      </c>
      <c r="F60" s="42" t="str">
        <f t="shared" si="1"/>
        <v>0</v>
      </c>
      <c r="G60" s="42" t="str">
        <f t="shared" si="2"/>
        <v>0</v>
      </c>
      <c r="H60" s="42" t="str">
        <f t="shared" si="3"/>
        <v>0</v>
      </c>
      <c r="I60" s="42" t="str">
        <f t="shared" si="4"/>
        <v>0</v>
      </c>
      <c r="J60" s="42" t="str">
        <f t="shared" si="5"/>
        <v>0</v>
      </c>
      <c r="K60" s="42" t="str">
        <f t="shared" si="6"/>
        <v>0</v>
      </c>
      <c r="L60" s="76"/>
      <c r="M60" s="76"/>
      <c r="N60" s="76"/>
      <c r="O60" s="76"/>
      <c r="P60" s="76"/>
      <c r="Q60" s="76"/>
      <c r="R60" s="76"/>
    </row>
    <row r="61" spans="3:18" ht="41.45" customHeight="1">
      <c r="C61" s="42"/>
      <c r="D61" s="42"/>
      <c r="E61" s="42" t="str">
        <f t="shared" si="0"/>
        <v>0</v>
      </c>
      <c r="F61" s="42" t="str">
        <f t="shared" si="1"/>
        <v>0</v>
      </c>
      <c r="G61" s="42" t="str">
        <f t="shared" si="2"/>
        <v>0</v>
      </c>
      <c r="H61" s="42" t="str">
        <f t="shared" si="3"/>
        <v>0</v>
      </c>
      <c r="I61" s="42" t="str">
        <f t="shared" si="4"/>
        <v>0</v>
      </c>
      <c r="J61" s="42" t="str">
        <f t="shared" si="5"/>
        <v>0</v>
      </c>
      <c r="K61" s="42" t="str">
        <f t="shared" si="6"/>
        <v>0</v>
      </c>
      <c r="L61" s="76"/>
      <c r="M61" s="76"/>
      <c r="N61" s="76"/>
      <c r="O61" s="76"/>
      <c r="P61" s="76"/>
      <c r="Q61" s="76"/>
      <c r="R61" s="76"/>
    </row>
    <row r="62" spans="3:18" ht="41.45" customHeight="1">
      <c r="C62" s="42"/>
      <c r="D62" s="42"/>
      <c r="E62" s="42">
        <f>SUM(E36:E61)</f>
        <v>0</v>
      </c>
      <c r="F62" s="42">
        <f t="shared" ref="F62:K62" si="7">SUM(F36:F61)</f>
        <v>68.96339607601</v>
      </c>
      <c r="G62" s="42">
        <f t="shared" si="7"/>
        <v>0</v>
      </c>
      <c r="H62" s="42">
        <f t="shared" si="7"/>
        <v>0</v>
      </c>
      <c r="I62" s="42">
        <f t="shared" si="7"/>
        <v>0</v>
      </c>
      <c r="J62" s="42">
        <f t="shared" si="7"/>
        <v>68.96339607601</v>
      </c>
      <c r="K62" s="42">
        <f t="shared" si="7"/>
        <v>0</v>
      </c>
      <c r="L62" s="76"/>
      <c r="M62" s="76"/>
      <c r="N62" s="76"/>
      <c r="O62" s="76"/>
      <c r="P62" s="76"/>
      <c r="Q62" s="76"/>
      <c r="R62" s="76"/>
    </row>
    <row r="63" spans="3:18" ht="41.45" customHeight="1">
      <c r="C63" s="42"/>
      <c r="D63" s="42"/>
      <c r="E63" s="42"/>
      <c r="F63" s="43"/>
      <c r="G63" s="43"/>
      <c r="H63" s="43"/>
      <c r="I63" s="43"/>
      <c r="J63" s="43"/>
      <c r="K63" s="43"/>
      <c r="L63" s="76"/>
      <c r="M63" s="76"/>
      <c r="N63" s="76"/>
      <c r="O63" s="76"/>
      <c r="P63" s="76"/>
      <c r="Q63" s="76"/>
      <c r="R63" s="76"/>
    </row>
    <row r="64" spans="3:18" ht="41.45" customHeight="1">
      <c r="C64" s="42"/>
      <c r="D64" s="42"/>
      <c r="E64" s="42"/>
      <c r="F64" s="43"/>
      <c r="G64" s="43"/>
      <c r="H64" s="43"/>
      <c r="I64" s="43"/>
      <c r="J64" s="43"/>
      <c r="K64" s="43"/>
      <c r="L64" s="76"/>
      <c r="M64" s="76"/>
      <c r="N64" s="76"/>
      <c r="O64" s="76"/>
      <c r="P64" s="76"/>
      <c r="Q64" s="76"/>
      <c r="R64" s="76"/>
    </row>
    <row r="65" spans="3:18" ht="41.45" customHeight="1">
      <c r="C65" s="42"/>
      <c r="D65" s="42"/>
      <c r="E65" s="42"/>
      <c r="F65" s="43"/>
      <c r="G65" s="43"/>
      <c r="H65" s="43"/>
      <c r="I65" s="43"/>
      <c r="J65" s="43"/>
      <c r="K65" s="43"/>
      <c r="L65" s="76"/>
      <c r="M65" s="76"/>
      <c r="N65" s="76"/>
      <c r="O65" s="76"/>
      <c r="P65" s="76"/>
      <c r="Q65" s="76"/>
      <c r="R65" s="76"/>
    </row>
    <row r="66" spans="3:18" ht="41.45" customHeight="1">
      <c r="C66" s="42"/>
      <c r="D66" s="42"/>
      <c r="E66" s="42"/>
      <c r="F66" s="43"/>
      <c r="G66" s="43"/>
      <c r="H66" s="43"/>
      <c r="I66" s="43"/>
      <c r="J66" s="43"/>
      <c r="K66" s="43"/>
      <c r="L66" s="76"/>
      <c r="M66" s="76"/>
      <c r="N66" s="76"/>
      <c r="O66" s="76"/>
      <c r="P66" s="76"/>
      <c r="Q66" s="76"/>
      <c r="R66" s="76"/>
    </row>
    <row r="67" spans="3:18" ht="41.45" customHeight="1">
      <c r="C67" s="42"/>
      <c r="D67" s="42"/>
      <c r="E67" s="42"/>
      <c r="F67" s="43"/>
      <c r="G67" s="43"/>
      <c r="H67" s="43"/>
      <c r="I67" s="43"/>
      <c r="J67" s="43"/>
      <c r="K67" s="43"/>
      <c r="L67" s="76"/>
      <c r="M67" s="76"/>
      <c r="N67" s="76"/>
      <c r="O67" s="76"/>
      <c r="P67" s="76"/>
      <c r="Q67" s="76"/>
      <c r="R67" s="76"/>
    </row>
    <row r="68" spans="3:18" ht="41.45" customHeight="1">
      <c r="C68" s="42"/>
      <c r="D68" s="42"/>
      <c r="E68" s="42"/>
      <c r="F68" s="43"/>
      <c r="G68" s="43"/>
      <c r="H68" s="43"/>
      <c r="I68" s="43"/>
      <c r="J68" s="43"/>
      <c r="K68" s="43"/>
      <c r="L68" s="76"/>
      <c r="M68" s="76"/>
      <c r="N68" s="76"/>
      <c r="O68" s="76"/>
      <c r="P68" s="76"/>
      <c r="Q68" s="76"/>
      <c r="R68" s="76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4" right="0.511811024" top="0.78740157499999996" bottom="0.78740157499999996" header="0.31496062000000002" footer="0.31496062000000002"/>
  <pageSetup paperSize="9" scale="22" orientation="portrait" r:id="rId1"/>
  <colBreaks count="1" manualBreakCount="1">
    <brk id="1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R67"/>
  <sheetViews>
    <sheetView view="pageBreakPreview" zoomScale="40" zoomScaleNormal="55" zoomScaleSheetLayoutView="40" workbookViewId="0">
      <selection activeCell="J3" sqref="J3"/>
    </sheetView>
  </sheetViews>
  <sheetFormatPr defaultColWidth="8.875" defaultRowHeight="15"/>
  <cols>
    <col min="1" max="1" width="33.375" style="1" customWidth="1"/>
    <col min="2" max="2" width="17.125" style="1" customWidth="1"/>
    <col min="3" max="4" width="13.375" style="1" customWidth="1"/>
    <col min="5" max="5" width="26.375" style="2" customWidth="1"/>
    <col min="6" max="6" width="30.125" style="2" customWidth="1"/>
    <col min="7" max="7" width="26.375" style="2" customWidth="1"/>
    <col min="8" max="8" width="33.125" style="2" customWidth="1"/>
    <col min="9" max="11" width="32" style="2" customWidth="1"/>
    <col min="12" max="14" width="14.375" style="1" customWidth="1"/>
    <col min="15" max="17" width="14.625" style="1" customWidth="1"/>
    <col min="18" max="18" width="37.37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84" t="s">
        <v>3</v>
      </c>
      <c r="J1" s="86">
        <f>'46'!J1</f>
        <v>46204</v>
      </c>
      <c r="K1" s="11"/>
      <c r="L1" s="88" t="s">
        <v>4</v>
      </c>
      <c r="M1" s="88"/>
      <c r="N1" s="90" t="str">
        <f>'46'!N1</f>
        <v>ENG. VINÍCIUS RODRIGUES FERREIRA DE OLIVEIRA</v>
      </c>
      <c r="O1" s="90"/>
      <c r="P1" s="90"/>
      <c r="Q1" s="90"/>
      <c r="R1" s="91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85"/>
      <c r="J2" s="87"/>
      <c r="K2" s="16"/>
      <c r="L2" s="89"/>
      <c r="M2" s="89"/>
      <c r="N2" s="92"/>
      <c r="O2" s="92"/>
      <c r="P2" s="92"/>
      <c r="Q2" s="92"/>
      <c r="R2" s="93"/>
    </row>
    <row r="3" spans="1:18" ht="19.5">
      <c r="A3" s="13" t="s">
        <v>23</v>
      </c>
      <c r="B3" s="45" t="str">
        <f>TT!C5</f>
        <v>RODOVIA TO-164 - TRECHO MURICILÂNDIA - ENTR. TO-226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98" t="s">
        <v>1</v>
      </c>
      <c r="B5" s="94" t="s">
        <v>7</v>
      </c>
      <c r="C5" s="100" t="s">
        <v>5</v>
      </c>
      <c r="D5" s="100" t="s">
        <v>6</v>
      </c>
      <c r="E5" s="94" t="s">
        <v>10</v>
      </c>
      <c r="F5" s="94"/>
      <c r="G5" s="94"/>
      <c r="H5" s="94"/>
      <c r="I5" s="94" t="s">
        <v>11</v>
      </c>
      <c r="J5" s="94"/>
      <c r="K5" s="94"/>
      <c r="L5" s="94" t="s">
        <v>8</v>
      </c>
      <c r="M5" s="94"/>
      <c r="N5" s="94"/>
      <c r="O5" s="94"/>
      <c r="P5" s="94"/>
      <c r="Q5" s="94"/>
      <c r="R5" s="95"/>
    </row>
    <row r="6" spans="1:18" s="6" customFormat="1" ht="79.150000000000006" customHeight="1">
      <c r="A6" s="99"/>
      <c r="B6" s="96"/>
      <c r="C6" s="96"/>
      <c r="D6" s="96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6"/>
      <c r="M6" s="96"/>
      <c r="N6" s="96"/>
      <c r="O6" s="96"/>
      <c r="P6" s="96"/>
      <c r="Q6" s="96"/>
      <c r="R6" s="97"/>
    </row>
    <row r="7" spans="1:18" ht="41.45" customHeight="1">
      <c r="A7" s="38" t="s">
        <v>58</v>
      </c>
      <c r="B7" s="21" t="s">
        <v>18</v>
      </c>
      <c r="C7" s="22">
        <v>0</v>
      </c>
      <c r="D7" s="22">
        <v>3.4</v>
      </c>
      <c r="E7" s="21"/>
      <c r="F7" s="21" t="s">
        <v>19</v>
      </c>
      <c r="G7" s="21"/>
      <c r="H7" s="21"/>
      <c r="I7" s="21"/>
      <c r="J7" s="21" t="s">
        <v>19</v>
      </c>
      <c r="K7" s="21"/>
      <c r="L7" s="78"/>
      <c r="M7" s="78"/>
      <c r="N7" s="78"/>
      <c r="O7" s="78"/>
      <c r="P7" s="78"/>
      <c r="Q7" s="78"/>
      <c r="R7" s="79"/>
    </row>
    <row r="8" spans="1:18" ht="41.45" customHeight="1">
      <c r="A8" s="38" t="s">
        <v>58</v>
      </c>
      <c r="B8" s="21" t="s">
        <v>18</v>
      </c>
      <c r="C8" s="22">
        <v>3.4</v>
      </c>
      <c r="D8" s="22">
        <v>6.6</v>
      </c>
      <c r="E8" s="21"/>
      <c r="F8" s="75" t="s">
        <v>19</v>
      </c>
      <c r="G8" s="21"/>
      <c r="H8" s="21"/>
      <c r="I8" s="21"/>
      <c r="J8" s="21" t="s">
        <v>19</v>
      </c>
      <c r="K8" s="21"/>
      <c r="L8" s="78"/>
      <c r="M8" s="78"/>
      <c r="N8" s="78"/>
      <c r="O8" s="78"/>
      <c r="P8" s="78"/>
      <c r="Q8" s="78"/>
      <c r="R8" s="79"/>
    </row>
    <row r="9" spans="1:18" ht="41.45" customHeight="1">
      <c r="A9" s="38" t="s">
        <v>58</v>
      </c>
      <c r="B9" s="21" t="s">
        <v>18</v>
      </c>
      <c r="C9" s="22">
        <v>6.6</v>
      </c>
      <c r="D9" s="22">
        <v>8.6999999999999993</v>
      </c>
      <c r="E9" s="21"/>
      <c r="F9" s="75" t="s">
        <v>19</v>
      </c>
      <c r="G9" s="21"/>
      <c r="H9" s="21"/>
      <c r="I9" s="21"/>
      <c r="J9" s="21" t="s">
        <v>19</v>
      </c>
      <c r="K9" s="21"/>
      <c r="L9" s="78"/>
      <c r="M9" s="78"/>
      <c r="N9" s="78"/>
      <c r="O9" s="78"/>
      <c r="P9" s="78"/>
      <c r="Q9" s="78"/>
      <c r="R9" s="79"/>
    </row>
    <row r="10" spans="1:18" ht="41.45" customHeight="1">
      <c r="A10" s="38" t="s">
        <v>58</v>
      </c>
      <c r="B10" s="21" t="s">
        <v>18</v>
      </c>
      <c r="C10" s="22">
        <v>8.6999999999999993</v>
      </c>
      <c r="D10" s="22">
        <v>15.6</v>
      </c>
      <c r="E10" s="21"/>
      <c r="F10" s="75" t="s">
        <v>19</v>
      </c>
      <c r="G10" s="21"/>
      <c r="H10" s="21"/>
      <c r="I10" s="21"/>
      <c r="J10" s="21" t="s">
        <v>19</v>
      </c>
      <c r="K10" s="21"/>
      <c r="L10" s="78"/>
      <c r="M10" s="78"/>
      <c r="N10" s="78"/>
      <c r="O10" s="78"/>
      <c r="P10" s="78"/>
      <c r="Q10" s="78"/>
      <c r="R10" s="79"/>
    </row>
    <row r="11" spans="1:18" ht="41.45" customHeight="1">
      <c r="A11" s="38" t="s">
        <v>58</v>
      </c>
      <c r="B11" s="21" t="s">
        <v>18</v>
      </c>
      <c r="C11" s="22">
        <v>15.6</v>
      </c>
      <c r="D11" s="22">
        <v>20.5</v>
      </c>
      <c r="E11" s="21" t="s">
        <v>19</v>
      </c>
      <c r="F11" s="21"/>
      <c r="G11" s="21"/>
      <c r="H11" s="21"/>
      <c r="I11" s="21"/>
      <c r="J11" s="21" t="s">
        <v>19</v>
      </c>
      <c r="K11" s="21"/>
      <c r="L11" s="78"/>
      <c r="M11" s="78"/>
      <c r="N11" s="78"/>
      <c r="O11" s="78"/>
      <c r="P11" s="78"/>
      <c r="Q11" s="78"/>
      <c r="R11" s="79"/>
    </row>
    <row r="12" spans="1:18" ht="41.45" customHeight="1">
      <c r="A12" s="38" t="s">
        <v>58</v>
      </c>
      <c r="B12" s="21" t="s">
        <v>18</v>
      </c>
      <c r="C12" s="22">
        <v>20.5</v>
      </c>
      <c r="D12" s="22">
        <v>29</v>
      </c>
      <c r="E12" s="21"/>
      <c r="F12" s="21" t="s">
        <v>19</v>
      </c>
      <c r="G12" s="21"/>
      <c r="H12" s="21"/>
      <c r="I12" s="21"/>
      <c r="J12" s="21" t="s">
        <v>19</v>
      </c>
      <c r="K12" s="21"/>
      <c r="L12" s="78"/>
      <c r="M12" s="78"/>
      <c r="N12" s="78"/>
      <c r="O12" s="78"/>
      <c r="P12" s="78"/>
      <c r="Q12" s="78"/>
      <c r="R12" s="79"/>
    </row>
    <row r="13" spans="1:18" ht="41.45" customHeight="1">
      <c r="A13" s="38" t="s">
        <v>58</v>
      </c>
      <c r="B13" s="21" t="s">
        <v>18</v>
      </c>
      <c r="C13" s="22">
        <v>29</v>
      </c>
      <c r="D13" s="22">
        <v>30</v>
      </c>
      <c r="E13" s="21"/>
      <c r="F13" s="75" t="s">
        <v>19</v>
      </c>
      <c r="G13" s="21"/>
      <c r="H13" s="21"/>
      <c r="I13" s="21"/>
      <c r="J13" s="21" t="s">
        <v>19</v>
      </c>
      <c r="K13" s="21"/>
      <c r="L13" s="78"/>
      <c r="M13" s="78"/>
      <c r="N13" s="78"/>
      <c r="O13" s="78"/>
      <c r="P13" s="78"/>
      <c r="Q13" s="78"/>
      <c r="R13" s="79"/>
    </row>
    <row r="14" spans="1:18" ht="41.45" customHeight="1">
      <c r="A14" s="38" t="s">
        <v>58</v>
      </c>
      <c r="B14" s="21" t="s">
        <v>18</v>
      </c>
      <c r="C14" s="22">
        <v>30</v>
      </c>
      <c r="D14" s="22">
        <v>31.5</v>
      </c>
      <c r="E14" s="21"/>
      <c r="F14" s="75" t="s">
        <v>19</v>
      </c>
      <c r="G14" s="21"/>
      <c r="H14" s="21"/>
      <c r="I14" s="21"/>
      <c r="J14" s="21" t="s">
        <v>19</v>
      </c>
      <c r="K14" s="21"/>
      <c r="L14" s="78"/>
      <c r="M14" s="78"/>
      <c r="N14" s="78"/>
      <c r="O14" s="78"/>
      <c r="P14" s="78"/>
      <c r="Q14" s="78"/>
      <c r="R14" s="79"/>
    </row>
    <row r="15" spans="1:18" ht="41.45" customHeight="1">
      <c r="A15" s="38" t="s">
        <v>58</v>
      </c>
      <c r="B15" s="21" t="s">
        <v>18</v>
      </c>
      <c r="C15" s="22">
        <v>31.5</v>
      </c>
      <c r="D15" s="22">
        <v>32</v>
      </c>
      <c r="E15" s="21"/>
      <c r="F15" s="75" t="s">
        <v>19</v>
      </c>
      <c r="G15" s="21"/>
      <c r="H15" s="21"/>
      <c r="I15" s="21"/>
      <c r="J15" s="21" t="s">
        <v>19</v>
      </c>
      <c r="K15" s="21"/>
      <c r="L15" s="78"/>
      <c r="M15" s="78"/>
      <c r="N15" s="78"/>
      <c r="O15" s="78"/>
      <c r="P15" s="78"/>
      <c r="Q15" s="78"/>
      <c r="R15" s="79"/>
    </row>
    <row r="16" spans="1:18" ht="41.45" customHeight="1">
      <c r="A16" s="38" t="s">
        <v>58</v>
      </c>
      <c r="B16" s="21" t="s">
        <v>18</v>
      </c>
      <c r="C16" s="22">
        <v>32</v>
      </c>
      <c r="D16" s="22">
        <v>34.31</v>
      </c>
      <c r="E16" s="21"/>
      <c r="F16" s="21" t="s">
        <v>19</v>
      </c>
      <c r="G16" s="21"/>
      <c r="H16" s="21"/>
      <c r="I16" s="21"/>
      <c r="J16" s="21" t="s">
        <v>19</v>
      </c>
      <c r="K16" s="21"/>
      <c r="L16" s="78"/>
      <c r="M16" s="78"/>
      <c r="N16" s="78"/>
      <c r="O16" s="78"/>
      <c r="P16" s="78"/>
      <c r="Q16" s="78"/>
      <c r="R16" s="79"/>
    </row>
    <row r="17" spans="1:18" ht="41.45" customHeight="1">
      <c r="A17" s="19"/>
      <c r="B17" s="3"/>
      <c r="C17" s="22"/>
      <c r="D17" s="22"/>
      <c r="E17" s="21"/>
      <c r="F17" s="21"/>
      <c r="G17" s="21"/>
      <c r="H17" s="21"/>
      <c r="I17" s="21"/>
      <c r="J17" s="21"/>
      <c r="K17" s="21"/>
      <c r="L17" s="78"/>
      <c r="M17" s="78"/>
      <c r="N17" s="78"/>
      <c r="O17" s="78"/>
      <c r="P17" s="78"/>
      <c r="Q17" s="78"/>
      <c r="R17" s="79"/>
    </row>
    <row r="18" spans="1:18" ht="41.45" customHeight="1">
      <c r="A18" s="38" t="s">
        <v>56</v>
      </c>
      <c r="B18" s="21" t="s">
        <v>18</v>
      </c>
      <c r="C18" s="22">
        <v>0</v>
      </c>
      <c r="D18" s="22">
        <f>Trechos!F4</f>
        <v>9.0092407100800003</v>
      </c>
      <c r="E18" s="21"/>
      <c r="F18" s="21" t="s">
        <v>19</v>
      </c>
      <c r="G18" s="21"/>
      <c r="H18" s="21"/>
      <c r="I18" s="21"/>
      <c r="J18" s="21" t="s">
        <v>19</v>
      </c>
      <c r="K18" s="21"/>
      <c r="L18" s="78"/>
      <c r="M18" s="78"/>
      <c r="N18" s="78"/>
      <c r="O18" s="78"/>
      <c r="P18" s="78"/>
      <c r="Q18" s="78"/>
      <c r="R18" s="79"/>
    </row>
    <row r="19" spans="1:18" ht="41.45" customHeight="1">
      <c r="A19" s="38"/>
      <c r="B19" s="21"/>
      <c r="C19" s="22"/>
      <c r="D19" s="22"/>
      <c r="E19" s="21"/>
      <c r="F19" s="21"/>
      <c r="G19" s="21"/>
      <c r="H19" s="21"/>
      <c r="I19" s="21"/>
      <c r="J19" s="21"/>
      <c r="K19" s="21"/>
      <c r="L19" s="78"/>
      <c r="M19" s="78"/>
      <c r="N19" s="78"/>
      <c r="O19" s="78"/>
      <c r="P19" s="78"/>
      <c r="Q19" s="78"/>
      <c r="R19" s="79"/>
    </row>
    <row r="20" spans="1:18" ht="41.45" customHeight="1">
      <c r="A20" s="38"/>
      <c r="B20" s="21"/>
      <c r="C20" s="22"/>
      <c r="D20" s="22"/>
      <c r="E20" s="21"/>
      <c r="F20" s="21"/>
      <c r="G20" s="21"/>
      <c r="H20" s="21"/>
      <c r="I20" s="21"/>
      <c r="J20" s="21"/>
      <c r="K20" s="21"/>
      <c r="L20" s="78"/>
      <c r="M20" s="78"/>
      <c r="N20" s="78"/>
      <c r="O20" s="78"/>
      <c r="P20" s="78"/>
      <c r="Q20" s="78"/>
      <c r="R20" s="79"/>
    </row>
    <row r="21" spans="1:18" ht="41.45" customHeight="1">
      <c r="A21" s="38"/>
      <c r="B21" s="21"/>
      <c r="C21" s="22"/>
      <c r="D21" s="22"/>
      <c r="E21" s="21"/>
      <c r="F21" s="21"/>
      <c r="G21" s="21"/>
      <c r="H21" s="21"/>
      <c r="I21" s="21"/>
      <c r="J21" s="21"/>
      <c r="K21" s="21"/>
      <c r="L21" s="78"/>
      <c r="M21" s="78"/>
      <c r="N21" s="78"/>
      <c r="O21" s="78"/>
      <c r="P21" s="78"/>
      <c r="Q21" s="78"/>
      <c r="R21" s="79"/>
    </row>
    <row r="22" spans="1:18" ht="41.45" customHeight="1">
      <c r="A22" s="38"/>
      <c r="B22" s="21"/>
      <c r="C22" s="22"/>
      <c r="D22" s="22"/>
      <c r="E22" s="21"/>
      <c r="F22" s="21"/>
      <c r="G22" s="21"/>
      <c r="H22" s="21"/>
      <c r="I22" s="21"/>
      <c r="J22" s="21"/>
      <c r="K22" s="21"/>
      <c r="L22" s="78"/>
      <c r="M22" s="78"/>
      <c r="N22" s="78"/>
      <c r="O22" s="78"/>
      <c r="P22" s="78"/>
      <c r="Q22" s="78"/>
      <c r="R22" s="79"/>
    </row>
    <row r="23" spans="1:18" ht="41.45" customHeight="1">
      <c r="A23" s="38"/>
      <c r="B23" s="21"/>
      <c r="C23" s="22"/>
      <c r="D23" s="22"/>
      <c r="E23" s="21"/>
      <c r="F23" s="21"/>
      <c r="G23" s="21"/>
      <c r="H23" s="21"/>
      <c r="I23" s="21"/>
      <c r="J23" s="21"/>
      <c r="K23" s="21"/>
      <c r="L23" s="78"/>
      <c r="M23" s="78"/>
      <c r="N23" s="78"/>
      <c r="O23" s="78"/>
      <c r="P23" s="78"/>
      <c r="Q23" s="78"/>
      <c r="R23" s="79"/>
    </row>
    <row r="24" spans="1:18" ht="41.45" customHeight="1">
      <c r="A24" s="38"/>
      <c r="B24" s="21"/>
      <c r="C24" s="22"/>
      <c r="D24" s="22"/>
      <c r="E24" s="21"/>
      <c r="F24" s="21"/>
      <c r="G24" s="21"/>
      <c r="H24" s="21"/>
      <c r="I24" s="21"/>
      <c r="J24" s="21"/>
      <c r="K24" s="21"/>
      <c r="L24" s="78"/>
      <c r="M24" s="78"/>
      <c r="N24" s="78"/>
      <c r="O24" s="78"/>
      <c r="P24" s="78"/>
      <c r="Q24" s="78"/>
      <c r="R24" s="79"/>
    </row>
    <row r="25" spans="1:18" ht="41.45" customHeight="1">
      <c r="A25" s="38"/>
      <c r="B25" s="21"/>
      <c r="C25" s="22"/>
      <c r="D25" s="22"/>
      <c r="E25" s="21"/>
      <c r="F25" s="21"/>
      <c r="G25" s="21"/>
      <c r="H25" s="21"/>
      <c r="I25" s="21"/>
      <c r="J25" s="21"/>
      <c r="K25" s="21"/>
      <c r="L25" s="78"/>
      <c r="M25" s="78"/>
      <c r="N25" s="78"/>
      <c r="O25" s="78"/>
      <c r="P25" s="78"/>
      <c r="Q25" s="78"/>
      <c r="R25" s="79"/>
    </row>
    <row r="26" spans="1:18" ht="41.45" customHeight="1">
      <c r="A26" s="38"/>
      <c r="B26" s="21"/>
      <c r="C26" s="22"/>
      <c r="D26" s="22"/>
      <c r="E26" s="21"/>
      <c r="F26" s="21"/>
      <c r="G26" s="21"/>
      <c r="H26" s="21"/>
      <c r="I26" s="21"/>
      <c r="J26" s="21"/>
      <c r="K26" s="21"/>
      <c r="L26" s="78"/>
      <c r="M26" s="78"/>
      <c r="N26" s="78"/>
      <c r="O26" s="78"/>
      <c r="P26" s="78"/>
      <c r="Q26" s="78"/>
      <c r="R26" s="79"/>
    </row>
    <row r="27" spans="1:18" ht="41.45" customHeight="1">
      <c r="A27" s="38"/>
      <c r="B27" s="21"/>
      <c r="C27" s="22"/>
      <c r="D27" s="22"/>
      <c r="E27" s="21"/>
      <c r="F27" s="21"/>
      <c r="G27" s="21"/>
      <c r="H27" s="21"/>
      <c r="I27" s="21"/>
      <c r="J27" s="21"/>
      <c r="K27" s="21"/>
      <c r="L27" s="78"/>
      <c r="M27" s="78"/>
      <c r="N27" s="78"/>
      <c r="O27" s="78"/>
      <c r="P27" s="78"/>
      <c r="Q27" s="78"/>
      <c r="R27" s="79"/>
    </row>
    <row r="28" spans="1:18" ht="41.45" customHeight="1">
      <c r="A28" s="38"/>
      <c r="B28" s="21"/>
      <c r="C28" s="22"/>
      <c r="D28" s="22"/>
      <c r="E28" s="21"/>
      <c r="F28" s="21"/>
      <c r="G28" s="21"/>
      <c r="H28" s="21"/>
      <c r="I28" s="21"/>
      <c r="J28" s="21"/>
      <c r="K28" s="21"/>
      <c r="L28" s="78"/>
      <c r="M28" s="78"/>
      <c r="N28" s="78"/>
      <c r="O28" s="78"/>
      <c r="P28" s="78"/>
      <c r="Q28" s="78"/>
      <c r="R28" s="79"/>
    </row>
    <row r="29" spans="1:18" ht="41.45" customHeight="1">
      <c r="A29" s="38"/>
      <c r="B29" s="21"/>
      <c r="C29" s="22"/>
      <c r="D29" s="22"/>
      <c r="E29" s="21"/>
      <c r="F29" s="21"/>
      <c r="G29" s="21"/>
      <c r="H29" s="21"/>
      <c r="I29" s="21"/>
      <c r="J29" s="21"/>
      <c r="K29" s="21"/>
      <c r="L29" s="78"/>
      <c r="M29" s="78"/>
      <c r="N29" s="78"/>
      <c r="O29" s="78"/>
      <c r="P29" s="78"/>
      <c r="Q29" s="78"/>
      <c r="R29" s="79"/>
    </row>
    <row r="30" spans="1:18" ht="41.45" customHeight="1">
      <c r="A30" s="38"/>
      <c r="B30" s="21"/>
      <c r="C30" s="22"/>
      <c r="D30" s="22"/>
      <c r="E30" s="21"/>
      <c r="F30" s="21"/>
      <c r="G30" s="21"/>
      <c r="H30" s="21"/>
      <c r="I30" s="21"/>
      <c r="J30" s="21"/>
      <c r="K30" s="21"/>
      <c r="L30" s="78"/>
      <c r="M30" s="78"/>
      <c r="N30" s="78"/>
      <c r="O30" s="78"/>
      <c r="P30" s="78"/>
      <c r="Q30" s="78"/>
      <c r="R30" s="79"/>
    </row>
    <row r="31" spans="1:18" ht="41.45" customHeight="1">
      <c r="A31" s="38"/>
      <c r="B31" s="21"/>
      <c r="C31" s="22"/>
      <c r="D31" s="22"/>
      <c r="E31" s="21"/>
      <c r="F31" s="21"/>
      <c r="G31" s="21"/>
      <c r="H31" s="21"/>
      <c r="I31" s="21"/>
      <c r="J31" s="21"/>
      <c r="K31" s="21"/>
      <c r="L31" s="78"/>
      <c r="M31" s="78"/>
      <c r="N31" s="78"/>
      <c r="O31" s="78"/>
      <c r="P31" s="78"/>
      <c r="Q31" s="78"/>
      <c r="R31" s="79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78"/>
      <c r="M32" s="78"/>
      <c r="N32" s="78"/>
      <c r="O32" s="78"/>
      <c r="P32" s="78"/>
      <c r="Q32" s="78"/>
      <c r="R32" s="79"/>
    </row>
    <row r="33" spans="1:18" ht="41.45" customHeight="1" thickBot="1">
      <c r="A33" s="20"/>
      <c r="B33" s="4"/>
      <c r="C33" s="23"/>
      <c r="D33" s="23"/>
      <c r="E33" s="24"/>
      <c r="F33" s="24"/>
      <c r="G33" s="24"/>
      <c r="H33" s="24"/>
      <c r="I33" s="24"/>
      <c r="J33" s="24"/>
      <c r="K33" s="24"/>
      <c r="L33" s="80"/>
      <c r="M33" s="80"/>
      <c r="N33" s="80"/>
      <c r="O33" s="80"/>
      <c r="P33" s="80"/>
      <c r="Q33" s="80"/>
      <c r="R33" s="81"/>
    </row>
    <row r="34" spans="1:18" ht="41.45" customHeight="1">
      <c r="A34" s="39"/>
      <c r="B34" s="39"/>
      <c r="C34" s="40"/>
      <c r="D34" s="40"/>
      <c r="E34" s="41"/>
      <c r="F34" s="41"/>
      <c r="G34" s="41"/>
      <c r="H34" s="41"/>
      <c r="I34" s="41"/>
      <c r="J34" s="41"/>
      <c r="K34" s="41"/>
      <c r="L34" s="77"/>
      <c r="M34" s="77"/>
      <c r="N34" s="77"/>
      <c r="O34" s="77"/>
      <c r="P34" s="77"/>
      <c r="Q34" s="77"/>
      <c r="R34" s="77"/>
    </row>
    <row r="35" spans="1:18" ht="41.45" customHeight="1">
      <c r="C35" s="42"/>
      <c r="D35" s="42"/>
      <c r="E35" s="42"/>
      <c r="F35" s="42"/>
      <c r="G35" s="42"/>
      <c r="H35" s="42"/>
      <c r="I35" s="42"/>
      <c r="J35" s="42"/>
      <c r="K35" s="42"/>
      <c r="L35" s="76"/>
      <c r="M35" s="76"/>
      <c r="N35" s="76"/>
      <c r="O35" s="76"/>
      <c r="P35" s="76"/>
      <c r="Q35" s="76"/>
      <c r="R35" s="76"/>
    </row>
    <row r="36" spans="1:18" ht="41.45" customHeight="1">
      <c r="C36" s="42"/>
      <c r="D36" s="42"/>
      <c r="E36" s="42" t="str">
        <f t="shared" ref="E36" si="0">IF(E7="X",(D7-C7),"0")</f>
        <v>0</v>
      </c>
      <c r="F36" s="42">
        <f t="shared" ref="F36" si="1">IF(F7="X",(D7-C7),"0")</f>
        <v>3.4</v>
      </c>
      <c r="G36" s="42" t="str">
        <f t="shared" ref="G36" si="2">IF(G7="X",(D7-C7),"0")</f>
        <v>0</v>
      </c>
      <c r="H36" s="42" t="str">
        <f t="shared" ref="H36" si="3">IF(H7="X",(D7-C7),"0")</f>
        <v>0</v>
      </c>
      <c r="I36" s="42" t="str">
        <f t="shared" ref="I36" si="4">IF(I7="X",(D7-C7),"0")</f>
        <v>0</v>
      </c>
      <c r="J36" s="42">
        <f t="shared" ref="J36" si="5">IF(J7="X",(D7-C7),"0")</f>
        <v>3.4</v>
      </c>
      <c r="K36" s="42" t="str">
        <f t="shared" ref="K36" si="6">IF(K7="X",(D7-C7),"0")</f>
        <v>0</v>
      </c>
      <c r="L36" s="76"/>
      <c r="M36" s="76"/>
      <c r="N36" s="76"/>
      <c r="O36" s="76"/>
      <c r="P36" s="76"/>
      <c r="Q36" s="76"/>
      <c r="R36" s="76"/>
    </row>
    <row r="37" spans="1:18" ht="41.45" customHeight="1">
      <c r="C37" s="42"/>
      <c r="D37" s="42"/>
      <c r="E37" s="42" t="str">
        <f t="shared" ref="E37:E60" si="7">IF(E8="X",(D8-C8),"0")</f>
        <v>0</v>
      </c>
      <c r="F37" s="42">
        <f t="shared" ref="F37:F60" si="8">IF(F8="X",(D8-C8),"0")</f>
        <v>3.1999999999999997</v>
      </c>
      <c r="G37" s="42" t="str">
        <f t="shared" ref="G37:G60" si="9">IF(G8="X",(D8-C8),"0")</f>
        <v>0</v>
      </c>
      <c r="H37" s="42" t="str">
        <f t="shared" ref="H37:H60" si="10">IF(H8="X",(D8-C8),"0")</f>
        <v>0</v>
      </c>
      <c r="I37" s="42" t="str">
        <f t="shared" ref="I37:I60" si="11">IF(I8="X",(D8-C8),"0")</f>
        <v>0</v>
      </c>
      <c r="J37" s="42">
        <f t="shared" ref="J37:J60" si="12">IF(J8="X",(D8-C8),"0")</f>
        <v>3.1999999999999997</v>
      </c>
      <c r="K37" s="42" t="str">
        <f t="shared" ref="K37:K60" si="13">IF(K8="X",(D8-C8),"0")</f>
        <v>0</v>
      </c>
      <c r="L37" s="76"/>
      <c r="M37" s="76"/>
      <c r="N37" s="76"/>
      <c r="O37" s="76"/>
      <c r="P37" s="76"/>
      <c r="Q37" s="76"/>
      <c r="R37" s="76"/>
    </row>
    <row r="38" spans="1:18" ht="41.45" customHeight="1">
      <c r="C38" s="42"/>
      <c r="D38" s="42"/>
      <c r="E38" s="42" t="str">
        <f t="shared" si="7"/>
        <v>0</v>
      </c>
      <c r="F38" s="42">
        <f t="shared" si="8"/>
        <v>2.0999999999999996</v>
      </c>
      <c r="G38" s="42" t="str">
        <f t="shared" si="9"/>
        <v>0</v>
      </c>
      <c r="H38" s="42" t="str">
        <f t="shared" si="10"/>
        <v>0</v>
      </c>
      <c r="I38" s="42" t="str">
        <f t="shared" si="11"/>
        <v>0</v>
      </c>
      <c r="J38" s="42">
        <f t="shared" si="12"/>
        <v>2.0999999999999996</v>
      </c>
      <c r="K38" s="42" t="str">
        <f t="shared" si="13"/>
        <v>0</v>
      </c>
      <c r="L38" s="76"/>
      <c r="M38" s="76"/>
      <c r="N38" s="76"/>
      <c r="O38" s="76"/>
      <c r="P38" s="76"/>
      <c r="Q38" s="76"/>
      <c r="R38" s="76"/>
    </row>
    <row r="39" spans="1:18" ht="41.45" customHeight="1">
      <c r="C39" s="42"/>
      <c r="D39" s="42"/>
      <c r="E39" s="42" t="str">
        <f t="shared" si="7"/>
        <v>0</v>
      </c>
      <c r="F39" s="42">
        <f t="shared" si="8"/>
        <v>6.9</v>
      </c>
      <c r="G39" s="42" t="str">
        <f t="shared" si="9"/>
        <v>0</v>
      </c>
      <c r="H39" s="42" t="str">
        <f t="shared" si="10"/>
        <v>0</v>
      </c>
      <c r="I39" s="42" t="str">
        <f t="shared" si="11"/>
        <v>0</v>
      </c>
      <c r="J39" s="42">
        <f t="shared" si="12"/>
        <v>6.9</v>
      </c>
      <c r="K39" s="42" t="str">
        <f t="shared" si="13"/>
        <v>0</v>
      </c>
      <c r="L39" s="76"/>
      <c r="M39" s="76"/>
      <c r="N39" s="76"/>
      <c r="O39" s="76"/>
      <c r="P39" s="76"/>
      <c r="Q39" s="76"/>
      <c r="R39" s="76"/>
    </row>
    <row r="40" spans="1:18" ht="41.45" customHeight="1">
      <c r="C40" s="42"/>
      <c r="D40" s="42"/>
      <c r="E40" s="42">
        <f t="shared" si="7"/>
        <v>4.9000000000000004</v>
      </c>
      <c r="F40" s="42" t="str">
        <f t="shared" si="8"/>
        <v>0</v>
      </c>
      <c r="G40" s="42" t="str">
        <f t="shared" si="9"/>
        <v>0</v>
      </c>
      <c r="H40" s="42" t="str">
        <f t="shared" si="10"/>
        <v>0</v>
      </c>
      <c r="I40" s="42" t="str">
        <f t="shared" si="11"/>
        <v>0</v>
      </c>
      <c r="J40" s="42">
        <f t="shared" si="12"/>
        <v>4.9000000000000004</v>
      </c>
      <c r="K40" s="42" t="str">
        <f t="shared" si="13"/>
        <v>0</v>
      </c>
      <c r="L40" s="76"/>
      <c r="M40" s="76"/>
      <c r="N40" s="76"/>
      <c r="O40" s="76"/>
      <c r="P40" s="76"/>
      <c r="Q40" s="76"/>
      <c r="R40" s="76"/>
    </row>
    <row r="41" spans="1:18" ht="41.45" customHeight="1">
      <c r="C41" s="42"/>
      <c r="D41" s="42"/>
      <c r="E41" s="42" t="str">
        <f t="shared" si="7"/>
        <v>0</v>
      </c>
      <c r="F41" s="42">
        <f t="shared" si="8"/>
        <v>8.5</v>
      </c>
      <c r="G41" s="42" t="str">
        <f t="shared" si="9"/>
        <v>0</v>
      </c>
      <c r="H41" s="42" t="str">
        <f t="shared" si="10"/>
        <v>0</v>
      </c>
      <c r="I41" s="42" t="str">
        <f t="shared" si="11"/>
        <v>0</v>
      </c>
      <c r="J41" s="42">
        <f t="shared" si="12"/>
        <v>8.5</v>
      </c>
      <c r="K41" s="42" t="str">
        <f t="shared" si="13"/>
        <v>0</v>
      </c>
      <c r="L41" s="76"/>
      <c r="M41" s="76"/>
      <c r="N41" s="76"/>
      <c r="O41" s="76"/>
      <c r="P41" s="76"/>
      <c r="Q41" s="76"/>
      <c r="R41" s="76"/>
    </row>
    <row r="42" spans="1:18" ht="41.45" customHeight="1">
      <c r="C42" s="42"/>
      <c r="D42" s="42"/>
      <c r="E42" s="42" t="str">
        <f t="shared" si="7"/>
        <v>0</v>
      </c>
      <c r="F42" s="42">
        <f t="shared" si="8"/>
        <v>1</v>
      </c>
      <c r="G42" s="42" t="str">
        <f t="shared" si="9"/>
        <v>0</v>
      </c>
      <c r="H42" s="42" t="str">
        <f t="shared" si="10"/>
        <v>0</v>
      </c>
      <c r="I42" s="42" t="str">
        <f t="shared" si="11"/>
        <v>0</v>
      </c>
      <c r="J42" s="42">
        <f t="shared" si="12"/>
        <v>1</v>
      </c>
      <c r="K42" s="42" t="str">
        <f t="shared" si="13"/>
        <v>0</v>
      </c>
      <c r="L42" s="76"/>
      <c r="M42" s="76"/>
      <c r="N42" s="76"/>
      <c r="O42" s="76"/>
      <c r="P42" s="76"/>
      <c r="Q42" s="76"/>
      <c r="R42" s="76"/>
    </row>
    <row r="43" spans="1:18" ht="41.45" customHeight="1">
      <c r="C43" s="42"/>
      <c r="D43" s="42"/>
      <c r="E43" s="42" t="str">
        <f t="shared" si="7"/>
        <v>0</v>
      </c>
      <c r="F43" s="42">
        <f t="shared" si="8"/>
        <v>1.5</v>
      </c>
      <c r="G43" s="42" t="str">
        <f t="shared" si="9"/>
        <v>0</v>
      </c>
      <c r="H43" s="42" t="str">
        <f t="shared" si="10"/>
        <v>0</v>
      </c>
      <c r="I43" s="42" t="str">
        <f t="shared" si="11"/>
        <v>0</v>
      </c>
      <c r="J43" s="42">
        <f t="shared" si="12"/>
        <v>1.5</v>
      </c>
      <c r="K43" s="42" t="str">
        <f t="shared" si="13"/>
        <v>0</v>
      </c>
      <c r="L43" s="76"/>
      <c r="M43" s="76"/>
      <c r="N43" s="76"/>
      <c r="O43" s="76"/>
      <c r="P43" s="76"/>
      <c r="Q43" s="76"/>
      <c r="R43" s="76"/>
    </row>
    <row r="44" spans="1:18" ht="41.45" customHeight="1">
      <c r="C44" s="42"/>
      <c r="D44" s="42"/>
      <c r="E44" s="42" t="str">
        <f t="shared" si="7"/>
        <v>0</v>
      </c>
      <c r="F44" s="42">
        <f t="shared" si="8"/>
        <v>0.5</v>
      </c>
      <c r="G44" s="42" t="str">
        <f t="shared" si="9"/>
        <v>0</v>
      </c>
      <c r="H44" s="42" t="str">
        <f t="shared" si="10"/>
        <v>0</v>
      </c>
      <c r="I44" s="42" t="str">
        <f t="shared" si="11"/>
        <v>0</v>
      </c>
      <c r="J44" s="42">
        <f t="shared" si="12"/>
        <v>0.5</v>
      </c>
      <c r="K44" s="42" t="str">
        <f t="shared" si="13"/>
        <v>0</v>
      </c>
      <c r="L44" s="76"/>
      <c r="M44" s="76"/>
      <c r="N44" s="76"/>
      <c r="O44" s="76"/>
      <c r="P44" s="76"/>
      <c r="Q44" s="76"/>
      <c r="R44" s="76"/>
    </row>
    <row r="45" spans="1:18" ht="41.45" customHeight="1">
      <c r="C45" s="42"/>
      <c r="D45" s="42"/>
      <c r="E45" s="42" t="str">
        <f t="shared" si="7"/>
        <v>0</v>
      </c>
      <c r="F45" s="42">
        <f t="shared" si="8"/>
        <v>2.3100000000000023</v>
      </c>
      <c r="G45" s="42" t="str">
        <f t="shared" si="9"/>
        <v>0</v>
      </c>
      <c r="H45" s="42" t="str">
        <f t="shared" si="10"/>
        <v>0</v>
      </c>
      <c r="I45" s="42" t="str">
        <f t="shared" si="11"/>
        <v>0</v>
      </c>
      <c r="J45" s="42">
        <f t="shared" si="12"/>
        <v>2.3100000000000023</v>
      </c>
      <c r="K45" s="42" t="str">
        <f t="shared" si="13"/>
        <v>0</v>
      </c>
      <c r="L45" s="76"/>
      <c r="M45" s="76"/>
      <c r="N45" s="76"/>
      <c r="O45" s="76"/>
      <c r="P45" s="76"/>
      <c r="Q45" s="76"/>
      <c r="R45" s="76"/>
    </row>
    <row r="46" spans="1:18" ht="41.45" customHeight="1">
      <c r="C46" s="42"/>
      <c r="D46" s="42"/>
      <c r="E46" s="42" t="str">
        <f t="shared" si="7"/>
        <v>0</v>
      </c>
      <c r="F46" s="42" t="str">
        <f t="shared" si="8"/>
        <v>0</v>
      </c>
      <c r="G46" s="42" t="str">
        <f t="shared" si="9"/>
        <v>0</v>
      </c>
      <c r="H46" s="42" t="str">
        <f t="shared" si="10"/>
        <v>0</v>
      </c>
      <c r="I46" s="42" t="str">
        <f t="shared" si="11"/>
        <v>0</v>
      </c>
      <c r="J46" s="42" t="str">
        <f t="shared" si="12"/>
        <v>0</v>
      </c>
      <c r="K46" s="42" t="str">
        <f t="shared" si="13"/>
        <v>0</v>
      </c>
      <c r="L46" s="76"/>
      <c r="M46" s="76"/>
      <c r="N46" s="76"/>
      <c r="O46" s="76"/>
      <c r="P46" s="76"/>
      <c r="Q46" s="76"/>
      <c r="R46" s="76"/>
    </row>
    <row r="47" spans="1:18" ht="41.45" customHeight="1">
      <c r="C47" s="42"/>
      <c r="D47" s="42"/>
      <c r="E47" s="42" t="str">
        <f t="shared" si="7"/>
        <v>0</v>
      </c>
      <c r="F47" s="42">
        <f t="shared" si="8"/>
        <v>9.0092407100800003</v>
      </c>
      <c r="G47" s="42" t="str">
        <f t="shared" si="9"/>
        <v>0</v>
      </c>
      <c r="H47" s="42" t="str">
        <f t="shared" si="10"/>
        <v>0</v>
      </c>
      <c r="I47" s="42" t="str">
        <f t="shared" si="11"/>
        <v>0</v>
      </c>
      <c r="J47" s="42">
        <f t="shared" si="12"/>
        <v>9.0092407100800003</v>
      </c>
      <c r="K47" s="42" t="str">
        <f t="shared" si="13"/>
        <v>0</v>
      </c>
      <c r="L47" s="76"/>
      <c r="M47" s="76"/>
      <c r="N47" s="76"/>
      <c r="O47" s="76"/>
      <c r="P47" s="76"/>
      <c r="Q47" s="76"/>
      <c r="R47" s="76"/>
    </row>
    <row r="48" spans="1:18" ht="41.45" customHeight="1">
      <c r="C48" s="42"/>
      <c r="D48" s="42"/>
      <c r="E48" s="42" t="str">
        <f t="shared" si="7"/>
        <v>0</v>
      </c>
      <c r="F48" s="42" t="str">
        <f t="shared" si="8"/>
        <v>0</v>
      </c>
      <c r="G48" s="42" t="str">
        <f t="shared" si="9"/>
        <v>0</v>
      </c>
      <c r="H48" s="42" t="str">
        <f t="shared" si="10"/>
        <v>0</v>
      </c>
      <c r="I48" s="42" t="str">
        <f t="shared" si="11"/>
        <v>0</v>
      </c>
      <c r="J48" s="42" t="str">
        <f t="shared" si="12"/>
        <v>0</v>
      </c>
      <c r="K48" s="42" t="str">
        <f t="shared" si="13"/>
        <v>0</v>
      </c>
      <c r="L48" s="76"/>
      <c r="M48" s="76"/>
      <c r="N48" s="76"/>
      <c r="O48" s="76"/>
      <c r="P48" s="76"/>
      <c r="Q48" s="76"/>
      <c r="R48" s="76"/>
    </row>
    <row r="49" spans="3:18" ht="41.45" customHeight="1">
      <c r="C49" s="42"/>
      <c r="D49" s="42"/>
      <c r="E49" s="42" t="str">
        <f t="shared" si="7"/>
        <v>0</v>
      </c>
      <c r="F49" s="42" t="str">
        <f t="shared" si="8"/>
        <v>0</v>
      </c>
      <c r="G49" s="42" t="str">
        <f t="shared" si="9"/>
        <v>0</v>
      </c>
      <c r="H49" s="42" t="str">
        <f t="shared" si="10"/>
        <v>0</v>
      </c>
      <c r="I49" s="42" t="str">
        <f t="shared" si="11"/>
        <v>0</v>
      </c>
      <c r="J49" s="42" t="str">
        <f t="shared" si="12"/>
        <v>0</v>
      </c>
      <c r="K49" s="42" t="str">
        <f t="shared" si="13"/>
        <v>0</v>
      </c>
      <c r="L49" s="76"/>
      <c r="M49" s="76"/>
      <c r="N49" s="76"/>
      <c r="O49" s="76"/>
      <c r="P49" s="76"/>
      <c r="Q49" s="76"/>
      <c r="R49" s="76"/>
    </row>
    <row r="50" spans="3:18" ht="41.45" customHeight="1">
      <c r="C50" s="42"/>
      <c r="D50" s="42"/>
      <c r="E50" s="42" t="str">
        <f t="shared" si="7"/>
        <v>0</v>
      </c>
      <c r="F50" s="42" t="str">
        <f t="shared" si="8"/>
        <v>0</v>
      </c>
      <c r="G50" s="42" t="str">
        <f t="shared" si="9"/>
        <v>0</v>
      </c>
      <c r="H50" s="42" t="str">
        <f t="shared" si="10"/>
        <v>0</v>
      </c>
      <c r="I50" s="42" t="str">
        <f t="shared" si="11"/>
        <v>0</v>
      </c>
      <c r="J50" s="42" t="str">
        <f t="shared" si="12"/>
        <v>0</v>
      </c>
      <c r="K50" s="42" t="str">
        <f t="shared" si="13"/>
        <v>0</v>
      </c>
      <c r="L50" s="76"/>
      <c r="M50" s="76"/>
      <c r="N50" s="76"/>
      <c r="O50" s="76"/>
      <c r="P50" s="76"/>
      <c r="Q50" s="76"/>
      <c r="R50" s="76"/>
    </row>
    <row r="51" spans="3:18" ht="41.45" customHeight="1">
      <c r="C51" s="42"/>
      <c r="D51" s="42"/>
      <c r="E51" s="42" t="str">
        <f t="shared" si="7"/>
        <v>0</v>
      </c>
      <c r="F51" s="42" t="str">
        <f t="shared" si="8"/>
        <v>0</v>
      </c>
      <c r="G51" s="42" t="str">
        <f t="shared" si="9"/>
        <v>0</v>
      </c>
      <c r="H51" s="42" t="str">
        <f t="shared" si="10"/>
        <v>0</v>
      </c>
      <c r="I51" s="42" t="str">
        <f t="shared" si="11"/>
        <v>0</v>
      </c>
      <c r="J51" s="42" t="str">
        <f t="shared" si="12"/>
        <v>0</v>
      </c>
      <c r="K51" s="42" t="str">
        <f t="shared" si="13"/>
        <v>0</v>
      </c>
      <c r="L51" s="76"/>
      <c r="M51" s="76"/>
      <c r="N51" s="76"/>
      <c r="O51" s="76"/>
      <c r="P51" s="76"/>
      <c r="Q51" s="76"/>
      <c r="R51" s="76"/>
    </row>
    <row r="52" spans="3:18" ht="41.45" customHeight="1">
      <c r="C52" s="42"/>
      <c r="D52" s="42"/>
      <c r="E52" s="42" t="str">
        <f t="shared" si="7"/>
        <v>0</v>
      </c>
      <c r="F52" s="42" t="str">
        <f t="shared" si="8"/>
        <v>0</v>
      </c>
      <c r="G52" s="42" t="str">
        <f t="shared" si="9"/>
        <v>0</v>
      </c>
      <c r="H52" s="42" t="str">
        <f t="shared" si="10"/>
        <v>0</v>
      </c>
      <c r="I52" s="42" t="str">
        <f t="shared" si="11"/>
        <v>0</v>
      </c>
      <c r="J52" s="42" t="str">
        <f t="shared" si="12"/>
        <v>0</v>
      </c>
      <c r="K52" s="42" t="str">
        <f t="shared" si="13"/>
        <v>0</v>
      </c>
      <c r="L52" s="76"/>
      <c r="M52" s="76"/>
      <c r="N52" s="76"/>
      <c r="O52" s="76"/>
      <c r="P52" s="76"/>
      <c r="Q52" s="76"/>
      <c r="R52" s="76"/>
    </row>
    <row r="53" spans="3:18" ht="41.45" customHeight="1">
      <c r="C53" s="42"/>
      <c r="D53" s="42"/>
      <c r="E53" s="42" t="str">
        <f t="shared" si="7"/>
        <v>0</v>
      </c>
      <c r="F53" s="42" t="str">
        <f t="shared" si="8"/>
        <v>0</v>
      </c>
      <c r="G53" s="42" t="str">
        <f t="shared" si="9"/>
        <v>0</v>
      </c>
      <c r="H53" s="42" t="str">
        <f t="shared" si="10"/>
        <v>0</v>
      </c>
      <c r="I53" s="42" t="str">
        <f t="shared" si="11"/>
        <v>0</v>
      </c>
      <c r="J53" s="42" t="str">
        <f t="shared" si="12"/>
        <v>0</v>
      </c>
      <c r="K53" s="42" t="str">
        <f t="shared" si="13"/>
        <v>0</v>
      </c>
      <c r="L53" s="76"/>
      <c r="M53" s="76"/>
      <c r="N53" s="76"/>
      <c r="O53" s="76"/>
      <c r="P53" s="76"/>
      <c r="Q53" s="76"/>
      <c r="R53" s="76"/>
    </row>
    <row r="54" spans="3:18" ht="41.45" customHeight="1">
      <c r="C54" s="42"/>
      <c r="D54" s="42"/>
      <c r="E54" s="42" t="str">
        <f t="shared" si="7"/>
        <v>0</v>
      </c>
      <c r="F54" s="42" t="str">
        <f t="shared" si="8"/>
        <v>0</v>
      </c>
      <c r="G54" s="42" t="str">
        <f t="shared" si="9"/>
        <v>0</v>
      </c>
      <c r="H54" s="42" t="str">
        <f t="shared" si="10"/>
        <v>0</v>
      </c>
      <c r="I54" s="42" t="str">
        <f t="shared" si="11"/>
        <v>0</v>
      </c>
      <c r="J54" s="42" t="str">
        <f t="shared" si="12"/>
        <v>0</v>
      </c>
      <c r="K54" s="42" t="str">
        <f t="shared" si="13"/>
        <v>0</v>
      </c>
      <c r="L54" s="76"/>
      <c r="M54" s="76"/>
      <c r="N54" s="76"/>
      <c r="O54" s="76"/>
      <c r="P54" s="76"/>
      <c r="Q54" s="76"/>
      <c r="R54" s="76"/>
    </row>
    <row r="55" spans="3:18" ht="41.45" customHeight="1">
      <c r="C55" s="42"/>
      <c r="D55" s="42"/>
      <c r="E55" s="42" t="str">
        <f t="shared" si="7"/>
        <v>0</v>
      </c>
      <c r="F55" s="42" t="str">
        <f t="shared" si="8"/>
        <v>0</v>
      </c>
      <c r="G55" s="42" t="str">
        <f t="shared" si="9"/>
        <v>0</v>
      </c>
      <c r="H55" s="42" t="str">
        <f t="shared" si="10"/>
        <v>0</v>
      </c>
      <c r="I55" s="42" t="str">
        <f t="shared" si="11"/>
        <v>0</v>
      </c>
      <c r="J55" s="42" t="str">
        <f t="shared" si="12"/>
        <v>0</v>
      </c>
      <c r="K55" s="42" t="str">
        <f t="shared" si="13"/>
        <v>0</v>
      </c>
      <c r="L55" s="76"/>
      <c r="M55" s="76"/>
      <c r="N55" s="76"/>
      <c r="O55" s="76"/>
      <c r="P55" s="76"/>
      <c r="Q55" s="76"/>
      <c r="R55" s="76"/>
    </row>
    <row r="56" spans="3:18" ht="41.45" customHeight="1">
      <c r="C56" s="42"/>
      <c r="D56" s="42"/>
      <c r="E56" s="42" t="str">
        <f t="shared" si="7"/>
        <v>0</v>
      </c>
      <c r="F56" s="42" t="str">
        <f t="shared" si="8"/>
        <v>0</v>
      </c>
      <c r="G56" s="42" t="str">
        <f t="shared" si="9"/>
        <v>0</v>
      </c>
      <c r="H56" s="42" t="str">
        <f t="shared" si="10"/>
        <v>0</v>
      </c>
      <c r="I56" s="42" t="str">
        <f t="shared" si="11"/>
        <v>0</v>
      </c>
      <c r="J56" s="42" t="str">
        <f t="shared" si="12"/>
        <v>0</v>
      </c>
      <c r="K56" s="42" t="str">
        <f t="shared" si="13"/>
        <v>0</v>
      </c>
      <c r="L56" s="76"/>
      <c r="M56" s="76"/>
      <c r="N56" s="76"/>
      <c r="O56" s="76"/>
      <c r="P56" s="76"/>
      <c r="Q56" s="76"/>
      <c r="R56" s="76"/>
    </row>
    <row r="57" spans="3:18" ht="41.45" customHeight="1">
      <c r="C57" s="42"/>
      <c r="D57" s="42"/>
      <c r="E57" s="42" t="str">
        <f t="shared" si="7"/>
        <v>0</v>
      </c>
      <c r="F57" s="42" t="str">
        <f t="shared" si="8"/>
        <v>0</v>
      </c>
      <c r="G57" s="42" t="str">
        <f t="shared" si="9"/>
        <v>0</v>
      </c>
      <c r="H57" s="42" t="str">
        <f t="shared" si="10"/>
        <v>0</v>
      </c>
      <c r="I57" s="42" t="str">
        <f t="shared" si="11"/>
        <v>0</v>
      </c>
      <c r="J57" s="42" t="str">
        <f t="shared" si="12"/>
        <v>0</v>
      </c>
      <c r="K57" s="42" t="str">
        <f t="shared" si="13"/>
        <v>0</v>
      </c>
      <c r="L57" s="76"/>
      <c r="M57" s="76"/>
      <c r="N57" s="76"/>
      <c r="O57" s="76"/>
      <c r="P57" s="76"/>
      <c r="Q57" s="76"/>
      <c r="R57" s="76"/>
    </row>
    <row r="58" spans="3:18" ht="41.45" customHeight="1">
      <c r="C58" s="42"/>
      <c r="D58" s="42"/>
      <c r="E58" s="42" t="str">
        <f t="shared" si="7"/>
        <v>0</v>
      </c>
      <c r="F58" s="42" t="str">
        <f t="shared" si="8"/>
        <v>0</v>
      </c>
      <c r="G58" s="42" t="str">
        <f t="shared" si="9"/>
        <v>0</v>
      </c>
      <c r="H58" s="42" t="str">
        <f t="shared" si="10"/>
        <v>0</v>
      </c>
      <c r="I58" s="42" t="str">
        <f t="shared" si="11"/>
        <v>0</v>
      </c>
      <c r="J58" s="42" t="str">
        <f t="shared" si="12"/>
        <v>0</v>
      </c>
      <c r="K58" s="42" t="str">
        <f t="shared" si="13"/>
        <v>0</v>
      </c>
      <c r="L58" s="76"/>
      <c r="M58" s="76"/>
      <c r="N58" s="76"/>
      <c r="O58" s="76"/>
      <c r="P58" s="76"/>
      <c r="Q58" s="76"/>
      <c r="R58" s="76"/>
    </row>
    <row r="59" spans="3:18" ht="41.45" customHeight="1">
      <c r="C59" s="42"/>
      <c r="D59" s="42"/>
      <c r="E59" s="42" t="str">
        <f t="shared" si="7"/>
        <v>0</v>
      </c>
      <c r="F59" s="42" t="str">
        <f t="shared" si="8"/>
        <v>0</v>
      </c>
      <c r="G59" s="42" t="str">
        <f t="shared" si="9"/>
        <v>0</v>
      </c>
      <c r="H59" s="42" t="str">
        <f t="shared" si="10"/>
        <v>0</v>
      </c>
      <c r="I59" s="42" t="str">
        <f t="shared" si="11"/>
        <v>0</v>
      </c>
      <c r="J59" s="42" t="str">
        <f t="shared" si="12"/>
        <v>0</v>
      </c>
      <c r="K59" s="42" t="str">
        <f t="shared" si="13"/>
        <v>0</v>
      </c>
      <c r="L59" s="76"/>
      <c r="M59" s="76"/>
      <c r="N59" s="76"/>
      <c r="O59" s="76"/>
      <c r="P59" s="76"/>
      <c r="Q59" s="76"/>
      <c r="R59" s="76"/>
    </row>
    <row r="60" spans="3:18" ht="41.45" customHeight="1">
      <c r="C60" s="42"/>
      <c r="D60" s="42"/>
      <c r="E60" s="42" t="str">
        <f t="shared" si="7"/>
        <v>0</v>
      </c>
      <c r="F60" s="42" t="str">
        <f t="shared" si="8"/>
        <v>0</v>
      </c>
      <c r="G60" s="42" t="str">
        <f t="shared" si="9"/>
        <v>0</v>
      </c>
      <c r="H60" s="42" t="str">
        <f t="shared" si="10"/>
        <v>0</v>
      </c>
      <c r="I60" s="42" t="str">
        <f t="shared" si="11"/>
        <v>0</v>
      </c>
      <c r="J60" s="42" t="str">
        <f t="shared" si="12"/>
        <v>0</v>
      </c>
      <c r="K60" s="42" t="str">
        <f t="shared" si="13"/>
        <v>0</v>
      </c>
      <c r="L60" s="76"/>
      <c r="M60" s="76"/>
      <c r="N60" s="76"/>
      <c r="O60" s="76"/>
      <c r="P60" s="76"/>
      <c r="Q60" s="76"/>
      <c r="R60" s="76"/>
    </row>
    <row r="61" spans="3:18" ht="41.45" customHeight="1">
      <c r="C61" s="42"/>
      <c r="D61" s="42"/>
      <c r="E61" s="42">
        <f>SUM(E35:E60)</f>
        <v>4.9000000000000004</v>
      </c>
      <c r="F61" s="42">
        <f t="shared" ref="F61:K61" si="14">SUM(F35:F60)</f>
        <v>38.419240710080004</v>
      </c>
      <c r="G61" s="42">
        <f t="shared" si="14"/>
        <v>0</v>
      </c>
      <c r="H61" s="42">
        <f t="shared" si="14"/>
        <v>0</v>
      </c>
      <c r="I61" s="42">
        <f t="shared" si="14"/>
        <v>0</v>
      </c>
      <c r="J61" s="42">
        <f t="shared" si="14"/>
        <v>43.319240710080003</v>
      </c>
      <c r="K61" s="42">
        <f t="shared" si="14"/>
        <v>0</v>
      </c>
      <c r="L61" s="76"/>
      <c r="M61" s="76"/>
      <c r="N61" s="76"/>
      <c r="O61" s="76"/>
      <c r="P61" s="76"/>
      <c r="Q61" s="76"/>
      <c r="R61" s="76"/>
    </row>
    <row r="62" spans="3:18" ht="41.45" customHeight="1">
      <c r="C62" s="42"/>
      <c r="D62" s="42"/>
      <c r="E62" s="42"/>
      <c r="F62" s="43"/>
      <c r="G62" s="43"/>
      <c r="H62" s="43"/>
      <c r="I62" s="43"/>
      <c r="J62" s="43"/>
      <c r="K62" s="43"/>
      <c r="L62" s="76"/>
      <c r="M62" s="76"/>
      <c r="N62" s="76"/>
      <c r="O62" s="76"/>
      <c r="P62" s="76"/>
      <c r="Q62" s="76"/>
      <c r="R62" s="76"/>
    </row>
    <row r="63" spans="3:18" ht="41.45" customHeight="1">
      <c r="C63" s="42"/>
      <c r="D63" s="42"/>
      <c r="E63" s="42"/>
      <c r="F63" s="43"/>
      <c r="G63" s="43"/>
      <c r="H63" s="43"/>
      <c r="I63" s="43"/>
      <c r="J63" s="43"/>
      <c r="K63" s="43"/>
      <c r="L63" s="76"/>
      <c r="M63" s="76"/>
      <c r="N63" s="76"/>
      <c r="O63" s="76"/>
      <c r="P63" s="76"/>
      <c r="Q63" s="76"/>
      <c r="R63" s="76"/>
    </row>
    <row r="64" spans="3:18" ht="41.45" customHeight="1">
      <c r="C64" s="42"/>
      <c r="D64" s="42"/>
      <c r="E64" s="42"/>
      <c r="F64" s="43"/>
      <c r="G64" s="43"/>
      <c r="H64" s="43"/>
      <c r="I64" s="43"/>
      <c r="J64" s="43"/>
      <c r="K64" s="43"/>
      <c r="L64" s="76"/>
      <c r="M64" s="76"/>
      <c r="N64" s="76"/>
      <c r="O64" s="76"/>
      <c r="P64" s="76"/>
      <c r="Q64" s="76"/>
      <c r="R64" s="76"/>
    </row>
    <row r="65" spans="3:18" ht="41.45" customHeight="1">
      <c r="C65" s="42"/>
      <c r="D65" s="42"/>
      <c r="E65" s="42"/>
      <c r="F65" s="43"/>
      <c r="G65" s="43"/>
      <c r="H65" s="43"/>
      <c r="I65" s="43"/>
      <c r="J65" s="43"/>
      <c r="K65" s="43"/>
      <c r="L65" s="76"/>
      <c r="M65" s="76"/>
      <c r="N65" s="76"/>
      <c r="O65" s="76"/>
      <c r="P65" s="76"/>
      <c r="Q65" s="76"/>
      <c r="R65" s="76"/>
    </row>
    <row r="66" spans="3:18" ht="41.45" customHeight="1">
      <c r="C66" s="42"/>
      <c r="D66" s="42"/>
      <c r="E66" s="42"/>
      <c r="F66" s="43"/>
      <c r="G66" s="43"/>
      <c r="H66" s="43"/>
      <c r="I66" s="43"/>
      <c r="J66" s="43"/>
      <c r="K66" s="43"/>
      <c r="L66" s="76"/>
      <c r="M66" s="76"/>
      <c r="N66" s="76"/>
      <c r="O66" s="76"/>
      <c r="P66" s="76"/>
      <c r="Q66" s="76"/>
      <c r="R66" s="76"/>
    </row>
    <row r="67" spans="3:18" ht="41.45" customHeight="1">
      <c r="C67" s="42"/>
      <c r="D67" s="42"/>
      <c r="E67" s="42"/>
      <c r="F67" s="43"/>
      <c r="G67" s="43"/>
      <c r="H67" s="43"/>
      <c r="I67" s="43"/>
      <c r="J67" s="43"/>
      <c r="K67" s="43"/>
      <c r="L67" s="76"/>
      <c r="M67" s="76"/>
      <c r="N67" s="76"/>
      <c r="O67" s="76"/>
      <c r="P67" s="76"/>
      <c r="Q67" s="76"/>
      <c r="R67" s="76"/>
    </row>
  </sheetData>
  <mergeCells count="72">
    <mergeCell ref="L65:R65"/>
    <mergeCell ref="L66:R66"/>
    <mergeCell ref="L67:R67"/>
    <mergeCell ref="L59:R59"/>
    <mergeCell ref="L60:R60"/>
    <mergeCell ref="L61:R61"/>
    <mergeCell ref="L62:R62"/>
    <mergeCell ref="L63:R63"/>
    <mergeCell ref="L64:R64"/>
    <mergeCell ref="L58:R58"/>
    <mergeCell ref="L47:R47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46:R46"/>
    <mergeCell ref="L35:R35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34:R34"/>
    <mergeCell ref="L23:R23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22:R22"/>
    <mergeCell ref="L11:R11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10:R10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R68"/>
  <sheetViews>
    <sheetView view="pageBreakPreview" zoomScale="40" zoomScaleNormal="55" zoomScaleSheetLayoutView="40" workbookViewId="0">
      <selection activeCell="J3" sqref="J3"/>
    </sheetView>
  </sheetViews>
  <sheetFormatPr defaultColWidth="8.875" defaultRowHeight="15"/>
  <cols>
    <col min="1" max="1" width="33.375" style="1" customWidth="1"/>
    <col min="2" max="2" width="17.125" style="1" customWidth="1"/>
    <col min="3" max="4" width="13.375" style="1" customWidth="1"/>
    <col min="5" max="5" width="26.375" style="2" customWidth="1"/>
    <col min="6" max="6" width="30.125" style="2" customWidth="1"/>
    <col min="7" max="7" width="26.375" style="2" customWidth="1"/>
    <col min="8" max="8" width="33.125" style="2" customWidth="1"/>
    <col min="9" max="11" width="32" style="2" customWidth="1"/>
    <col min="12" max="14" width="14.375" style="1" customWidth="1"/>
    <col min="15" max="17" width="14.625" style="1" customWidth="1"/>
    <col min="18" max="18" width="37.37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84" t="s">
        <v>3</v>
      </c>
      <c r="J1" s="86">
        <f>'46'!J1</f>
        <v>46204</v>
      </c>
      <c r="K1" s="11"/>
      <c r="L1" s="88" t="s">
        <v>4</v>
      </c>
      <c r="M1" s="88"/>
      <c r="N1" s="90" t="str">
        <f>'46'!N1</f>
        <v>ENG. VINÍCIUS RODRIGUES FERREIRA DE OLIVEIRA</v>
      </c>
      <c r="O1" s="90"/>
      <c r="P1" s="90"/>
      <c r="Q1" s="90"/>
      <c r="R1" s="91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85"/>
      <c r="J2" s="87"/>
      <c r="K2" s="16"/>
      <c r="L2" s="89"/>
      <c r="M2" s="89"/>
      <c r="N2" s="92"/>
      <c r="O2" s="92"/>
      <c r="P2" s="92"/>
      <c r="Q2" s="92"/>
      <c r="R2" s="93"/>
    </row>
    <row r="3" spans="1:18" ht="19.5">
      <c r="A3" s="13" t="s">
        <v>23</v>
      </c>
      <c r="B3" s="45" t="str">
        <f>TT!C6</f>
        <v>RODOVIA TO-165 - TRECHO SANTA FÉ DO ARAGUAIA - ENTR. TO-226 - ARAPOEMA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98" t="s">
        <v>1</v>
      </c>
      <c r="B5" s="94" t="s">
        <v>7</v>
      </c>
      <c r="C5" s="100" t="s">
        <v>5</v>
      </c>
      <c r="D5" s="100" t="s">
        <v>6</v>
      </c>
      <c r="E5" s="94" t="s">
        <v>10</v>
      </c>
      <c r="F5" s="94"/>
      <c r="G5" s="94"/>
      <c r="H5" s="94"/>
      <c r="I5" s="94" t="s">
        <v>11</v>
      </c>
      <c r="J5" s="94"/>
      <c r="K5" s="94"/>
      <c r="L5" s="94" t="s">
        <v>8</v>
      </c>
      <c r="M5" s="94"/>
      <c r="N5" s="94"/>
      <c r="O5" s="94"/>
      <c r="P5" s="94"/>
      <c r="Q5" s="94"/>
      <c r="R5" s="95"/>
    </row>
    <row r="6" spans="1:18" s="6" customFormat="1" ht="79.150000000000006" customHeight="1">
      <c r="A6" s="99"/>
      <c r="B6" s="96"/>
      <c r="C6" s="96"/>
      <c r="D6" s="96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6"/>
      <c r="M6" s="96"/>
      <c r="N6" s="96"/>
      <c r="O6" s="96"/>
      <c r="P6" s="96"/>
      <c r="Q6" s="96"/>
      <c r="R6" s="97"/>
    </row>
    <row r="7" spans="1:18" ht="41.45" customHeight="1">
      <c r="A7" s="38" t="s">
        <v>60</v>
      </c>
      <c r="B7" s="21" t="s">
        <v>18</v>
      </c>
      <c r="C7" s="22">
        <v>0</v>
      </c>
      <c r="D7" s="66">
        <v>51.5343878045</v>
      </c>
      <c r="E7" s="21"/>
      <c r="F7" s="21" t="s">
        <v>19</v>
      </c>
      <c r="G7" s="21"/>
      <c r="H7" s="21"/>
      <c r="I7" s="21"/>
      <c r="J7" s="21" t="s">
        <v>19</v>
      </c>
      <c r="K7" s="21"/>
      <c r="L7" s="78"/>
      <c r="M7" s="78"/>
      <c r="N7" s="78"/>
      <c r="O7" s="78"/>
      <c r="P7" s="78"/>
      <c r="Q7" s="78"/>
      <c r="R7" s="79"/>
    </row>
    <row r="8" spans="1:18" ht="41.45" customHeight="1">
      <c r="A8" s="38" t="s">
        <v>63</v>
      </c>
      <c r="B8" s="21" t="s">
        <v>18</v>
      </c>
      <c r="C8" s="22">
        <v>0</v>
      </c>
      <c r="D8" s="66">
        <v>40.988888351600004</v>
      </c>
      <c r="E8" s="21"/>
      <c r="F8" s="21" t="s">
        <v>19</v>
      </c>
      <c r="G8" s="21"/>
      <c r="H8" s="21"/>
      <c r="I8" s="21"/>
      <c r="J8" s="21" t="s">
        <v>19</v>
      </c>
      <c r="K8" s="21"/>
      <c r="L8" s="78"/>
      <c r="M8" s="78"/>
      <c r="N8" s="78"/>
      <c r="O8" s="78"/>
      <c r="P8" s="78"/>
      <c r="Q8" s="78"/>
      <c r="R8" s="79"/>
    </row>
    <row r="9" spans="1:18" ht="41.45" customHeight="1">
      <c r="A9" s="38"/>
      <c r="B9" s="21"/>
      <c r="C9" s="22"/>
      <c r="D9" s="22"/>
      <c r="E9" s="21"/>
      <c r="F9" s="21"/>
      <c r="G9" s="21"/>
      <c r="H9" s="21"/>
      <c r="I9" s="21"/>
      <c r="J9" s="21"/>
      <c r="K9" s="21"/>
      <c r="L9" s="78"/>
      <c r="M9" s="78"/>
      <c r="N9" s="78"/>
      <c r="O9" s="78"/>
      <c r="P9" s="78"/>
      <c r="Q9" s="78"/>
      <c r="R9" s="79"/>
    </row>
    <row r="10" spans="1:18" ht="41.45" customHeight="1">
      <c r="A10" s="38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78"/>
      <c r="M10" s="78"/>
      <c r="N10" s="78"/>
      <c r="O10" s="78"/>
      <c r="P10" s="78"/>
      <c r="Q10" s="78"/>
      <c r="R10" s="79"/>
    </row>
    <row r="11" spans="1:18" ht="41.45" customHeight="1">
      <c r="A11" s="38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78"/>
      <c r="M11" s="78"/>
      <c r="N11" s="78"/>
      <c r="O11" s="78"/>
      <c r="P11" s="78"/>
      <c r="Q11" s="78"/>
      <c r="R11" s="79"/>
    </row>
    <row r="12" spans="1:18" ht="41.45" customHeight="1">
      <c r="A12" s="38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78"/>
      <c r="M12" s="78"/>
      <c r="N12" s="78"/>
      <c r="O12" s="78"/>
      <c r="P12" s="78"/>
      <c r="Q12" s="78"/>
      <c r="R12" s="79"/>
    </row>
    <row r="13" spans="1:18" ht="41.45" customHeight="1">
      <c r="A13" s="38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78"/>
      <c r="M13" s="78"/>
      <c r="N13" s="78"/>
      <c r="O13" s="78"/>
      <c r="P13" s="78"/>
      <c r="Q13" s="78"/>
      <c r="R13" s="79"/>
    </row>
    <row r="14" spans="1:18" ht="41.45" customHeight="1">
      <c r="A14" s="38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78"/>
      <c r="M14" s="78"/>
      <c r="N14" s="78"/>
      <c r="O14" s="78"/>
      <c r="P14" s="78"/>
      <c r="Q14" s="78"/>
      <c r="R14" s="79"/>
    </row>
    <row r="15" spans="1:18" ht="41.45" customHeight="1">
      <c r="A15" s="38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78"/>
      <c r="M15" s="78"/>
      <c r="N15" s="78"/>
      <c r="O15" s="78"/>
      <c r="P15" s="78"/>
      <c r="Q15" s="78"/>
      <c r="R15" s="79"/>
    </row>
    <row r="16" spans="1:18" ht="41.45" customHeight="1">
      <c r="A16" s="38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78"/>
      <c r="M16" s="78"/>
      <c r="N16" s="78"/>
      <c r="O16" s="78"/>
      <c r="P16" s="78"/>
      <c r="Q16" s="78"/>
      <c r="R16" s="79"/>
    </row>
    <row r="17" spans="1:18" ht="41.45" customHeight="1">
      <c r="A17" s="38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78"/>
      <c r="M17" s="78"/>
      <c r="N17" s="78"/>
      <c r="O17" s="78"/>
      <c r="P17" s="78"/>
      <c r="Q17" s="78"/>
      <c r="R17" s="79"/>
    </row>
    <row r="18" spans="1:18" ht="41.45" customHeight="1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78"/>
      <c r="M18" s="78"/>
      <c r="N18" s="78"/>
      <c r="O18" s="78"/>
      <c r="P18" s="78"/>
      <c r="Q18" s="78"/>
      <c r="R18" s="79"/>
    </row>
    <row r="19" spans="1:18" ht="41.45" customHeight="1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78"/>
      <c r="M19" s="78"/>
      <c r="N19" s="78"/>
      <c r="O19" s="78"/>
      <c r="P19" s="78"/>
      <c r="Q19" s="78"/>
      <c r="R19" s="79"/>
    </row>
    <row r="20" spans="1:18" ht="41.45" customHeight="1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78"/>
      <c r="M20" s="78"/>
      <c r="N20" s="78"/>
      <c r="O20" s="78"/>
      <c r="P20" s="78"/>
      <c r="Q20" s="78"/>
      <c r="R20" s="79"/>
    </row>
    <row r="21" spans="1:18" ht="41.45" customHeight="1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78"/>
      <c r="M21" s="78"/>
      <c r="N21" s="78"/>
      <c r="O21" s="78"/>
      <c r="P21" s="78"/>
      <c r="Q21" s="78"/>
      <c r="R21" s="79"/>
    </row>
    <row r="22" spans="1:18" ht="41.45" customHeight="1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78"/>
      <c r="M22" s="78"/>
      <c r="N22" s="78"/>
      <c r="O22" s="78"/>
      <c r="P22" s="78"/>
      <c r="Q22" s="78"/>
      <c r="R22" s="79"/>
    </row>
    <row r="23" spans="1:18" ht="41.45" customHeight="1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78"/>
      <c r="M23" s="78"/>
      <c r="N23" s="78"/>
      <c r="O23" s="78"/>
      <c r="P23" s="78"/>
      <c r="Q23" s="78"/>
      <c r="R23" s="79"/>
    </row>
    <row r="24" spans="1:18" ht="41.45" customHeight="1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78"/>
      <c r="M24" s="78"/>
      <c r="N24" s="78"/>
      <c r="O24" s="78"/>
      <c r="P24" s="78"/>
      <c r="Q24" s="78"/>
      <c r="R24" s="79"/>
    </row>
    <row r="25" spans="1:18" ht="41.45" customHeight="1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78"/>
      <c r="M25" s="78"/>
      <c r="N25" s="78"/>
      <c r="O25" s="78"/>
      <c r="P25" s="78"/>
      <c r="Q25" s="78"/>
      <c r="R25" s="79"/>
    </row>
    <row r="26" spans="1:18" ht="41.45" customHeight="1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78"/>
      <c r="M26" s="78"/>
      <c r="N26" s="78"/>
      <c r="O26" s="78"/>
      <c r="P26" s="78"/>
      <c r="Q26" s="78"/>
      <c r="R26" s="79"/>
    </row>
    <row r="27" spans="1:18" ht="41.45" customHeight="1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78"/>
      <c r="M27" s="78"/>
      <c r="N27" s="78"/>
      <c r="O27" s="78"/>
      <c r="P27" s="78"/>
      <c r="Q27" s="78"/>
      <c r="R27" s="79"/>
    </row>
    <row r="28" spans="1:18" ht="41.45" customHeight="1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78"/>
      <c r="M28" s="78"/>
      <c r="N28" s="78"/>
      <c r="O28" s="78"/>
      <c r="P28" s="78"/>
      <c r="Q28" s="78"/>
      <c r="R28" s="79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78"/>
      <c r="M29" s="78"/>
      <c r="N29" s="78"/>
      <c r="O29" s="78"/>
      <c r="P29" s="78"/>
      <c r="Q29" s="78"/>
      <c r="R29" s="79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78"/>
      <c r="M30" s="78"/>
      <c r="N30" s="78"/>
      <c r="O30" s="78"/>
      <c r="P30" s="78"/>
      <c r="Q30" s="78"/>
      <c r="R30" s="79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78"/>
      <c r="M31" s="78"/>
      <c r="N31" s="78"/>
      <c r="O31" s="78"/>
      <c r="P31" s="78"/>
      <c r="Q31" s="78"/>
      <c r="R31" s="79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78"/>
      <c r="M32" s="78"/>
      <c r="N32" s="78"/>
      <c r="O32" s="78"/>
      <c r="P32" s="78"/>
      <c r="Q32" s="78"/>
      <c r="R32" s="79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78"/>
      <c r="M33" s="78"/>
      <c r="N33" s="78"/>
      <c r="O33" s="78"/>
      <c r="P33" s="78"/>
      <c r="Q33" s="78"/>
      <c r="R33" s="79"/>
    </row>
    <row r="34" spans="1:18" ht="41.45" customHeight="1" thickBot="1">
      <c r="A34" s="20"/>
      <c r="B34" s="4"/>
      <c r="C34" s="23"/>
      <c r="D34" s="23"/>
      <c r="E34" s="24"/>
      <c r="F34" s="24"/>
      <c r="G34" s="24"/>
      <c r="H34" s="24"/>
      <c r="I34" s="24"/>
      <c r="J34" s="24"/>
      <c r="K34" s="24"/>
      <c r="L34" s="80"/>
      <c r="M34" s="80"/>
      <c r="N34" s="80"/>
      <c r="O34" s="80"/>
      <c r="P34" s="80"/>
      <c r="Q34" s="80"/>
      <c r="R34" s="81"/>
    </row>
    <row r="35" spans="1:18" ht="41.45" customHeight="1">
      <c r="A35" s="39"/>
      <c r="B35" s="39"/>
      <c r="C35" s="40"/>
      <c r="D35" s="40"/>
      <c r="E35" s="41"/>
      <c r="F35" s="41"/>
      <c r="G35" s="41"/>
      <c r="H35" s="41"/>
      <c r="I35" s="41"/>
      <c r="J35" s="41"/>
      <c r="K35" s="41"/>
      <c r="L35" s="77"/>
      <c r="M35" s="77"/>
      <c r="N35" s="77"/>
      <c r="O35" s="77"/>
      <c r="P35" s="77"/>
      <c r="Q35" s="77"/>
      <c r="R35" s="77"/>
    </row>
    <row r="36" spans="1:18" ht="41.45" customHeight="1">
      <c r="C36" s="42"/>
      <c r="D36" s="42"/>
      <c r="E36" s="42" t="str">
        <f>IF(E7="X",(D7-C7),"0")</f>
        <v>0</v>
      </c>
      <c r="F36" s="42">
        <f>IF(F7="X",(D7-C7),"0")</f>
        <v>51.5343878045</v>
      </c>
      <c r="G36" s="42" t="str">
        <f>IF(G7="X",(D7-C7),"0")</f>
        <v>0</v>
      </c>
      <c r="H36" s="42" t="str">
        <f>IF(H7="X",(D7-C7),"0")</f>
        <v>0</v>
      </c>
      <c r="I36" s="42" t="str">
        <f>IF(I7="X",(D7-C7),"0")</f>
        <v>0</v>
      </c>
      <c r="J36" s="42">
        <f>IF(J7="X",(D7-C7),"0")</f>
        <v>51.5343878045</v>
      </c>
      <c r="K36" s="42" t="str">
        <f>IF(K7="X",(D7-C7),"0")</f>
        <v>0</v>
      </c>
      <c r="L36" s="76"/>
      <c r="M36" s="76"/>
      <c r="N36" s="76"/>
      <c r="O36" s="76"/>
      <c r="P36" s="76"/>
      <c r="Q36" s="76"/>
      <c r="R36" s="76"/>
    </row>
    <row r="37" spans="1:18" ht="41.45" customHeight="1">
      <c r="C37" s="42"/>
      <c r="D37" s="42"/>
      <c r="E37" s="42" t="str">
        <f t="shared" ref="E37:E61" si="0">IF(E8="X",(D8-C8),"0")</f>
        <v>0</v>
      </c>
      <c r="F37" s="42">
        <f t="shared" ref="F37:F61" si="1">IF(F8="X",(D8-C8),"0")</f>
        <v>40.988888351600004</v>
      </c>
      <c r="G37" s="42" t="str">
        <f t="shared" ref="G37:G61" si="2">IF(G8="X",(D8-C8),"0")</f>
        <v>0</v>
      </c>
      <c r="H37" s="42" t="str">
        <f t="shared" ref="H37:H61" si="3">IF(H8="X",(D8-C8),"0")</f>
        <v>0</v>
      </c>
      <c r="I37" s="42" t="str">
        <f t="shared" ref="I37:I61" si="4">IF(I8="X",(D8-C8),"0")</f>
        <v>0</v>
      </c>
      <c r="J37" s="42">
        <f t="shared" ref="J37:J61" si="5">IF(J8="X",(D8-C8),"0")</f>
        <v>40.988888351600004</v>
      </c>
      <c r="K37" s="42" t="str">
        <f t="shared" ref="K37:K61" si="6">IF(K8="X",(D8-C8),"0")</f>
        <v>0</v>
      </c>
      <c r="L37" s="76"/>
      <c r="M37" s="76"/>
      <c r="N37" s="76"/>
      <c r="O37" s="76"/>
      <c r="P37" s="76"/>
      <c r="Q37" s="76"/>
      <c r="R37" s="76"/>
    </row>
    <row r="38" spans="1:18" ht="41.45" customHeight="1">
      <c r="C38" s="42"/>
      <c r="D38" s="42"/>
      <c r="E38" s="42" t="str">
        <f t="shared" si="0"/>
        <v>0</v>
      </c>
      <c r="F38" s="42" t="str">
        <f t="shared" si="1"/>
        <v>0</v>
      </c>
      <c r="G38" s="42" t="str">
        <f t="shared" si="2"/>
        <v>0</v>
      </c>
      <c r="H38" s="42" t="str">
        <f t="shared" si="3"/>
        <v>0</v>
      </c>
      <c r="I38" s="42" t="str">
        <f t="shared" si="4"/>
        <v>0</v>
      </c>
      <c r="J38" s="42" t="str">
        <f t="shared" si="5"/>
        <v>0</v>
      </c>
      <c r="K38" s="42" t="str">
        <f t="shared" si="6"/>
        <v>0</v>
      </c>
      <c r="L38" s="76"/>
      <c r="M38" s="76"/>
      <c r="N38" s="76"/>
      <c r="O38" s="76"/>
      <c r="P38" s="76"/>
      <c r="Q38" s="76"/>
      <c r="R38" s="76"/>
    </row>
    <row r="39" spans="1:18" ht="41.45" customHeight="1">
      <c r="C39" s="42"/>
      <c r="D39" s="42"/>
      <c r="E39" s="42" t="str">
        <f t="shared" si="0"/>
        <v>0</v>
      </c>
      <c r="F39" s="42" t="str">
        <f t="shared" si="1"/>
        <v>0</v>
      </c>
      <c r="G39" s="42" t="str">
        <f t="shared" si="2"/>
        <v>0</v>
      </c>
      <c r="H39" s="42" t="str">
        <f t="shared" si="3"/>
        <v>0</v>
      </c>
      <c r="I39" s="42" t="str">
        <f t="shared" si="4"/>
        <v>0</v>
      </c>
      <c r="J39" s="42" t="str">
        <f t="shared" si="5"/>
        <v>0</v>
      </c>
      <c r="K39" s="42" t="str">
        <f t="shared" si="6"/>
        <v>0</v>
      </c>
      <c r="L39" s="76"/>
      <c r="M39" s="76"/>
      <c r="N39" s="76"/>
      <c r="O39" s="76"/>
      <c r="P39" s="76"/>
      <c r="Q39" s="76"/>
      <c r="R39" s="76"/>
    </row>
    <row r="40" spans="1:18" ht="41.45" customHeight="1">
      <c r="C40" s="42"/>
      <c r="D40" s="42"/>
      <c r="E40" s="42" t="str">
        <f t="shared" si="0"/>
        <v>0</v>
      </c>
      <c r="F40" s="42" t="str">
        <f t="shared" si="1"/>
        <v>0</v>
      </c>
      <c r="G40" s="42" t="str">
        <f t="shared" si="2"/>
        <v>0</v>
      </c>
      <c r="H40" s="42" t="str">
        <f t="shared" si="3"/>
        <v>0</v>
      </c>
      <c r="I40" s="42" t="str">
        <f t="shared" si="4"/>
        <v>0</v>
      </c>
      <c r="J40" s="42" t="str">
        <f t="shared" si="5"/>
        <v>0</v>
      </c>
      <c r="K40" s="42" t="str">
        <f t="shared" si="6"/>
        <v>0</v>
      </c>
      <c r="L40" s="76"/>
      <c r="M40" s="76"/>
      <c r="N40" s="76"/>
      <c r="O40" s="76"/>
      <c r="P40" s="76"/>
      <c r="Q40" s="76"/>
      <c r="R40" s="76"/>
    </row>
    <row r="41" spans="1:18" ht="41.45" customHeight="1">
      <c r="C41" s="42"/>
      <c r="D41" s="42"/>
      <c r="E41" s="42" t="str">
        <f t="shared" si="0"/>
        <v>0</v>
      </c>
      <c r="F41" s="42" t="str">
        <f t="shared" si="1"/>
        <v>0</v>
      </c>
      <c r="G41" s="42" t="str">
        <f t="shared" si="2"/>
        <v>0</v>
      </c>
      <c r="H41" s="42" t="str">
        <f t="shared" si="3"/>
        <v>0</v>
      </c>
      <c r="I41" s="42" t="str">
        <f t="shared" si="4"/>
        <v>0</v>
      </c>
      <c r="J41" s="42" t="str">
        <f t="shared" si="5"/>
        <v>0</v>
      </c>
      <c r="K41" s="42" t="str">
        <f t="shared" si="6"/>
        <v>0</v>
      </c>
      <c r="L41" s="76"/>
      <c r="M41" s="76"/>
      <c r="N41" s="76"/>
      <c r="O41" s="76"/>
      <c r="P41" s="76"/>
      <c r="Q41" s="76"/>
      <c r="R41" s="76"/>
    </row>
    <row r="42" spans="1:18" ht="41.45" customHeight="1">
      <c r="C42" s="42"/>
      <c r="D42" s="42"/>
      <c r="E42" s="42" t="str">
        <f t="shared" si="0"/>
        <v>0</v>
      </c>
      <c r="F42" s="42" t="str">
        <f t="shared" si="1"/>
        <v>0</v>
      </c>
      <c r="G42" s="42" t="str">
        <f t="shared" si="2"/>
        <v>0</v>
      </c>
      <c r="H42" s="42" t="str">
        <f t="shared" si="3"/>
        <v>0</v>
      </c>
      <c r="I42" s="42" t="str">
        <f t="shared" si="4"/>
        <v>0</v>
      </c>
      <c r="J42" s="42" t="str">
        <f t="shared" si="5"/>
        <v>0</v>
      </c>
      <c r="K42" s="42" t="str">
        <f t="shared" si="6"/>
        <v>0</v>
      </c>
      <c r="L42" s="76"/>
      <c r="M42" s="76"/>
      <c r="N42" s="76"/>
      <c r="O42" s="76"/>
      <c r="P42" s="76"/>
      <c r="Q42" s="76"/>
      <c r="R42" s="76"/>
    </row>
    <row r="43" spans="1:18" ht="41.45" customHeight="1">
      <c r="C43" s="42"/>
      <c r="D43" s="42"/>
      <c r="E43" s="42" t="str">
        <f t="shared" si="0"/>
        <v>0</v>
      </c>
      <c r="F43" s="42" t="str">
        <f t="shared" si="1"/>
        <v>0</v>
      </c>
      <c r="G43" s="42" t="str">
        <f t="shared" si="2"/>
        <v>0</v>
      </c>
      <c r="H43" s="42" t="str">
        <f t="shared" si="3"/>
        <v>0</v>
      </c>
      <c r="I43" s="42" t="str">
        <f t="shared" si="4"/>
        <v>0</v>
      </c>
      <c r="J43" s="42" t="str">
        <f t="shared" si="5"/>
        <v>0</v>
      </c>
      <c r="K43" s="42" t="str">
        <f t="shared" si="6"/>
        <v>0</v>
      </c>
      <c r="L43" s="76"/>
      <c r="M43" s="76"/>
      <c r="N43" s="76"/>
      <c r="O43" s="76"/>
      <c r="P43" s="76"/>
      <c r="Q43" s="76"/>
      <c r="R43" s="76"/>
    </row>
    <row r="44" spans="1:18" ht="41.45" customHeight="1">
      <c r="C44" s="42"/>
      <c r="D44" s="42"/>
      <c r="E44" s="42" t="str">
        <f t="shared" si="0"/>
        <v>0</v>
      </c>
      <c r="F44" s="42" t="str">
        <f t="shared" si="1"/>
        <v>0</v>
      </c>
      <c r="G44" s="42" t="str">
        <f t="shared" si="2"/>
        <v>0</v>
      </c>
      <c r="H44" s="42" t="str">
        <f t="shared" si="3"/>
        <v>0</v>
      </c>
      <c r="I44" s="42" t="str">
        <f t="shared" si="4"/>
        <v>0</v>
      </c>
      <c r="J44" s="42" t="str">
        <f t="shared" si="5"/>
        <v>0</v>
      </c>
      <c r="K44" s="42" t="str">
        <f t="shared" si="6"/>
        <v>0</v>
      </c>
      <c r="L44" s="76"/>
      <c r="M44" s="76"/>
      <c r="N44" s="76"/>
      <c r="O44" s="76"/>
      <c r="P44" s="76"/>
      <c r="Q44" s="76"/>
      <c r="R44" s="76"/>
    </row>
    <row r="45" spans="1:18" ht="41.45" customHeight="1">
      <c r="C45" s="42"/>
      <c r="D45" s="42"/>
      <c r="E45" s="42" t="str">
        <f t="shared" si="0"/>
        <v>0</v>
      </c>
      <c r="F45" s="42" t="str">
        <f t="shared" si="1"/>
        <v>0</v>
      </c>
      <c r="G45" s="42" t="str">
        <f t="shared" si="2"/>
        <v>0</v>
      </c>
      <c r="H45" s="42" t="str">
        <f t="shared" si="3"/>
        <v>0</v>
      </c>
      <c r="I45" s="42" t="str">
        <f t="shared" si="4"/>
        <v>0</v>
      </c>
      <c r="J45" s="42" t="str">
        <f t="shared" si="5"/>
        <v>0</v>
      </c>
      <c r="K45" s="42" t="str">
        <f t="shared" si="6"/>
        <v>0</v>
      </c>
      <c r="L45" s="76"/>
      <c r="M45" s="76"/>
      <c r="N45" s="76"/>
      <c r="O45" s="76"/>
      <c r="P45" s="76"/>
      <c r="Q45" s="76"/>
      <c r="R45" s="76"/>
    </row>
    <row r="46" spans="1:18" ht="41.45" customHeight="1">
      <c r="C46" s="42"/>
      <c r="D46" s="42"/>
      <c r="E46" s="42" t="str">
        <f t="shared" si="0"/>
        <v>0</v>
      </c>
      <c r="F46" s="42" t="str">
        <f t="shared" si="1"/>
        <v>0</v>
      </c>
      <c r="G46" s="42" t="str">
        <f t="shared" si="2"/>
        <v>0</v>
      </c>
      <c r="H46" s="42" t="str">
        <f t="shared" si="3"/>
        <v>0</v>
      </c>
      <c r="I46" s="42" t="str">
        <f t="shared" si="4"/>
        <v>0</v>
      </c>
      <c r="J46" s="42" t="str">
        <f t="shared" si="5"/>
        <v>0</v>
      </c>
      <c r="K46" s="42" t="str">
        <f t="shared" si="6"/>
        <v>0</v>
      </c>
      <c r="L46" s="76"/>
      <c r="M46" s="76"/>
      <c r="N46" s="76"/>
      <c r="O46" s="76"/>
      <c r="P46" s="76"/>
      <c r="Q46" s="76"/>
      <c r="R46" s="76"/>
    </row>
    <row r="47" spans="1:18" ht="41.45" customHeight="1">
      <c r="C47" s="42"/>
      <c r="D47" s="42"/>
      <c r="E47" s="42" t="str">
        <f t="shared" si="0"/>
        <v>0</v>
      </c>
      <c r="F47" s="42" t="str">
        <f t="shared" si="1"/>
        <v>0</v>
      </c>
      <c r="G47" s="42" t="str">
        <f t="shared" si="2"/>
        <v>0</v>
      </c>
      <c r="H47" s="42" t="str">
        <f t="shared" si="3"/>
        <v>0</v>
      </c>
      <c r="I47" s="42" t="str">
        <f t="shared" si="4"/>
        <v>0</v>
      </c>
      <c r="J47" s="42" t="str">
        <f t="shared" si="5"/>
        <v>0</v>
      </c>
      <c r="K47" s="42" t="str">
        <f t="shared" si="6"/>
        <v>0</v>
      </c>
      <c r="L47" s="76"/>
      <c r="M47" s="76"/>
      <c r="N47" s="76"/>
      <c r="O47" s="76"/>
      <c r="P47" s="76"/>
      <c r="Q47" s="76"/>
      <c r="R47" s="76"/>
    </row>
    <row r="48" spans="1:18" ht="41.45" customHeight="1">
      <c r="C48" s="42"/>
      <c r="D48" s="42"/>
      <c r="E48" s="42" t="str">
        <f t="shared" si="0"/>
        <v>0</v>
      </c>
      <c r="F48" s="42" t="str">
        <f t="shared" si="1"/>
        <v>0</v>
      </c>
      <c r="G48" s="42" t="str">
        <f t="shared" si="2"/>
        <v>0</v>
      </c>
      <c r="H48" s="42" t="str">
        <f t="shared" si="3"/>
        <v>0</v>
      </c>
      <c r="I48" s="42" t="str">
        <f t="shared" si="4"/>
        <v>0</v>
      </c>
      <c r="J48" s="42" t="str">
        <f t="shared" si="5"/>
        <v>0</v>
      </c>
      <c r="K48" s="42" t="str">
        <f t="shared" si="6"/>
        <v>0</v>
      </c>
      <c r="L48" s="76"/>
      <c r="M48" s="76"/>
      <c r="N48" s="76"/>
      <c r="O48" s="76"/>
      <c r="P48" s="76"/>
      <c r="Q48" s="76"/>
      <c r="R48" s="76"/>
    </row>
    <row r="49" spans="3:18" ht="41.45" customHeight="1">
      <c r="C49" s="42"/>
      <c r="D49" s="42"/>
      <c r="E49" s="42" t="str">
        <f t="shared" si="0"/>
        <v>0</v>
      </c>
      <c r="F49" s="42" t="str">
        <f t="shared" si="1"/>
        <v>0</v>
      </c>
      <c r="G49" s="42" t="str">
        <f t="shared" si="2"/>
        <v>0</v>
      </c>
      <c r="H49" s="42" t="str">
        <f t="shared" si="3"/>
        <v>0</v>
      </c>
      <c r="I49" s="42" t="str">
        <f t="shared" si="4"/>
        <v>0</v>
      </c>
      <c r="J49" s="42" t="str">
        <f t="shared" si="5"/>
        <v>0</v>
      </c>
      <c r="K49" s="42" t="str">
        <f t="shared" si="6"/>
        <v>0</v>
      </c>
      <c r="L49" s="76"/>
      <c r="M49" s="76"/>
      <c r="N49" s="76"/>
      <c r="O49" s="76"/>
      <c r="P49" s="76"/>
      <c r="Q49" s="76"/>
      <c r="R49" s="76"/>
    </row>
    <row r="50" spans="3:18" ht="41.45" customHeight="1">
      <c r="C50" s="42"/>
      <c r="D50" s="42"/>
      <c r="E50" s="42" t="str">
        <f t="shared" si="0"/>
        <v>0</v>
      </c>
      <c r="F50" s="42" t="str">
        <f t="shared" si="1"/>
        <v>0</v>
      </c>
      <c r="G50" s="42" t="str">
        <f t="shared" si="2"/>
        <v>0</v>
      </c>
      <c r="H50" s="42" t="str">
        <f t="shared" si="3"/>
        <v>0</v>
      </c>
      <c r="I50" s="42" t="str">
        <f t="shared" si="4"/>
        <v>0</v>
      </c>
      <c r="J50" s="42" t="str">
        <f t="shared" si="5"/>
        <v>0</v>
      </c>
      <c r="K50" s="42" t="str">
        <f t="shared" si="6"/>
        <v>0</v>
      </c>
      <c r="L50" s="76"/>
      <c r="M50" s="76"/>
      <c r="N50" s="76"/>
      <c r="O50" s="76"/>
      <c r="P50" s="76"/>
      <c r="Q50" s="76"/>
      <c r="R50" s="76"/>
    </row>
    <row r="51" spans="3:18" ht="41.45" customHeight="1">
      <c r="C51" s="42"/>
      <c r="D51" s="42"/>
      <c r="E51" s="42" t="str">
        <f t="shared" si="0"/>
        <v>0</v>
      </c>
      <c r="F51" s="42" t="str">
        <f t="shared" si="1"/>
        <v>0</v>
      </c>
      <c r="G51" s="42" t="str">
        <f t="shared" si="2"/>
        <v>0</v>
      </c>
      <c r="H51" s="42" t="str">
        <f t="shared" si="3"/>
        <v>0</v>
      </c>
      <c r="I51" s="42" t="str">
        <f t="shared" si="4"/>
        <v>0</v>
      </c>
      <c r="J51" s="42" t="str">
        <f t="shared" si="5"/>
        <v>0</v>
      </c>
      <c r="K51" s="42" t="str">
        <f t="shared" si="6"/>
        <v>0</v>
      </c>
      <c r="L51" s="76"/>
      <c r="M51" s="76"/>
      <c r="N51" s="76"/>
      <c r="O51" s="76"/>
      <c r="P51" s="76"/>
      <c r="Q51" s="76"/>
      <c r="R51" s="76"/>
    </row>
    <row r="52" spans="3:18" ht="41.45" customHeight="1">
      <c r="C52" s="42"/>
      <c r="D52" s="42"/>
      <c r="E52" s="42" t="str">
        <f t="shared" si="0"/>
        <v>0</v>
      </c>
      <c r="F52" s="42" t="str">
        <f t="shared" si="1"/>
        <v>0</v>
      </c>
      <c r="G52" s="42" t="str">
        <f t="shared" si="2"/>
        <v>0</v>
      </c>
      <c r="H52" s="42" t="str">
        <f t="shared" si="3"/>
        <v>0</v>
      </c>
      <c r="I52" s="42" t="str">
        <f t="shared" si="4"/>
        <v>0</v>
      </c>
      <c r="J52" s="42" t="str">
        <f t="shared" si="5"/>
        <v>0</v>
      </c>
      <c r="K52" s="42" t="str">
        <f t="shared" si="6"/>
        <v>0</v>
      </c>
      <c r="L52" s="76"/>
      <c r="M52" s="76"/>
      <c r="N52" s="76"/>
      <c r="O52" s="76"/>
      <c r="P52" s="76"/>
      <c r="Q52" s="76"/>
      <c r="R52" s="76"/>
    </row>
    <row r="53" spans="3:18" ht="41.45" customHeight="1">
      <c r="C53" s="42"/>
      <c r="D53" s="42"/>
      <c r="E53" s="42" t="str">
        <f t="shared" si="0"/>
        <v>0</v>
      </c>
      <c r="F53" s="42" t="str">
        <f t="shared" si="1"/>
        <v>0</v>
      </c>
      <c r="G53" s="42" t="str">
        <f t="shared" si="2"/>
        <v>0</v>
      </c>
      <c r="H53" s="42" t="str">
        <f t="shared" si="3"/>
        <v>0</v>
      </c>
      <c r="I53" s="42" t="str">
        <f t="shared" si="4"/>
        <v>0</v>
      </c>
      <c r="J53" s="42" t="str">
        <f t="shared" si="5"/>
        <v>0</v>
      </c>
      <c r="K53" s="42" t="str">
        <f t="shared" si="6"/>
        <v>0</v>
      </c>
      <c r="L53" s="76"/>
      <c r="M53" s="76"/>
      <c r="N53" s="76"/>
      <c r="O53" s="76"/>
      <c r="P53" s="76"/>
      <c r="Q53" s="76"/>
      <c r="R53" s="76"/>
    </row>
    <row r="54" spans="3:18" ht="41.45" customHeight="1">
      <c r="C54" s="42"/>
      <c r="D54" s="42"/>
      <c r="E54" s="42" t="str">
        <f t="shared" si="0"/>
        <v>0</v>
      </c>
      <c r="F54" s="42" t="str">
        <f t="shared" si="1"/>
        <v>0</v>
      </c>
      <c r="G54" s="42" t="str">
        <f t="shared" si="2"/>
        <v>0</v>
      </c>
      <c r="H54" s="42" t="str">
        <f t="shared" si="3"/>
        <v>0</v>
      </c>
      <c r="I54" s="42" t="str">
        <f t="shared" si="4"/>
        <v>0</v>
      </c>
      <c r="J54" s="42" t="str">
        <f t="shared" si="5"/>
        <v>0</v>
      </c>
      <c r="K54" s="42" t="str">
        <f t="shared" si="6"/>
        <v>0</v>
      </c>
      <c r="L54" s="76"/>
      <c r="M54" s="76"/>
      <c r="N54" s="76"/>
      <c r="O54" s="76"/>
      <c r="P54" s="76"/>
      <c r="Q54" s="76"/>
      <c r="R54" s="76"/>
    </row>
    <row r="55" spans="3:18" ht="41.45" customHeight="1">
      <c r="C55" s="42"/>
      <c r="D55" s="42"/>
      <c r="E55" s="42" t="str">
        <f t="shared" si="0"/>
        <v>0</v>
      </c>
      <c r="F55" s="42" t="str">
        <f t="shared" si="1"/>
        <v>0</v>
      </c>
      <c r="G55" s="42" t="str">
        <f t="shared" si="2"/>
        <v>0</v>
      </c>
      <c r="H55" s="42" t="str">
        <f t="shared" si="3"/>
        <v>0</v>
      </c>
      <c r="I55" s="42" t="str">
        <f t="shared" si="4"/>
        <v>0</v>
      </c>
      <c r="J55" s="42" t="str">
        <f t="shared" si="5"/>
        <v>0</v>
      </c>
      <c r="K55" s="42" t="str">
        <f t="shared" si="6"/>
        <v>0</v>
      </c>
      <c r="L55" s="76"/>
      <c r="M55" s="76"/>
      <c r="N55" s="76"/>
      <c r="O55" s="76"/>
      <c r="P55" s="76"/>
      <c r="Q55" s="76"/>
      <c r="R55" s="76"/>
    </row>
    <row r="56" spans="3:18" ht="41.45" customHeight="1">
      <c r="C56" s="42"/>
      <c r="D56" s="42"/>
      <c r="E56" s="42" t="str">
        <f t="shared" si="0"/>
        <v>0</v>
      </c>
      <c r="F56" s="42" t="str">
        <f t="shared" si="1"/>
        <v>0</v>
      </c>
      <c r="G56" s="42" t="str">
        <f t="shared" si="2"/>
        <v>0</v>
      </c>
      <c r="H56" s="42" t="str">
        <f t="shared" si="3"/>
        <v>0</v>
      </c>
      <c r="I56" s="42" t="str">
        <f t="shared" si="4"/>
        <v>0</v>
      </c>
      <c r="J56" s="42" t="str">
        <f t="shared" si="5"/>
        <v>0</v>
      </c>
      <c r="K56" s="42" t="str">
        <f t="shared" si="6"/>
        <v>0</v>
      </c>
      <c r="L56" s="76"/>
      <c r="M56" s="76"/>
      <c r="N56" s="76"/>
      <c r="O56" s="76"/>
      <c r="P56" s="76"/>
      <c r="Q56" s="76"/>
      <c r="R56" s="76"/>
    </row>
    <row r="57" spans="3:18" ht="41.45" customHeight="1">
      <c r="C57" s="42"/>
      <c r="D57" s="42"/>
      <c r="E57" s="42" t="str">
        <f t="shared" si="0"/>
        <v>0</v>
      </c>
      <c r="F57" s="42" t="str">
        <f t="shared" si="1"/>
        <v>0</v>
      </c>
      <c r="G57" s="42" t="str">
        <f t="shared" si="2"/>
        <v>0</v>
      </c>
      <c r="H57" s="42" t="str">
        <f t="shared" si="3"/>
        <v>0</v>
      </c>
      <c r="I57" s="42" t="str">
        <f t="shared" si="4"/>
        <v>0</v>
      </c>
      <c r="J57" s="42" t="str">
        <f t="shared" si="5"/>
        <v>0</v>
      </c>
      <c r="K57" s="42" t="str">
        <f t="shared" si="6"/>
        <v>0</v>
      </c>
      <c r="L57" s="76"/>
      <c r="M57" s="76"/>
      <c r="N57" s="76"/>
      <c r="O57" s="76"/>
      <c r="P57" s="76"/>
      <c r="Q57" s="76"/>
      <c r="R57" s="76"/>
    </row>
    <row r="58" spans="3:18" ht="41.45" customHeight="1">
      <c r="C58" s="42"/>
      <c r="D58" s="42"/>
      <c r="E58" s="42" t="str">
        <f t="shared" si="0"/>
        <v>0</v>
      </c>
      <c r="F58" s="42" t="str">
        <f t="shared" si="1"/>
        <v>0</v>
      </c>
      <c r="G58" s="42" t="str">
        <f t="shared" si="2"/>
        <v>0</v>
      </c>
      <c r="H58" s="42" t="str">
        <f t="shared" si="3"/>
        <v>0</v>
      </c>
      <c r="I58" s="42" t="str">
        <f t="shared" si="4"/>
        <v>0</v>
      </c>
      <c r="J58" s="42" t="str">
        <f t="shared" si="5"/>
        <v>0</v>
      </c>
      <c r="K58" s="42" t="str">
        <f t="shared" si="6"/>
        <v>0</v>
      </c>
      <c r="L58" s="76"/>
      <c r="M58" s="76"/>
      <c r="N58" s="76"/>
      <c r="O58" s="76"/>
      <c r="P58" s="76"/>
      <c r="Q58" s="76"/>
      <c r="R58" s="76"/>
    </row>
    <row r="59" spans="3:18" ht="41.45" customHeight="1">
      <c r="C59" s="42"/>
      <c r="D59" s="42"/>
      <c r="E59" s="42" t="str">
        <f t="shared" si="0"/>
        <v>0</v>
      </c>
      <c r="F59" s="42" t="str">
        <f t="shared" si="1"/>
        <v>0</v>
      </c>
      <c r="G59" s="42" t="str">
        <f t="shared" si="2"/>
        <v>0</v>
      </c>
      <c r="H59" s="42" t="str">
        <f t="shared" si="3"/>
        <v>0</v>
      </c>
      <c r="I59" s="42" t="str">
        <f t="shared" si="4"/>
        <v>0</v>
      </c>
      <c r="J59" s="42" t="str">
        <f t="shared" si="5"/>
        <v>0</v>
      </c>
      <c r="K59" s="42" t="str">
        <f t="shared" si="6"/>
        <v>0</v>
      </c>
      <c r="L59" s="76"/>
      <c r="M59" s="76"/>
      <c r="N59" s="76"/>
      <c r="O59" s="76"/>
      <c r="P59" s="76"/>
      <c r="Q59" s="76"/>
      <c r="R59" s="76"/>
    </row>
    <row r="60" spans="3:18" ht="41.45" customHeight="1">
      <c r="C60" s="42"/>
      <c r="D60" s="42"/>
      <c r="E60" s="42" t="str">
        <f t="shared" si="0"/>
        <v>0</v>
      </c>
      <c r="F60" s="42" t="str">
        <f t="shared" si="1"/>
        <v>0</v>
      </c>
      <c r="G60" s="42" t="str">
        <f t="shared" si="2"/>
        <v>0</v>
      </c>
      <c r="H60" s="42" t="str">
        <f t="shared" si="3"/>
        <v>0</v>
      </c>
      <c r="I60" s="42" t="str">
        <f t="shared" si="4"/>
        <v>0</v>
      </c>
      <c r="J60" s="42" t="str">
        <f t="shared" si="5"/>
        <v>0</v>
      </c>
      <c r="K60" s="42" t="str">
        <f t="shared" si="6"/>
        <v>0</v>
      </c>
      <c r="L60" s="76"/>
      <c r="M60" s="76"/>
      <c r="N60" s="76"/>
      <c r="O60" s="76"/>
      <c r="P60" s="76"/>
      <c r="Q60" s="76"/>
      <c r="R60" s="76"/>
    </row>
    <row r="61" spans="3:18" ht="41.45" customHeight="1">
      <c r="C61" s="42"/>
      <c r="D61" s="42"/>
      <c r="E61" s="42" t="str">
        <f t="shared" si="0"/>
        <v>0</v>
      </c>
      <c r="F61" s="42" t="str">
        <f t="shared" si="1"/>
        <v>0</v>
      </c>
      <c r="G61" s="42" t="str">
        <f t="shared" si="2"/>
        <v>0</v>
      </c>
      <c r="H61" s="42" t="str">
        <f t="shared" si="3"/>
        <v>0</v>
      </c>
      <c r="I61" s="42" t="str">
        <f t="shared" si="4"/>
        <v>0</v>
      </c>
      <c r="J61" s="42" t="str">
        <f t="shared" si="5"/>
        <v>0</v>
      </c>
      <c r="K61" s="42" t="str">
        <f t="shared" si="6"/>
        <v>0</v>
      </c>
      <c r="L61" s="76"/>
      <c r="M61" s="76"/>
      <c r="N61" s="76"/>
      <c r="O61" s="76"/>
      <c r="P61" s="76"/>
      <c r="Q61" s="76"/>
      <c r="R61" s="76"/>
    </row>
    <row r="62" spans="3:18" ht="41.45" customHeight="1">
      <c r="C62" s="42"/>
      <c r="D62" s="42"/>
      <c r="E62" s="42">
        <f>SUM(E36:E61)</f>
        <v>0</v>
      </c>
      <c r="F62" s="42">
        <f t="shared" ref="F62:K62" si="7">SUM(F36:F61)</f>
        <v>92.523276156099996</v>
      </c>
      <c r="G62" s="42">
        <f t="shared" si="7"/>
        <v>0</v>
      </c>
      <c r="H62" s="42">
        <f t="shared" si="7"/>
        <v>0</v>
      </c>
      <c r="I62" s="42">
        <f t="shared" si="7"/>
        <v>0</v>
      </c>
      <c r="J62" s="42">
        <f t="shared" si="7"/>
        <v>92.523276156099996</v>
      </c>
      <c r="K62" s="42">
        <f t="shared" si="7"/>
        <v>0</v>
      </c>
      <c r="L62" s="76"/>
      <c r="M62" s="76"/>
      <c r="N62" s="76"/>
      <c r="O62" s="76"/>
      <c r="P62" s="76"/>
      <c r="Q62" s="76"/>
      <c r="R62" s="76"/>
    </row>
    <row r="63" spans="3:18" ht="41.45" customHeight="1">
      <c r="C63" s="42"/>
      <c r="D63" s="42"/>
      <c r="E63" s="42"/>
      <c r="F63" s="43"/>
      <c r="G63" s="43"/>
      <c r="H63" s="43"/>
      <c r="I63" s="43"/>
      <c r="J63" s="43"/>
      <c r="K63" s="43"/>
      <c r="L63" s="76"/>
      <c r="M63" s="76"/>
      <c r="N63" s="76"/>
      <c r="O63" s="76"/>
      <c r="P63" s="76"/>
      <c r="Q63" s="76"/>
      <c r="R63" s="76"/>
    </row>
    <row r="64" spans="3:18" ht="41.45" customHeight="1">
      <c r="C64" s="42"/>
      <c r="D64" s="42"/>
      <c r="E64" s="42"/>
      <c r="F64" s="43"/>
      <c r="G64" s="43"/>
      <c r="H64" s="43"/>
      <c r="I64" s="43"/>
      <c r="J64" s="43"/>
      <c r="K64" s="43"/>
      <c r="L64" s="76"/>
      <c r="M64" s="76"/>
      <c r="N64" s="76"/>
      <c r="O64" s="76"/>
      <c r="P64" s="76"/>
      <c r="Q64" s="76"/>
      <c r="R64" s="76"/>
    </row>
    <row r="65" spans="3:18" ht="41.45" customHeight="1">
      <c r="C65" s="42"/>
      <c r="D65" s="42"/>
      <c r="E65" s="42"/>
      <c r="F65" s="43"/>
      <c r="G65" s="43"/>
      <c r="H65" s="43"/>
      <c r="I65" s="43"/>
      <c r="J65" s="43"/>
      <c r="K65" s="43"/>
      <c r="L65" s="76"/>
      <c r="M65" s="76"/>
      <c r="N65" s="76"/>
      <c r="O65" s="76"/>
      <c r="P65" s="76"/>
      <c r="Q65" s="76"/>
      <c r="R65" s="76"/>
    </row>
    <row r="66" spans="3:18" ht="41.45" customHeight="1">
      <c r="C66" s="42"/>
      <c r="D66" s="42"/>
      <c r="E66" s="42"/>
      <c r="F66" s="43"/>
      <c r="G66" s="43"/>
      <c r="H66" s="43"/>
      <c r="I66" s="43"/>
      <c r="J66" s="43"/>
      <c r="K66" s="43"/>
      <c r="L66" s="76"/>
      <c r="M66" s="76"/>
      <c r="N66" s="76"/>
      <c r="O66" s="76"/>
      <c r="P66" s="76"/>
      <c r="Q66" s="76"/>
      <c r="R66" s="76"/>
    </row>
    <row r="67" spans="3:18" ht="41.45" customHeight="1">
      <c r="C67" s="42"/>
      <c r="D67" s="42"/>
      <c r="E67" s="42"/>
      <c r="F67" s="43"/>
      <c r="G67" s="43"/>
      <c r="H67" s="43"/>
      <c r="I67" s="43"/>
      <c r="J67" s="43"/>
      <c r="K67" s="43"/>
      <c r="L67" s="76"/>
      <c r="M67" s="76"/>
      <c r="N67" s="76"/>
      <c r="O67" s="76"/>
      <c r="P67" s="76"/>
      <c r="Q67" s="76"/>
      <c r="R67" s="76"/>
    </row>
    <row r="68" spans="3:18" ht="41.45" customHeight="1">
      <c r="C68" s="42"/>
      <c r="D68" s="42"/>
      <c r="E68" s="42"/>
      <c r="F68" s="43"/>
      <c r="G68" s="43"/>
      <c r="H68" s="43"/>
      <c r="I68" s="43"/>
      <c r="J68" s="43"/>
      <c r="K68" s="43"/>
      <c r="L68" s="76"/>
      <c r="M68" s="76"/>
      <c r="N68" s="76"/>
      <c r="O68" s="76"/>
      <c r="P68" s="76"/>
      <c r="Q68" s="76"/>
      <c r="R68" s="76"/>
    </row>
  </sheetData>
  <mergeCells count="73"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A5:A6"/>
    <mergeCell ref="B5:B6"/>
    <mergeCell ref="C5:C6"/>
    <mergeCell ref="D5:D6"/>
    <mergeCell ref="E5:H5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R68"/>
  <sheetViews>
    <sheetView view="pageBreakPreview" zoomScale="55" zoomScaleNormal="40" zoomScaleSheetLayoutView="55" workbookViewId="0">
      <selection activeCell="F7" sqref="F7"/>
    </sheetView>
  </sheetViews>
  <sheetFormatPr defaultColWidth="8.875" defaultRowHeight="15"/>
  <cols>
    <col min="1" max="1" width="33.375" style="1" customWidth="1"/>
    <col min="2" max="2" width="17.125" style="1" customWidth="1"/>
    <col min="3" max="4" width="13.375" style="1" customWidth="1"/>
    <col min="5" max="5" width="26.375" style="2" customWidth="1"/>
    <col min="6" max="6" width="30.125" style="2" customWidth="1"/>
    <col min="7" max="7" width="26.375" style="2" customWidth="1"/>
    <col min="8" max="8" width="33.125" style="2" customWidth="1"/>
    <col min="9" max="11" width="32" style="2" customWidth="1"/>
    <col min="12" max="14" width="14.375" style="1" customWidth="1"/>
    <col min="15" max="17" width="14.625" style="1" customWidth="1"/>
    <col min="18" max="18" width="37.37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84" t="s">
        <v>3</v>
      </c>
      <c r="J1" s="86">
        <f>'46'!J1</f>
        <v>46204</v>
      </c>
      <c r="K1" s="11"/>
      <c r="L1" s="88" t="s">
        <v>4</v>
      </c>
      <c r="M1" s="88"/>
      <c r="N1" s="90" t="str">
        <f>'46'!N1</f>
        <v>ENG. VINÍCIUS RODRIGUES FERREIRA DE OLIVEIRA</v>
      </c>
      <c r="O1" s="90"/>
      <c r="P1" s="90"/>
      <c r="Q1" s="90"/>
      <c r="R1" s="91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85"/>
      <c r="J2" s="87"/>
      <c r="K2" s="16"/>
      <c r="L2" s="89"/>
      <c r="M2" s="89"/>
      <c r="N2" s="92"/>
      <c r="O2" s="92"/>
      <c r="P2" s="92"/>
      <c r="Q2" s="92"/>
      <c r="R2" s="93"/>
    </row>
    <row r="3" spans="1:18" ht="19.5">
      <c r="A3" s="13" t="s">
        <v>23</v>
      </c>
      <c r="B3" s="45" t="str">
        <f>TT!C7</f>
        <v>RODOVIA TO-166 - TRECHO ENTR. TO-222 - ENTR. TO-226 - ARAPOEMA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98" t="s">
        <v>1</v>
      </c>
      <c r="B5" s="94" t="s">
        <v>7</v>
      </c>
      <c r="C5" s="100" t="s">
        <v>5</v>
      </c>
      <c r="D5" s="100" t="s">
        <v>6</v>
      </c>
      <c r="E5" s="94" t="s">
        <v>10</v>
      </c>
      <c r="F5" s="94"/>
      <c r="G5" s="94"/>
      <c r="H5" s="94"/>
      <c r="I5" s="94" t="s">
        <v>11</v>
      </c>
      <c r="J5" s="94"/>
      <c r="K5" s="94"/>
      <c r="L5" s="94" t="s">
        <v>8</v>
      </c>
      <c r="M5" s="94"/>
      <c r="N5" s="94"/>
      <c r="O5" s="94"/>
      <c r="P5" s="94"/>
      <c r="Q5" s="94"/>
      <c r="R5" s="95"/>
    </row>
    <row r="6" spans="1:18" s="6" customFormat="1" ht="79.150000000000006" customHeight="1">
      <c r="A6" s="99"/>
      <c r="B6" s="96"/>
      <c r="C6" s="96"/>
      <c r="D6" s="96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6"/>
      <c r="M6" s="96"/>
      <c r="N6" s="96"/>
      <c r="O6" s="96"/>
      <c r="P6" s="96"/>
      <c r="Q6" s="96"/>
      <c r="R6" s="97"/>
    </row>
    <row r="7" spans="1:18" ht="41.45" customHeight="1">
      <c r="A7" s="38" t="s">
        <v>65</v>
      </c>
      <c r="B7" s="21" t="s">
        <v>18</v>
      </c>
      <c r="C7" s="22">
        <v>0</v>
      </c>
      <c r="D7" s="66">
        <v>56.5312585629</v>
      </c>
      <c r="E7" s="21"/>
      <c r="F7" s="21" t="s">
        <v>19</v>
      </c>
      <c r="G7" s="21"/>
      <c r="H7" s="21"/>
      <c r="I7" s="21"/>
      <c r="J7" s="21" t="s">
        <v>19</v>
      </c>
      <c r="K7" s="21"/>
      <c r="L7" s="78"/>
      <c r="M7" s="78"/>
      <c r="N7" s="78"/>
      <c r="O7" s="78"/>
      <c r="P7" s="78"/>
      <c r="Q7" s="78"/>
      <c r="R7" s="79"/>
    </row>
    <row r="8" spans="1:18" ht="41.45" customHeight="1">
      <c r="A8" s="38" t="s">
        <v>67</v>
      </c>
      <c r="B8" s="21" t="s">
        <v>18</v>
      </c>
      <c r="C8" s="22">
        <v>0</v>
      </c>
      <c r="D8" s="66">
        <v>35.005490809400001</v>
      </c>
      <c r="E8" s="21"/>
      <c r="F8" s="21" t="s">
        <v>19</v>
      </c>
      <c r="G8" s="21"/>
      <c r="H8" s="21"/>
      <c r="I8" s="21"/>
      <c r="J8" s="21" t="s">
        <v>19</v>
      </c>
      <c r="K8" s="21"/>
      <c r="L8" s="78"/>
      <c r="M8" s="78"/>
      <c r="N8" s="78"/>
      <c r="O8" s="78"/>
      <c r="P8" s="78"/>
      <c r="Q8" s="78"/>
      <c r="R8" s="79"/>
    </row>
    <row r="9" spans="1:18" ht="41.45" customHeight="1">
      <c r="A9" s="38"/>
      <c r="B9" s="21"/>
      <c r="C9" s="22"/>
      <c r="D9" s="22"/>
      <c r="E9" s="21"/>
      <c r="F9" s="21"/>
      <c r="G9" s="21"/>
      <c r="H9" s="21"/>
      <c r="I9" s="21"/>
      <c r="J9" s="21"/>
      <c r="K9" s="21"/>
      <c r="L9" s="78"/>
      <c r="M9" s="78"/>
      <c r="N9" s="78"/>
      <c r="O9" s="78"/>
      <c r="P9" s="78"/>
      <c r="Q9" s="78"/>
      <c r="R9" s="79"/>
    </row>
    <row r="10" spans="1:18" ht="41.45" customHeight="1">
      <c r="A10" s="38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78"/>
      <c r="M10" s="78"/>
      <c r="N10" s="78"/>
      <c r="O10" s="78"/>
      <c r="P10" s="78"/>
      <c r="Q10" s="78"/>
      <c r="R10" s="79"/>
    </row>
    <row r="11" spans="1:18" ht="41.45" customHeight="1">
      <c r="A11" s="38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78"/>
      <c r="M11" s="78"/>
      <c r="N11" s="78"/>
      <c r="O11" s="78"/>
      <c r="P11" s="78"/>
      <c r="Q11" s="78"/>
      <c r="R11" s="79"/>
    </row>
    <row r="12" spans="1:18" ht="41.45" customHeight="1">
      <c r="A12" s="38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78"/>
      <c r="M12" s="78"/>
      <c r="N12" s="78"/>
      <c r="O12" s="78"/>
      <c r="P12" s="78"/>
      <c r="Q12" s="78"/>
      <c r="R12" s="79"/>
    </row>
    <row r="13" spans="1:18" ht="41.45" customHeight="1">
      <c r="A13" s="38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78"/>
      <c r="M13" s="78"/>
      <c r="N13" s="78"/>
      <c r="O13" s="78"/>
      <c r="P13" s="78"/>
      <c r="Q13" s="78"/>
      <c r="R13" s="79"/>
    </row>
    <row r="14" spans="1:18" ht="41.45" customHeight="1">
      <c r="A14" s="38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78"/>
      <c r="M14" s="78"/>
      <c r="N14" s="78"/>
      <c r="O14" s="78"/>
      <c r="P14" s="78"/>
      <c r="Q14" s="78"/>
      <c r="R14" s="79"/>
    </row>
    <row r="15" spans="1:18" ht="41.45" customHeight="1">
      <c r="A15" s="38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78"/>
      <c r="M15" s="78"/>
      <c r="N15" s="78"/>
      <c r="O15" s="78"/>
      <c r="P15" s="78"/>
      <c r="Q15" s="78"/>
      <c r="R15" s="79"/>
    </row>
    <row r="16" spans="1:18" ht="41.45" customHeight="1">
      <c r="A16" s="38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78"/>
      <c r="M16" s="78"/>
      <c r="N16" s="78"/>
      <c r="O16" s="78"/>
      <c r="P16" s="78"/>
      <c r="Q16" s="78"/>
      <c r="R16" s="79"/>
    </row>
    <row r="17" spans="1:18" ht="41.45" customHeight="1">
      <c r="A17" s="38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78"/>
      <c r="M17" s="78"/>
      <c r="N17" s="78"/>
      <c r="O17" s="78"/>
      <c r="P17" s="78"/>
      <c r="Q17" s="78"/>
      <c r="R17" s="79"/>
    </row>
    <row r="18" spans="1:18" ht="41.45" customHeight="1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78"/>
      <c r="M18" s="78"/>
      <c r="N18" s="78"/>
      <c r="O18" s="78"/>
      <c r="P18" s="78"/>
      <c r="Q18" s="78"/>
      <c r="R18" s="79"/>
    </row>
    <row r="19" spans="1:18" ht="41.45" customHeight="1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78"/>
      <c r="M19" s="78"/>
      <c r="N19" s="78"/>
      <c r="O19" s="78"/>
      <c r="P19" s="78"/>
      <c r="Q19" s="78"/>
      <c r="R19" s="79"/>
    </row>
    <row r="20" spans="1:18" ht="41.45" customHeight="1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78"/>
      <c r="M20" s="78"/>
      <c r="N20" s="78"/>
      <c r="O20" s="78"/>
      <c r="P20" s="78"/>
      <c r="Q20" s="78"/>
      <c r="R20" s="79"/>
    </row>
    <row r="21" spans="1:18" ht="41.45" customHeight="1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78"/>
      <c r="M21" s="78"/>
      <c r="N21" s="78"/>
      <c r="O21" s="78"/>
      <c r="P21" s="78"/>
      <c r="Q21" s="78"/>
      <c r="R21" s="79"/>
    </row>
    <row r="22" spans="1:18" ht="41.45" customHeight="1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78"/>
      <c r="M22" s="78"/>
      <c r="N22" s="78"/>
      <c r="O22" s="78"/>
      <c r="P22" s="78"/>
      <c r="Q22" s="78"/>
      <c r="R22" s="79"/>
    </row>
    <row r="23" spans="1:18" ht="41.45" customHeight="1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78"/>
      <c r="M23" s="78"/>
      <c r="N23" s="78"/>
      <c r="O23" s="78"/>
      <c r="P23" s="78"/>
      <c r="Q23" s="78"/>
      <c r="R23" s="79"/>
    </row>
    <row r="24" spans="1:18" ht="41.45" customHeight="1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78"/>
      <c r="M24" s="78"/>
      <c r="N24" s="78"/>
      <c r="O24" s="78"/>
      <c r="P24" s="78"/>
      <c r="Q24" s="78"/>
      <c r="R24" s="79"/>
    </row>
    <row r="25" spans="1:18" ht="41.45" customHeight="1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78"/>
      <c r="M25" s="78"/>
      <c r="N25" s="78"/>
      <c r="O25" s="78"/>
      <c r="P25" s="78"/>
      <c r="Q25" s="78"/>
      <c r="R25" s="79"/>
    </row>
    <row r="26" spans="1:18" ht="41.45" customHeight="1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78"/>
      <c r="M26" s="78"/>
      <c r="N26" s="78"/>
      <c r="O26" s="78"/>
      <c r="P26" s="78"/>
      <c r="Q26" s="78"/>
      <c r="R26" s="79"/>
    </row>
    <row r="27" spans="1:18" ht="41.45" customHeight="1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78"/>
      <c r="M27" s="78"/>
      <c r="N27" s="78"/>
      <c r="O27" s="78"/>
      <c r="P27" s="78"/>
      <c r="Q27" s="78"/>
      <c r="R27" s="79"/>
    </row>
    <row r="28" spans="1:18" ht="41.45" customHeight="1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78"/>
      <c r="M28" s="78"/>
      <c r="N28" s="78"/>
      <c r="O28" s="78"/>
      <c r="P28" s="78"/>
      <c r="Q28" s="78"/>
      <c r="R28" s="79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78"/>
      <c r="M29" s="78"/>
      <c r="N29" s="78"/>
      <c r="O29" s="78"/>
      <c r="P29" s="78"/>
      <c r="Q29" s="78"/>
      <c r="R29" s="79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78"/>
      <c r="M30" s="78"/>
      <c r="N30" s="78"/>
      <c r="O30" s="78"/>
      <c r="P30" s="78"/>
      <c r="Q30" s="78"/>
      <c r="R30" s="79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78"/>
      <c r="M31" s="78"/>
      <c r="N31" s="78"/>
      <c r="O31" s="78"/>
      <c r="P31" s="78"/>
      <c r="Q31" s="78"/>
      <c r="R31" s="79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78"/>
      <c r="M32" s="78"/>
      <c r="N32" s="78"/>
      <c r="O32" s="78"/>
      <c r="P32" s="78"/>
      <c r="Q32" s="78"/>
      <c r="R32" s="79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78"/>
      <c r="M33" s="78"/>
      <c r="N33" s="78"/>
      <c r="O33" s="78"/>
      <c r="P33" s="78"/>
      <c r="Q33" s="78"/>
      <c r="R33" s="79"/>
    </row>
    <row r="34" spans="1:18" ht="41.45" customHeight="1" thickBot="1">
      <c r="A34" s="20"/>
      <c r="B34" s="4"/>
      <c r="C34" s="23"/>
      <c r="D34" s="23"/>
      <c r="E34" s="24"/>
      <c r="F34" s="24"/>
      <c r="G34" s="24"/>
      <c r="H34" s="24"/>
      <c r="I34" s="24"/>
      <c r="J34" s="24"/>
      <c r="K34" s="24"/>
      <c r="L34" s="80"/>
      <c r="M34" s="80"/>
      <c r="N34" s="80"/>
      <c r="O34" s="80"/>
      <c r="P34" s="80"/>
      <c r="Q34" s="80"/>
      <c r="R34" s="81"/>
    </row>
    <row r="35" spans="1:18" ht="41.45" customHeight="1">
      <c r="A35" s="39"/>
      <c r="B35" s="39"/>
      <c r="C35" s="40"/>
      <c r="D35" s="40"/>
      <c r="E35" s="41"/>
      <c r="F35" s="41"/>
      <c r="G35" s="41"/>
      <c r="H35" s="41"/>
      <c r="I35" s="41"/>
      <c r="J35" s="41"/>
      <c r="K35" s="41"/>
      <c r="L35" s="77"/>
      <c r="M35" s="77"/>
      <c r="N35" s="77"/>
      <c r="O35" s="77"/>
      <c r="P35" s="77"/>
      <c r="Q35" s="77"/>
      <c r="R35" s="77"/>
    </row>
    <row r="36" spans="1:18" ht="41.45" customHeight="1">
      <c r="C36" s="42"/>
      <c r="D36" s="42"/>
      <c r="E36" s="42" t="str">
        <f>IF(E7="X",(D7-C7),"0")</f>
        <v>0</v>
      </c>
      <c r="F36" s="42">
        <f>IF(F7="X",(D7-C7),"0")</f>
        <v>56.5312585629</v>
      </c>
      <c r="G36" s="42" t="str">
        <f>IF(G7="X",(D7-C7),"0")</f>
        <v>0</v>
      </c>
      <c r="H36" s="42" t="str">
        <f>IF(H7="X",(D7-C7),"0")</f>
        <v>0</v>
      </c>
      <c r="I36" s="42" t="str">
        <f>IF(I7="X",(D7-C7),"0")</f>
        <v>0</v>
      </c>
      <c r="J36" s="42">
        <f>IF(J7="X",(D7-C7),"0")</f>
        <v>56.5312585629</v>
      </c>
      <c r="K36" s="42" t="str">
        <f>IF(K7="X",(D7-C7),"0")</f>
        <v>0</v>
      </c>
      <c r="L36" s="76"/>
      <c r="M36" s="76"/>
      <c r="N36" s="76"/>
      <c r="O36" s="76"/>
      <c r="P36" s="76"/>
      <c r="Q36" s="76"/>
      <c r="R36" s="76"/>
    </row>
    <row r="37" spans="1:18" ht="41.45" customHeight="1">
      <c r="C37" s="42"/>
      <c r="D37" s="42"/>
      <c r="E37" s="42" t="str">
        <f t="shared" ref="E37:E61" si="0">IF(E8="X",(D8-C8),"0")</f>
        <v>0</v>
      </c>
      <c r="F37" s="42">
        <f t="shared" ref="F37:F61" si="1">IF(F8="X",(D8-C8),"0")</f>
        <v>35.005490809400001</v>
      </c>
      <c r="G37" s="42" t="str">
        <f t="shared" ref="G37:G61" si="2">IF(G8="X",(D8-C8),"0")</f>
        <v>0</v>
      </c>
      <c r="H37" s="42" t="str">
        <f t="shared" ref="H37:H61" si="3">IF(H8="X",(D8-C8),"0")</f>
        <v>0</v>
      </c>
      <c r="I37" s="42" t="str">
        <f t="shared" ref="I37:I61" si="4">IF(I8="X",(D8-C8),"0")</f>
        <v>0</v>
      </c>
      <c r="J37" s="42">
        <f t="shared" ref="J37:J61" si="5">IF(J8="X",(D8-C8),"0")</f>
        <v>35.005490809400001</v>
      </c>
      <c r="K37" s="42" t="str">
        <f t="shared" ref="K37:K61" si="6">IF(K8="X",(D8-C8),"0")</f>
        <v>0</v>
      </c>
      <c r="L37" s="76"/>
      <c r="M37" s="76"/>
      <c r="N37" s="76"/>
      <c r="O37" s="76"/>
      <c r="P37" s="76"/>
      <c r="Q37" s="76"/>
      <c r="R37" s="76"/>
    </row>
    <row r="38" spans="1:18" ht="41.45" customHeight="1">
      <c r="C38" s="42"/>
      <c r="D38" s="42"/>
      <c r="E38" s="42" t="str">
        <f t="shared" si="0"/>
        <v>0</v>
      </c>
      <c r="F38" s="42" t="str">
        <f t="shared" si="1"/>
        <v>0</v>
      </c>
      <c r="G38" s="42" t="str">
        <f t="shared" si="2"/>
        <v>0</v>
      </c>
      <c r="H38" s="42" t="str">
        <f t="shared" si="3"/>
        <v>0</v>
      </c>
      <c r="I38" s="42" t="str">
        <f t="shared" si="4"/>
        <v>0</v>
      </c>
      <c r="J38" s="42" t="str">
        <f t="shared" si="5"/>
        <v>0</v>
      </c>
      <c r="K38" s="42" t="str">
        <f t="shared" si="6"/>
        <v>0</v>
      </c>
      <c r="L38" s="76"/>
      <c r="M38" s="76"/>
      <c r="N38" s="76"/>
      <c r="O38" s="76"/>
      <c r="P38" s="76"/>
      <c r="Q38" s="76"/>
      <c r="R38" s="76"/>
    </row>
    <row r="39" spans="1:18" ht="41.45" customHeight="1">
      <c r="C39" s="42"/>
      <c r="D39" s="42"/>
      <c r="E39" s="42" t="str">
        <f t="shared" si="0"/>
        <v>0</v>
      </c>
      <c r="F39" s="42" t="str">
        <f t="shared" si="1"/>
        <v>0</v>
      </c>
      <c r="G39" s="42" t="str">
        <f t="shared" si="2"/>
        <v>0</v>
      </c>
      <c r="H39" s="42" t="str">
        <f t="shared" si="3"/>
        <v>0</v>
      </c>
      <c r="I39" s="42" t="str">
        <f t="shared" si="4"/>
        <v>0</v>
      </c>
      <c r="J39" s="42" t="str">
        <f t="shared" si="5"/>
        <v>0</v>
      </c>
      <c r="K39" s="42" t="str">
        <f t="shared" si="6"/>
        <v>0</v>
      </c>
      <c r="L39" s="76"/>
      <c r="M39" s="76"/>
      <c r="N39" s="76"/>
      <c r="O39" s="76"/>
      <c r="P39" s="76"/>
      <c r="Q39" s="76"/>
      <c r="R39" s="76"/>
    </row>
    <row r="40" spans="1:18" ht="41.45" customHeight="1">
      <c r="C40" s="42"/>
      <c r="D40" s="42"/>
      <c r="E40" s="42" t="str">
        <f t="shared" si="0"/>
        <v>0</v>
      </c>
      <c r="F40" s="42" t="str">
        <f t="shared" si="1"/>
        <v>0</v>
      </c>
      <c r="G40" s="42" t="str">
        <f t="shared" si="2"/>
        <v>0</v>
      </c>
      <c r="H40" s="42" t="str">
        <f t="shared" si="3"/>
        <v>0</v>
      </c>
      <c r="I40" s="42" t="str">
        <f t="shared" si="4"/>
        <v>0</v>
      </c>
      <c r="J40" s="42" t="str">
        <f t="shared" si="5"/>
        <v>0</v>
      </c>
      <c r="K40" s="42" t="str">
        <f t="shared" si="6"/>
        <v>0</v>
      </c>
      <c r="L40" s="76"/>
      <c r="M40" s="76"/>
      <c r="N40" s="76"/>
      <c r="O40" s="76"/>
      <c r="P40" s="76"/>
      <c r="Q40" s="76"/>
      <c r="R40" s="76"/>
    </row>
    <row r="41" spans="1:18" ht="41.45" customHeight="1">
      <c r="C41" s="42"/>
      <c r="D41" s="42"/>
      <c r="E41" s="42" t="str">
        <f t="shared" si="0"/>
        <v>0</v>
      </c>
      <c r="F41" s="42" t="str">
        <f t="shared" si="1"/>
        <v>0</v>
      </c>
      <c r="G41" s="42" t="str">
        <f t="shared" si="2"/>
        <v>0</v>
      </c>
      <c r="H41" s="42" t="str">
        <f t="shared" si="3"/>
        <v>0</v>
      </c>
      <c r="I41" s="42" t="str">
        <f t="shared" si="4"/>
        <v>0</v>
      </c>
      <c r="J41" s="42" t="str">
        <f t="shared" si="5"/>
        <v>0</v>
      </c>
      <c r="K41" s="42" t="str">
        <f t="shared" si="6"/>
        <v>0</v>
      </c>
      <c r="L41" s="76"/>
      <c r="M41" s="76"/>
      <c r="N41" s="76"/>
      <c r="O41" s="76"/>
      <c r="P41" s="76"/>
      <c r="Q41" s="76"/>
      <c r="R41" s="76"/>
    </row>
    <row r="42" spans="1:18" ht="41.45" customHeight="1">
      <c r="C42" s="42"/>
      <c r="D42" s="42"/>
      <c r="E42" s="42" t="str">
        <f t="shared" si="0"/>
        <v>0</v>
      </c>
      <c r="F42" s="42" t="str">
        <f t="shared" si="1"/>
        <v>0</v>
      </c>
      <c r="G42" s="42" t="str">
        <f t="shared" si="2"/>
        <v>0</v>
      </c>
      <c r="H42" s="42" t="str">
        <f t="shared" si="3"/>
        <v>0</v>
      </c>
      <c r="I42" s="42" t="str">
        <f t="shared" si="4"/>
        <v>0</v>
      </c>
      <c r="J42" s="42" t="str">
        <f t="shared" si="5"/>
        <v>0</v>
      </c>
      <c r="K42" s="42" t="str">
        <f t="shared" si="6"/>
        <v>0</v>
      </c>
      <c r="L42" s="76"/>
      <c r="M42" s="76"/>
      <c r="N42" s="76"/>
      <c r="O42" s="76"/>
      <c r="P42" s="76"/>
      <c r="Q42" s="76"/>
      <c r="R42" s="76"/>
    </row>
    <row r="43" spans="1:18" ht="41.45" customHeight="1">
      <c r="C43" s="42"/>
      <c r="D43" s="42"/>
      <c r="E43" s="42" t="str">
        <f t="shared" si="0"/>
        <v>0</v>
      </c>
      <c r="F43" s="42" t="str">
        <f t="shared" si="1"/>
        <v>0</v>
      </c>
      <c r="G43" s="42" t="str">
        <f t="shared" si="2"/>
        <v>0</v>
      </c>
      <c r="H43" s="42" t="str">
        <f t="shared" si="3"/>
        <v>0</v>
      </c>
      <c r="I43" s="42" t="str">
        <f t="shared" si="4"/>
        <v>0</v>
      </c>
      <c r="J43" s="42" t="str">
        <f t="shared" si="5"/>
        <v>0</v>
      </c>
      <c r="K43" s="42" t="str">
        <f t="shared" si="6"/>
        <v>0</v>
      </c>
      <c r="L43" s="76"/>
      <c r="M43" s="76"/>
      <c r="N43" s="76"/>
      <c r="O43" s="76"/>
      <c r="P43" s="76"/>
      <c r="Q43" s="76"/>
      <c r="R43" s="76"/>
    </row>
    <row r="44" spans="1:18" ht="41.45" customHeight="1">
      <c r="C44" s="42"/>
      <c r="D44" s="42"/>
      <c r="E44" s="42" t="str">
        <f t="shared" si="0"/>
        <v>0</v>
      </c>
      <c r="F44" s="42" t="str">
        <f t="shared" si="1"/>
        <v>0</v>
      </c>
      <c r="G44" s="42" t="str">
        <f t="shared" si="2"/>
        <v>0</v>
      </c>
      <c r="H44" s="42" t="str">
        <f t="shared" si="3"/>
        <v>0</v>
      </c>
      <c r="I44" s="42" t="str">
        <f t="shared" si="4"/>
        <v>0</v>
      </c>
      <c r="J44" s="42" t="str">
        <f t="shared" si="5"/>
        <v>0</v>
      </c>
      <c r="K44" s="42" t="str">
        <f t="shared" si="6"/>
        <v>0</v>
      </c>
      <c r="L44" s="76"/>
      <c r="M44" s="76"/>
      <c r="N44" s="76"/>
      <c r="O44" s="76"/>
      <c r="P44" s="76"/>
      <c r="Q44" s="76"/>
      <c r="R44" s="76"/>
    </row>
    <row r="45" spans="1:18" ht="41.45" customHeight="1">
      <c r="C45" s="42"/>
      <c r="D45" s="42"/>
      <c r="E45" s="42" t="str">
        <f t="shared" si="0"/>
        <v>0</v>
      </c>
      <c r="F45" s="42" t="str">
        <f t="shared" si="1"/>
        <v>0</v>
      </c>
      <c r="G45" s="42" t="str">
        <f t="shared" si="2"/>
        <v>0</v>
      </c>
      <c r="H45" s="42" t="str">
        <f t="shared" si="3"/>
        <v>0</v>
      </c>
      <c r="I45" s="42" t="str">
        <f t="shared" si="4"/>
        <v>0</v>
      </c>
      <c r="J45" s="42" t="str">
        <f t="shared" si="5"/>
        <v>0</v>
      </c>
      <c r="K45" s="42" t="str">
        <f t="shared" si="6"/>
        <v>0</v>
      </c>
      <c r="L45" s="76"/>
      <c r="M45" s="76"/>
      <c r="N45" s="76"/>
      <c r="O45" s="76"/>
      <c r="P45" s="76"/>
      <c r="Q45" s="76"/>
      <c r="R45" s="76"/>
    </row>
    <row r="46" spans="1:18" ht="41.45" customHeight="1">
      <c r="C46" s="42"/>
      <c r="D46" s="42"/>
      <c r="E46" s="42" t="str">
        <f t="shared" si="0"/>
        <v>0</v>
      </c>
      <c r="F46" s="42" t="str">
        <f t="shared" si="1"/>
        <v>0</v>
      </c>
      <c r="G46" s="42" t="str">
        <f t="shared" si="2"/>
        <v>0</v>
      </c>
      <c r="H46" s="42" t="str">
        <f t="shared" si="3"/>
        <v>0</v>
      </c>
      <c r="I46" s="42" t="str">
        <f t="shared" si="4"/>
        <v>0</v>
      </c>
      <c r="J46" s="42" t="str">
        <f t="shared" si="5"/>
        <v>0</v>
      </c>
      <c r="K46" s="42" t="str">
        <f t="shared" si="6"/>
        <v>0</v>
      </c>
      <c r="L46" s="76"/>
      <c r="M46" s="76"/>
      <c r="N46" s="76"/>
      <c r="O46" s="76"/>
      <c r="P46" s="76"/>
      <c r="Q46" s="76"/>
      <c r="R46" s="76"/>
    </row>
    <row r="47" spans="1:18" ht="41.45" customHeight="1">
      <c r="C47" s="42"/>
      <c r="D47" s="42"/>
      <c r="E47" s="42" t="str">
        <f t="shared" si="0"/>
        <v>0</v>
      </c>
      <c r="F47" s="42" t="str">
        <f t="shared" si="1"/>
        <v>0</v>
      </c>
      <c r="G47" s="42" t="str">
        <f t="shared" si="2"/>
        <v>0</v>
      </c>
      <c r="H47" s="42" t="str">
        <f t="shared" si="3"/>
        <v>0</v>
      </c>
      <c r="I47" s="42" t="str">
        <f t="shared" si="4"/>
        <v>0</v>
      </c>
      <c r="J47" s="42" t="str">
        <f t="shared" si="5"/>
        <v>0</v>
      </c>
      <c r="K47" s="42" t="str">
        <f t="shared" si="6"/>
        <v>0</v>
      </c>
      <c r="L47" s="76"/>
      <c r="M47" s="76"/>
      <c r="N47" s="76"/>
      <c r="O47" s="76"/>
      <c r="P47" s="76"/>
      <c r="Q47" s="76"/>
      <c r="R47" s="76"/>
    </row>
    <row r="48" spans="1:18" ht="41.45" customHeight="1">
      <c r="C48" s="42"/>
      <c r="D48" s="42"/>
      <c r="E48" s="42" t="str">
        <f t="shared" si="0"/>
        <v>0</v>
      </c>
      <c r="F48" s="42" t="str">
        <f t="shared" si="1"/>
        <v>0</v>
      </c>
      <c r="G48" s="42" t="str">
        <f t="shared" si="2"/>
        <v>0</v>
      </c>
      <c r="H48" s="42" t="str">
        <f t="shared" si="3"/>
        <v>0</v>
      </c>
      <c r="I48" s="42" t="str">
        <f t="shared" si="4"/>
        <v>0</v>
      </c>
      <c r="J48" s="42" t="str">
        <f t="shared" si="5"/>
        <v>0</v>
      </c>
      <c r="K48" s="42" t="str">
        <f t="shared" si="6"/>
        <v>0</v>
      </c>
      <c r="L48" s="76"/>
      <c r="M48" s="76"/>
      <c r="N48" s="76"/>
      <c r="O48" s="76"/>
      <c r="P48" s="76"/>
      <c r="Q48" s="76"/>
      <c r="R48" s="76"/>
    </row>
    <row r="49" spans="3:18" ht="41.45" customHeight="1">
      <c r="C49" s="42"/>
      <c r="D49" s="42"/>
      <c r="E49" s="42" t="str">
        <f t="shared" si="0"/>
        <v>0</v>
      </c>
      <c r="F49" s="42" t="str">
        <f t="shared" si="1"/>
        <v>0</v>
      </c>
      <c r="G49" s="42" t="str">
        <f t="shared" si="2"/>
        <v>0</v>
      </c>
      <c r="H49" s="42" t="str">
        <f t="shared" si="3"/>
        <v>0</v>
      </c>
      <c r="I49" s="42" t="str">
        <f t="shared" si="4"/>
        <v>0</v>
      </c>
      <c r="J49" s="42" t="str">
        <f t="shared" si="5"/>
        <v>0</v>
      </c>
      <c r="K49" s="42" t="str">
        <f t="shared" si="6"/>
        <v>0</v>
      </c>
      <c r="L49" s="76"/>
      <c r="M49" s="76"/>
      <c r="N49" s="76"/>
      <c r="O49" s="76"/>
      <c r="P49" s="76"/>
      <c r="Q49" s="76"/>
      <c r="R49" s="76"/>
    </row>
    <row r="50" spans="3:18" ht="41.45" customHeight="1">
      <c r="C50" s="42"/>
      <c r="D50" s="42"/>
      <c r="E50" s="42" t="str">
        <f t="shared" si="0"/>
        <v>0</v>
      </c>
      <c r="F50" s="42" t="str">
        <f t="shared" si="1"/>
        <v>0</v>
      </c>
      <c r="G50" s="42" t="str">
        <f t="shared" si="2"/>
        <v>0</v>
      </c>
      <c r="H50" s="42" t="str">
        <f t="shared" si="3"/>
        <v>0</v>
      </c>
      <c r="I50" s="42" t="str">
        <f t="shared" si="4"/>
        <v>0</v>
      </c>
      <c r="J50" s="42" t="str">
        <f t="shared" si="5"/>
        <v>0</v>
      </c>
      <c r="K50" s="42" t="str">
        <f t="shared" si="6"/>
        <v>0</v>
      </c>
      <c r="L50" s="76"/>
      <c r="M50" s="76"/>
      <c r="N50" s="76"/>
      <c r="O50" s="76"/>
      <c r="P50" s="76"/>
      <c r="Q50" s="76"/>
      <c r="R50" s="76"/>
    </row>
    <row r="51" spans="3:18" ht="41.45" customHeight="1">
      <c r="C51" s="42"/>
      <c r="D51" s="42"/>
      <c r="E51" s="42" t="str">
        <f t="shared" si="0"/>
        <v>0</v>
      </c>
      <c r="F51" s="42" t="str">
        <f t="shared" si="1"/>
        <v>0</v>
      </c>
      <c r="G51" s="42" t="str">
        <f t="shared" si="2"/>
        <v>0</v>
      </c>
      <c r="H51" s="42" t="str">
        <f t="shared" si="3"/>
        <v>0</v>
      </c>
      <c r="I51" s="42" t="str">
        <f t="shared" si="4"/>
        <v>0</v>
      </c>
      <c r="J51" s="42" t="str">
        <f t="shared" si="5"/>
        <v>0</v>
      </c>
      <c r="K51" s="42" t="str">
        <f t="shared" si="6"/>
        <v>0</v>
      </c>
      <c r="L51" s="76"/>
      <c r="M51" s="76"/>
      <c r="N51" s="76"/>
      <c r="O51" s="76"/>
      <c r="P51" s="76"/>
      <c r="Q51" s="76"/>
      <c r="R51" s="76"/>
    </row>
    <row r="52" spans="3:18" ht="41.45" customHeight="1">
      <c r="C52" s="42"/>
      <c r="D52" s="42"/>
      <c r="E52" s="42" t="str">
        <f t="shared" si="0"/>
        <v>0</v>
      </c>
      <c r="F52" s="42" t="str">
        <f t="shared" si="1"/>
        <v>0</v>
      </c>
      <c r="G52" s="42" t="str">
        <f t="shared" si="2"/>
        <v>0</v>
      </c>
      <c r="H52" s="42" t="str">
        <f t="shared" si="3"/>
        <v>0</v>
      </c>
      <c r="I52" s="42" t="str">
        <f t="shared" si="4"/>
        <v>0</v>
      </c>
      <c r="J52" s="42" t="str">
        <f t="shared" si="5"/>
        <v>0</v>
      </c>
      <c r="K52" s="42" t="str">
        <f t="shared" si="6"/>
        <v>0</v>
      </c>
      <c r="L52" s="76"/>
      <c r="M52" s="76"/>
      <c r="N52" s="76"/>
      <c r="O52" s="76"/>
      <c r="P52" s="76"/>
      <c r="Q52" s="76"/>
      <c r="R52" s="76"/>
    </row>
    <row r="53" spans="3:18" ht="41.45" customHeight="1">
      <c r="C53" s="42"/>
      <c r="D53" s="42"/>
      <c r="E53" s="42" t="str">
        <f t="shared" si="0"/>
        <v>0</v>
      </c>
      <c r="F53" s="42" t="str">
        <f t="shared" si="1"/>
        <v>0</v>
      </c>
      <c r="G53" s="42" t="str">
        <f t="shared" si="2"/>
        <v>0</v>
      </c>
      <c r="H53" s="42" t="str">
        <f t="shared" si="3"/>
        <v>0</v>
      </c>
      <c r="I53" s="42" t="str">
        <f t="shared" si="4"/>
        <v>0</v>
      </c>
      <c r="J53" s="42" t="str">
        <f t="shared" si="5"/>
        <v>0</v>
      </c>
      <c r="K53" s="42" t="str">
        <f t="shared" si="6"/>
        <v>0</v>
      </c>
      <c r="L53" s="76"/>
      <c r="M53" s="76"/>
      <c r="N53" s="76"/>
      <c r="O53" s="76"/>
      <c r="P53" s="76"/>
      <c r="Q53" s="76"/>
      <c r="R53" s="76"/>
    </row>
    <row r="54" spans="3:18" ht="41.45" customHeight="1">
      <c r="C54" s="42"/>
      <c r="D54" s="42"/>
      <c r="E54" s="42" t="str">
        <f t="shared" si="0"/>
        <v>0</v>
      </c>
      <c r="F54" s="42" t="str">
        <f t="shared" si="1"/>
        <v>0</v>
      </c>
      <c r="G54" s="42" t="str">
        <f t="shared" si="2"/>
        <v>0</v>
      </c>
      <c r="H54" s="42" t="str">
        <f t="shared" si="3"/>
        <v>0</v>
      </c>
      <c r="I54" s="42" t="str">
        <f t="shared" si="4"/>
        <v>0</v>
      </c>
      <c r="J54" s="42" t="str">
        <f t="shared" si="5"/>
        <v>0</v>
      </c>
      <c r="K54" s="42" t="str">
        <f t="shared" si="6"/>
        <v>0</v>
      </c>
      <c r="L54" s="76"/>
      <c r="M54" s="76"/>
      <c r="N54" s="76"/>
      <c r="O54" s="76"/>
      <c r="P54" s="76"/>
      <c r="Q54" s="76"/>
      <c r="R54" s="76"/>
    </row>
    <row r="55" spans="3:18" ht="41.45" customHeight="1">
      <c r="C55" s="42"/>
      <c r="D55" s="42"/>
      <c r="E55" s="42" t="str">
        <f t="shared" si="0"/>
        <v>0</v>
      </c>
      <c r="F55" s="42" t="str">
        <f t="shared" si="1"/>
        <v>0</v>
      </c>
      <c r="G55" s="42" t="str">
        <f t="shared" si="2"/>
        <v>0</v>
      </c>
      <c r="H55" s="42" t="str">
        <f t="shared" si="3"/>
        <v>0</v>
      </c>
      <c r="I55" s="42" t="str">
        <f t="shared" si="4"/>
        <v>0</v>
      </c>
      <c r="J55" s="42" t="str">
        <f t="shared" si="5"/>
        <v>0</v>
      </c>
      <c r="K55" s="42" t="str">
        <f t="shared" si="6"/>
        <v>0</v>
      </c>
      <c r="L55" s="76"/>
      <c r="M55" s="76"/>
      <c r="N55" s="76"/>
      <c r="O55" s="76"/>
      <c r="P55" s="76"/>
      <c r="Q55" s="76"/>
      <c r="R55" s="76"/>
    </row>
    <row r="56" spans="3:18" ht="41.45" customHeight="1">
      <c r="C56" s="42"/>
      <c r="D56" s="42"/>
      <c r="E56" s="42" t="str">
        <f t="shared" si="0"/>
        <v>0</v>
      </c>
      <c r="F56" s="42" t="str">
        <f t="shared" si="1"/>
        <v>0</v>
      </c>
      <c r="G56" s="42" t="str">
        <f t="shared" si="2"/>
        <v>0</v>
      </c>
      <c r="H56" s="42" t="str">
        <f t="shared" si="3"/>
        <v>0</v>
      </c>
      <c r="I56" s="42" t="str">
        <f t="shared" si="4"/>
        <v>0</v>
      </c>
      <c r="J56" s="42" t="str">
        <f t="shared" si="5"/>
        <v>0</v>
      </c>
      <c r="K56" s="42" t="str">
        <f t="shared" si="6"/>
        <v>0</v>
      </c>
      <c r="L56" s="76"/>
      <c r="M56" s="76"/>
      <c r="N56" s="76"/>
      <c r="O56" s="76"/>
      <c r="P56" s="76"/>
      <c r="Q56" s="76"/>
      <c r="R56" s="76"/>
    </row>
    <row r="57" spans="3:18" ht="41.45" customHeight="1">
      <c r="C57" s="42"/>
      <c r="D57" s="42"/>
      <c r="E57" s="42" t="str">
        <f t="shared" si="0"/>
        <v>0</v>
      </c>
      <c r="F57" s="42" t="str">
        <f t="shared" si="1"/>
        <v>0</v>
      </c>
      <c r="G57" s="42" t="str">
        <f t="shared" si="2"/>
        <v>0</v>
      </c>
      <c r="H57" s="42" t="str">
        <f t="shared" si="3"/>
        <v>0</v>
      </c>
      <c r="I57" s="42" t="str">
        <f t="shared" si="4"/>
        <v>0</v>
      </c>
      <c r="J57" s="42" t="str">
        <f t="shared" si="5"/>
        <v>0</v>
      </c>
      <c r="K57" s="42" t="str">
        <f t="shared" si="6"/>
        <v>0</v>
      </c>
      <c r="L57" s="76"/>
      <c r="M57" s="76"/>
      <c r="N57" s="76"/>
      <c r="O57" s="76"/>
      <c r="P57" s="76"/>
      <c r="Q57" s="76"/>
      <c r="R57" s="76"/>
    </row>
    <row r="58" spans="3:18" ht="41.45" customHeight="1">
      <c r="C58" s="42"/>
      <c r="D58" s="42"/>
      <c r="E58" s="42" t="str">
        <f t="shared" si="0"/>
        <v>0</v>
      </c>
      <c r="F58" s="42" t="str">
        <f t="shared" si="1"/>
        <v>0</v>
      </c>
      <c r="G58" s="42" t="str">
        <f t="shared" si="2"/>
        <v>0</v>
      </c>
      <c r="H58" s="42" t="str">
        <f t="shared" si="3"/>
        <v>0</v>
      </c>
      <c r="I58" s="42" t="str">
        <f t="shared" si="4"/>
        <v>0</v>
      </c>
      <c r="J58" s="42" t="str">
        <f t="shared" si="5"/>
        <v>0</v>
      </c>
      <c r="K58" s="42" t="str">
        <f t="shared" si="6"/>
        <v>0</v>
      </c>
      <c r="L58" s="76"/>
      <c r="M58" s="76"/>
      <c r="N58" s="76"/>
      <c r="O58" s="76"/>
      <c r="P58" s="76"/>
      <c r="Q58" s="76"/>
      <c r="R58" s="76"/>
    </row>
    <row r="59" spans="3:18" ht="41.45" customHeight="1">
      <c r="C59" s="42"/>
      <c r="D59" s="42"/>
      <c r="E59" s="42" t="str">
        <f t="shared" si="0"/>
        <v>0</v>
      </c>
      <c r="F59" s="42" t="str">
        <f t="shared" si="1"/>
        <v>0</v>
      </c>
      <c r="G59" s="42" t="str">
        <f t="shared" si="2"/>
        <v>0</v>
      </c>
      <c r="H59" s="42" t="str">
        <f t="shared" si="3"/>
        <v>0</v>
      </c>
      <c r="I59" s="42" t="str">
        <f t="shared" si="4"/>
        <v>0</v>
      </c>
      <c r="J59" s="42" t="str">
        <f t="shared" si="5"/>
        <v>0</v>
      </c>
      <c r="K59" s="42" t="str">
        <f t="shared" si="6"/>
        <v>0</v>
      </c>
      <c r="L59" s="76"/>
      <c r="M59" s="76"/>
      <c r="N59" s="76"/>
      <c r="O59" s="76"/>
      <c r="P59" s="76"/>
      <c r="Q59" s="76"/>
      <c r="R59" s="76"/>
    </row>
    <row r="60" spans="3:18" ht="41.45" customHeight="1">
      <c r="C60" s="42"/>
      <c r="D60" s="42"/>
      <c r="E60" s="42" t="str">
        <f t="shared" si="0"/>
        <v>0</v>
      </c>
      <c r="F60" s="42" t="str">
        <f t="shared" si="1"/>
        <v>0</v>
      </c>
      <c r="G60" s="42" t="str">
        <f t="shared" si="2"/>
        <v>0</v>
      </c>
      <c r="H60" s="42" t="str">
        <f t="shared" si="3"/>
        <v>0</v>
      </c>
      <c r="I60" s="42" t="str">
        <f t="shared" si="4"/>
        <v>0</v>
      </c>
      <c r="J60" s="42" t="str">
        <f t="shared" si="5"/>
        <v>0</v>
      </c>
      <c r="K60" s="42" t="str">
        <f t="shared" si="6"/>
        <v>0</v>
      </c>
      <c r="L60" s="76"/>
      <c r="M60" s="76"/>
      <c r="N60" s="76"/>
      <c r="O60" s="76"/>
      <c r="P60" s="76"/>
      <c r="Q60" s="76"/>
      <c r="R60" s="76"/>
    </row>
    <row r="61" spans="3:18" ht="41.45" customHeight="1">
      <c r="C61" s="42"/>
      <c r="D61" s="42"/>
      <c r="E61" s="42" t="str">
        <f t="shared" si="0"/>
        <v>0</v>
      </c>
      <c r="F61" s="42" t="str">
        <f t="shared" si="1"/>
        <v>0</v>
      </c>
      <c r="G61" s="42" t="str">
        <f t="shared" si="2"/>
        <v>0</v>
      </c>
      <c r="H61" s="42" t="str">
        <f t="shared" si="3"/>
        <v>0</v>
      </c>
      <c r="I61" s="42" t="str">
        <f t="shared" si="4"/>
        <v>0</v>
      </c>
      <c r="J61" s="42" t="str">
        <f t="shared" si="5"/>
        <v>0</v>
      </c>
      <c r="K61" s="42" t="str">
        <f t="shared" si="6"/>
        <v>0</v>
      </c>
      <c r="L61" s="76"/>
      <c r="M61" s="76"/>
      <c r="N61" s="76"/>
      <c r="O61" s="76"/>
      <c r="P61" s="76"/>
      <c r="Q61" s="76"/>
      <c r="R61" s="76"/>
    </row>
    <row r="62" spans="3:18" ht="41.45" customHeight="1">
      <c r="C62" s="42"/>
      <c r="D62" s="42"/>
      <c r="E62" s="42">
        <f>SUM(E36:E61)</f>
        <v>0</v>
      </c>
      <c r="F62" s="42">
        <f t="shared" ref="F62:K62" si="7">SUM(F36:F61)</f>
        <v>91.536749372299994</v>
      </c>
      <c r="G62" s="42">
        <f t="shared" si="7"/>
        <v>0</v>
      </c>
      <c r="H62" s="42">
        <f t="shared" si="7"/>
        <v>0</v>
      </c>
      <c r="I62" s="42">
        <f t="shared" si="7"/>
        <v>0</v>
      </c>
      <c r="J62" s="42">
        <f t="shared" si="7"/>
        <v>91.536749372299994</v>
      </c>
      <c r="K62" s="42">
        <f t="shared" si="7"/>
        <v>0</v>
      </c>
      <c r="L62" s="76"/>
      <c r="M62" s="76"/>
      <c r="N62" s="76"/>
      <c r="O62" s="76"/>
      <c r="P62" s="76"/>
      <c r="Q62" s="76"/>
      <c r="R62" s="76"/>
    </row>
    <row r="63" spans="3:18" ht="41.45" customHeight="1">
      <c r="C63" s="42"/>
      <c r="D63" s="42"/>
      <c r="E63" s="42"/>
      <c r="F63" s="43"/>
      <c r="G63" s="43"/>
      <c r="H63" s="43"/>
      <c r="I63" s="43"/>
      <c r="J63" s="43"/>
      <c r="K63" s="43"/>
      <c r="L63" s="76"/>
      <c r="M63" s="76"/>
      <c r="N63" s="76"/>
      <c r="O63" s="76"/>
      <c r="P63" s="76"/>
      <c r="Q63" s="76"/>
      <c r="R63" s="76"/>
    </row>
    <row r="64" spans="3:18" ht="41.45" customHeight="1">
      <c r="C64" s="42"/>
      <c r="D64" s="42"/>
      <c r="E64" s="42"/>
      <c r="F64" s="43"/>
      <c r="G64" s="43"/>
      <c r="H64" s="43"/>
      <c r="I64" s="43"/>
      <c r="J64" s="43"/>
      <c r="K64" s="43"/>
      <c r="L64" s="76"/>
      <c r="M64" s="76"/>
      <c r="N64" s="76"/>
      <c r="O64" s="76"/>
      <c r="P64" s="76"/>
      <c r="Q64" s="76"/>
      <c r="R64" s="76"/>
    </row>
    <row r="65" spans="3:18" ht="41.45" customHeight="1">
      <c r="C65" s="42"/>
      <c r="D65" s="42"/>
      <c r="E65" s="42"/>
      <c r="F65" s="43"/>
      <c r="G65" s="43"/>
      <c r="H65" s="43"/>
      <c r="I65" s="43"/>
      <c r="J65" s="43"/>
      <c r="K65" s="43"/>
      <c r="L65" s="76"/>
      <c r="M65" s="76"/>
      <c r="N65" s="76"/>
      <c r="O65" s="76"/>
      <c r="P65" s="76"/>
      <c r="Q65" s="76"/>
      <c r="R65" s="76"/>
    </row>
    <row r="66" spans="3:18" ht="41.45" customHeight="1">
      <c r="C66" s="42"/>
      <c r="D66" s="42"/>
      <c r="E66" s="42"/>
      <c r="F66" s="43"/>
      <c r="G66" s="43"/>
      <c r="H66" s="43"/>
      <c r="I66" s="43"/>
      <c r="J66" s="43"/>
      <c r="K66" s="43"/>
      <c r="L66" s="76"/>
      <c r="M66" s="76"/>
      <c r="N66" s="76"/>
      <c r="O66" s="76"/>
      <c r="P66" s="76"/>
      <c r="Q66" s="76"/>
      <c r="R66" s="76"/>
    </row>
    <row r="67" spans="3:18" ht="41.45" customHeight="1">
      <c r="C67" s="42"/>
      <c r="D67" s="42"/>
      <c r="E67" s="42"/>
      <c r="F67" s="43"/>
      <c r="G67" s="43"/>
      <c r="H67" s="43"/>
      <c r="I67" s="43"/>
      <c r="J67" s="43"/>
      <c r="K67" s="43"/>
      <c r="L67" s="76"/>
      <c r="M67" s="76"/>
      <c r="N67" s="76"/>
      <c r="O67" s="76"/>
      <c r="P67" s="76"/>
      <c r="Q67" s="76"/>
      <c r="R67" s="76"/>
    </row>
    <row r="68" spans="3:18" ht="41.45" customHeight="1">
      <c r="C68" s="42"/>
      <c r="D68" s="42"/>
      <c r="E68" s="42"/>
      <c r="F68" s="43"/>
      <c r="G68" s="43"/>
      <c r="H68" s="43"/>
      <c r="I68" s="43"/>
      <c r="J68" s="43"/>
      <c r="K68" s="43"/>
      <c r="L68" s="76"/>
      <c r="M68" s="76"/>
      <c r="N68" s="76"/>
      <c r="O68" s="76"/>
      <c r="P68" s="76"/>
      <c r="Q68" s="76"/>
      <c r="R68" s="76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R68"/>
  <sheetViews>
    <sheetView view="pageBreakPreview" zoomScale="55" zoomScaleNormal="40" zoomScaleSheetLayoutView="55" workbookViewId="0">
      <selection activeCell="J3" sqref="J3"/>
    </sheetView>
  </sheetViews>
  <sheetFormatPr defaultColWidth="8.875" defaultRowHeight="15"/>
  <cols>
    <col min="1" max="1" width="33.375" style="1" customWidth="1"/>
    <col min="2" max="2" width="17.125" style="1" customWidth="1"/>
    <col min="3" max="4" width="13.375" style="1" customWidth="1"/>
    <col min="5" max="5" width="26.375" style="2" customWidth="1"/>
    <col min="6" max="6" width="30.125" style="2" customWidth="1"/>
    <col min="7" max="7" width="26.375" style="2" customWidth="1"/>
    <col min="8" max="8" width="33.125" style="2" customWidth="1"/>
    <col min="9" max="11" width="32" style="2" customWidth="1"/>
    <col min="12" max="14" width="14.375" style="1" customWidth="1"/>
    <col min="15" max="17" width="14.625" style="1" customWidth="1"/>
    <col min="18" max="18" width="37.37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84" t="s">
        <v>3</v>
      </c>
      <c r="J1" s="86">
        <f>'46'!J1</f>
        <v>46204</v>
      </c>
      <c r="K1" s="11"/>
      <c r="L1" s="88" t="s">
        <v>4</v>
      </c>
      <c r="M1" s="88"/>
      <c r="N1" s="90" t="str">
        <f>'46'!N1</f>
        <v>ENG. VINÍCIUS RODRIGUES FERREIRA DE OLIVEIRA</v>
      </c>
      <c r="O1" s="90"/>
      <c r="P1" s="90"/>
      <c r="Q1" s="90"/>
      <c r="R1" s="91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85"/>
      <c r="J2" s="87"/>
      <c r="K2" s="16"/>
      <c r="L2" s="89"/>
      <c r="M2" s="89"/>
      <c r="N2" s="92"/>
      <c r="O2" s="92"/>
      <c r="P2" s="92"/>
      <c r="Q2" s="92"/>
      <c r="R2" s="93"/>
    </row>
    <row r="3" spans="1:18" ht="19.5">
      <c r="A3" s="13" t="s">
        <v>23</v>
      </c>
      <c r="B3" s="45" t="str">
        <f>TT!C8</f>
        <v>RODOVIA TO-418 - TRECHO ENTR. BR-153 - ENTR. TO-164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98" t="s">
        <v>1</v>
      </c>
      <c r="B5" s="94" t="s">
        <v>7</v>
      </c>
      <c r="C5" s="100" t="s">
        <v>5</v>
      </c>
      <c r="D5" s="100" t="s">
        <v>6</v>
      </c>
      <c r="E5" s="94" t="s">
        <v>10</v>
      </c>
      <c r="F5" s="94"/>
      <c r="G5" s="94"/>
      <c r="H5" s="94"/>
      <c r="I5" s="94" t="s">
        <v>11</v>
      </c>
      <c r="J5" s="94"/>
      <c r="K5" s="94"/>
      <c r="L5" s="94" t="s">
        <v>8</v>
      </c>
      <c r="M5" s="94"/>
      <c r="N5" s="94"/>
      <c r="O5" s="94"/>
      <c r="P5" s="94"/>
      <c r="Q5" s="94"/>
      <c r="R5" s="95"/>
    </row>
    <row r="6" spans="1:18" s="6" customFormat="1" ht="79.150000000000006" customHeight="1">
      <c r="A6" s="99"/>
      <c r="B6" s="96"/>
      <c r="C6" s="96"/>
      <c r="D6" s="96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6"/>
      <c r="M6" s="96"/>
      <c r="N6" s="96"/>
      <c r="O6" s="96"/>
      <c r="P6" s="96"/>
      <c r="Q6" s="96"/>
      <c r="R6" s="97"/>
    </row>
    <row r="7" spans="1:18" ht="41.45" customHeight="1">
      <c r="A7" s="38" t="s">
        <v>69</v>
      </c>
      <c r="B7" s="21" t="s">
        <v>18</v>
      </c>
      <c r="C7" s="22">
        <v>0</v>
      </c>
      <c r="D7" s="22">
        <v>43.09</v>
      </c>
      <c r="E7" s="21"/>
      <c r="F7" s="21" t="s">
        <v>19</v>
      </c>
      <c r="G7" s="21"/>
      <c r="H7" s="21"/>
      <c r="I7" s="21"/>
      <c r="J7" s="21" t="s">
        <v>19</v>
      </c>
      <c r="K7" s="21"/>
      <c r="L7" s="78"/>
      <c r="M7" s="78"/>
      <c r="N7" s="78"/>
      <c r="O7" s="78"/>
      <c r="P7" s="78"/>
      <c r="Q7" s="78"/>
      <c r="R7" s="79"/>
    </row>
    <row r="8" spans="1:18" ht="41.45" customHeight="1">
      <c r="A8" s="38"/>
      <c r="B8" s="21"/>
      <c r="C8" s="22"/>
      <c r="D8" s="22"/>
      <c r="E8" s="21"/>
      <c r="F8" s="21"/>
      <c r="G8" s="21"/>
      <c r="H8" s="21"/>
      <c r="I8" s="21"/>
      <c r="J8" s="21"/>
      <c r="K8" s="21"/>
      <c r="L8" s="78"/>
      <c r="M8" s="78"/>
      <c r="N8" s="78"/>
      <c r="O8" s="78"/>
      <c r="P8" s="78"/>
      <c r="Q8" s="78"/>
      <c r="R8" s="79"/>
    </row>
    <row r="9" spans="1:18" ht="41.45" customHeight="1">
      <c r="A9" s="38"/>
      <c r="B9" s="21"/>
      <c r="C9" s="22"/>
      <c r="D9" s="22"/>
      <c r="E9" s="21"/>
      <c r="F9" s="21"/>
      <c r="G9" s="21"/>
      <c r="H9" s="21"/>
      <c r="I9" s="21"/>
      <c r="J9" s="21"/>
      <c r="K9" s="21"/>
      <c r="L9" s="78"/>
      <c r="M9" s="78"/>
      <c r="N9" s="78"/>
      <c r="O9" s="78"/>
      <c r="P9" s="78"/>
      <c r="Q9" s="78"/>
      <c r="R9" s="79"/>
    </row>
    <row r="10" spans="1:18" ht="41.45" customHeight="1">
      <c r="A10" s="38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78"/>
      <c r="M10" s="78"/>
      <c r="N10" s="78"/>
      <c r="O10" s="78"/>
      <c r="P10" s="78"/>
      <c r="Q10" s="78"/>
      <c r="R10" s="79"/>
    </row>
    <row r="11" spans="1:18" ht="41.45" customHeight="1">
      <c r="A11" s="38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78"/>
      <c r="M11" s="78"/>
      <c r="N11" s="78"/>
      <c r="O11" s="78"/>
      <c r="P11" s="78"/>
      <c r="Q11" s="78"/>
      <c r="R11" s="79"/>
    </row>
    <row r="12" spans="1:18" ht="41.45" customHeight="1">
      <c r="A12" s="38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78"/>
      <c r="M12" s="78"/>
      <c r="N12" s="78"/>
      <c r="O12" s="78"/>
      <c r="P12" s="78"/>
      <c r="Q12" s="78"/>
      <c r="R12" s="79"/>
    </row>
    <row r="13" spans="1:18" ht="41.45" customHeight="1">
      <c r="A13" s="38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78"/>
      <c r="M13" s="78"/>
      <c r="N13" s="78"/>
      <c r="O13" s="78"/>
      <c r="P13" s="78"/>
      <c r="Q13" s="78"/>
      <c r="R13" s="79"/>
    </row>
    <row r="14" spans="1:18" ht="41.45" customHeight="1">
      <c r="A14" s="38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78"/>
      <c r="M14" s="78"/>
      <c r="N14" s="78"/>
      <c r="O14" s="78"/>
      <c r="P14" s="78"/>
      <c r="Q14" s="78"/>
      <c r="R14" s="79"/>
    </row>
    <row r="15" spans="1:18" ht="41.45" customHeight="1">
      <c r="A15" s="38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78"/>
      <c r="M15" s="78"/>
      <c r="N15" s="78"/>
      <c r="O15" s="78"/>
      <c r="P15" s="78"/>
      <c r="Q15" s="78"/>
      <c r="R15" s="79"/>
    </row>
    <row r="16" spans="1:18" ht="41.45" customHeight="1">
      <c r="A16" s="38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78"/>
      <c r="M16" s="78"/>
      <c r="N16" s="78"/>
      <c r="O16" s="78"/>
      <c r="P16" s="78"/>
      <c r="Q16" s="78"/>
      <c r="R16" s="79"/>
    </row>
    <row r="17" spans="1:18" ht="41.45" customHeight="1">
      <c r="A17" s="38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78"/>
      <c r="M17" s="78"/>
      <c r="N17" s="78"/>
      <c r="O17" s="78"/>
      <c r="P17" s="78"/>
      <c r="Q17" s="78"/>
      <c r="R17" s="79"/>
    </row>
    <row r="18" spans="1:18" ht="41.45" customHeight="1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78"/>
      <c r="M18" s="78"/>
      <c r="N18" s="78"/>
      <c r="O18" s="78"/>
      <c r="P18" s="78"/>
      <c r="Q18" s="78"/>
      <c r="R18" s="79"/>
    </row>
    <row r="19" spans="1:18" ht="41.45" customHeight="1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78"/>
      <c r="M19" s="78"/>
      <c r="N19" s="78"/>
      <c r="O19" s="78"/>
      <c r="P19" s="78"/>
      <c r="Q19" s="78"/>
      <c r="R19" s="79"/>
    </row>
    <row r="20" spans="1:18" ht="41.45" customHeight="1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78"/>
      <c r="M20" s="78"/>
      <c r="N20" s="78"/>
      <c r="O20" s="78"/>
      <c r="P20" s="78"/>
      <c r="Q20" s="78"/>
      <c r="R20" s="79"/>
    </row>
    <row r="21" spans="1:18" ht="41.45" customHeight="1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78"/>
      <c r="M21" s="78"/>
      <c r="N21" s="78"/>
      <c r="O21" s="78"/>
      <c r="P21" s="78"/>
      <c r="Q21" s="78"/>
      <c r="R21" s="79"/>
    </row>
    <row r="22" spans="1:18" ht="41.45" customHeight="1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78"/>
      <c r="M22" s="78"/>
      <c r="N22" s="78"/>
      <c r="O22" s="78"/>
      <c r="P22" s="78"/>
      <c r="Q22" s="78"/>
      <c r="R22" s="79"/>
    </row>
    <row r="23" spans="1:18" ht="41.45" customHeight="1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78"/>
      <c r="M23" s="78"/>
      <c r="N23" s="78"/>
      <c r="O23" s="78"/>
      <c r="P23" s="78"/>
      <c r="Q23" s="78"/>
      <c r="R23" s="79"/>
    </row>
    <row r="24" spans="1:18" ht="41.45" customHeight="1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78"/>
      <c r="M24" s="78"/>
      <c r="N24" s="78"/>
      <c r="O24" s="78"/>
      <c r="P24" s="78"/>
      <c r="Q24" s="78"/>
      <c r="R24" s="79"/>
    </row>
    <row r="25" spans="1:18" ht="41.45" customHeight="1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78"/>
      <c r="M25" s="78"/>
      <c r="N25" s="78"/>
      <c r="O25" s="78"/>
      <c r="P25" s="78"/>
      <c r="Q25" s="78"/>
      <c r="R25" s="79"/>
    </row>
    <row r="26" spans="1:18" ht="41.45" customHeight="1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78"/>
      <c r="M26" s="78"/>
      <c r="N26" s="78"/>
      <c r="O26" s="78"/>
      <c r="P26" s="78"/>
      <c r="Q26" s="78"/>
      <c r="R26" s="79"/>
    </row>
    <row r="27" spans="1:18" ht="41.45" customHeight="1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78"/>
      <c r="M27" s="78"/>
      <c r="N27" s="78"/>
      <c r="O27" s="78"/>
      <c r="P27" s="78"/>
      <c r="Q27" s="78"/>
      <c r="R27" s="79"/>
    </row>
    <row r="28" spans="1:18" ht="41.45" customHeight="1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78"/>
      <c r="M28" s="78"/>
      <c r="N28" s="78"/>
      <c r="O28" s="78"/>
      <c r="P28" s="78"/>
      <c r="Q28" s="78"/>
      <c r="R28" s="79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78"/>
      <c r="M29" s="78"/>
      <c r="N29" s="78"/>
      <c r="O29" s="78"/>
      <c r="P29" s="78"/>
      <c r="Q29" s="78"/>
      <c r="R29" s="79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78"/>
      <c r="M30" s="78"/>
      <c r="N30" s="78"/>
      <c r="O30" s="78"/>
      <c r="P30" s="78"/>
      <c r="Q30" s="78"/>
      <c r="R30" s="79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78"/>
      <c r="M31" s="78"/>
      <c r="N31" s="78"/>
      <c r="O31" s="78"/>
      <c r="P31" s="78"/>
      <c r="Q31" s="78"/>
      <c r="R31" s="79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78"/>
      <c r="M32" s="78"/>
      <c r="N32" s="78"/>
      <c r="O32" s="78"/>
      <c r="P32" s="78"/>
      <c r="Q32" s="78"/>
      <c r="R32" s="79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78"/>
      <c r="M33" s="78"/>
      <c r="N33" s="78"/>
      <c r="O33" s="78"/>
      <c r="P33" s="78"/>
      <c r="Q33" s="78"/>
      <c r="R33" s="79"/>
    </row>
    <row r="34" spans="1:18" ht="41.45" customHeight="1" thickBot="1">
      <c r="A34" s="20"/>
      <c r="B34" s="4"/>
      <c r="C34" s="23"/>
      <c r="D34" s="23"/>
      <c r="E34" s="24"/>
      <c r="F34" s="24"/>
      <c r="G34" s="24"/>
      <c r="H34" s="24"/>
      <c r="I34" s="24"/>
      <c r="J34" s="24"/>
      <c r="K34" s="24"/>
      <c r="L34" s="80"/>
      <c r="M34" s="80"/>
      <c r="N34" s="80"/>
      <c r="O34" s="80"/>
      <c r="P34" s="80"/>
      <c r="Q34" s="80"/>
      <c r="R34" s="81"/>
    </row>
    <row r="35" spans="1:18" ht="41.45" customHeight="1">
      <c r="A35" s="39"/>
      <c r="B35" s="39"/>
      <c r="C35" s="40"/>
      <c r="D35" s="40"/>
      <c r="E35" s="41"/>
      <c r="F35" s="41"/>
      <c r="G35" s="41"/>
      <c r="H35" s="41"/>
      <c r="I35" s="41"/>
      <c r="J35" s="41"/>
      <c r="K35" s="41"/>
      <c r="L35" s="77"/>
      <c r="M35" s="77"/>
      <c r="N35" s="77"/>
      <c r="O35" s="77"/>
      <c r="P35" s="77"/>
      <c r="Q35" s="77"/>
      <c r="R35" s="77"/>
    </row>
    <row r="36" spans="1:18" ht="41.45" customHeight="1">
      <c r="C36" s="42"/>
      <c r="D36" s="42"/>
      <c r="E36" s="42" t="str">
        <f>IF(E7="X",(D7-C7),"0")</f>
        <v>0</v>
      </c>
      <c r="F36" s="42">
        <f>IF(F7="X",(D7-C7),"0")</f>
        <v>43.09</v>
      </c>
      <c r="G36" s="42" t="str">
        <f>IF(G7="X",(D7-C7),"0")</f>
        <v>0</v>
      </c>
      <c r="H36" s="42" t="str">
        <f>IF(H7="X",(D7-C7),"0")</f>
        <v>0</v>
      </c>
      <c r="I36" s="42" t="str">
        <f>IF(I7="X",(D7-C7),"0")</f>
        <v>0</v>
      </c>
      <c r="J36" s="42">
        <f>IF(J7="X",(D7-C7),"0")</f>
        <v>43.09</v>
      </c>
      <c r="K36" s="42" t="str">
        <f>IF(K7="X",(D7-C7),"0")</f>
        <v>0</v>
      </c>
      <c r="L36" s="76"/>
      <c r="M36" s="76"/>
      <c r="N36" s="76"/>
      <c r="O36" s="76"/>
      <c r="P36" s="76"/>
      <c r="Q36" s="76"/>
      <c r="R36" s="76"/>
    </row>
    <row r="37" spans="1:18" ht="41.45" customHeight="1">
      <c r="C37" s="42"/>
      <c r="D37" s="42"/>
      <c r="E37" s="42" t="str">
        <f t="shared" ref="E37:E61" si="0">IF(E8="X",(D8-C8),"0")</f>
        <v>0</v>
      </c>
      <c r="F37" s="42" t="str">
        <f t="shared" ref="F37:F61" si="1">IF(F8="X",(D8-C8),"0")</f>
        <v>0</v>
      </c>
      <c r="G37" s="42" t="str">
        <f t="shared" ref="G37:G61" si="2">IF(G8="X",(D8-C8),"0")</f>
        <v>0</v>
      </c>
      <c r="H37" s="42" t="str">
        <f t="shared" ref="H37:H61" si="3">IF(H8="X",(D8-C8),"0")</f>
        <v>0</v>
      </c>
      <c r="I37" s="42" t="str">
        <f t="shared" ref="I37:I61" si="4">IF(I8="X",(D8-C8),"0")</f>
        <v>0</v>
      </c>
      <c r="J37" s="42" t="str">
        <f t="shared" ref="J37:J61" si="5">IF(J8="X",(D8-C8),"0")</f>
        <v>0</v>
      </c>
      <c r="K37" s="42" t="str">
        <f t="shared" ref="K37:K61" si="6">IF(K8="X",(D8-C8),"0")</f>
        <v>0</v>
      </c>
      <c r="L37" s="76"/>
      <c r="M37" s="76"/>
      <c r="N37" s="76"/>
      <c r="O37" s="76"/>
      <c r="P37" s="76"/>
      <c r="Q37" s="76"/>
      <c r="R37" s="76"/>
    </row>
    <row r="38" spans="1:18" ht="41.45" customHeight="1">
      <c r="C38" s="42"/>
      <c r="D38" s="42"/>
      <c r="E38" s="42" t="str">
        <f t="shared" si="0"/>
        <v>0</v>
      </c>
      <c r="F38" s="42" t="str">
        <f t="shared" si="1"/>
        <v>0</v>
      </c>
      <c r="G38" s="42" t="str">
        <f t="shared" si="2"/>
        <v>0</v>
      </c>
      <c r="H38" s="42" t="str">
        <f t="shared" si="3"/>
        <v>0</v>
      </c>
      <c r="I38" s="42" t="str">
        <f t="shared" si="4"/>
        <v>0</v>
      </c>
      <c r="J38" s="42" t="str">
        <f t="shared" si="5"/>
        <v>0</v>
      </c>
      <c r="K38" s="42" t="str">
        <f t="shared" si="6"/>
        <v>0</v>
      </c>
      <c r="L38" s="76"/>
      <c r="M38" s="76"/>
      <c r="N38" s="76"/>
      <c r="O38" s="76"/>
      <c r="P38" s="76"/>
      <c r="Q38" s="76"/>
      <c r="R38" s="76"/>
    </row>
    <row r="39" spans="1:18" ht="41.45" customHeight="1">
      <c r="C39" s="42"/>
      <c r="D39" s="42"/>
      <c r="E39" s="42" t="str">
        <f t="shared" si="0"/>
        <v>0</v>
      </c>
      <c r="F39" s="42" t="str">
        <f t="shared" si="1"/>
        <v>0</v>
      </c>
      <c r="G39" s="42" t="str">
        <f t="shared" si="2"/>
        <v>0</v>
      </c>
      <c r="H39" s="42" t="str">
        <f t="shared" si="3"/>
        <v>0</v>
      </c>
      <c r="I39" s="42" t="str">
        <f t="shared" si="4"/>
        <v>0</v>
      </c>
      <c r="J39" s="42" t="str">
        <f t="shared" si="5"/>
        <v>0</v>
      </c>
      <c r="K39" s="42" t="str">
        <f t="shared" si="6"/>
        <v>0</v>
      </c>
      <c r="L39" s="76"/>
      <c r="M39" s="76"/>
      <c r="N39" s="76"/>
      <c r="O39" s="76"/>
      <c r="P39" s="76"/>
      <c r="Q39" s="76"/>
      <c r="R39" s="76"/>
    </row>
    <row r="40" spans="1:18" ht="41.45" customHeight="1">
      <c r="C40" s="42"/>
      <c r="D40" s="42"/>
      <c r="E40" s="42" t="str">
        <f t="shared" si="0"/>
        <v>0</v>
      </c>
      <c r="F40" s="42" t="str">
        <f t="shared" si="1"/>
        <v>0</v>
      </c>
      <c r="G40" s="42" t="str">
        <f t="shared" si="2"/>
        <v>0</v>
      </c>
      <c r="H40" s="42" t="str">
        <f t="shared" si="3"/>
        <v>0</v>
      </c>
      <c r="I40" s="42" t="str">
        <f t="shared" si="4"/>
        <v>0</v>
      </c>
      <c r="J40" s="42" t="str">
        <f t="shared" si="5"/>
        <v>0</v>
      </c>
      <c r="K40" s="42" t="str">
        <f t="shared" si="6"/>
        <v>0</v>
      </c>
      <c r="L40" s="76"/>
      <c r="M40" s="76"/>
      <c r="N40" s="76"/>
      <c r="O40" s="76"/>
      <c r="P40" s="76"/>
      <c r="Q40" s="76"/>
      <c r="R40" s="76"/>
    </row>
    <row r="41" spans="1:18" ht="41.45" customHeight="1">
      <c r="C41" s="42"/>
      <c r="D41" s="42"/>
      <c r="E41" s="42" t="str">
        <f t="shared" si="0"/>
        <v>0</v>
      </c>
      <c r="F41" s="42" t="str">
        <f t="shared" si="1"/>
        <v>0</v>
      </c>
      <c r="G41" s="42" t="str">
        <f t="shared" si="2"/>
        <v>0</v>
      </c>
      <c r="H41" s="42" t="str">
        <f t="shared" si="3"/>
        <v>0</v>
      </c>
      <c r="I41" s="42" t="str">
        <f t="shared" si="4"/>
        <v>0</v>
      </c>
      <c r="J41" s="42" t="str">
        <f t="shared" si="5"/>
        <v>0</v>
      </c>
      <c r="K41" s="42" t="str">
        <f t="shared" si="6"/>
        <v>0</v>
      </c>
      <c r="L41" s="76"/>
      <c r="M41" s="76"/>
      <c r="N41" s="76"/>
      <c r="O41" s="76"/>
      <c r="P41" s="76"/>
      <c r="Q41" s="76"/>
      <c r="R41" s="76"/>
    </row>
    <row r="42" spans="1:18" ht="41.45" customHeight="1">
      <c r="C42" s="42"/>
      <c r="D42" s="42"/>
      <c r="E42" s="42" t="str">
        <f t="shared" si="0"/>
        <v>0</v>
      </c>
      <c r="F42" s="42" t="str">
        <f t="shared" si="1"/>
        <v>0</v>
      </c>
      <c r="G42" s="42" t="str">
        <f t="shared" si="2"/>
        <v>0</v>
      </c>
      <c r="H42" s="42" t="str">
        <f t="shared" si="3"/>
        <v>0</v>
      </c>
      <c r="I42" s="42" t="str">
        <f t="shared" si="4"/>
        <v>0</v>
      </c>
      <c r="J42" s="42" t="str">
        <f t="shared" si="5"/>
        <v>0</v>
      </c>
      <c r="K42" s="42" t="str">
        <f t="shared" si="6"/>
        <v>0</v>
      </c>
      <c r="L42" s="76"/>
      <c r="M42" s="76"/>
      <c r="N42" s="76"/>
      <c r="O42" s="76"/>
      <c r="P42" s="76"/>
      <c r="Q42" s="76"/>
      <c r="R42" s="76"/>
    </row>
    <row r="43" spans="1:18" ht="41.45" customHeight="1">
      <c r="C43" s="42"/>
      <c r="D43" s="42"/>
      <c r="E43" s="42" t="str">
        <f t="shared" si="0"/>
        <v>0</v>
      </c>
      <c r="F43" s="42" t="str">
        <f t="shared" si="1"/>
        <v>0</v>
      </c>
      <c r="G43" s="42" t="str">
        <f t="shared" si="2"/>
        <v>0</v>
      </c>
      <c r="H43" s="42" t="str">
        <f t="shared" si="3"/>
        <v>0</v>
      </c>
      <c r="I43" s="42" t="str">
        <f t="shared" si="4"/>
        <v>0</v>
      </c>
      <c r="J43" s="42" t="str">
        <f t="shared" si="5"/>
        <v>0</v>
      </c>
      <c r="K43" s="42" t="str">
        <f t="shared" si="6"/>
        <v>0</v>
      </c>
      <c r="L43" s="76"/>
      <c r="M43" s="76"/>
      <c r="N43" s="76"/>
      <c r="O43" s="76"/>
      <c r="P43" s="76"/>
      <c r="Q43" s="76"/>
      <c r="R43" s="76"/>
    </row>
    <row r="44" spans="1:18" ht="41.45" customHeight="1">
      <c r="C44" s="42"/>
      <c r="D44" s="42"/>
      <c r="E44" s="42" t="str">
        <f t="shared" si="0"/>
        <v>0</v>
      </c>
      <c r="F44" s="42" t="str">
        <f t="shared" si="1"/>
        <v>0</v>
      </c>
      <c r="G44" s="42" t="str">
        <f t="shared" si="2"/>
        <v>0</v>
      </c>
      <c r="H44" s="42" t="str">
        <f t="shared" si="3"/>
        <v>0</v>
      </c>
      <c r="I44" s="42" t="str">
        <f t="shared" si="4"/>
        <v>0</v>
      </c>
      <c r="J44" s="42" t="str">
        <f t="shared" si="5"/>
        <v>0</v>
      </c>
      <c r="K44" s="42" t="str">
        <f t="shared" si="6"/>
        <v>0</v>
      </c>
      <c r="L44" s="76"/>
      <c r="M44" s="76"/>
      <c r="N44" s="76"/>
      <c r="O44" s="76"/>
      <c r="P44" s="76"/>
      <c r="Q44" s="76"/>
      <c r="R44" s="76"/>
    </row>
    <row r="45" spans="1:18" ht="41.45" customHeight="1">
      <c r="C45" s="42"/>
      <c r="D45" s="42"/>
      <c r="E45" s="42" t="str">
        <f t="shared" si="0"/>
        <v>0</v>
      </c>
      <c r="F45" s="42" t="str">
        <f t="shared" si="1"/>
        <v>0</v>
      </c>
      <c r="G45" s="42" t="str">
        <f t="shared" si="2"/>
        <v>0</v>
      </c>
      <c r="H45" s="42" t="str">
        <f t="shared" si="3"/>
        <v>0</v>
      </c>
      <c r="I45" s="42" t="str">
        <f t="shared" si="4"/>
        <v>0</v>
      </c>
      <c r="J45" s="42" t="str">
        <f t="shared" si="5"/>
        <v>0</v>
      </c>
      <c r="K45" s="42" t="str">
        <f t="shared" si="6"/>
        <v>0</v>
      </c>
      <c r="L45" s="76"/>
      <c r="M45" s="76"/>
      <c r="N45" s="76"/>
      <c r="O45" s="76"/>
      <c r="P45" s="76"/>
      <c r="Q45" s="76"/>
      <c r="R45" s="76"/>
    </row>
    <row r="46" spans="1:18" ht="41.45" customHeight="1">
      <c r="C46" s="42"/>
      <c r="D46" s="42"/>
      <c r="E46" s="42" t="str">
        <f t="shared" si="0"/>
        <v>0</v>
      </c>
      <c r="F46" s="42" t="str">
        <f t="shared" si="1"/>
        <v>0</v>
      </c>
      <c r="G46" s="42" t="str">
        <f t="shared" si="2"/>
        <v>0</v>
      </c>
      <c r="H46" s="42" t="str">
        <f t="shared" si="3"/>
        <v>0</v>
      </c>
      <c r="I46" s="42" t="str">
        <f t="shared" si="4"/>
        <v>0</v>
      </c>
      <c r="J46" s="42" t="str">
        <f t="shared" si="5"/>
        <v>0</v>
      </c>
      <c r="K46" s="42" t="str">
        <f t="shared" si="6"/>
        <v>0</v>
      </c>
      <c r="L46" s="76"/>
      <c r="M46" s="76"/>
      <c r="N46" s="76"/>
      <c r="O46" s="76"/>
      <c r="P46" s="76"/>
      <c r="Q46" s="76"/>
      <c r="R46" s="76"/>
    </row>
    <row r="47" spans="1:18" ht="41.45" customHeight="1">
      <c r="C47" s="42"/>
      <c r="D47" s="42"/>
      <c r="E47" s="42" t="str">
        <f t="shared" si="0"/>
        <v>0</v>
      </c>
      <c r="F47" s="42" t="str">
        <f t="shared" si="1"/>
        <v>0</v>
      </c>
      <c r="G47" s="42" t="str">
        <f t="shared" si="2"/>
        <v>0</v>
      </c>
      <c r="H47" s="42" t="str">
        <f t="shared" si="3"/>
        <v>0</v>
      </c>
      <c r="I47" s="42" t="str">
        <f t="shared" si="4"/>
        <v>0</v>
      </c>
      <c r="J47" s="42" t="str">
        <f t="shared" si="5"/>
        <v>0</v>
      </c>
      <c r="K47" s="42" t="str">
        <f t="shared" si="6"/>
        <v>0</v>
      </c>
      <c r="L47" s="76"/>
      <c r="M47" s="76"/>
      <c r="N47" s="76"/>
      <c r="O47" s="76"/>
      <c r="P47" s="76"/>
      <c r="Q47" s="76"/>
      <c r="R47" s="76"/>
    </row>
    <row r="48" spans="1:18" ht="41.45" customHeight="1">
      <c r="C48" s="42"/>
      <c r="D48" s="42"/>
      <c r="E48" s="42" t="str">
        <f t="shared" si="0"/>
        <v>0</v>
      </c>
      <c r="F48" s="42" t="str">
        <f t="shared" si="1"/>
        <v>0</v>
      </c>
      <c r="G48" s="42" t="str">
        <f t="shared" si="2"/>
        <v>0</v>
      </c>
      <c r="H48" s="42" t="str">
        <f t="shared" si="3"/>
        <v>0</v>
      </c>
      <c r="I48" s="42" t="str">
        <f t="shared" si="4"/>
        <v>0</v>
      </c>
      <c r="J48" s="42" t="str">
        <f t="shared" si="5"/>
        <v>0</v>
      </c>
      <c r="K48" s="42" t="str">
        <f t="shared" si="6"/>
        <v>0</v>
      </c>
      <c r="L48" s="76"/>
      <c r="M48" s="76"/>
      <c r="N48" s="76"/>
      <c r="O48" s="76"/>
      <c r="P48" s="76"/>
      <c r="Q48" s="76"/>
      <c r="R48" s="76"/>
    </row>
    <row r="49" spans="3:18" ht="41.45" customHeight="1">
      <c r="C49" s="42"/>
      <c r="D49" s="42"/>
      <c r="E49" s="42" t="str">
        <f t="shared" si="0"/>
        <v>0</v>
      </c>
      <c r="F49" s="42" t="str">
        <f t="shared" si="1"/>
        <v>0</v>
      </c>
      <c r="G49" s="42" t="str">
        <f t="shared" si="2"/>
        <v>0</v>
      </c>
      <c r="H49" s="42" t="str">
        <f t="shared" si="3"/>
        <v>0</v>
      </c>
      <c r="I49" s="42" t="str">
        <f t="shared" si="4"/>
        <v>0</v>
      </c>
      <c r="J49" s="42" t="str">
        <f t="shared" si="5"/>
        <v>0</v>
      </c>
      <c r="K49" s="42" t="str">
        <f t="shared" si="6"/>
        <v>0</v>
      </c>
      <c r="L49" s="76"/>
      <c r="M49" s="76"/>
      <c r="N49" s="76"/>
      <c r="O49" s="76"/>
      <c r="P49" s="76"/>
      <c r="Q49" s="76"/>
      <c r="R49" s="76"/>
    </row>
    <row r="50" spans="3:18" ht="41.45" customHeight="1">
      <c r="C50" s="42"/>
      <c r="D50" s="42"/>
      <c r="E50" s="42" t="str">
        <f t="shared" si="0"/>
        <v>0</v>
      </c>
      <c r="F50" s="42" t="str">
        <f t="shared" si="1"/>
        <v>0</v>
      </c>
      <c r="G50" s="42" t="str">
        <f t="shared" si="2"/>
        <v>0</v>
      </c>
      <c r="H50" s="42" t="str">
        <f t="shared" si="3"/>
        <v>0</v>
      </c>
      <c r="I50" s="42" t="str">
        <f t="shared" si="4"/>
        <v>0</v>
      </c>
      <c r="J50" s="42" t="str">
        <f t="shared" si="5"/>
        <v>0</v>
      </c>
      <c r="K50" s="42" t="str">
        <f t="shared" si="6"/>
        <v>0</v>
      </c>
      <c r="L50" s="76"/>
      <c r="M50" s="76"/>
      <c r="N50" s="76"/>
      <c r="O50" s="76"/>
      <c r="P50" s="76"/>
      <c r="Q50" s="76"/>
      <c r="R50" s="76"/>
    </row>
    <row r="51" spans="3:18" ht="41.45" customHeight="1">
      <c r="C51" s="42"/>
      <c r="D51" s="42"/>
      <c r="E51" s="42" t="str">
        <f t="shared" si="0"/>
        <v>0</v>
      </c>
      <c r="F51" s="42" t="str">
        <f t="shared" si="1"/>
        <v>0</v>
      </c>
      <c r="G51" s="42" t="str">
        <f t="shared" si="2"/>
        <v>0</v>
      </c>
      <c r="H51" s="42" t="str">
        <f t="shared" si="3"/>
        <v>0</v>
      </c>
      <c r="I51" s="42" t="str">
        <f t="shared" si="4"/>
        <v>0</v>
      </c>
      <c r="J51" s="42" t="str">
        <f t="shared" si="5"/>
        <v>0</v>
      </c>
      <c r="K51" s="42" t="str">
        <f t="shared" si="6"/>
        <v>0</v>
      </c>
      <c r="L51" s="76"/>
      <c r="M51" s="76"/>
      <c r="N51" s="76"/>
      <c r="O51" s="76"/>
      <c r="P51" s="76"/>
      <c r="Q51" s="76"/>
      <c r="R51" s="76"/>
    </row>
    <row r="52" spans="3:18" ht="41.45" customHeight="1">
      <c r="C52" s="42"/>
      <c r="D52" s="42"/>
      <c r="E52" s="42" t="str">
        <f t="shared" si="0"/>
        <v>0</v>
      </c>
      <c r="F52" s="42" t="str">
        <f t="shared" si="1"/>
        <v>0</v>
      </c>
      <c r="G52" s="42" t="str">
        <f t="shared" si="2"/>
        <v>0</v>
      </c>
      <c r="H52" s="42" t="str">
        <f t="shared" si="3"/>
        <v>0</v>
      </c>
      <c r="I52" s="42" t="str">
        <f t="shared" si="4"/>
        <v>0</v>
      </c>
      <c r="J52" s="42" t="str">
        <f t="shared" si="5"/>
        <v>0</v>
      </c>
      <c r="K52" s="42" t="str">
        <f t="shared" si="6"/>
        <v>0</v>
      </c>
      <c r="L52" s="76"/>
      <c r="M52" s="76"/>
      <c r="N52" s="76"/>
      <c r="O52" s="76"/>
      <c r="P52" s="76"/>
      <c r="Q52" s="76"/>
      <c r="R52" s="76"/>
    </row>
    <row r="53" spans="3:18" ht="41.45" customHeight="1">
      <c r="C53" s="42"/>
      <c r="D53" s="42"/>
      <c r="E53" s="42" t="str">
        <f t="shared" si="0"/>
        <v>0</v>
      </c>
      <c r="F53" s="42" t="str">
        <f t="shared" si="1"/>
        <v>0</v>
      </c>
      <c r="G53" s="42" t="str">
        <f t="shared" si="2"/>
        <v>0</v>
      </c>
      <c r="H53" s="42" t="str">
        <f t="shared" si="3"/>
        <v>0</v>
      </c>
      <c r="I53" s="42" t="str">
        <f t="shared" si="4"/>
        <v>0</v>
      </c>
      <c r="J53" s="42" t="str">
        <f t="shared" si="5"/>
        <v>0</v>
      </c>
      <c r="K53" s="42" t="str">
        <f t="shared" si="6"/>
        <v>0</v>
      </c>
      <c r="L53" s="76"/>
      <c r="M53" s="76"/>
      <c r="N53" s="76"/>
      <c r="O53" s="76"/>
      <c r="P53" s="76"/>
      <c r="Q53" s="76"/>
      <c r="R53" s="76"/>
    </row>
    <row r="54" spans="3:18" ht="41.45" customHeight="1">
      <c r="C54" s="42"/>
      <c r="D54" s="42"/>
      <c r="E54" s="42" t="str">
        <f t="shared" si="0"/>
        <v>0</v>
      </c>
      <c r="F54" s="42" t="str">
        <f t="shared" si="1"/>
        <v>0</v>
      </c>
      <c r="G54" s="42" t="str">
        <f t="shared" si="2"/>
        <v>0</v>
      </c>
      <c r="H54" s="42" t="str">
        <f t="shared" si="3"/>
        <v>0</v>
      </c>
      <c r="I54" s="42" t="str">
        <f t="shared" si="4"/>
        <v>0</v>
      </c>
      <c r="J54" s="42" t="str">
        <f t="shared" si="5"/>
        <v>0</v>
      </c>
      <c r="K54" s="42" t="str">
        <f t="shared" si="6"/>
        <v>0</v>
      </c>
      <c r="L54" s="76"/>
      <c r="M54" s="76"/>
      <c r="N54" s="76"/>
      <c r="O54" s="76"/>
      <c r="P54" s="76"/>
      <c r="Q54" s="76"/>
      <c r="R54" s="76"/>
    </row>
    <row r="55" spans="3:18" ht="41.45" customHeight="1">
      <c r="C55" s="42"/>
      <c r="D55" s="42"/>
      <c r="E55" s="42" t="str">
        <f t="shared" si="0"/>
        <v>0</v>
      </c>
      <c r="F55" s="42" t="str">
        <f t="shared" si="1"/>
        <v>0</v>
      </c>
      <c r="G55" s="42" t="str">
        <f t="shared" si="2"/>
        <v>0</v>
      </c>
      <c r="H55" s="42" t="str">
        <f t="shared" si="3"/>
        <v>0</v>
      </c>
      <c r="I55" s="42" t="str">
        <f t="shared" si="4"/>
        <v>0</v>
      </c>
      <c r="J55" s="42" t="str">
        <f t="shared" si="5"/>
        <v>0</v>
      </c>
      <c r="K55" s="42" t="str">
        <f t="shared" si="6"/>
        <v>0</v>
      </c>
      <c r="L55" s="76"/>
      <c r="M55" s="76"/>
      <c r="N55" s="76"/>
      <c r="O55" s="76"/>
      <c r="P55" s="76"/>
      <c r="Q55" s="76"/>
      <c r="R55" s="76"/>
    </row>
    <row r="56" spans="3:18" ht="41.45" customHeight="1">
      <c r="C56" s="42"/>
      <c r="D56" s="42"/>
      <c r="E56" s="42" t="str">
        <f t="shared" si="0"/>
        <v>0</v>
      </c>
      <c r="F56" s="42" t="str">
        <f t="shared" si="1"/>
        <v>0</v>
      </c>
      <c r="G56" s="42" t="str">
        <f t="shared" si="2"/>
        <v>0</v>
      </c>
      <c r="H56" s="42" t="str">
        <f t="shared" si="3"/>
        <v>0</v>
      </c>
      <c r="I56" s="42" t="str">
        <f t="shared" si="4"/>
        <v>0</v>
      </c>
      <c r="J56" s="42" t="str">
        <f t="shared" si="5"/>
        <v>0</v>
      </c>
      <c r="K56" s="42" t="str">
        <f t="shared" si="6"/>
        <v>0</v>
      </c>
      <c r="L56" s="76"/>
      <c r="M56" s="76"/>
      <c r="N56" s="76"/>
      <c r="O56" s="76"/>
      <c r="P56" s="76"/>
      <c r="Q56" s="76"/>
      <c r="R56" s="76"/>
    </row>
    <row r="57" spans="3:18" ht="41.45" customHeight="1">
      <c r="C57" s="42"/>
      <c r="D57" s="42"/>
      <c r="E57" s="42" t="str">
        <f t="shared" si="0"/>
        <v>0</v>
      </c>
      <c r="F57" s="42" t="str">
        <f t="shared" si="1"/>
        <v>0</v>
      </c>
      <c r="G57" s="42" t="str">
        <f t="shared" si="2"/>
        <v>0</v>
      </c>
      <c r="H57" s="42" t="str">
        <f t="shared" si="3"/>
        <v>0</v>
      </c>
      <c r="I57" s="42" t="str">
        <f t="shared" si="4"/>
        <v>0</v>
      </c>
      <c r="J57" s="42" t="str">
        <f t="shared" si="5"/>
        <v>0</v>
      </c>
      <c r="K57" s="42" t="str">
        <f t="shared" si="6"/>
        <v>0</v>
      </c>
      <c r="L57" s="76"/>
      <c r="M57" s="76"/>
      <c r="N57" s="76"/>
      <c r="O57" s="76"/>
      <c r="P57" s="76"/>
      <c r="Q57" s="76"/>
      <c r="R57" s="76"/>
    </row>
    <row r="58" spans="3:18" ht="41.45" customHeight="1">
      <c r="C58" s="42"/>
      <c r="D58" s="42"/>
      <c r="E58" s="42" t="str">
        <f t="shared" si="0"/>
        <v>0</v>
      </c>
      <c r="F58" s="42" t="str">
        <f t="shared" si="1"/>
        <v>0</v>
      </c>
      <c r="G58" s="42" t="str">
        <f t="shared" si="2"/>
        <v>0</v>
      </c>
      <c r="H58" s="42" t="str">
        <f t="shared" si="3"/>
        <v>0</v>
      </c>
      <c r="I58" s="42" t="str">
        <f t="shared" si="4"/>
        <v>0</v>
      </c>
      <c r="J58" s="42" t="str">
        <f t="shared" si="5"/>
        <v>0</v>
      </c>
      <c r="K58" s="42" t="str">
        <f t="shared" si="6"/>
        <v>0</v>
      </c>
      <c r="L58" s="76"/>
      <c r="M58" s="76"/>
      <c r="N58" s="76"/>
      <c r="O58" s="76"/>
      <c r="P58" s="76"/>
      <c r="Q58" s="76"/>
      <c r="R58" s="76"/>
    </row>
    <row r="59" spans="3:18" ht="41.45" customHeight="1">
      <c r="C59" s="42"/>
      <c r="D59" s="42"/>
      <c r="E59" s="42" t="str">
        <f t="shared" si="0"/>
        <v>0</v>
      </c>
      <c r="F59" s="42" t="str">
        <f t="shared" si="1"/>
        <v>0</v>
      </c>
      <c r="G59" s="42" t="str">
        <f t="shared" si="2"/>
        <v>0</v>
      </c>
      <c r="H59" s="42" t="str">
        <f t="shared" si="3"/>
        <v>0</v>
      </c>
      <c r="I59" s="42" t="str">
        <f t="shared" si="4"/>
        <v>0</v>
      </c>
      <c r="J59" s="42" t="str">
        <f t="shared" si="5"/>
        <v>0</v>
      </c>
      <c r="K59" s="42" t="str">
        <f t="shared" si="6"/>
        <v>0</v>
      </c>
      <c r="L59" s="76"/>
      <c r="M59" s="76"/>
      <c r="N59" s="76"/>
      <c r="O59" s="76"/>
      <c r="P59" s="76"/>
      <c r="Q59" s="76"/>
      <c r="R59" s="76"/>
    </row>
    <row r="60" spans="3:18" ht="41.45" customHeight="1">
      <c r="C60" s="42"/>
      <c r="D60" s="42"/>
      <c r="E60" s="42" t="str">
        <f t="shared" si="0"/>
        <v>0</v>
      </c>
      <c r="F60" s="42" t="str">
        <f t="shared" si="1"/>
        <v>0</v>
      </c>
      <c r="G60" s="42" t="str">
        <f t="shared" si="2"/>
        <v>0</v>
      </c>
      <c r="H60" s="42" t="str">
        <f t="shared" si="3"/>
        <v>0</v>
      </c>
      <c r="I60" s="42" t="str">
        <f t="shared" si="4"/>
        <v>0</v>
      </c>
      <c r="J60" s="42" t="str">
        <f t="shared" si="5"/>
        <v>0</v>
      </c>
      <c r="K60" s="42" t="str">
        <f t="shared" si="6"/>
        <v>0</v>
      </c>
      <c r="L60" s="76"/>
      <c r="M60" s="76"/>
      <c r="N60" s="76"/>
      <c r="O60" s="76"/>
      <c r="P60" s="76"/>
      <c r="Q60" s="76"/>
      <c r="R60" s="76"/>
    </row>
    <row r="61" spans="3:18" ht="41.45" customHeight="1">
      <c r="C61" s="42"/>
      <c r="D61" s="42"/>
      <c r="E61" s="42" t="str">
        <f t="shared" si="0"/>
        <v>0</v>
      </c>
      <c r="F61" s="42" t="str">
        <f t="shared" si="1"/>
        <v>0</v>
      </c>
      <c r="G61" s="42" t="str">
        <f t="shared" si="2"/>
        <v>0</v>
      </c>
      <c r="H61" s="42" t="str">
        <f t="shared" si="3"/>
        <v>0</v>
      </c>
      <c r="I61" s="42" t="str">
        <f t="shared" si="4"/>
        <v>0</v>
      </c>
      <c r="J61" s="42" t="str">
        <f t="shared" si="5"/>
        <v>0</v>
      </c>
      <c r="K61" s="42" t="str">
        <f t="shared" si="6"/>
        <v>0</v>
      </c>
      <c r="L61" s="76"/>
      <c r="M61" s="76"/>
      <c r="N61" s="76"/>
      <c r="O61" s="76"/>
      <c r="P61" s="76"/>
      <c r="Q61" s="76"/>
      <c r="R61" s="76"/>
    </row>
    <row r="62" spans="3:18" ht="41.45" customHeight="1">
      <c r="C62" s="42"/>
      <c r="D62" s="42"/>
      <c r="E62" s="42">
        <f>SUM(E36:E61)</f>
        <v>0</v>
      </c>
      <c r="F62" s="42">
        <f t="shared" ref="F62:K62" si="7">SUM(F36:F61)</f>
        <v>43.09</v>
      </c>
      <c r="G62" s="42">
        <f t="shared" si="7"/>
        <v>0</v>
      </c>
      <c r="H62" s="42">
        <f t="shared" si="7"/>
        <v>0</v>
      </c>
      <c r="I62" s="42">
        <f t="shared" si="7"/>
        <v>0</v>
      </c>
      <c r="J62" s="42">
        <f t="shared" si="7"/>
        <v>43.09</v>
      </c>
      <c r="K62" s="42">
        <f t="shared" si="7"/>
        <v>0</v>
      </c>
      <c r="L62" s="76"/>
      <c r="M62" s="76"/>
      <c r="N62" s="76"/>
      <c r="O62" s="76"/>
      <c r="P62" s="76"/>
      <c r="Q62" s="76"/>
      <c r="R62" s="76"/>
    </row>
    <row r="63" spans="3:18" ht="41.45" customHeight="1">
      <c r="C63" s="42"/>
      <c r="D63" s="42"/>
      <c r="E63" s="42"/>
      <c r="F63" s="43"/>
      <c r="G63" s="43"/>
      <c r="H63" s="43"/>
      <c r="I63" s="43"/>
      <c r="J63" s="43"/>
      <c r="K63" s="43"/>
      <c r="L63" s="76"/>
      <c r="M63" s="76"/>
      <c r="N63" s="76"/>
      <c r="O63" s="76"/>
      <c r="P63" s="76"/>
      <c r="Q63" s="76"/>
      <c r="R63" s="76"/>
    </row>
    <row r="64" spans="3:18" ht="41.45" customHeight="1">
      <c r="C64" s="42"/>
      <c r="D64" s="42"/>
      <c r="E64" s="42"/>
      <c r="F64" s="43"/>
      <c r="G64" s="43"/>
      <c r="H64" s="43"/>
      <c r="I64" s="43"/>
      <c r="J64" s="43"/>
      <c r="K64" s="43"/>
      <c r="L64" s="76"/>
      <c r="M64" s="76"/>
      <c r="N64" s="76"/>
      <c r="O64" s="76"/>
      <c r="P64" s="76"/>
      <c r="Q64" s="76"/>
      <c r="R64" s="76"/>
    </row>
    <row r="65" spans="3:18" ht="41.45" customHeight="1">
      <c r="C65" s="42"/>
      <c r="D65" s="42"/>
      <c r="E65" s="42"/>
      <c r="F65" s="43"/>
      <c r="G65" s="43"/>
      <c r="H65" s="43"/>
      <c r="I65" s="43"/>
      <c r="J65" s="43"/>
      <c r="K65" s="43"/>
      <c r="L65" s="76"/>
      <c r="M65" s="76"/>
      <c r="N65" s="76"/>
      <c r="O65" s="76"/>
      <c r="P65" s="76"/>
      <c r="Q65" s="76"/>
      <c r="R65" s="76"/>
    </row>
    <row r="66" spans="3:18" ht="41.45" customHeight="1">
      <c r="C66" s="42"/>
      <c r="D66" s="42"/>
      <c r="E66" s="42"/>
      <c r="F66" s="43"/>
      <c r="G66" s="43"/>
      <c r="H66" s="43"/>
      <c r="I66" s="43"/>
      <c r="J66" s="43"/>
      <c r="K66" s="43"/>
      <c r="L66" s="76"/>
      <c r="M66" s="76"/>
      <c r="N66" s="76"/>
      <c r="O66" s="76"/>
      <c r="P66" s="76"/>
      <c r="Q66" s="76"/>
      <c r="R66" s="76"/>
    </row>
    <row r="67" spans="3:18" ht="41.45" customHeight="1">
      <c r="C67" s="42"/>
      <c r="D67" s="42"/>
      <c r="E67" s="42"/>
      <c r="F67" s="43"/>
      <c r="G67" s="43"/>
      <c r="H67" s="43"/>
      <c r="I67" s="43"/>
      <c r="J67" s="43"/>
      <c r="K67" s="43"/>
      <c r="L67" s="76"/>
      <c r="M67" s="76"/>
      <c r="N67" s="76"/>
      <c r="O67" s="76"/>
      <c r="P67" s="76"/>
      <c r="Q67" s="76"/>
      <c r="R67" s="76"/>
    </row>
    <row r="68" spans="3:18" ht="41.45" customHeight="1">
      <c r="C68" s="42"/>
      <c r="D68" s="42"/>
      <c r="E68" s="42"/>
      <c r="F68" s="43"/>
      <c r="G68" s="43"/>
      <c r="H68" s="43"/>
      <c r="I68" s="43"/>
      <c r="J68" s="43"/>
      <c r="K68" s="43"/>
      <c r="L68" s="76"/>
      <c r="M68" s="76"/>
      <c r="N68" s="76"/>
      <c r="O68" s="76"/>
      <c r="P68" s="76"/>
      <c r="Q68" s="76"/>
      <c r="R68" s="76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R82"/>
  <sheetViews>
    <sheetView view="pageBreakPreview" zoomScale="40" zoomScaleNormal="25" zoomScaleSheetLayoutView="40" workbookViewId="0">
      <selection activeCell="J3" sqref="J3"/>
    </sheetView>
  </sheetViews>
  <sheetFormatPr defaultColWidth="8.875" defaultRowHeight="15"/>
  <cols>
    <col min="1" max="1" width="33.375" style="1" customWidth="1"/>
    <col min="2" max="2" width="17.125" style="1" customWidth="1"/>
    <col min="3" max="4" width="13.375" style="1" customWidth="1"/>
    <col min="5" max="5" width="26.375" style="2" customWidth="1"/>
    <col min="6" max="6" width="30.125" style="2" customWidth="1"/>
    <col min="7" max="7" width="26.375" style="2" customWidth="1"/>
    <col min="8" max="8" width="33.125" style="2" customWidth="1"/>
    <col min="9" max="11" width="32" style="2" customWidth="1"/>
    <col min="12" max="14" width="14.375" style="1" customWidth="1"/>
    <col min="15" max="17" width="14.625" style="1" customWidth="1"/>
    <col min="18" max="18" width="37.37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84" t="s">
        <v>3</v>
      </c>
      <c r="J1" s="86">
        <f>'46'!J1</f>
        <v>46204</v>
      </c>
      <c r="K1" s="11"/>
      <c r="L1" s="88" t="s">
        <v>4</v>
      </c>
      <c r="M1" s="88"/>
      <c r="N1" s="90" t="str">
        <f>'46'!N1</f>
        <v>ENG. VINÍCIUS RODRIGUES FERREIRA DE OLIVEIRA</v>
      </c>
      <c r="O1" s="90"/>
      <c r="P1" s="90"/>
      <c r="Q1" s="90"/>
      <c r="R1" s="91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85"/>
      <c r="J2" s="87"/>
      <c r="K2" s="16"/>
      <c r="L2" s="89"/>
      <c r="M2" s="89"/>
      <c r="N2" s="92"/>
      <c r="O2" s="92"/>
      <c r="P2" s="92"/>
      <c r="Q2" s="92"/>
      <c r="R2" s="93"/>
    </row>
    <row r="3" spans="1:18" ht="19.5">
      <c r="A3" s="13" t="s">
        <v>23</v>
      </c>
      <c r="B3" s="45" t="str">
        <f>TT!C9</f>
        <v>RODOVIA TO-419 - TRECHO POVOADO BARRA DA GROTA - ENTR. TO-222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98" t="s">
        <v>1</v>
      </c>
      <c r="B5" s="94" t="s">
        <v>7</v>
      </c>
      <c r="C5" s="100" t="s">
        <v>5</v>
      </c>
      <c r="D5" s="100" t="s">
        <v>6</v>
      </c>
      <c r="E5" s="94" t="s">
        <v>10</v>
      </c>
      <c r="F5" s="94"/>
      <c r="G5" s="94"/>
      <c r="H5" s="94"/>
      <c r="I5" s="94" t="s">
        <v>11</v>
      </c>
      <c r="J5" s="94"/>
      <c r="K5" s="94"/>
      <c r="L5" s="94" t="s">
        <v>8</v>
      </c>
      <c r="M5" s="94"/>
      <c r="N5" s="94"/>
      <c r="O5" s="94"/>
      <c r="P5" s="94"/>
      <c r="Q5" s="94"/>
      <c r="R5" s="95"/>
    </row>
    <row r="6" spans="1:18" s="6" customFormat="1" ht="79.150000000000006" customHeight="1">
      <c r="A6" s="99"/>
      <c r="B6" s="96"/>
      <c r="C6" s="96"/>
      <c r="D6" s="96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6"/>
      <c r="M6" s="96"/>
      <c r="N6" s="96"/>
      <c r="O6" s="96"/>
      <c r="P6" s="96"/>
      <c r="Q6" s="96"/>
      <c r="R6" s="97"/>
    </row>
    <row r="7" spans="1:18" ht="41.45" customHeight="1">
      <c r="A7" s="38" t="s">
        <v>71</v>
      </c>
      <c r="B7" s="21" t="s">
        <v>18</v>
      </c>
      <c r="C7" s="22">
        <v>0</v>
      </c>
      <c r="D7" s="22">
        <v>1</v>
      </c>
      <c r="E7" s="74" t="s">
        <v>19</v>
      </c>
      <c r="F7" s="71"/>
      <c r="G7" s="21"/>
      <c r="H7" s="21"/>
      <c r="I7" s="21" t="s">
        <v>19</v>
      </c>
      <c r="J7" s="71"/>
      <c r="K7" s="21"/>
      <c r="L7" s="78"/>
      <c r="M7" s="78"/>
      <c r="N7" s="78"/>
      <c r="O7" s="78"/>
      <c r="P7" s="78"/>
      <c r="Q7" s="78"/>
      <c r="R7" s="79"/>
    </row>
    <row r="8" spans="1:18" ht="41.45" customHeight="1">
      <c r="A8" s="38"/>
      <c r="B8" s="21"/>
      <c r="C8" s="22">
        <f>D7</f>
        <v>1</v>
      </c>
      <c r="D8" s="22">
        <v>2</v>
      </c>
      <c r="E8" s="74" t="s">
        <v>19</v>
      </c>
      <c r="F8" s="71"/>
      <c r="G8" s="21"/>
      <c r="H8" s="21"/>
      <c r="I8" s="21" t="s">
        <v>19</v>
      </c>
      <c r="J8" s="71"/>
      <c r="K8" s="21"/>
      <c r="L8" s="78"/>
      <c r="M8" s="78"/>
      <c r="N8" s="78"/>
      <c r="O8" s="78"/>
      <c r="P8" s="78"/>
      <c r="Q8" s="78"/>
      <c r="R8" s="79"/>
    </row>
    <row r="9" spans="1:18" ht="41.45" customHeight="1">
      <c r="A9" s="38"/>
      <c r="B9" s="21"/>
      <c r="C9" s="22">
        <f t="shared" ref="C9:C35" si="0">D8</f>
        <v>2</v>
      </c>
      <c r="D9" s="22">
        <v>3</v>
      </c>
      <c r="E9" s="74" t="s">
        <v>19</v>
      </c>
      <c r="F9" s="21"/>
      <c r="G9" s="21"/>
      <c r="H9" s="21"/>
      <c r="I9" s="74" t="s">
        <v>19</v>
      </c>
      <c r="J9" s="21"/>
      <c r="K9" s="21"/>
      <c r="L9" s="78"/>
      <c r="M9" s="78"/>
      <c r="N9" s="78"/>
      <c r="O9" s="78"/>
      <c r="P9" s="78"/>
      <c r="Q9" s="78"/>
      <c r="R9" s="79"/>
    </row>
    <row r="10" spans="1:18" ht="41.45" customHeight="1">
      <c r="A10" s="38"/>
      <c r="B10" s="21"/>
      <c r="C10" s="22">
        <f t="shared" si="0"/>
        <v>3</v>
      </c>
      <c r="D10" s="22">
        <v>4</v>
      </c>
      <c r="E10" s="74" t="s">
        <v>19</v>
      </c>
      <c r="F10" s="21"/>
      <c r="G10" s="21"/>
      <c r="H10" s="21"/>
      <c r="I10" s="74" t="s">
        <v>19</v>
      </c>
      <c r="J10" s="21"/>
      <c r="K10" s="21"/>
      <c r="L10" s="78"/>
      <c r="M10" s="78"/>
      <c r="N10" s="78"/>
      <c r="O10" s="78"/>
      <c r="P10" s="78"/>
      <c r="Q10" s="78"/>
      <c r="R10" s="79"/>
    </row>
    <row r="11" spans="1:18" ht="41.45" customHeight="1">
      <c r="A11" s="38"/>
      <c r="B11" s="21"/>
      <c r="C11" s="22">
        <f t="shared" si="0"/>
        <v>4</v>
      </c>
      <c r="D11" s="22">
        <v>5</v>
      </c>
      <c r="E11" s="74" t="s">
        <v>19</v>
      </c>
      <c r="F11" s="21"/>
      <c r="G11" s="72"/>
      <c r="H11" s="21"/>
      <c r="I11" s="21" t="s">
        <v>19</v>
      </c>
      <c r="J11" s="21"/>
      <c r="K11" s="21"/>
      <c r="L11" s="78"/>
      <c r="M11" s="78"/>
      <c r="N11" s="78"/>
      <c r="O11" s="78"/>
      <c r="P11" s="78"/>
      <c r="Q11" s="78"/>
      <c r="R11" s="79"/>
    </row>
    <row r="12" spans="1:18" ht="41.45" customHeight="1">
      <c r="A12" s="38"/>
      <c r="B12" s="21"/>
      <c r="C12" s="22">
        <f t="shared" si="0"/>
        <v>5</v>
      </c>
      <c r="D12" s="22">
        <v>6</v>
      </c>
      <c r="E12" s="74" t="s">
        <v>19</v>
      </c>
      <c r="F12" s="71"/>
      <c r="G12" s="72"/>
      <c r="H12" s="21"/>
      <c r="I12" s="21" t="s">
        <v>19</v>
      </c>
      <c r="J12" s="21"/>
      <c r="K12" s="21"/>
      <c r="L12" s="78"/>
      <c r="M12" s="78"/>
      <c r="N12" s="78"/>
      <c r="O12" s="78"/>
      <c r="P12" s="78"/>
      <c r="Q12" s="78"/>
      <c r="R12" s="79"/>
    </row>
    <row r="13" spans="1:18" ht="41.45" customHeight="1">
      <c r="A13" s="38"/>
      <c r="B13" s="21"/>
      <c r="C13" s="22">
        <f t="shared" si="0"/>
        <v>6</v>
      </c>
      <c r="D13" s="22">
        <v>7</v>
      </c>
      <c r="E13" s="74" t="s">
        <v>19</v>
      </c>
      <c r="F13" s="71"/>
      <c r="G13" s="72"/>
      <c r="H13" s="21"/>
      <c r="I13" s="21" t="s">
        <v>19</v>
      </c>
      <c r="J13" s="21"/>
      <c r="K13" s="21"/>
      <c r="L13" s="78"/>
      <c r="M13" s="78"/>
      <c r="N13" s="78"/>
      <c r="O13" s="78"/>
      <c r="P13" s="78"/>
      <c r="Q13" s="78"/>
      <c r="R13" s="79"/>
    </row>
    <row r="14" spans="1:18" ht="41.45" customHeight="1">
      <c r="A14" s="38"/>
      <c r="B14" s="21"/>
      <c r="C14" s="22">
        <f t="shared" si="0"/>
        <v>7</v>
      </c>
      <c r="D14" s="22">
        <v>8</v>
      </c>
      <c r="E14" s="74" t="s">
        <v>19</v>
      </c>
      <c r="F14" s="21"/>
      <c r="G14" s="72"/>
      <c r="H14" s="21"/>
      <c r="I14" s="21" t="s">
        <v>19</v>
      </c>
      <c r="J14" s="21"/>
      <c r="K14" s="21"/>
      <c r="L14" s="78"/>
      <c r="M14" s="78"/>
      <c r="N14" s="78"/>
      <c r="O14" s="78"/>
      <c r="P14" s="78"/>
      <c r="Q14" s="78"/>
      <c r="R14" s="79"/>
    </row>
    <row r="15" spans="1:18" ht="41.45" customHeight="1">
      <c r="A15" s="38"/>
      <c r="B15" s="21"/>
      <c r="C15" s="22">
        <f t="shared" si="0"/>
        <v>8</v>
      </c>
      <c r="D15" s="22">
        <v>9</v>
      </c>
      <c r="E15" s="74" t="s">
        <v>19</v>
      </c>
      <c r="F15" s="21"/>
      <c r="G15" s="72"/>
      <c r="H15" s="21"/>
      <c r="I15" s="21" t="s">
        <v>19</v>
      </c>
      <c r="J15" s="21"/>
      <c r="K15" s="21"/>
      <c r="L15" s="78"/>
      <c r="M15" s="78"/>
      <c r="N15" s="78"/>
      <c r="O15" s="78"/>
      <c r="P15" s="78"/>
      <c r="Q15" s="78"/>
      <c r="R15" s="79"/>
    </row>
    <row r="16" spans="1:18" ht="41.45" customHeight="1">
      <c r="A16" s="38"/>
      <c r="B16" s="21"/>
      <c r="C16" s="22">
        <f t="shared" si="0"/>
        <v>9</v>
      </c>
      <c r="D16" s="22">
        <v>10</v>
      </c>
      <c r="E16" s="74" t="s">
        <v>19</v>
      </c>
      <c r="F16" s="21"/>
      <c r="G16" s="72"/>
      <c r="H16" s="21"/>
      <c r="I16" s="21" t="s">
        <v>19</v>
      </c>
      <c r="J16" s="21"/>
      <c r="K16" s="21"/>
      <c r="L16" s="78"/>
      <c r="M16" s="78"/>
      <c r="N16" s="78"/>
      <c r="O16" s="78"/>
      <c r="P16" s="78"/>
      <c r="Q16" s="78"/>
      <c r="R16" s="79"/>
    </row>
    <row r="17" spans="1:18" ht="41.45" customHeight="1">
      <c r="A17" s="38"/>
      <c r="B17" s="21"/>
      <c r="C17" s="22">
        <f t="shared" si="0"/>
        <v>10</v>
      </c>
      <c r="D17" s="22">
        <v>11</v>
      </c>
      <c r="E17" s="74" t="s">
        <v>19</v>
      </c>
      <c r="F17" s="71"/>
      <c r="G17" s="72"/>
      <c r="H17" s="21"/>
      <c r="I17" s="21" t="s">
        <v>19</v>
      </c>
      <c r="J17" s="21"/>
      <c r="K17" s="21"/>
      <c r="L17" s="78"/>
      <c r="M17" s="78"/>
      <c r="N17" s="78"/>
      <c r="O17" s="78"/>
      <c r="P17" s="78"/>
      <c r="Q17" s="78"/>
      <c r="R17" s="79"/>
    </row>
    <row r="18" spans="1:18" ht="41.45" customHeight="1">
      <c r="A18" s="19"/>
      <c r="B18" s="3"/>
      <c r="C18" s="22">
        <f t="shared" si="0"/>
        <v>11</v>
      </c>
      <c r="D18" s="22">
        <v>12</v>
      </c>
      <c r="E18" s="74" t="s">
        <v>19</v>
      </c>
      <c r="F18" s="71"/>
      <c r="G18" s="72"/>
      <c r="H18" s="21"/>
      <c r="I18" s="21" t="s">
        <v>19</v>
      </c>
      <c r="J18" s="21"/>
      <c r="K18" s="21"/>
      <c r="L18" s="78"/>
      <c r="M18" s="78"/>
      <c r="N18" s="78"/>
      <c r="O18" s="78"/>
      <c r="P18" s="78"/>
      <c r="Q18" s="78"/>
      <c r="R18" s="79"/>
    </row>
    <row r="19" spans="1:18" ht="41.45" customHeight="1">
      <c r="A19" s="19"/>
      <c r="B19" s="3"/>
      <c r="C19" s="22">
        <f t="shared" si="0"/>
        <v>12</v>
      </c>
      <c r="D19" s="22">
        <v>13</v>
      </c>
      <c r="E19" s="74" t="s">
        <v>19</v>
      </c>
      <c r="F19" s="71"/>
      <c r="G19" s="72"/>
      <c r="H19" s="21"/>
      <c r="I19" s="21" t="s">
        <v>19</v>
      </c>
      <c r="J19" s="21"/>
      <c r="K19" s="21"/>
      <c r="L19" s="78"/>
      <c r="M19" s="78"/>
      <c r="N19" s="78"/>
      <c r="O19" s="78"/>
      <c r="P19" s="78"/>
      <c r="Q19" s="78"/>
      <c r="R19" s="79"/>
    </row>
    <row r="20" spans="1:18" ht="41.45" customHeight="1">
      <c r="A20" s="19"/>
      <c r="B20" s="3"/>
      <c r="C20" s="22">
        <f t="shared" si="0"/>
        <v>13</v>
      </c>
      <c r="D20" s="22">
        <v>14</v>
      </c>
      <c r="E20" s="74" t="s">
        <v>19</v>
      </c>
      <c r="F20" s="71"/>
      <c r="G20" s="72"/>
      <c r="H20" s="21"/>
      <c r="I20" s="21" t="s">
        <v>19</v>
      </c>
      <c r="J20" s="21"/>
      <c r="K20" s="21"/>
      <c r="L20" s="78"/>
      <c r="M20" s="78"/>
      <c r="N20" s="78"/>
      <c r="O20" s="78"/>
      <c r="P20" s="78"/>
      <c r="Q20" s="78"/>
      <c r="R20" s="79"/>
    </row>
    <row r="21" spans="1:18" ht="41.45" customHeight="1">
      <c r="A21" s="19"/>
      <c r="B21" s="3"/>
      <c r="C21" s="22">
        <f t="shared" si="0"/>
        <v>14</v>
      </c>
      <c r="D21" s="22">
        <v>15</v>
      </c>
      <c r="E21" s="74" t="s">
        <v>19</v>
      </c>
      <c r="F21" s="21"/>
      <c r="G21" s="72"/>
      <c r="H21" s="21"/>
      <c r="I21" s="21" t="s">
        <v>19</v>
      </c>
      <c r="J21" s="21"/>
      <c r="K21" s="21"/>
      <c r="L21" s="78"/>
      <c r="M21" s="78"/>
      <c r="N21" s="78"/>
      <c r="O21" s="78"/>
      <c r="P21" s="78"/>
      <c r="Q21" s="78"/>
      <c r="R21" s="79"/>
    </row>
    <row r="22" spans="1:18" ht="41.45" customHeight="1">
      <c r="A22" s="19"/>
      <c r="B22" s="3"/>
      <c r="C22" s="22">
        <f t="shared" si="0"/>
        <v>15</v>
      </c>
      <c r="D22" s="22">
        <v>16</v>
      </c>
      <c r="E22" s="74" t="s">
        <v>19</v>
      </c>
      <c r="F22" s="21"/>
      <c r="G22" s="72"/>
      <c r="H22" s="21"/>
      <c r="I22" s="21" t="s">
        <v>19</v>
      </c>
      <c r="J22" s="21"/>
      <c r="K22" s="21"/>
      <c r="L22" s="78"/>
      <c r="M22" s="78"/>
      <c r="N22" s="78"/>
      <c r="O22" s="78"/>
      <c r="P22" s="78"/>
      <c r="Q22" s="78"/>
      <c r="R22" s="79"/>
    </row>
    <row r="23" spans="1:18" ht="41.45" customHeight="1">
      <c r="A23" s="19"/>
      <c r="B23" s="3"/>
      <c r="C23" s="22">
        <f t="shared" si="0"/>
        <v>16</v>
      </c>
      <c r="D23" s="22">
        <v>17</v>
      </c>
      <c r="E23" s="74" t="s">
        <v>19</v>
      </c>
      <c r="F23" s="71"/>
      <c r="G23" s="72"/>
      <c r="H23" s="21"/>
      <c r="I23" s="21" t="s">
        <v>19</v>
      </c>
      <c r="J23" s="21"/>
      <c r="K23" s="21"/>
      <c r="L23" s="78"/>
      <c r="M23" s="78"/>
      <c r="N23" s="78"/>
      <c r="O23" s="78"/>
      <c r="P23" s="78"/>
      <c r="Q23" s="78"/>
      <c r="R23" s="79"/>
    </row>
    <row r="24" spans="1:18" ht="41.45" customHeight="1">
      <c r="A24" s="19"/>
      <c r="B24" s="3"/>
      <c r="C24" s="22">
        <f t="shared" si="0"/>
        <v>17</v>
      </c>
      <c r="D24" s="22">
        <v>18</v>
      </c>
      <c r="E24" s="74" t="s">
        <v>19</v>
      </c>
      <c r="F24" s="71"/>
      <c r="G24" s="72"/>
      <c r="H24" s="21"/>
      <c r="I24" s="21" t="s">
        <v>19</v>
      </c>
      <c r="J24" s="21"/>
      <c r="K24" s="21"/>
      <c r="L24" s="78"/>
      <c r="M24" s="78"/>
      <c r="N24" s="78"/>
      <c r="O24" s="78"/>
      <c r="P24" s="78"/>
      <c r="Q24" s="78"/>
      <c r="R24" s="79"/>
    </row>
    <row r="25" spans="1:18" ht="41.45" customHeight="1">
      <c r="A25" s="19"/>
      <c r="B25" s="3"/>
      <c r="C25" s="22">
        <f t="shared" si="0"/>
        <v>18</v>
      </c>
      <c r="D25" s="22">
        <v>19</v>
      </c>
      <c r="E25" s="74" t="s">
        <v>19</v>
      </c>
      <c r="F25" s="21"/>
      <c r="G25" s="72"/>
      <c r="H25" s="21"/>
      <c r="I25" s="21" t="s">
        <v>19</v>
      </c>
      <c r="J25" s="21"/>
      <c r="K25" s="21"/>
      <c r="L25" s="78"/>
      <c r="M25" s="78"/>
      <c r="N25" s="78"/>
      <c r="O25" s="78"/>
      <c r="P25" s="78"/>
      <c r="Q25" s="78"/>
      <c r="R25" s="79"/>
    </row>
    <row r="26" spans="1:18" ht="41.45" customHeight="1">
      <c r="A26" s="19"/>
      <c r="B26" s="3"/>
      <c r="C26" s="22">
        <f t="shared" si="0"/>
        <v>19</v>
      </c>
      <c r="D26" s="22">
        <v>20</v>
      </c>
      <c r="E26" s="74" t="s">
        <v>19</v>
      </c>
      <c r="F26" s="21"/>
      <c r="G26" s="72"/>
      <c r="H26" s="21"/>
      <c r="I26" s="21" t="s">
        <v>19</v>
      </c>
      <c r="J26" s="21"/>
      <c r="K26" s="21"/>
      <c r="L26" s="78"/>
      <c r="M26" s="78"/>
      <c r="N26" s="78"/>
      <c r="O26" s="78"/>
      <c r="P26" s="78"/>
      <c r="Q26" s="78"/>
      <c r="R26" s="79"/>
    </row>
    <row r="27" spans="1:18" ht="41.45" customHeight="1">
      <c r="A27" s="19"/>
      <c r="B27" s="3"/>
      <c r="C27" s="22">
        <f t="shared" si="0"/>
        <v>20</v>
      </c>
      <c r="D27" s="22">
        <v>21</v>
      </c>
      <c r="E27" s="74" t="s">
        <v>19</v>
      </c>
      <c r="F27" s="71"/>
      <c r="G27" s="72"/>
      <c r="H27" s="21"/>
      <c r="I27" s="21" t="s">
        <v>19</v>
      </c>
      <c r="J27" s="21"/>
      <c r="K27" s="21"/>
      <c r="L27" s="78"/>
      <c r="M27" s="78"/>
      <c r="N27" s="78"/>
      <c r="O27" s="78"/>
      <c r="P27" s="78"/>
      <c r="Q27" s="78"/>
      <c r="R27" s="79"/>
    </row>
    <row r="28" spans="1:18" ht="41.45" customHeight="1">
      <c r="A28" s="19"/>
      <c r="B28" s="3"/>
      <c r="C28" s="22">
        <f t="shared" si="0"/>
        <v>21</v>
      </c>
      <c r="D28" s="22">
        <v>22</v>
      </c>
      <c r="E28" s="74" t="s">
        <v>19</v>
      </c>
      <c r="F28" s="71"/>
      <c r="G28" s="21"/>
      <c r="H28" s="21"/>
      <c r="I28" s="21" t="s">
        <v>19</v>
      </c>
      <c r="J28" s="21"/>
      <c r="K28" s="21"/>
      <c r="L28" s="78"/>
      <c r="M28" s="78"/>
      <c r="N28" s="78"/>
      <c r="O28" s="78"/>
      <c r="P28" s="78"/>
      <c r="Q28" s="78"/>
      <c r="R28" s="79"/>
    </row>
    <row r="29" spans="1:18" ht="41.45" customHeight="1">
      <c r="A29" s="19"/>
      <c r="B29" s="3"/>
      <c r="C29" s="22">
        <f t="shared" si="0"/>
        <v>22</v>
      </c>
      <c r="D29" s="22">
        <v>23</v>
      </c>
      <c r="E29" s="74" t="s">
        <v>19</v>
      </c>
      <c r="F29" s="71"/>
      <c r="G29" s="21"/>
      <c r="H29" s="21"/>
      <c r="I29" s="21" t="s">
        <v>19</v>
      </c>
      <c r="J29" s="21"/>
      <c r="K29" s="21"/>
      <c r="L29" s="78"/>
      <c r="M29" s="78"/>
      <c r="N29" s="78"/>
      <c r="O29" s="78"/>
      <c r="P29" s="78"/>
      <c r="Q29" s="78"/>
      <c r="R29" s="79"/>
    </row>
    <row r="30" spans="1:18" ht="41.45" customHeight="1">
      <c r="A30" s="19"/>
      <c r="B30" s="3"/>
      <c r="C30" s="22">
        <f t="shared" si="0"/>
        <v>23</v>
      </c>
      <c r="D30" s="22">
        <v>24</v>
      </c>
      <c r="E30" s="74" t="s">
        <v>19</v>
      </c>
      <c r="F30" s="21"/>
      <c r="G30" s="21"/>
      <c r="H30" s="21"/>
      <c r="I30" s="21" t="s">
        <v>19</v>
      </c>
      <c r="J30" s="21"/>
      <c r="K30" s="21"/>
      <c r="L30" s="78"/>
      <c r="M30" s="78"/>
      <c r="N30" s="78"/>
      <c r="O30" s="78"/>
      <c r="P30" s="78"/>
      <c r="Q30" s="78"/>
      <c r="R30" s="79"/>
    </row>
    <row r="31" spans="1:18" ht="41.45" customHeight="1">
      <c r="A31" s="19"/>
      <c r="B31" s="3"/>
      <c r="C31" s="22">
        <f t="shared" si="0"/>
        <v>24</v>
      </c>
      <c r="D31" s="22">
        <v>25</v>
      </c>
      <c r="E31" s="74" t="s">
        <v>19</v>
      </c>
      <c r="F31" s="21"/>
      <c r="G31" s="21"/>
      <c r="H31" s="21"/>
      <c r="I31" s="21" t="s">
        <v>19</v>
      </c>
      <c r="J31" s="21"/>
      <c r="K31" s="21"/>
      <c r="L31" s="78"/>
      <c r="M31" s="78"/>
      <c r="N31" s="78"/>
      <c r="O31" s="78"/>
      <c r="P31" s="78"/>
      <c r="Q31" s="78"/>
      <c r="R31" s="79"/>
    </row>
    <row r="32" spans="1:18" ht="41.45" customHeight="1">
      <c r="A32" s="19"/>
      <c r="B32" s="3"/>
      <c r="C32" s="22">
        <f t="shared" si="0"/>
        <v>25</v>
      </c>
      <c r="D32" s="22">
        <v>26</v>
      </c>
      <c r="E32" s="74" t="s">
        <v>19</v>
      </c>
      <c r="F32" s="21"/>
      <c r="G32" s="21"/>
      <c r="H32" s="21"/>
      <c r="I32" s="21" t="s">
        <v>19</v>
      </c>
      <c r="J32" s="21"/>
      <c r="K32" s="21"/>
      <c r="L32" s="78"/>
      <c r="M32" s="78"/>
      <c r="N32" s="78"/>
      <c r="O32" s="78"/>
      <c r="P32" s="78"/>
      <c r="Q32" s="78"/>
      <c r="R32" s="79"/>
    </row>
    <row r="33" spans="1:18" ht="41.45" customHeight="1">
      <c r="A33" s="19"/>
      <c r="B33" s="3"/>
      <c r="C33" s="22">
        <f t="shared" si="0"/>
        <v>26</v>
      </c>
      <c r="D33" s="22">
        <v>27</v>
      </c>
      <c r="E33" s="74" t="s">
        <v>19</v>
      </c>
      <c r="F33" s="71"/>
      <c r="G33" s="21"/>
      <c r="H33" s="21"/>
      <c r="I33" s="21" t="s">
        <v>19</v>
      </c>
      <c r="J33" s="21"/>
      <c r="K33" s="21"/>
      <c r="L33" s="78"/>
      <c r="M33" s="78"/>
      <c r="N33" s="78"/>
      <c r="O33" s="78"/>
      <c r="P33" s="78"/>
      <c r="Q33" s="78"/>
      <c r="R33" s="79"/>
    </row>
    <row r="34" spans="1:18" ht="41.45" customHeight="1">
      <c r="A34" s="19"/>
      <c r="B34" s="3"/>
      <c r="C34" s="22">
        <f t="shared" si="0"/>
        <v>27</v>
      </c>
      <c r="D34" s="22">
        <v>28</v>
      </c>
      <c r="E34" s="74" t="s">
        <v>19</v>
      </c>
      <c r="F34" s="71"/>
      <c r="G34" s="21"/>
      <c r="H34" s="21"/>
      <c r="I34" s="21" t="s">
        <v>19</v>
      </c>
      <c r="J34" s="21"/>
      <c r="K34" s="21"/>
      <c r="L34" s="78"/>
      <c r="M34" s="78"/>
      <c r="N34" s="78"/>
      <c r="O34" s="78"/>
      <c r="P34" s="78"/>
      <c r="Q34" s="78"/>
      <c r="R34" s="79"/>
    </row>
    <row r="35" spans="1:18" ht="41.45" customHeight="1">
      <c r="A35" s="19"/>
      <c r="B35" s="3"/>
      <c r="C35" s="22">
        <f t="shared" si="0"/>
        <v>28</v>
      </c>
      <c r="D35" s="22">
        <v>29.12</v>
      </c>
      <c r="E35" s="74" t="s">
        <v>19</v>
      </c>
      <c r="F35" s="71"/>
      <c r="G35" s="21"/>
      <c r="H35" s="21"/>
      <c r="I35" s="21" t="s">
        <v>19</v>
      </c>
      <c r="J35" s="21"/>
      <c r="K35" s="21"/>
      <c r="L35" s="78"/>
      <c r="M35" s="78"/>
      <c r="N35" s="78"/>
      <c r="O35" s="78"/>
      <c r="P35" s="78"/>
      <c r="Q35" s="78"/>
      <c r="R35" s="79"/>
    </row>
    <row r="36" spans="1:18" ht="41.45" customHeight="1">
      <c r="A36" s="19"/>
      <c r="B36" s="3"/>
      <c r="C36" s="22"/>
      <c r="D36" s="22"/>
      <c r="E36" s="21"/>
      <c r="F36" s="21"/>
      <c r="G36" s="21"/>
      <c r="H36" s="21"/>
      <c r="I36" s="21"/>
      <c r="J36" s="21"/>
      <c r="K36" s="21"/>
      <c r="L36" s="78"/>
      <c r="M36" s="78"/>
      <c r="N36" s="78"/>
      <c r="O36" s="78"/>
      <c r="P36" s="78"/>
      <c r="Q36" s="78"/>
      <c r="R36" s="79"/>
    </row>
    <row r="37" spans="1:18" ht="41.45" customHeight="1">
      <c r="A37" s="19"/>
      <c r="B37" s="3"/>
      <c r="C37" s="22"/>
      <c r="D37" s="22"/>
      <c r="E37" s="21"/>
      <c r="F37" s="21"/>
      <c r="G37" s="21"/>
      <c r="H37" s="21"/>
      <c r="I37" s="21"/>
      <c r="J37" s="21"/>
      <c r="K37" s="21"/>
      <c r="L37" s="78"/>
      <c r="M37" s="78"/>
      <c r="N37" s="78"/>
      <c r="O37" s="78"/>
      <c r="P37" s="78"/>
      <c r="Q37" s="78"/>
      <c r="R37" s="79"/>
    </row>
    <row r="38" spans="1:18" ht="41.45" customHeight="1">
      <c r="A38" s="19"/>
      <c r="B38" s="3"/>
      <c r="C38" s="22"/>
      <c r="D38" s="22"/>
      <c r="E38" s="21"/>
      <c r="F38" s="21"/>
      <c r="G38" s="21"/>
      <c r="H38" s="21"/>
      <c r="I38" s="21"/>
      <c r="J38" s="21"/>
      <c r="K38" s="21"/>
      <c r="L38" s="78"/>
      <c r="M38" s="78"/>
      <c r="N38" s="78"/>
      <c r="O38" s="78"/>
      <c r="P38" s="78"/>
      <c r="Q38" s="78"/>
      <c r="R38" s="79"/>
    </row>
    <row r="39" spans="1:18" ht="41.45" customHeight="1">
      <c r="A39" s="19"/>
      <c r="B39" s="3"/>
      <c r="C39" s="22"/>
      <c r="D39" s="22"/>
      <c r="E39" s="21"/>
      <c r="F39" s="21"/>
      <c r="G39" s="21"/>
      <c r="H39" s="21"/>
      <c r="I39" s="21"/>
      <c r="J39" s="21"/>
      <c r="K39" s="21"/>
      <c r="L39" s="78"/>
      <c r="M39" s="78"/>
      <c r="N39" s="78"/>
      <c r="O39" s="78"/>
      <c r="P39" s="78"/>
      <c r="Q39" s="78"/>
      <c r="R39" s="79"/>
    </row>
    <row r="40" spans="1:18" ht="41.45" customHeight="1">
      <c r="A40" s="19"/>
      <c r="B40" s="3"/>
      <c r="C40" s="22"/>
      <c r="D40" s="22"/>
      <c r="E40" s="21"/>
      <c r="F40" s="21"/>
      <c r="G40" s="21"/>
      <c r="H40" s="21"/>
      <c r="I40" s="21"/>
      <c r="J40" s="21"/>
      <c r="K40" s="21"/>
      <c r="L40" s="78"/>
      <c r="M40" s="78"/>
      <c r="N40" s="78"/>
      <c r="O40" s="78"/>
      <c r="P40" s="78"/>
      <c r="Q40" s="78"/>
      <c r="R40" s="79"/>
    </row>
    <row r="41" spans="1:18" ht="41.45" customHeight="1">
      <c r="A41" s="19"/>
      <c r="B41" s="3"/>
      <c r="C41" s="22"/>
      <c r="D41" s="22"/>
      <c r="E41" s="21"/>
      <c r="F41" s="21"/>
      <c r="G41" s="21"/>
      <c r="H41" s="21"/>
      <c r="I41" s="21"/>
      <c r="J41" s="21"/>
      <c r="K41" s="21"/>
      <c r="L41" s="78"/>
      <c r="M41" s="78"/>
      <c r="N41" s="78"/>
      <c r="O41" s="78"/>
      <c r="P41" s="78"/>
      <c r="Q41" s="78"/>
      <c r="R41" s="79"/>
    </row>
    <row r="42" spans="1:18" ht="41.45" customHeight="1">
      <c r="A42" s="19"/>
      <c r="B42" s="3"/>
      <c r="C42" s="22"/>
      <c r="D42" s="22"/>
      <c r="E42" s="21"/>
      <c r="F42" s="21"/>
      <c r="G42" s="21"/>
      <c r="H42" s="21"/>
      <c r="I42" s="21"/>
      <c r="J42" s="21"/>
      <c r="K42" s="21"/>
      <c r="L42" s="78"/>
      <c r="M42" s="78"/>
      <c r="N42" s="78"/>
      <c r="O42" s="78"/>
      <c r="P42" s="78"/>
      <c r="Q42" s="78"/>
      <c r="R42" s="79"/>
    </row>
    <row r="43" spans="1:18" ht="41.45" customHeight="1" thickBot="1">
      <c r="A43" s="20"/>
      <c r="B43" s="4"/>
      <c r="C43" s="23"/>
      <c r="D43" s="23"/>
      <c r="E43" s="24"/>
      <c r="F43" s="24"/>
      <c r="G43" s="24"/>
      <c r="H43" s="24"/>
      <c r="I43" s="24"/>
      <c r="J43" s="24"/>
      <c r="K43" s="24"/>
      <c r="L43" s="80"/>
      <c r="M43" s="80"/>
      <c r="N43" s="80"/>
      <c r="O43" s="80"/>
      <c r="P43" s="80"/>
      <c r="Q43" s="80"/>
      <c r="R43" s="81"/>
    </row>
    <row r="44" spans="1:18" ht="41.45" customHeight="1">
      <c r="A44" s="39"/>
      <c r="B44" s="39"/>
      <c r="C44" s="40"/>
      <c r="D44" s="40"/>
      <c r="E44" s="41"/>
      <c r="F44" s="41"/>
      <c r="G44" s="41"/>
      <c r="H44" s="41"/>
      <c r="I44" s="41"/>
      <c r="J44" s="41"/>
      <c r="K44" s="41"/>
      <c r="L44" s="77"/>
      <c r="M44" s="77"/>
      <c r="N44" s="77"/>
      <c r="O44" s="77"/>
      <c r="P44" s="77"/>
      <c r="Q44" s="77"/>
      <c r="R44" s="77"/>
    </row>
    <row r="45" spans="1:18" ht="41.45" customHeight="1">
      <c r="C45" s="42"/>
      <c r="D45" s="42"/>
      <c r="E45" s="42">
        <f>IF(E7="X",(D7-C7),"0")</f>
        <v>1</v>
      </c>
      <c r="F45" s="42" t="str">
        <f>IF(F7="X",(D7-C7),"0")</f>
        <v>0</v>
      </c>
      <c r="G45" s="42" t="str">
        <f>IF(G7="X",(D7-C7),"0")</f>
        <v>0</v>
      </c>
      <c r="H45" s="42" t="str">
        <f>IF(H7="X",(D7-C7),"0")</f>
        <v>0</v>
      </c>
      <c r="I45" s="42">
        <f>IF(I7="X",(D7-C7),"0")</f>
        <v>1</v>
      </c>
      <c r="J45" s="42" t="str">
        <f>IF(J7="X",(D7-C7),"0")</f>
        <v>0</v>
      </c>
      <c r="K45" s="42" t="str">
        <f>IF(K7="X",(D7-C7),"0")</f>
        <v>0</v>
      </c>
      <c r="L45" s="76"/>
      <c r="M45" s="76"/>
      <c r="N45" s="76"/>
      <c r="O45" s="76"/>
      <c r="P45" s="76"/>
      <c r="Q45" s="76"/>
      <c r="R45" s="76"/>
    </row>
    <row r="46" spans="1:18" ht="41.45" customHeight="1">
      <c r="C46" s="42"/>
      <c r="D46" s="42"/>
      <c r="E46" s="42">
        <f t="shared" ref="E46:E66" si="1">IF(E8="X",(D8-C8),"0")</f>
        <v>1</v>
      </c>
      <c r="F46" s="42" t="str">
        <f t="shared" ref="F46:F66" si="2">IF(F8="X",(D8-C8),"0")</f>
        <v>0</v>
      </c>
      <c r="G46" s="42" t="str">
        <f t="shared" ref="G46:G66" si="3">IF(G8="X",(D8-C8),"0")</f>
        <v>0</v>
      </c>
      <c r="H46" s="42" t="str">
        <f t="shared" ref="H46:H66" si="4">IF(H8="X",(D8-C8),"0")</f>
        <v>0</v>
      </c>
      <c r="I46" s="42">
        <f t="shared" ref="I46:I66" si="5">IF(I8="X",(D8-C8),"0")</f>
        <v>1</v>
      </c>
      <c r="J46" s="42" t="str">
        <f t="shared" ref="J46:J66" si="6">IF(J8="X",(D8-C8),"0")</f>
        <v>0</v>
      </c>
      <c r="K46" s="42" t="str">
        <f t="shared" ref="K46:K66" si="7">IF(K8="X",(D8-C8),"0")</f>
        <v>0</v>
      </c>
      <c r="L46" s="76"/>
      <c r="M46" s="76"/>
      <c r="N46" s="76"/>
      <c r="O46" s="76"/>
      <c r="P46" s="76"/>
      <c r="Q46" s="76"/>
      <c r="R46" s="76"/>
    </row>
    <row r="47" spans="1:18" ht="41.45" customHeight="1">
      <c r="C47" s="42"/>
      <c r="D47" s="42"/>
      <c r="E47" s="42">
        <f t="shared" si="1"/>
        <v>1</v>
      </c>
      <c r="F47" s="42" t="str">
        <f t="shared" si="2"/>
        <v>0</v>
      </c>
      <c r="G47" s="42" t="str">
        <f t="shared" si="3"/>
        <v>0</v>
      </c>
      <c r="H47" s="42" t="str">
        <f t="shared" si="4"/>
        <v>0</v>
      </c>
      <c r="I47" s="42">
        <f t="shared" si="5"/>
        <v>1</v>
      </c>
      <c r="J47" s="42" t="str">
        <f t="shared" si="6"/>
        <v>0</v>
      </c>
      <c r="K47" s="42" t="str">
        <f t="shared" si="7"/>
        <v>0</v>
      </c>
      <c r="L47" s="76"/>
      <c r="M47" s="76"/>
      <c r="N47" s="76"/>
      <c r="O47" s="76"/>
      <c r="P47" s="76"/>
      <c r="Q47" s="76"/>
      <c r="R47" s="76"/>
    </row>
    <row r="48" spans="1:18" ht="41.45" customHeight="1">
      <c r="C48" s="42"/>
      <c r="D48" s="42"/>
      <c r="E48" s="42">
        <f t="shared" si="1"/>
        <v>1</v>
      </c>
      <c r="F48" s="42" t="str">
        <f t="shared" si="2"/>
        <v>0</v>
      </c>
      <c r="G48" s="42" t="str">
        <f t="shared" si="3"/>
        <v>0</v>
      </c>
      <c r="H48" s="42" t="str">
        <f t="shared" si="4"/>
        <v>0</v>
      </c>
      <c r="I48" s="42">
        <f t="shared" si="5"/>
        <v>1</v>
      </c>
      <c r="J48" s="42" t="str">
        <f t="shared" si="6"/>
        <v>0</v>
      </c>
      <c r="K48" s="42" t="str">
        <f t="shared" si="7"/>
        <v>0</v>
      </c>
      <c r="L48" s="76"/>
      <c r="M48" s="76"/>
      <c r="N48" s="76"/>
      <c r="O48" s="76"/>
      <c r="P48" s="76"/>
      <c r="Q48" s="76"/>
      <c r="R48" s="76"/>
    </row>
    <row r="49" spans="3:18" ht="41.45" customHeight="1">
      <c r="C49" s="42"/>
      <c r="D49" s="42"/>
      <c r="E49" s="42">
        <f t="shared" si="1"/>
        <v>1</v>
      </c>
      <c r="F49" s="42" t="str">
        <f t="shared" si="2"/>
        <v>0</v>
      </c>
      <c r="G49" s="42" t="str">
        <f t="shared" si="3"/>
        <v>0</v>
      </c>
      <c r="H49" s="42" t="str">
        <f t="shared" si="4"/>
        <v>0</v>
      </c>
      <c r="I49" s="42">
        <f t="shared" si="5"/>
        <v>1</v>
      </c>
      <c r="J49" s="42" t="str">
        <f t="shared" si="6"/>
        <v>0</v>
      </c>
      <c r="K49" s="42" t="str">
        <f t="shared" si="7"/>
        <v>0</v>
      </c>
      <c r="L49" s="76"/>
      <c r="M49" s="76"/>
      <c r="N49" s="76"/>
      <c r="O49" s="76"/>
      <c r="P49" s="76"/>
      <c r="Q49" s="76"/>
      <c r="R49" s="76"/>
    </row>
    <row r="50" spans="3:18" ht="41.45" customHeight="1">
      <c r="C50" s="42"/>
      <c r="D50" s="42"/>
      <c r="E50" s="42">
        <f t="shared" si="1"/>
        <v>1</v>
      </c>
      <c r="F50" s="42" t="str">
        <f t="shared" si="2"/>
        <v>0</v>
      </c>
      <c r="G50" s="42" t="str">
        <f t="shared" si="3"/>
        <v>0</v>
      </c>
      <c r="H50" s="42" t="str">
        <f t="shared" si="4"/>
        <v>0</v>
      </c>
      <c r="I50" s="42">
        <f t="shared" si="5"/>
        <v>1</v>
      </c>
      <c r="J50" s="42" t="str">
        <f t="shared" si="6"/>
        <v>0</v>
      </c>
      <c r="K50" s="42" t="str">
        <f t="shared" si="7"/>
        <v>0</v>
      </c>
      <c r="L50" s="76"/>
      <c r="M50" s="76"/>
      <c r="N50" s="76"/>
      <c r="O50" s="76"/>
      <c r="P50" s="76"/>
      <c r="Q50" s="76"/>
      <c r="R50" s="76"/>
    </row>
    <row r="51" spans="3:18" ht="41.45" customHeight="1">
      <c r="C51" s="42"/>
      <c r="D51" s="42"/>
      <c r="E51" s="42">
        <f t="shared" si="1"/>
        <v>1</v>
      </c>
      <c r="F51" s="42" t="str">
        <f t="shared" si="2"/>
        <v>0</v>
      </c>
      <c r="G51" s="42" t="str">
        <f t="shared" si="3"/>
        <v>0</v>
      </c>
      <c r="H51" s="42" t="str">
        <f t="shared" si="4"/>
        <v>0</v>
      </c>
      <c r="I51" s="42">
        <f t="shared" si="5"/>
        <v>1</v>
      </c>
      <c r="J51" s="42" t="str">
        <f t="shared" si="6"/>
        <v>0</v>
      </c>
      <c r="K51" s="42" t="str">
        <f t="shared" si="7"/>
        <v>0</v>
      </c>
      <c r="L51" s="76"/>
      <c r="M51" s="76"/>
      <c r="N51" s="76"/>
      <c r="O51" s="76"/>
      <c r="P51" s="76"/>
      <c r="Q51" s="76"/>
      <c r="R51" s="76"/>
    </row>
    <row r="52" spans="3:18" ht="41.45" customHeight="1">
      <c r="C52" s="42"/>
      <c r="D52" s="42"/>
      <c r="E52" s="42">
        <f t="shared" si="1"/>
        <v>1</v>
      </c>
      <c r="F52" s="42" t="str">
        <f t="shared" si="2"/>
        <v>0</v>
      </c>
      <c r="G52" s="42" t="str">
        <f t="shared" si="3"/>
        <v>0</v>
      </c>
      <c r="H52" s="42" t="str">
        <f t="shared" si="4"/>
        <v>0</v>
      </c>
      <c r="I52" s="42">
        <f t="shared" si="5"/>
        <v>1</v>
      </c>
      <c r="J52" s="42" t="str">
        <f t="shared" si="6"/>
        <v>0</v>
      </c>
      <c r="K52" s="42" t="str">
        <f t="shared" si="7"/>
        <v>0</v>
      </c>
      <c r="L52" s="76"/>
      <c r="M52" s="76"/>
      <c r="N52" s="76"/>
      <c r="O52" s="76"/>
      <c r="P52" s="76"/>
      <c r="Q52" s="76"/>
      <c r="R52" s="76"/>
    </row>
    <row r="53" spans="3:18" ht="41.45" customHeight="1">
      <c r="C53" s="42"/>
      <c r="D53" s="42"/>
      <c r="E53" s="42">
        <f t="shared" si="1"/>
        <v>1</v>
      </c>
      <c r="F53" s="42" t="str">
        <f t="shared" si="2"/>
        <v>0</v>
      </c>
      <c r="G53" s="42" t="str">
        <f t="shared" si="3"/>
        <v>0</v>
      </c>
      <c r="H53" s="42" t="str">
        <f t="shared" si="4"/>
        <v>0</v>
      </c>
      <c r="I53" s="42">
        <f t="shared" si="5"/>
        <v>1</v>
      </c>
      <c r="J53" s="42" t="str">
        <f t="shared" si="6"/>
        <v>0</v>
      </c>
      <c r="K53" s="42" t="str">
        <f t="shared" si="7"/>
        <v>0</v>
      </c>
      <c r="L53" s="76"/>
      <c r="M53" s="76"/>
      <c r="N53" s="76"/>
      <c r="O53" s="76"/>
      <c r="P53" s="76"/>
      <c r="Q53" s="76"/>
      <c r="R53" s="76"/>
    </row>
    <row r="54" spans="3:18" ht="41.45" customHeight="1">
      <c r="C54" s="42"/>
      <c r="D54" s="42"/>
      <c r="E54" s="42">
        <f t="shared" si="1"/>
        <v>1</v>
      </c>
      <c r="F54" s="42" t="str">
        <f t="shared" si="2"/>
        <v>0</v>
      </c>
      <c r="G54" s="42" t="str">
        <f t="shared" si="3"/>
        <v>0</v>
      </c>
      <c r="H54" s="42" t="str">
        <f t="shared" si="4"/>
        <v>0</v>
      </c>
      <c r="I54" s="42">
        <f t="shared" si="5"/>
        <v>1</v>
      </c>
      <c r="J54" s="42" t="str">
        <f t="shared" si="6"/>
        <v>0</v>
      </c>
      <c r="K54" s="42" t="str">
        <f t="shared" si="7"/>
        <v>0</v>
      </c>
      <c r="L54" s="76"/>
      <c r="M54" s="76"/>
      <c r="N54" s="76"/>
      <c r="O54" s="76"/>
      <c r="P54" s="76"/>
      <c r="Q54" s="76"/>
      <c r="R54" s="76"/>
    </row>
    <row r="55" spans="3:18" ht="41.45" customHeight="1">
      <c r="C55" s="42"/>
      <c r="D55" s="42"/>
      <c r="E55" s="42">
        <f t="shared" si="1"/>
        <v>1</v>
      </c>
      <c r="F55" s="42" t="str">
        <f t="shared" si="2"/>
        <v>0</v>
      </c>
      <c r="G55" s="42" t="str">
        <f t="shared" si="3"/>
        <v>0</v>
      </c>
      <c r="H55" s="42" t="str">
        <f t="shared" si="4"/>
        <v>0</v>
      </c>
      <c r="I55" s="42">
        <f t="shared" si="5"/>
        <v>1</v>
      </c>
      <c r="J55" s="42" t="str">
        <f t="shared" si="6"/>
        <v>0</v>
      </c>
      <c r="K55" s="42" t="str">
        <f t="shared" si="7"/>
        <v>0</v>
      </c>
      <c r="L55" s="76"/>
      <c r="M55" s="76"/>
      <c r="N55" s="76"/>
      <c r="O55" s="76"/>
      <c r="P55" s="76"/>
      <c r="Q55" s="76"/>
      <c r="R55" s="76"/>
    </row>
    <row r="56" spans="3:18" ht="41.45" customHeight="1">
      <c r="C56" s="42"/>
      <c r="D56" s="42"/>
      <c r="E56" s="42">
        <f t="shared" si="1"/>
        <v>1</v>
      </c>
      <c r="F56" s="42" t="str">
        <f t="shared" si="2"/>
        <v>0</v>
      </c>
      <c r="G56" s="42" t="str">
        <f t="shared" si="3"/>
        <v>0</v>
      </c>
      <c r="H56" s="42" t="str">
        <f t="shared" si="4"/>
        <v>0</v>
      </c>
      <c r="I56" s="42">
        <f t="shared" si="5"/>
        <v>1</v>
      </c>
      <c r="J56" s="42" t="str">
        <f t="shared" si="6"/>
        <v>0</v>
      </c>
      <c r="K56" s="42" t="str">
        <f t="shared" si="7"/>
        <v>0</v>
      </c>
      <c r="L56" s="76"/>
      <c r="M56" s="76"/>
      <c r="N56" s="76"/>
      <c r="O56" s="76"/>
      <c r="P56" s="76"/>
      <c r="Q56" s="76"/>
      <c r="R56" s="76"/>
    </row>
    <row r="57" spans="3:18" ht="41.45" customHeight="1">
      <c r="C57" s="42"/>
      <c r="D57" s="42"/>
      <c r="E57" s="42">
        <f t="shared" si="1"/>
        <v>1</v>
      </c>
      <c r="F57" s="42" t="str">
        <f t="shared" si="2"/>
        <v>0</v>
      </c>
      <c r="G57" s="42" t="str">
        <f t="shared" si="3"/>
        <v>0</v>
      </c>
      <c r="H57" s="42" t="str">
        <f t="shared" si="4"/>
        <v>0</v>
      </c>
      <c r="I57" s="42">
        <f t="shared" si="5"/>
        <v>1</v>
      </c>
      <c r="J57" s="42" t="str">
        <f t="shared" si="6"/>
        <v>0</v>
      </c>
      <c r="K57" s="42" t="str">
        <f t="shared" si="7"/>
        <v>0</v>
      </c>
      <c r="L57" s="76"/>
      <c r="M57" s="76"/>
      <c r="N57" s="76"/>
      <c r="O57" s="76"/>
      <c r="P57" s="76"/>
      <c r="Q57" s="76"/>
      <c r="R57" s="76"/>
    </row>
    <row r="58" spans="3:18" ht="41.45" customHeight="1">
      <c r="C58" s="42"/>
      <c r="D58" s="42"/>
      <c r="E58" s="42">
        <f t="shared" si="1"/>
        <v>1</v>
      </c>
      <c r="F58" s="42" t="str">
        <f t="shared" si="2"/>
        <v>0</v>
      </c>
      <c r="G58" s="42" t="str">
        <f t="shared" si="3"/>
        <v>0</v>
      </c>
      <c r="H58" s="42" t="str">
        <f t="shared" si="4"/>
        <v>0</v>
      </c>
      <c r="I58" s="42">
        <f t="shared" si="5"/>
        <v>1</v>
      </c>
      <c r="J58" s="42" t="str">
        <f t="shared" si="6"/>
        <v>0</v>
      </c>
      <c r="K58" s="42" t="str">
        <f t="shared" si="7"/>
        <v>0</v>
      </c>
      <c r="L58" s="76"/>
      <c r="M58" s="76"/>
      <c r="N58" s="76"/>
      <c r="O58" s="76"/>
      <c r="P58" s="76"/>
      <c r="Q58" s="76"/>
      <c r="R58" s="76"/>
    </row>
    <row r="59" spans="3:18" ht="41.45" customHeight="1">
      <c r="C59" s="42"/>
      <c r="D59" s="42"/>
      <c r="E59" s="42">
        <f t="shared" si="1"/>
        <v>1</v>
      </c>
      <c r="F59" s="42" t="str">
        <f t="shared" si="2"/>
        <v>0</v>
      </c>
      <c r="G59" s="42" t="str">
        <f t="shared" si="3"/>
        <v>0</v>
      </c>
      <c r="H59" s="42" t="str">
        <f t="shared" si="4"/>
        <v>0</v>
      </c>
      <c r="I59" s="42">
        <f t="shared" si="5"/>
        <v>1</v>
      </c>
      <c r="J59" s="42" t="str">
        <f t="shared" si="6"/>
        <v>0</v>
      </c>
      <c r="K59" s="42" t="str">
        <f t="shared" si="7"/>
        <v>0</v>
      </c>
      <c r="L59" s="76"/>
      <c r="M59" s="76"/>
      <c r="N59" s="76"/>
      <c r="O59" s="76"/>
      <c r="P59" s="76"/>
      <c r="Q59" s="76"/>
      <c r="R59" s="76"/>
    </row>
    <row r="60" spans="3:18" ht="41.45" customHeight="1">
      <c r="C60" s="42"/>
      <c r="D60" s="42"/>
      <c r="E60" s="42">
        <f t="shared" si="1"/>
        <v>1</v>
      </c>
      <c r="F60" s="42" t="str">
        <f t="shared" si="2"/>
        <v>0</v>
      </c>
      <c r="G60" s="42" t="str">
        <f t="shared" si="3"/>
        <v>0</v>
      </c>
      <c r="H60" s="42" t="str">
        <f t="shared" si="4"/>
        <v>0</v>
      </c>
      <c r="I60" s="42">
        <f t="shared" si="5"/>
        <v>1</v>
      </c>
      <c r="J60" s="42" t="str">
        <f t="shared" si="6"/>
        <v>0</v>
      </c>
      <c r="K60" s="42" t="str">
        <f t="shared" si="7"/>
        <v>0</v>
      </c>
      <c r="L60" s="76"/>
      <c r="M60" s="76"/>
      <c r="N60" s="76"/>
      <c r="O60" s="76"/>
      <c r="P60" s="76"/>
      <c r="Q60" s="76"/>
      <c r="R60" s="76"/>
    </row>
    <row r="61" spans="3:18" ht="41.45" customHeight="1">
      <c r="C61" s="42"/>
      <c r="D61" s="42"/>
      <c r="E61" s="42">
        <f t="shared" si="1"/>
        <v>1</v>
      </c>
      <c r="F61" s="42" t="str">
        <f t="shared" si="2"/>
        <v>0</v>
      </c>
      <c r="G61" s="42" t="str">
        <f t="shared" si="3"/>
        <v>0</v>
      </c>
      <c r="H61" s="42" t="str">
        <f t="shared" si="4"/>
        <v>0</v>
      </c>
      <c r="I61" s="42">
        <f t="shared" si="5"/>
        <v>1</v>
      </c>
      <c r="J61" s="42" t="str">
        <f t="shared" si="6"/>
        <v>0</v>
      </c>
      <c r="K61" s="42" t="str">
        <f t="shared" si="7"/>
        <v>0</v>
      </c>
      <c r="L61" s="76"/>
      <c r="M61" s="76"/>
      <c r="N61" s="76"/>
      <c r="O61" s="76"/>
      <c r="P61" s="76"/>
      <c r="Q61" s="76"/>
      <c r="R61" s="76"/>
    </row>
    <row r="62" spans="3:18" ht="41.45" customHeight="1">
      <c r="C62" s="42"/>
      <c r="D62" s="42"/>
      <c r="E62" s="42">
        <f t="shared" si="1"/>
        <v>1</v>
      </c>
      <c r="F62" s="42" t="str">
        <f t="shared" si="2"/>
        <v>0</v>
      </c>
      <c r="G62" s="42" t="str">
        <f t="shared" si="3"/>
        <v>0</v>
      </c>
      <c r="H62" s="42" t="str">
        <f t="shared" si="4"/>
        <v>0</v>
      </c>
      <c r="I62" s="42">
        <f t="shared" si="5"/>
        <v>1</v>
      </c>
      <c r="J62" s="42" t="str">
        <f t="shared" si="6"/>
        <v>0</v>
      </c>
      <c r="K62" s="42" t="str">
        <f t="shared" si="7"/>
        <v>0</v>
      </c>
      <c r="L62" s="76"/>
      <c r="M62" s="76"/>
      <c r="N62" s="76"/>
      <c r="O62" s="76"/>
      <c r="P62" s="76"/>
      <c r="Q62" s="76"/>
      <c r="R62" s="76"/>
    </row>
    <row r="63" spans="3:18" ht="41.45" customHeight="1">
      <c r="C63" s="42"/>
      <c r="D63" s="42"/>
      <c r="E63" s="42">
        <f t="shared" si="1"/>
        <v>1</v>
      </c>
      <c r="F63" s="42" t="str">
        <f t="shared" si="2"/>
        <v>0</v>
      </c>
      <c r="G63" s="42" t="str">
        <f t="shared" si="3"/>
        <v>0</v>
      </c>
      <c r="H63" s="42" t="str">
        <f t="shared" si="4"/>
        <v>0</v>
      </c>
      <c r="I63" s="42">
        <f t="shared" si="5"/>
        <v>1</v>
      </c>
      <c r="J63" s="42" t="str">
        <f t="shared" si="6"/>
        <v>0</v>
      </c>
      <c r="K63" s="42" t="str">
        <f t="shared" si="7"/>
        <v>0</v>
      </c>
      <c r="L63" s="76"/>
      <c r="M63" s="76"/>
      <c r="N63" s="76"/>
      <c r="O63" s="76"/>
      <c r="P63" s="76"/>
      <c r="Q63" s="76"/>
      <c r="R63" s="76"/>
    </row>
    <row r="64" spans="3:18" ht="41.45" customHeight="1">
      <c r="C64" s="42"/>
      <c r="D64" s="42"/>
      <c r="E64" s="42">
        <f t="shared" si="1"/>
        <v>1</v>
      </c>
      <c r="F64" s="42" t="str">
        <f t="shared" si="2"/>
        <v>0</v>
      </c>
      <c r="G64" s="42" t="str">
        <f t="shared" si="3"/>
        <v>0</v>
      </c>
      <c r="H64" s="42" t="str">
        <f t="shared" si="4"/>
        <v>0</v>
      </c>
      <c r="I64" s="42">
        <f t="shared" si="5"/>
        <v>1</v>
      </c>
      <c r="J64" s="42" t="str">
        <f t="shared" si="6"/>
        <v>0</v>
      </c>
      <c r="K64" s="42" t="str">
        <f t="shared" si="7"/>
        <v>0</v>
      </c>
      <c r="L64" s="76"/>
      <c r="M64" s="76"/>
      <c r="N64" s="76"/>
      <c r="O64" s="76"/>
      <c r="P64" s="76"/>
      <c r="Q64" s="76"/>
      <c r="R64" s="76"/>
    </row>
    <row r="65" spans="3:18" ht="41.45" customHeight="1">
      <c r="C65" s="42"/>
      <c r="D65" s="42"/>
      <c r="E65" s="42">
        <f t="shared" si="1"/>
        <v>1</v>
      </c>
      <c r="F65" s="42" t="str">
        <f t="shared" si="2"/>
        <v>0</v>
      </c>
      <c r="G65" s="42" t="str">
        <f t="shared" si="3"/>
        <v>0</v>
      </c>
      <c r="H65" s="42" t="str">
        <f t="shared" si="4"/>
        <v>0</v>
      </c>
      <c r="I65" s="42">
        <f t="shared" si="5"/>
        <v>1</v>
      </c>
      <c r="J65" s="42" t="str">
        <f t="shared" si="6"/>
        <v>0</v>
      </c>
      <c r="K65" s="42" t="str">
        <f t="shared" si="7"/>
        <v>0</v>
      </c>
      <c r="L65" s="76"/>
      <c r="M65" s="76"/>
      <c r="N65" s="76"/>
      <c r="O65" s="76"/>
      <c r="P65" s="76"/>
      <c r="Q65" s="76"/>
      <c r="R65" s="76"/>
    </row>
    <row r="66" spans="3:18" ht="41.45" customHeight="1">
      <c r="C66" s="42"/>
      <c r="D66" s="42"/>
      <c r="E66" s="42">
        <f t="shared" si="1"/>
        <v>1</v>
      </c>
      <c r="F66" s="42" t="str">
        <f t="shared" si="2"/>
        <v>0</v>
      </c>
      <c r="G66" s="42" t="str">
        <f t="shared" si="3"/>
        <v>0</v>
      </c>
      <c r="H66" s="42" t="str">
        <f t="shared" si="4"/>
        <v>0</v>
      </c>
      <c r="I66" s="42">
        <f t="shared" si="5"/>
        <v>1</v>
      </c>
      <c r="J66" s="42" t="str">
        <f t="shared" si="6"/>
        <v>0</v>
      </c>
      <c r="K66" s="42" t="str">
        <f t="shared" si="7"/>
        <v>0</v>
      </c>
      <c r="L66" s="76"/>
      <c r="M66" s="76"/>
      <c r="N66" s="76"/>
      <c r="O66" s="76"/>
      <c r="P66" s="76"/>
      <c r="Q66" s="76"/>
      <c r="R66" s="76"/>
    </row>
    <row r="67" spans="3:18" ht="41.45" customHeight="1">
      <c r="C67" s="42"/>
      <c r="D67" s="42"/>
      <c r="E67" s="42">
        <f t="shared" ref="E67:E73" si="8">IF(E29="X",(D29-C29),"0")</f>
        <v>1</v>
      </c>
      <c r="F67" s="42" t="str">
        <f t="shared" ref="F67:F73" si="9">IF(F29="X",(D29-C29),"0")</f>
        <v>0</v>
      </c>
      <c r="G67" s="42" t="str">
        <f t="shared" ref="G67:G73" si="10">IF(G29="X",(D29-C29),"0")</f>
        <v>0</v>
      </c>
      <c r="H67" s="42" t="str">
        <f t="shared" ref="H67:H73" si="11">IF(H29="X",(D29-C29),"0")</f>
        <v>0</v>
      </c>
      <c r="I67" s="42">
        <f t="shared" ref="I67:I73" si="12">IF(I29="X",(D29-C29),"0")</f>
        <v>1</v>
      </c>
      <c r="J67" s="42" t="str">
        <f t="shared" ref="J67:J73" si="13">IF(J29="X",(D29-C29),"0")</f>
        <v>0</v>
      </c>
      <c r="K67" s="42" t="str">
        <f t="shared" ref="K67:K73" si="14">IF(K29="X",(D29-C29),"0")</f>
        <v>0</v>
      </c>
      <c r="L67" s="76"/>
      <c r="M67" s="76"/>
      <c r="N67" s="76"/>
      <c r="O67" s="76"/>
      <c r="P67" s="76"/>
      <c r="Q67" s="76"/>
      <c r="R67" s="76"/>
    </row>
    <row r="68" spans="3:18" ht="41.45" customHeight="1">
      <c r="C68" s="42"/>
      <c r="D68" s="42"/>
      <c r="E68" s="42">
        <f t="shared" si="8"/>
        <v>1</v>
      </c>
      <c r="F68" s="42" t="str">
        <f t="shared" si="9"/>
        <v>0</v>
      </c>
      <c r="G68" s="42" t="str">
        <f t="shared" si="10"/>
        <v>0</v>
      </c>
      <c r="H68" s="42" t="str">
        <f t="shared" si="11"/>
        <v>0</v>
      </c>
      <c r="I68" s="42">
        <f t="shared" si="12"/>
        <v>1</v>
      </c>
      <c r="J68" s="42" t="str">
        <f t="shared" si="13"/>
        <v>0</v>
      </c>
      <c r="K68" s="42" t="str">
        <f t="shared" si="14"/>
        <v>0</v>
      </c>
      <c r="L68" s="76"/>
      <c r="M68" s="76"/>
      <c r="N68" s="76"/>
      <c r="O68" s="76"/>
      <c r="P68" s="76"/>
      <c r="Q68" s="76"/>
      <c r="R68" s="76"/>
    </row>
    <row r="69" spans="3:18" ht="41.45" customHeight="1">
      <c r="C69" s="42"/>
      <c r="D69" s="42"/>
      <c r="E69" s="42">
        <f t="shared" si="8"/>
        <v>1</v>
      </c>
      <c r="F69" s="42" t="str">
        <f t="shared" si="9"/>
        <v>0</v>
      </c>
      <c r="G69" s="42" t="str">
        <f t="shared" si="10"/>
        <v>0</v>
      </c>
      <c r="H69" s="42" t="str">
        <f t="shared" si="11"/>
        <v>0</v>
      </c>
      <c r="I69" s="42">
        <f t="shared" si="12"/>
        <v>1</v>
      </c>
      <c r="J69" s="42" t="str">
        <f t="shared" si="13"/>
        <v>0</v>
      </c>
      <c r="K69" s="42" t="str">
        <f t="shared" si="14"/>
        <v>0</v>
      </c>
      <c r="L69" s="76"/>
      <c r="M69" s="76"/>
      <c r="N69" s="76"/>
      <c r="O69" s="76"/>
      <c r="P69" s="76"/>
      <c r="Q69" s="76"/>
      <c r="R69" s="76"/>
    </row>
    <row r="70" spans="3:18" ht="41.45" customHeight="1">
      <c r="C70" s="42"/>
      <c r="D70" s="42"/>
      <c r="E70" s="42">
        <f t="shared" si="8"/>
        <v>1</v>
      </c>
      <c r="F70" s="42" t="str">
        <f t="shared" si="9"/>
        <v>0</v>
      </c>
      <c r="G70" s="42" t="str">
        <f t="shared" si="10"/>
        <v>0</v>
      </c>
      <c r="H70" s="42" t="str">
        <f t="shared" si="11"/>
        <v>0</v>
      </c>
      <c r="I70" s="42">
        <f t="shared" si="12"/>
        <v>1</v>
      </c>
      <c r="J70" s="42" t="str">
        <f t="shared" si="13"/>
        <v>0</v>
      </c>
      <c r="K70" s="42" t="str">
        <f t="shared" si="14"/>
        <v>0</v>
      </c>
      <c r="L70" s="76"/>
      <c r="M70" s="76"/>
      <c r="N70" s="76"/>
      <c r="O70" s="76"/>
      <c r="P70" s="76"/>
      <c r="Q70" s="76"/>
      <c r="R70" s="76"/>
    </row>
    <row r="71" spans="3:18" ht="41.45" customHeight="1">
      <c r="C71" s="42"/>
      <c r="D71" s="42"/>
      <c r="E71" s="42">
        <f t="shared" si="8"/>
        <v>1</v>
      </c>
      <c r="F71" s="42" t="str">
        <f t="shared" si="9"/>
        <v>0</v>
      </c>
      <c r="G71" s="42" t="str">
        <f t="shared" si="10"/>
        <v>0</v>
      </c>
      <c r="H71" s="42" t="str">
        <f t="shared" si="11"/>
        <v>0</v>
      </c>
      <c r="I71" s="42">
        <f t="shared" si="12"/>
        <v>1</v>
      </c>
      <c r="J71" s="42" t="str">
        <f t="shared" si="13"/>
        <v>0</v>
      </c>
      <c r="K71" s="42" t="str">
        <f t="shared" si="14"/>
        <v>0</v>
      </c>
      <c r="L71" s="76"/>
      <c r="M71" s="76"/>
      <c r="N71" s="76"/>
      <c r="O71" s="76"/>
      <c r="P71" s="76"/>
      <c r="Q71" s="76"/>
      <c r="R71" s="76"/>
    </row>
    <row r="72" spans="3:18" ht="41.45" customHeight="1">
      <c r="C72" s="42"/>
      <c r="D72" s="42"/>
      <c r="E72" s="42">
        <f t="shared" si="8"/>
        <v>1</v>
      </c>
      <c r="F72" s="42" t="str">
        <f t="shared" si="9"/>
        <v>0</v>
      </c>
      <c r="G72" s="42" t="str">
        <f t="shared" si="10"/>
        <v>0</v>
      </c>
      <c r="H72" s="42" t="str">
        <f t="shared" si="11"/>
        <v>0</v>
      </c>
      <c r="I72" s="42">
        <f t="shared" si="12"/>
        <v>1</v>
      </c>
      <c r="J72" s="42" t="str">
        <f t="shared" si="13"/>
        <v>0</v>
      </c>
      <c r="K72" s="42" t="str">
        <f t="shared" si="14"/>
        <v>0</v>
      </c>
      <c r="L72" s="76"/>
      <c r="M72" s="76"/>
      <c r="N72" s="76"/>
      <c r="O72" s="76"/>
      <c r="P72" s="76"/>
      <c r="Q72" s="76"/>
      <c r="R72" s="76"/>
    </row>
    <row r="73" spans="3:18" ht="41.45" customHeight="1">
      <c r="C73" s="42"/>
      <c r="D73" s="42"/>
      <c r="E73" s="42">
        <f t="shared" si="8"/>
        <v>1.120000000000001</v>
      </c>
      <c r="F73" s="42" t="str">
        <f t="shared" si="9"/>
        <v>0</v>
      </c>
      <c r="G73" s="42" t="str">
        <f t="shared" si="10"/>
        <v>0</v>
      </c>
      <c r="H73" s="42" t="str">
        <f t="shared" si="11"/>
        <v>0</v>
      </c>
      <c r="I73" s="42">
        <f t="shared" si="12"/>
        <v>1.120000000000001</v>
      </c>
      <c r="J73" s="42" t="str">
        <f t="shared" si="13"/>
        <v>0</v>
      </c>
      <c r="K73" s="42" t="str">
        <f t="shared" si="14"/>
        <v>0</v>
      </c>
      <c r="L73" s="76"/>
      <c r="M73" s="76"/>
      <c r="N73" s="76"/>
      <c r="O73" s="76"/>
      <c r="P73" s="76"/>
      <c r="Q73" s="76"/>
      <c r="R73" s="76"/>
    </row>
    <row r="74" spans="3:18" ht="41.45" customHeight="1">
      <c r="C74" s="42"/>
      <c r="D74" s="42"/>
      <c r="E74" s="42" t="str">
        <f t="shared" ref="E74" si="15">IF(E36="X",(D36-C36),"0")</f>
        <v>0</v>
      </c>
      <c r="F74" s="42" t="str">
        <f t="shared" ref="F74" si="16">IF(F36="X",(D36-C36),"0")</f>
        <v>0</v>
      </c>
      <c r="G74" s="42" t="str">
        <f t="shared" ref="G74" si="17">IF(G36="X",(D36-C36),"0")</f>
        <v>0</v>
      </c>
      <c r="H74" s="42" t="str">
        <f t="shared" ref="H74" si="18">IF(H36="X",(D36-C36),"0")</f>
        <v>0</v>
      </c>
      <c r="I74" s="42" t="str">
        <f t="shared" ref="I74" si="19">IF(I36="X",(D36-C36),"0")</f>
        <v>0</v>
      </c>
      <c r="J74" s="42" t="str">
        <f t="shared" ref="J74" si="20">IF(J36="X",(D36-C36),"0")</f>
        <v>0</v>
      </c>
      <c r="K74" s="42" t="str">
        <f t="shared" ref="K74" si="21">IF(K36="X",(D36-C36),"0")</f>
        <v>0</v>
      </c>
      <c r="L74" s="76"/>
      <c r="M74" s="76"/>
      <c r="N74" s="76"/>
      <c r="O74" s="76"/>
      <c r="P74" s="76"/>
      <c r="Q74" s="76"/>
      <c r="R74" s="76"/>
    </row>
    <row r="75" spans="3:18" ht="41.45" customHeight="1">
      <c r="C75" s="42"/>
      <c r="D75" s="42"/>
      <c r="E75" s="42"/>
      <c r="F75" s="42"/>
      <c r="G75" s="42"/>
      <c r="H75" s="42"/>
      <c r="I75" s="42"/>
      <c r="J75" s="42"/>
      <c r="K75" s="42"/>
      <c r="L75" s="76"/>
      <c r="M75" s="76"/>
      <c r="N75" s="76"/>
      <c r="O75" s="76"/>
      <c r="P75" s="76"/>
      <c r="Q75" s="76"/>
      <c r="R75" s="76"/>
    </row>
    <row r="76" spans="3:18" ht="41.45" customHeight="1">
      <c r="C76" s="42"/>
      <c r="D76" s="42"/>
      <c r="E76" s="42">
        <f>SUM(E45:E75)</f>
        <v>29.12</v>
      </c>
      <c r="F76" s="42">
        <f t="shared" ref="F76:K76" si="22">SUM(F45:F75)</f>
        <v>0</v>
      </c>
      <c r="G76" s="42">
        <f t="shared" si="22"/>
        <v>0</v>
      </c>
      <c r="H76" s="42">
        <f t="shared" si="22"/>
        <v>0</v>
      </c>
      <c r="I76" s="42">
        <f t="shared" si="22"/>
        <v>29.12</v>
      </c>
      <c r="J76" s="42">
        <f t="shared" si="22"/>
        <v>0</v>
      </c>
      <c r="K76" s="42">
        <f t="shared" si="22"/>
        <v>0</v>
      </c>
      <c r="L76" s="76"/>
      <c r="M76" s="76"/>
      <c r="N76" s="76"/>
      <c r="O76" s="76"/>
      <c r="P76" s="76"/>
      <c r="Q76" s="76"/>
      <c r="R76" s="76"/>
    </row>
    <row r="77" spans="3:18" ht="41.45" customHeight="1">
      <c r="C77" s="42"/>
      <c r="D77" s="42"/>
      <c r="E77" s="42"/>
      <c r="F77" s="43"/>
      <c r="G77" s="43"/>
      <c r="H77" s="43"/>
      <c r="I77" s="43"/>
      <c r="J77" s="43"/>
      <c r="K77" s="43"/>
      <c r="L77" s="76"/>
      <c r="M77" s="76"/>
      <c r="N77" s="76"/>
      <c r="O77" s="76"/>
      <c r="P77" s="76"/>
      <c r="Q77" s="76"/>
      <c r="R77" s="76"/>
    </row>
    <row r="78" spans="3:18" ht="41.45" customHeight="1">
      <c r="C78" s="42"/>
      <c r="D78" s="42"/>
      <c r="E78" s="42"/>
      <c r="F78" s="43"/>
      <c r="G78" s="43"/>
      <c r="H78" s="43"/>
      <c r="I78" s="43"/>
      <c r="J78" s="43"/>
      <c r="K78" s="43"/>
      <c r="L78" s="76"/>
      <c r="M78" s="76"/>
      <c r="N78" s="76"/>
      <c r="O78" s="76"/>
      <c r="P78" s="76"/>
      <c r="Q78" s="76"/>
      <c r="R78" s="76"/>
    </row>
    <row r="79" spans="3:18" ht="41.45" customHeight="1">
      <c r="C79" s="42"/>
      <c r="D79" s="42"/>
      <c r="E79" s="42"/>
      <c r="F79" s="43"/>
      <c r="G79" s="43"/>
      <c r="H79" s="43"/>
      <c r="I79" s="43"/>
      <c r="J79" s="43"/>
      <c r="K79" s="43"/>
      <c r="L79" s="76"/>
      <c r="M79" s="76"/>
      <c r="N79" s="76"/>
      <c r="O79" s="76"/>
      <c r="P79" s="76"/>
      <c r="Q79" s="76"/>
      <c r="R79" s="76"/>
    </row>
    <row r="80" spans="3:18" ht="41.45" customHeight="1">
      <c r="C80" s="42"/>
      <c r="D80" s="42"/>
      <c r="E80" s="42"/>
      <c r="F80" s="43"/>
      <c r="G80" s="43"/>
      <c r="H80" s="43"/>
      <c r="I80" s="43"/>
      <c r="J80" s="43"/>
      <c r="K80" s="43"/>
      <c r="L80" s="76"/>
      <c r="M80" s="76"/>
      <c r="N80" s="76"/>
      <c r="O80" s="76"/>
      <c r="P80" s="76"/>
      <c r="Q80" s="76"/>
      <c r="R80" s="76"/>
    </row>
    <row r="81" spans="3:18" ht="41.45" customHeight="1">
      <c r="C81" s="42"/>
      <c r="D81" s="42"/>
      <c r="E81" s="42"/>
      <c r="F81" s="43"/>
      <c r="G81" s="43"/>
      <c r="H81" s="43"/>
      <c r="I81" s="43"/>
      <c r="J81" s="43"/>
      <c r="K81" s="43"/>
      <c r="L81" s="76"/>
      <c r="M81" s="76"/>
      <c r="N81" s="76"/>
      <c r="O81" s="76"/>
      <c r="P81" s="76"/>
      <c r="Q81" s="76"/>
      <c r="R81" s="76"/>
    </row>
    <row r="82" spans="3:18" ht="41.45" customHeight="1">
      <c r="C82" s="42"/>
      <c r="D82" s="42"/>
      <c r="E82" s="42"/>
      <c r="F82" s="43"/>
      <c r="G82" s="43"/>
      <c r="H82" s="43"/>
      <c r="I82" s="43"/>
      <c r="J82" s="43"/>
      <c r="K82" s="43"/>
      <c r="L82" s="76"/>
      <c r="M82" s="76"/>
      <c r="N82" s="76"/>
      <c r="O82" s="76"/>
      <c r="P82" s="76"/>
      <c r="Q82" s="76"/>
      <c r="R82" s="76"/>
    </row>
  </sheetData>
  <mergeCells count="87">
    <mergeCell ref="L29:R29"/>
    <mergeCell ref="L30:R30"/>
    <mergeCell ref="L31:R31"/>
    <mergeCell ref="L32:R32"/>
    <mergeCell ref="L67:R67"/>
    <mergeCell ref="L44:R44"/>
    <mergeCell ref="L33:R33"/>
    <mergeCell ref="L34:R34"/>
    <mergeCell ref="L35:R35"/>
    <mergeCell ref="L36:R36"/>
    <mergeCell ref="L37:R37"/>
    <mergeCell ref="L38:R38"/>
    <mergeCell ref="L39:R39"/>
    <mergeCell ref="L40:R40"/>
    <mergeCell ref="L41:R41"/>
    <mergeCell ref="L42:R42"/>
    <mergeCell ref="L24:R24"/>
    <mergeCell ref="L25:R25"/>
    <mergeCell ref="L26:R26"/>
    <mergeCell ref="L27:R27"/>
    <mergeCell ref="L28:R28"/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43:R43"/>
    <mergeCell ref="L56:R56"/>
    <mergeCell ref="L45:R45"/>
    <mergeCell ref="L46:R46"/>
    <mergeCell ref="L47:R47"/>
    <mergeCell ref="L48:R48"/>
    <mergeCell ref="L49:R49"/>
    <mergeCell ref="L50:R50"/>
    <mergeCell ref="L51:R51"/>
    <mergeCell ref="L52:R52"/>
    <mergeCell ref="L53:R53"/>
    <mergeCell ref="L54:R54"/>
    <mergeCell ref="L55:R55"/>
    <mergeCell ref="L72:R72"/>
    <mergeCell ref="L57:R57"/>
    <mergeCell ref="L58:R58"/>
    <mergeCell ref="L59:R59"/>
    <mergeCell ref="L60:R60"/>
    <mergeCell ref="L61:R61"/>
    <mergeCell ref="L62:R62"/>
    <mergeCell ref="L63:R63"/>
    <mergeCell ref="L64:R64"/>
    <mergeCell ref="L65:R65"/>
    <mergeCell ref="L66:R66"/>
    <mergeCell ref="L71:R71"/>
    <mergeCell ref="L68:R68"/>
    <mergeCell ref="L69:R69"/>
    <mergeCell ref="L70:R70"/>
    <mergeCell ref="L80:R80"/>
    <mergeCell ref="L81:R81"/>
    <mergeCell ref="L82:R82"/>
    <mergeCell ref="L73:R73"/>
    <mergeCell ref="L75:R75"/>
    <mergeCell ref="L76:R76"/>
    <mergeCell ref="L77:R77"/>
    <mergeCell ref="L78:R78"/>
    <mergeCell ref="L79:R79"/>
    <mergeCell ref="L74:R74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R68"/>
  <sheetViews>
    <sheetView view="pageBreakPreview" zoomScale="40" zoomScaleNormal="55" zoomScaleSheetLayoutView="40" workbookViewId="0">
      <selection activeCell="J3" sqref="J3"/>
    </sheetView>
  </sheetViews>
  <sheetFormatPr defaultColWidth="8.875" defaultRowHeight="15"/>
  <cols>
    <col min="1" max="1" width="33.375" style="1" customWidth="1"/>
    <col min="2" max="2" width="17.125" style="1" customWidth="1"/>
    <col min="3" max="4" width="13.375" style="1" customWidth="1"/>
    <col min="5" max="5" width="26.375" style="2" customWidth="1"/>
    <col min="6" max="6" width="30.125" style="2" customWidth="1"/>
    <col min="7" max="7" width="26.375" style="2" customWidth="1"/>
    <col min="8" max="8" width="33.125" style="2" customWidth="1"/>
    <col min="9" max="11" width="32" style="2" customWidth="1"/>
    <col min="12" max="14" width="14.375" style="1" customWidth="1"/>
    <col min="15" max="17" width="14.625" style="1" customWidth="1"/>
    <col min="18" max="18" width="37.37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84" t="s">
        <v>3</v>
      </c>
      <c r="J1" s="86">
        <f>'46'!J1</f>
        <v>46204</v>
      </c>
      <c r="K1" s="11"/>
      <c r="L1" s="88" t="s">
        <v>4</v>
      </c>
      <c r="M1" s="88"/>
      <c r="N1" s="90" t="str">
        <f>'46'!N1</f>
        <v>ENG. VINÍCIUS RODRIGUES FERREIRA DE OLIVEIRA</v>
      </c>
      <c r="O1" s="90"/>
      <c r="P1" s="90"/>
      <c r="Q1" s="90"/>
      <c r="R1" s="91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85"/>
      <c r="J2" s="87"/>
      <c r="K2" s="16"/>
      <c r="L2" s="89"/>
      <c r="M2" s="89"/>
      <c r="N2" s="92"/>
      <c r="O2" s="92"/>
      <c r="P2" s="92"/>
      <c r="Q2" s="92"/>
      <c r="R2" s="93"/>
    </row>
    <row r="3" spans="1:18" ht="19.5">
      <c r="A3" s="13" t="s">
        <v>23</v>
      </c>
      <c r="B3" s="45" t="str">
        <f>TT!C10</f>
        <v>RODOVIA TO-421 - TRECHO ARAGUAÍNA - POVOADO GROTÃO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98" t="s">
        <v>1</v>
      </c>
      <c r="B5" s="94" t="s">
        <v>7</v>
      </c>
      <c r="C5" s="100" t="s">
        <v>5</v>
      </c>
      <c r="D5" s="100" t="s">
        <v>6</v>
      </c>
      <c r="E5" s="94" t="s">
        <v>10</v>
      </c>
      <c r="F5" s="94"/>
      <c r="G5" s="94"/>
      <c r="H5" s="94"/>
      <c r="I5" s="94" t="s">
        <v>11</v>
      </c>
      <c r="J5" s="94"/>
      <c r="K5" s="94"/>
      <c r="L5" s="94" t="s">
        <v>8</v>
      </c>
      <c r="M5" s="94"/>
      <c r="N5" s="94"/>
      <c r="O5" s="94"/>
      <c r="P5" s="94"/>
      <c r="Q5" s="94"/>
      <c r="R5" s="95"/>
    </row>
    <row r="6" spans="1:18" s="6" customFormat="1" ht="79.150000000000006" customHeight="1">
      <c r="A6" s="99"/>
      <c r="B6" s="96"/>
      <c r="C6" s="96"/>
      <c r="D6" s="96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6"/>
      <c r="M6" s="96"/>
      <c r="N6" s="96"/>
      <c r="O6" s="96"/>
      <c r="P6" s="96"/>
      <c r="Q6" s="96"/>
      <c r="R6" s="97"/>
    </row>
    <row r="7" spans="1:18" ht="41.45" customHeight="1">
      <c r="A7" s="38" t="s">
        <v>73</v>
      </c>
      <c r="B7" s="21" t="s">
        <v>18</v>
      </c>
      <c r="C7" s="22">
        <v>0</v>
      </c>
      <c r="D7" s="66">
        <v>1</v>
      </c>
      <c r="E7" s="21"/>
      <c r="F7" s="71"/>
      <c r="G7" s="72" t="s">
        <v>19</v>
      </c>
      <c r="H7" s="21"/>
      <c r="I7" s="21" t="s">
        <v>19</v>
      </c>
      <c r="J7" s="21"/>
      <c r="K7" s="21"/>
      <c r="L7" s="78"/>
      <c r="M7" s="78"/>
      <c r="N7" s="78"/>
      <c r="O7" s="78"/>
      <c r="P7" s="78"/>
      <c r="Q7" s="78"/>
      <c r="R7" s="79"/>
    </row>
    <row r="8" spans="1:18" ht="41.45" customHeight="1">
      <c r="A8" s="38"/>
      <c r="B8" s="21"/>
      <c r="C8" s="22">
        <f>D7</f>
        <v>1</v>
      </c>
      <c r="D8" s="66">
        <v>2</v>
      </c>
      <c r="E8" s="21"/>
      <c r="F8" s="71"/>
      <c r="G8" s="72" t="s">
        <v>19</v>
      </c>
      <c r="H8" s="21"/>
      <c r="I8" s="21" t="s">
        <v>19</v>
      </c>
      <c r="J8" s="21"/>
      <c r="K8" s="21"/>
      <c r="L8" s="78"/>
      <c r="M8" s="78"/>
      <c r="N8" s="78"/>
      <c r="O8" s="78"/>
      <c r="P8" s="78"/>
      <c r="Q8" s="78"/>
      <c r="R8" s="79"/>
    </row>
    <row r="9" spans="1:18" ht="41.45" customHeight="1">
      <c r="A9" s="38"/>
      <c r="B9" s="21"/>
      <c r="C9" s="22">
        <f t="shared" ref="C9:C18" si="0">D8</f>
        <v>2</v>
      </c>
      <c r="D9" s="66">
        <v>3</v>
      </c>
      <c r="E9" s="21"/>
      <c r="F9" s="71"/>
      <c r="G9" s="72" t="s">
        <v>19</v>
      </c>
      <c r="H9" s="21"/>
      <c r="I9" s="21" t="s">
        <v>19</v>
      </c>
      <c r="J9" s="21"/>
      <c r="K9" s="21"/>
      <c r="L9" s="78"/>
      <c r="M9" s="78"/>
      <c r="N9" s="78"/>
      <c r="O9" s="78"/>
      <c r="P9" s="78"/>
      <c r="Q9" s="78"/>
      <c r="R9" s="79"/>
    </row>
    <row r="10" spans="1:18" ht="41.45" customHeight="1">
      <c r="A10" s="38"/>
      <c r="B10" s="21"/>
      <c r="C10" s="22">
        <f t="shared" si="0"/>
        <v>3</v>
      </c>
      <c r="D10" s="66">
        <v>4</v>
      </c>
      <c r="E10" s="21"/>
      <c r="F10" s="21"/>
      <c r="G10" s="72" t="s">
        <v>19</v>
      </c>
      <c r="H10" s="21"/>
      <c r="I10" s="21" t="s">
        <v>19</v>
      </c>
      <c r="J10" s="21"/>
      <c r="K10" s="21"/>
      <c r="L10" s="78"/>
      <c r="M10" s="78"/>
      <c r="N10" s="78"/>
      <c r="O10" s="78"/>
      <c r="P10" s="78"/>
      <c r="Q10" s="78"/>
      <c r="R10" s="79"/>
    </row>
    <row r="11" spans="1:18" ht="41.45" customHeight="1">
      <c r="A11" s="38"/>
      <c r="B11" s="21"/>
      <c r="C11" s="22">
        <f t="shared" si="0"/>
        <v>4</v>
      </c>
      <c r="D11" s="66">
        <v>5</v>
      </c>
      <c r="E11" s="21"/>
      <c r="F11" s="21"/>
      <c r="G11" s="72" t="s">
        <v>19</v>
      </c>
      <c r="H11" s="21"/>
      <c r="I11" s="21" t="s">
        <v>19</v>
      </c>
      <c r="J11" s="21"/>
      <c r="K11" s="21"/>
      <c r="L11" s="78"/>
      <c r="M11" s="78"/>
      <c r="N11" s="78"/>
      <c r="O11" s="78"/>
      <c r="P11" s="78"/>
      <c r="Q11" s="78"/>
      <c r="R11" s="79"/>
    </row>
    <row r="12" spans="1:18" ht="41.45" customHeight="1">
      <c r="A12" s="38"/>
      <c r="B12" s="21"/>
      <c r="C12" s="22">
        <f t="shared" si="0"/>
        <v>5</v>
      </c>
      <c r="D12" s="66">
        <v>6</v>
      </c>
      <c r="E12" s="21"/>
      <c r="F12" s="21"/>
      <c r="G12" s="72" t="s">
        <v>19</v>
      </c>
      <c r="H12" s="21"/>
      <c r="I12" s="21"/>
      <c r="J12" s="21" t="s">
        <v>19</v>
      </c>
      <c r="K12" s="21"/>
      <c r="L12" s="78"/>
      <c r="M12" s="78"/>
      <c r="N12" s="78"/>
      <c r="O12" s="78"/>
      <c r="P12" s="78"/>
      <c r="Q12" s="78"/>
      <c r="R12" s="79"/>
    </row>
    <row r="13" spans="1:18" ht="41.45" customHeight="1">
      <c r="A13" s="38"/>
      <c r="B13" s="21"/>
      <c r="C13" s="22">
        <f t="shared" si="0"/>
        <v>6</v>
      </c>
      <c r="D13" s="66">
        <v>7</v>
      </c>
      <c r="E13" s="21"/>
      <c r="F13" s="21"/>
      <c r="G13" s="72" t="s">
        <v>19</v>
      </c>
      <c r="H13" s="21"/>
      <c r="I13" s="21"/>
      <c r="J13" s="21" t="s">
        <v>19</v>
      </c>
      <c r="K13" s="21"/>
      <c r="L13" s="78"/>
      <c r="M13" s="78"/>
      <c r="N13" s="78"/>
      <c r="O13" s="78"/>
      <c r="P13" s="78"/>
      <c r="Q13" s="78"/>
      <c r="R13" s="79"/>
    </row>
    <row r="14" spans="1:18" ht="41.45" customHeight="1">
      <c r="A14" s="38"/>
      <c r="B14" s="21"/>
      <c r="C14" s="22">
        <f t="shared" si="0"/>
        <v>7</v>
      </c>
      <c r="D14" s="66">
        <v>8</v>
      </c>
      <c r="E14" s="21"/>
      <c r="F14" s="71"/>
      <c r="G14" s="72" t="s">
        <v>19</v>
      </c>
      <c r="H14" s="21"/>
      <c r="I14" s="21"/>
      <c r="J14" s="21" t="s">
        <v>19</v>
      </c>
      <c r="K14" s="21"/>
      <c r="L14" s="78"/>
      <c r="M14" s="78"/>
      <c r="N14" s="78"/>
      <c r="O14" s="78"/>
      <c r="P14" s="78"/>
      <c r="Q14" s="78"/>
      <c r="R14" s="79"/>
    </row>
    <row r="15" spans="1:18" ht="41.45" customHeight="1">
      <c r="A15" s="38"/>
      <c r="B15" s="21"/>
      <c r="C15" s="22">
        <f t="shared" si="0"/>
        <v>8</v>
      </c>
      <c r="D15" s="66">
        <v>9</v>
      </c>
      <c r="E15" s="21"/>
      <c r="F15" s="21"/>
      <c r="G15" s="72" t="s">
        <v>19</v>
      </c>
      <c r="H15" s="21"/>
      <c r="I15" s="21"/>
      <c r="J15" s="21" t="s">
        <v>19</v>
      </c>
      <c r="K15" s="21"/>
      <c r="L15" s="78"/>
      <c r="M15" s="78"/>
      <c r="N15" s="78"/>
      <c r="O15" s="78"/>
      <c r="P15" s="78"/>
      <c r="Q15" s="78"/>
      <c r="R15" s="79"/>
    </row>
    <row r="16" spans="1:18" ht="41.45" customHeight="1">
      <c r="A16" s="38"/>
      <c r="B16" s="21"/>
      <c r="C16" s="22">
        <f t="shared" si="0"/>
        <v>9</v>
      </c>
      <c r="D16" s="66">
        <v>10</v>
      </c>
      <c r="E16" s="21"/>
      <c r="F16" s="71"/>
      <c r="G16" s="72" t="s">
        <v>19</v>
      </c>
      <c r="H16" s="21"/>
      <c r="I16" s="21" t="s">
        <v>19</v>
      </c>
      <c r="J16" s="21"/>
      <c r="K16" s="21"/>
      <c r="L16" s="78"/>
      <c r="M16" s="78"/>
      <c r="N16" s="78"/>
      <c r="O16" s="78"/>
      <c r="P16" s="78"/>
      <c r="Q16" s="78"/>
      <c r="R16" s="79"/>
    </row>
    <row r="17" spans="1:18" ht="41.45" customHeight="1">
      <c r="A17" s="38"/>
      <c r="B17" s="21"/>
      <c r="C17" s="22">
        <f t="shared" si="0"/>
        <v>10</v>
      </c>
      <c r="D17" s="66">
        <v>11</v>
      </c>
      <c r="E17" s="21"/>
      <c r="F17" s="71"/>
      <c r="G17" s="72" t="s">
        <v>19</v>
      </c>
      <c r="H17" s="21"/>
      <c r="I17" s="21" t="s">
        <v>19</v>
      </c>
      <c r="J17" s="21"/>
      <c r="K17" s="21"/>
      <c r="L17" s="78"/>
      <c r="M17" s="78"/>
      <c r="N17" s="78"/>
      <c r="O17" s="78"/>
      <c r="P17" s="78"/>
      <c r="Q17" s="78"/>
      <c r="R17" s="79"/>
    </row>
    <row r="18" spans="1:18" ht="41.45" customHeight="1">
      <c r="A18" s="19"/>
      <c r="B18" s="3"/>
      <c r="C18" s="22">
        <f t="shared" si="0"/>
        <v>11</v>
      </c>
      <c r="D18" s="66">
        <v>12.3</v>
      </c>
      <c r="E18" s="21"/>
      <c r="F18" s="71"/>
      <c r="G18" s="72" t="s">
        <v>19</v>
      </c>
      <c r="H18" s="21"/>
      <c r="I18" s="21" t="s">
        <v>19</v>
      </c>
      <c r="J18" s="21"/>
      <c r="K18" s="21"/>
      <c r="L18" s="78"/>
      <c r="M18" s="78"/>
      <c r="N18" s="78"/>
      <c r="O18" s="78"/>
      <c r="P18" s="78"/>
      <c r="Q18" s="78"/>
      <c r="R18" s="79"/>
    </row>
    <row r="19" spans="1:18" ht="41.45" customHeight="1">
      <c r="A19" s="38" t="s">
        <v>75</v>
      </c>
      <c r="B19" s="21" t="s">
        <v>18</v>
      </c>
      <c r="C19" s="22">
        <v>0</v>
      </c>
      <c r="D19" s="66">
        <v>1.26</v>
      </c>
      <c r="E19" s="21"/>
      <c r="F19" s="71"/>
      <c r="G19" s="72" t="s">
        <v>19</v>
      </c>
      <c r="H19" s="21"/>
      <c r="I19" s="21" t="s">
        <v>19</v>
      </c>
      <c r="J19" s="21"/>
      <c r="K19" s="21"/>
      <c r="L19" s="78"/>
      <c r="M19" s="78"/>
      <c r="N19" s="78"/>
      <c r="O19" s="78"/>
      <c r="P19" s="78"/>
      <c r="Q19" s="78"/>
      <c r="R19" s="79"/>
    </row>
    <row r="20" spans="1:18" ht="41.45" customHeight="1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78"/>
      <c r="M20" s="78"/>
      <c r="N20" s="78"/>
      <c r="O20" s="78"/>
      <c r="P20" s="78"/>
      <c r="Q20" s="78"/>
      <c r="R20" s="79"/>
    </row>
    <row r="21" spans="1:18" ht="41.45" customHeight="1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78"/>
      <c r="M21" s="78"/>
      <c r="N21" s="78"/>
      <c r="O21" s="78"/>
      <c r="P21" s="78"/>
      <c r="Q21" s="78"/>
      <c r="R21" s="79"/>
    </row>
    <row r="22" spans="1:18" ht="41.45" customHeight="1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78"/>
      <c r="M22" s="78"/>
      <c r="N22" s="78"/>
      <c r="O22" s="78"/>
      <c r="P22" s="78"/>
      <c r="Q22" s="78"/>
      <c r="R22" s="79"/>
    </row>
    <row r="23" spans="1:18" ht="41.45" customHeight="1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78"/>
      <c r="M23" s="78"/>
      <c r="N23" s="78"/>
      <c r="O23" s="78"/>
      <c r="P23" s="78"/>
      <c r="Q23" s="78"/>
      <c r="R23" s="79"/>
    </row>
    <row r="24" spans="1:18" ht="41.45" customHeight="1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78"/>
      <c r="M24" s="78"/>
      <c r="N24" s="78"/>
      <c r="O24" s="78"/>
      <c r="P24" s="78"/>
      <c r="Q24" s="78"/>
      <c r="R24" s="79"/>
    </row>
    <row r="25" spans="1:18" ht="41.45" customHeight="1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78"/>
      <c r="M25" s="78"/>
      <c r="N25" s="78"/>
      <c r="O25" s="78"/>
      <c r="P25" s="78"/>
      <c r="Q25" s="78"/>
      <c r="R25" s="79"/>
    </row>
    <row r="26" spans="1:18" ht="41.45" customHeight="1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78"/>
      <c r="M26" s="78"/>
      <c r="N26" s="78"/>
      <c r="O26" s="78"/>
      <c r="P26" s="78"/>
      <c r="Q26" s="78"/>
      <c r="R26" s="79"/>
    </row>
    <row r="27" spans="1:18" ht="41.45" customHeight="1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78"/>
      <c r="M27" s="78"/>
      <c r="N27" s="78"/>
      <c r="O27" s="78"/>
      <c r="P27" s="78"/>
      <c r="Q27" s="78"/>
      <c r="R27" s="79"/>
    </row>
    <row r="28" spans="1:18" ht="41.45" customHeight="1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78"/>
      <c r="M28" s="78"/>
      <c r="N28" s="78"/>
      <c r="O28" s="78"/>
      <c r="P28" s="78"/>
      <c r="Q28" s="78"/>
      <c r="R28" s="79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78"/>
      <c r="M29" s="78"/>
      <c r="N29" s="78"/>
      <c r="O29" s="78"/>
      <c r="P29" s="78"/>
      <c r="Q29" s="78"/>
      <c r="R29" s="79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78"/>
      <c r="M30" s="78"/>
      <c r="N30" s="78"/>
      <c r="O30" s="78"/>
      <c r="P30" s="78"/>
      <c r="Q30" s="78"/>
      <c r="R30" s="79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78"/>
      <c r="M31" s="78"/>
      <c r="N31" s="78"/>
      <c r="O31" s="78"/>
      <c r="P31" s="78"/>
      <c r="Q31" s="78"/>
      <c r="R31" s="79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78"/>
      <c r="M32" s="78"/>
      <c r="N32" s="78"/>
      <c r="O32" s="78"/>
      <c r="P32" s="78"/>
      <c r="Q32" s="78"/>
      <c r="R32" s="79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78"/>
      <c r="M33" s="78"/>
      <c r="N33" s="78"/>
      <c r="O33" s="78"/>
      <c r="P33" s="78"/>
      <c r="Q33" s="78"/>
      <c r="R33" s="79"/>
    </row>
    <row r="34" spans="1:18" ht="41.45" customHeight="1" thickBot="1">
      <c r="A34" s="20"/>
      <c r="B34" s="4"/>
      <c r="C34" s="23"/>
      <c r="D34" s="23"/>
      <c r="E34" s="24"/>
      <c r="F34" s="24"/>
      <c r="G34" s="24"/>
      <c r="H34" s="24"/>
      <c r="I34" s="24"/>
      <c r="J34" s="24"/>
      <c r="K34" s="24"/>
      <c r="L34" s="80"/>
      <c r="M34" s="80"/>
      <c r="N34" s="80"/>
      <c r="O34" s="80"/>
      <c r="P34" s="80"/>
      <c r="Q34" s="80"/>
      <c r="R34" s="81"/>
    </row>
    <row r="35" spans="1:18" ht="41.45" customHeight="1">
      <c r="A35" s="39"/>
      <c r="B35" s="39"/>
      <c r="C35" s="40"/>
      <c r="D35" s="40"/>
      <c r="E35" s="41"/>
      <c r="F35" s="41"/>
      <c r="G35" s="41"/>
      <c r="H35" s="41"/>
      <c r="I35" s="41"/>
      <c r="J35" s="41"/>
      <c r="K35" s="41"/>
      <c r="L35" s="77"/>
      <c r="M35" s="77"/>
      <c r="N35" s="77"/>
      <c r="O35" s="77"/>
      <c r="P35" s="77"/>
      <c r="Q35" s="77"/>
      <c r="R35" s="77"/>
    </row>
    <row r="36" spans="1:18" ht="41.45" customHeight="1">
      <c r="C36" s="42"/>
      <c r="D36" s="42"/>
      <c r="E36" s="42" t="str">
        <f>IF(E7="X",(D7-C7),"0")</f>
        <v>0</v>
      </c>
      <c r="F36" s="42" t="str">
        <f>IF(F7="X",(D7-C7),"0")</f>
        <v>0</v>
      </c>
      <c r="G36" s="42">
        <f>IF(G7="X",(D7-C7),"0")</f>
        <v>1</v>
      </c>
      <c r="H36" s="42" t="str">
        <f>IF(H7="X",(D7-C7),"0")</f>
        <v>0</v>
      </c>
      <c r="I36" s="42">
        <f>IF(I7="X",(D7-C7),"0")</f>
        <v>1</v>
      </c>
      <c r="J36" s="42" t="str">
        <f>IF(J7="X",(D7-C7),"0")</f>
        <v>0</v>
      </c>
      <c r="K36" s="42" t="str">
        <f>IF(K7="X",(D7-C7),"0")</f>
        <v>0</v>
      </c>
      <c r="L36" s="76"/>
      <c r="M36" s="76"/>
      <c r="N36" s="76"/>
      <c r="O36" s="76"/>
      <c r="P36" s="76"/>
      <c r="Q36" s="76"/>
      <c r="R36" s="76"/>
    </row>
    <row r="37" spans="1:18" ht="41.45" customHeight="1">
      <c r="C37" s="42"/>
      <c r="D37" s="42"/>
      <c r="E37" s="42" t="str">
        <f t="shared" ref="E37:E61" si="1">IF(E8="X",(D8-C8),"0")</f>
        <v>0</v>
      </c>
      <c r="F37" s="42" t="str">
        <f t="shared" ref="F37:F61" si="2">IF(F8="X",(D8-C8),"0")</f>
        <v>0</v>
      </c>
      <c r="G37" s="42">
        <f t="shared" ref="G37:G61" si="3">IF(G8="X",(D8-C8),"0")</f>
        <v>1</v>
      </c>
      <c r="H37" s="42" t="str">
        <f t="shared" ref="H37:H61" si="4">IF(H8="X",(D8-C8),"0")</f>
        <v>0</v>
      </c>
      <c r="I37" s="42">
        <f t="shared" ref="I37:I61" si="5">IF(I8="X",(D8-C8),"0")</f>
        <v>1</v>
      </c>
      <c r="J37" s="42" t="str">
        <f t="shared" ref="J37:J61" si="6">IF(J8="X",(D8-C8),"0")</f>
        <v>0</v>
      </c>
      <c r="K37" s="42" t="str">
        <f t="shared" ref="K37:K61" si="7">IF(K8="X",(D8-C8),"0")</f>
        <v>0</v>
      </c>
      <c r="L37" s="76"/>
      <c r="M37" s="76"/>
      <c r="N37" s="76"/>
      <c r="O37" s="76"/>
      <c r="P37" s="76"/>
      <c r="Q37" s="76"/>
      <c r="R37" s="76"/>
    </row>
    <row r="38" spans="1:18" ht="41.45" customHeight="1">
      <c r="C38" s="42"/>
      <c r="D38" s="42"/>
      <c r="E38" s="42" t="str">
        <f t="shared" si="1"/>
        <v>0</v>
      </c>
      <c r="F38" s="42" t="str">
        <f t="shared" si="2"/>
        <v>0</v>
      </c>
      <c r="G38" s="42">
        <f t="shared" si="3"/>
        <v>1</v>
      </c>
      <c r="H38" s="42" t="str">
        <f t="shared" si="4"/>
        <v>0</v>
      </c>
      <c r="I38" s="42">
        <f t="shared" si="5"/>
        <v>1</v>
      </c>
      <c r="J38" s="42" t="str">
        <f t="shared" si="6"/>
        <v>0</v>
      </c>
      <c r="K38" s="42" t="str">
        <f t="shared" si="7"/>
        <v>0</v>
      </c>
      <c r="L38" s="76"/>
      <c r="M38" s="76"/>
      <c r="N38" s="76"/>
      <c r="O38" s="76"/>
      <c r="P38" s="76"/>
      <c r="Q38" s="76"/>
      <c r="R38" s="76"/>
    </row>
    <row r="39" spans="1:18" ht="41.45" customHeight="1">
      <c r="C39" s="42"/>
      <c r="D39" s="42"/>
      <c r="E39" s="42" t="str">
        <f t="shared" si="1"/>
        <v>0</v>
      </c>
      <c r="F39" s="42" t="str">
        <f t="shared" si="2"/>
        <v>0</v>
      </c>
      <c r="G39" s="42">
        <f t="shared" si="3"/>
        <v>1</v>
      </c>
      <c r="H39" s="42" t="str">
        <f t="shared" si="4"/>
        <v>0</v>
      </c>
      <c r="I39" s="42">
        <f t="shared" si="5"/>
        <v>1</v>
      </c>
      <c r="J39" s="42" t="str">
        <f t="shared" si="6"/>
        <v>0</v>
      </c>
      <c r="K39" s="42" t="str">
        <f t="shared" si="7"/>
        <v>0</v>
      </c>
      <c r="L39" s="76"/>
      <c r="M39" s="76"/>
      <c r="N39" s="76"/>
      <c r="O39" s="76"/>
      <c r="P39" s="76"/>
      <c r="Q39" s="76"/>
      <c r="R39" s="76"/>
    </row>
    <row r="40" spans="1:18" ht="41.45" customHeight="1">
      <c r="C40" s="42"/>
      <c r="D40" s="42"/>
      <c r="E40" s="42" t="str">
        <f t="shared" si="1"/>
        <v>0</v>
      </c>
      <c r="F40" s="42" t="str">
        <f t="shared" si="2"/>
        <v>0</v>
      </c>
      <c r="G40" s="42">
        <f t="shared" si="3"/>
        <v>1</v>
      </c>
      <c r="H40" s="42" t="str">
        <f t="shared" si="4"/>
        <v>0</v>
      </c>
      <c r="I40" s="42">
        <f t="shared" si="5"/>
        <v>1</v>
      </c>
      <c r="J40" s="42" t="str">
        <f t="shared" si="6"/>
        <v>0</v>
      </c>
      <c r="K40" s="42" t="str">
        <f t="shared" si="7"/>
        <v>0</v>
      </c>
      <c r="L40" s="76"/>
      <c r="M40" s="76"/>
      <c r="N40" s="76"/>
      <c r="O40" s="76"/>
      <c r="P40" s="76"/>
      <c r="Q40" s="76"/>
      <c r="R40" s="76"/>
    </row>
    <row r="41" spans="1:18" ht="41.45" customHeight="1">
      <c r="C41" s="42"/>
      <c r="D41" s="42"/>
      <c r="E41" s="42" t="str">
        <f t="shared" si="1"/>
        <v>0</v>
      </c>
      <c r="F41" s="42" t="str">
        <f t="shared" si="2"/>
        <v>0</v>
      </c>
      <c r="G41" s="42">
        <f t="shared" si="3"/>
        <v>1</v>
      </c>
      <c r="H41" s="42" t="str">
        <f t="shared" si="4"/>
        <v>0</v>
      </c>
      <c r="I41" s="42" t="str">
        <f t="shared" si="5"/>
        <v>0</v>
      </c>
      <c r="J41" s="42">
        <f t="shared" si="6"/>
        <v>1</v>
      </c>
      <c r="K41" s="42" t="str">
        <f t="shared" si="7"/>
        <v>0</v>
      </c>
      <c r="L41" s="76"/>
      <c r="M41" s="76"/>
      <c r="N41" s="76"/>
      <c r="O41" s="76"/>
      <c r="P41" s="76"/>
      <c r="Q41" s="76"/>
      <c r="R41" s="76"/>
    </row>
    <row r="42" spans="1:18" ht="41.45" customHeight="1">
      <c r="C42" s="42"/>
      <c r="D42" s="42"/>
      <c r="E42" s="42" t="str">
        <f t="shared" si="1"/>
        <v>0</v>
      </c>
      <c r="F42" s="42" t="str">
        <f t="shared" si="2"/>
        <v>0</v>
      </c>
      <c r="G42" s="42">
        <f t="shared" si="3"/>
        <v>1</v>
      </c>
      <c r="H42" s="42" t="str">
        <f t="shared" si="4"/>
        <v>0</v>
      </c>
      <c r="I42" s="42" t="str">
        <f t="shared" si="5"/>
        <v>0</v>
      </c>
      <c r="J42" s="42">
        <f t="shared" si="6"/>
        <v>1</v>
      </c>
      <c r="K42" s="42" t="str">
        <f t="shared" si="7"/>
        <v>0</v>
      </c>
      <c r="L42" s="76"/>
      <c r="M42" s="76"/>
      <c r="N42" s="76"/>
      <c r="O42" s="76"/>
      <c r="P42" s="76"/>
      <c r="Q42" s="76"/>
      <c r="R42" s="76"/>
    </row>
    <row r="43" spans="1:18" ht="41.45" customHeight="1">
      <c r="C43" s="42"/>
      <c r="D43" s="42"/>
      <c r="E43" s="42" t="str">
        <f t="shared" si="1"/>
        <v>0</v>
      </c>
      <c r="F43" s="42" t="str">
        <f t="shared" si="2"/>
        <v>0</v>
      </c>
      <c r="G43" s="42">
        <f t="shared" si="3"/>
        <v>1</v>
      </c>
      <c r="H43" s="42" t="str">
        <f t="shared" si="4"/>
        <v>0</v>
      </c>
      <c r="I43" s="42" t="str">
        <f t="shared" si="5"/>
        <v>0</v>
      </c>
      <c r="J43" s="42">
        <f t="shared" si="6"/>
        <v>1</v>
      </c>
      <c r="K43" s="42" t="str">
        <f t="shared" si="7"/>
        <v>0</v>
      </c>
      <c r="L43" s="76"/>
      <c r="M43" s="76"/>
      <c r="N43" s="76"/>
      <c r="O43" s="76"/>
      <c r="P43" s="76"/>
      <c r="Q43" s="76"/>
      <c r="R43" s="76"/>
    </row>
    <row r="44" spans="1:18" ht="41.45" customHeight="1">
      <c r="C44" s="42"/>
      <c r="D44" s="42"/>
      <c r="E44" s="42" t="str">
        <f t="shared" si="1"/>
        <v>0</v>
      </c>
      <c r="F44" s="42" t="str">
        <f t="shared" si="2"/>
        <v>0</v>
      </c>
      <c r="G44" s="42">
        <f t="shared" si="3"/>
        <v>1</v>
      </c>
      <c r="H44" s="42" t="str">
        <f t="shared" si="4"/>
        <v>0</v>
      </c>
      <c r="I44" s="42" t="str">
        <f t="shared" si="5"/>
        <v>0</v>
      </c>
      <c r="J44" s="42">
        <f t="shared" si="6"/>
        <v>1</v>
      </c>
      <c r="K44" s="42" t="str">
        <f t="shared" si="7"/>
        <v>0</v>
      </c>
      <c r="L44" s="76"/>
      <c r="M44" s="76"/>
      <c r="N44" s="76"/>
      <c r="O44" s="76"/>
      <c r="P44" s="76"/>
      <c r="Q44" s="76"/>
      <c r="R44" s="76"/>
    </row>
    <row r="45" spans="1:18" ht="41.45" customHeight="1">
      <c r="C45" s="42"/>
      <c r="D45" s="42"/>
      <c r="E45" s="42" t="str">
        <f t="shared" si="1"/>
        <v>0</v>
      </c>
      <c r="F45" s="42" t="str">
        <f t="shared" si="2"/>
        <v>0</v>
      </c>
      <c r="G45" s="42">
        <f t="shared" si="3"/>
        <v>1</v>
      </c>
      <c r="H45" s="42" t="str">
        <f t="shared" si="4"/>
        <v>0</v>
      </c>
      <c r="I45" s="42">
        <f t="shared" si="5"/>
        <v>1</v>
      </c>
      <c r="J45" s="42" t="str">
        <f t="shared" si="6"/>
        <v>0</v>
      </c>
      <c r="K45" s="42" t="str">
        <f t="shared" si="7"/>
        <v>0</v>
      </c>
      <c r="L45" s="76"/>
      <c r="M45" s="76"/>
      <c r="N45" s="76"/>
      <c r="O45" s="76"/>
      <c r="P45" s="76"/>
      <c r="Q45" s="76"/>
      <c r="R45" s="76"/>
    </row>
    <row r="46" spans="1:18" ht="41.45" customHeight="1">
      <c r="C46" s="42"/>
      <c r="D46" s="42"/>
      <c r="E46" s="42" t="str">
        <f t="shared" si="1"/>
        <v>0</v>
      </c>
      <c r="F46" s="42" t="str">
        <f t="shared" si="2"/>
        <v>0</v>
      </c>
      <c r="G46" s="42">
        <f t="shared" si="3"/>
        <v>1</v>
      </c>
      <c r="H46" s="42" t="str">
        <f t="shared" si="4"/>
        <v>0</v>
      </c>
      <c r="I46" s="42">
        <f t="shared" si="5"/>
        <v>1</v>
      </c>
      <c r="J46" s="42" t="str">
        <f t="shared" si="6"/>
        <v>0</v>
      </c>
      <c r="K46" s="42" t="str">
        <f t="shared" si="7"/>
        <v>0</v>
      </c>
      <c r="L46" s="76"/>
      <c r="M46" s="76"/>
      <c r="N46" s="76"/>
      <c r="O46" s="76"/>
      <c r="P46" s="76"/>
      <c r="Q46" s="76"/>
      <c r="R46" s="76"/>
    </row>
    <row r="47" spans="1:18" ht="41.45" customHeight="1">
      <c r="C47" s="42"/>
      <c r="D47" s="42"/>
      <c r="E47" s="42" t="str">
        <f t="shared" si="1"/>
        <v>0</v>
      </c>
      <c r="F47" s="42" t="str">
        <f t="shared" si="2"/>
        <v>0</v>
      </c>
      <c r="G47" s="42">
        <f t="shared" si="3"/>
        <v>1.3000000000000007</v>
      </c>
      <c r="H47" s="42" t="str">
        <f t="shared" si="4"/>
        <v>0</v>
      </c>
      <c r="I47" s="42">
        <f t="shared" si="5"/>
        <v>1.3000000000000007</v>
      </c>
      <c r="J47" s="42" t="str">
        <f t="shared" si="6"/>
        <v>0</v>
      </c>
      <c r="K47" s="42" t="str">
        <f t="shared" si="7"/>
        <v>0</v>
      </c>
      <c r="L47" s="76"/>
      <c r="M47" s="76"/>
      <c r="N47" s="76"/>
      <c r="O47" s="76"/>
      <c r="P47" s="76"/>
      <c r="Q47" s="76"/>
      <c r="R47" s="76"/>
    </row>
    <row r="48" spans="1:18" ht="41.45" customHeight="1">
      <c r="C48" s="42"/>
      <c r="D48" s="42"/>
      <c r="E48" s="42" t="str">
        <f t="shared" si="1"/>
        <v>0</v>
      </c>
      <c r="F48" s="42" t="str">
        <f t="shared" si="2"/>
        <v>0</v>
      </c>
      <c r="G48" s="42">
        <f t="shared" si="3"/>
        <v>1.26</v>
      </c>
      <c r="H48" s="42" t="str">
        <f t="shared" si="4"/>
        <v>0</v>
      </c>
      <c r="I48" s="42">
        <f t="shared" si="5"/>
        <v>1.26</v>
      </c>
      <c r="J48" s="42" t="str">
        <f t="shared" si="6"/>
        <v>0</v>
      </c>
      <c r="K48" s="42" t="str">
        <f t="shared" si="7"/>
        <v>0</v>
      </c>
      <c r="L48" s="76"/>
      <c r="M48" s="76"/>
      <c r="N48" s="76"/>
      <c r="O48" s="76"/>
      <c r="P48" s="76"/>
      <c r="Q48" s="76"/>
      <c r="R48" s="76"/>
    </row>
    <row r="49" spans="3:18" ht="41.45" customHeight="1">
      <c r="C49" s="42"/>
      <c r="D49" s="42"/>
      <c r="E49" s="42" t="str">
        <f t="shared" si="1"/>
        <v>0</v>
      </c>
      <c r="F49" s="42" t="str">
        <f t="shared" si="2"/>
        <v>0</v>
      </c>
      <c r="G49" s="42" t="str">
        <f t="shared" si="3"/>
        <v>0</v>
      </c>
      <c r="H49" s="42" t="str">
        <f t="shared" si="4"/>
        <v>0</v>
      </c>
      <c r="I49" s="42" t="str">
        <f t="shared" si="5"/>
        <v>0</v>
      </c>
      <c r="J49" s="42" t="str">
        <f t="shared" si="6"/>
        <v>0</v>
      </c>
      <c r="K49" s="42" t="str">
        <f t="shared" si="7"/>
        <v>0</v>
      </c>
      <c r="L49" s="76"/>
      <c r="M49" s="76"/>
      <c r="N49" s="76"/>
      <c r="O49" s="76"/>
      <c r="P49" s="76"/>
      <c r="Q49" s="76"/>
      <c r="R49" s="76"/>
    </row>
    <row r="50" spans="3:18" ht="41.45" customHeight="1">
      <c r="C50" s="42"/>
      <c r="D50" s="42"/>
      <c r="E50" s="42" t="str">
        <f t="shared" si="1"/>
        <v>0</v>
      </c>
      <c r="F50" s="42" t="str">
        <f t="shared" si="2"/>
        <v>0</v>
      </c>
      <c r="G50" s="42" t="str">
        <f t="shared" si="3"/>
        <v>0</v>
      </c>
      <c r="H50" s="42" t="str">
        <f t="shared" si="4"/>
        <v>0</v>
      </c>
      <c r="I50" s="42" t="str">
        <f t="shared" si="5"/>
        <v>0</v>
      </c>
      <c r="J50" s="42" t="str">
        <f t="shared" si="6"/>
        <v>0</v>
      </c>
      <c r="K50" s="42" t="str">
        <f t="shared" si="7"/>
        <v>0</v>
      </c>
      <c r="L50" s="76"/>
      <c r="M50" s="76"/>
      <c r="N50" s="76"/>
      <c r="O50" s="76"/>
      <c r="P50" s="76"/>
      <c r="Q50" s="76"/>
      <c r="R50" s="76"/>
    </row>
    <row r="51" spans="3:18" ht="41.45" customHeight="1">
      <c r="C51" s="42"/>
      <c r="D51" s="42"/>
      <c r="E51" s="42" t="str">
        <f t="shared" si="1"/>
        <v>0</v>
      </c>
      <c r="F51" s="42" t="str">
        <f t="shared" si="2"/>
        <v>0</v>
      </c>
      <c r="G51" s="42" t="str">
        <f t="shared" si="3"/>
        <v>0</v>
      </c>
      <c r="H51" s="42" t="str">
        <f t="shared" si="4"/>
        <v>0</v>
      </c>
      <c r="I51" s="42" t="str">
        <f t="shared" si="5"/>
        <v>0</v>
      </c>
      <c r="J51" s="42" t="str">
        <f t="shared" si="6"/>
        <v>0</v>
      </c>
      <c r="K51" s="42" t="str">
        <f t="shared" si="7"/>
        <v>0</v>
      </c>
      <c r="L51" s="76"/>
      <c r="M51" s="76"/>
      <c r="N51" s="76"/>
      <c r="O51" s="76"/>
      <c r="P51" s="76"/>
      <c r="Q51" s="76"/>
      <c r="R51" s="76"/>
    </row>
    <row r="52" spans="3:18" ht="41.45" customHeight="1">
      <c r="C52" s="42"/>
      <c r="D52" s="42"/>
      <c r="E52" s="42" t="str">
        <f t="shared" si="1"/>
        <v>0</v>
      </c>
      <c r="F52" s="42" t="str">
        <f t="shared" si="2"/>
        <v>0</v>
      </c>
      <c r="G52" s="42" t="str">
        <f t="shared" si="3"/>
        <v>0</v>
      </c>
      <c r="H52" s="42" t="str">
        <f t="shared" si="4"/>
        <v>0</v>
      </c>
      <c r="I52" s="42" t="str">
        <f t="shared" si="5"/>
        <v>0</v>
      </c>
      <c r="J52" s="42" t="str">
        <f t="shared" si="6"/>
        <v>0</v>
      </c>
      <c r="K52" s="42" t="str">
        <f t="shared" si="7"/>
        <v>0</v>
      </c>
      <c r="L52" s="76"/>
      <c r="M52" s="76"/>
      <c r="N52" s="76"/>
      <c r="O52" s="76"/>
      <c r="P52" s="76"/>
      <c r="Q52" s="76"/>
      <c r="R52" s="76"/>
    </row>
    <row r="53" spans="3:18" ht="41.45" customHeight="1">
      <c r="C53" s="42"/>
      <c r="D53" s="42"/>
      <c r="E53" s="42" t="str">
        <f t="shared" si="1"/>
        <v>0</v>
      </c>
      <c r="F53" s="42" t="str">
        <f t="shared" si="2"/>
        <v>0</v>
      </c>
      <c r="G53" s="42" t="str">
        <f t="shared" si="3"/>
        <v>0</v>
      </c>
      <c r="H53" s="42" t="str">
        <f t="shared" si="4"/>
        <v>0</v>
      </c>
      <c r="I53" s="42" t="str">
        <f t="shared" si="5"/>
        <v>0</v>
      </c>
      <c r="J53" s="42" t="str">
        <f t="shared" si="6"/>
        <v>0</v>
      </c>
      <c r="K53" s="42" t="str">
        <f t="shared" si="7"/>
        <v>0</v>
      </c>
      <c r="L53" s="76"/>
      <c r="M53" s="76"/>
      <c r="N53" s="76"/>
      <c r="O53" s="76"/>
      <c r="P53" s="76"/>
      <c r="Q53" s="76"/>
      <c r="R53" s="76"/>
    </row>
    <row r="54" spans="3:18" ht="41.45" customHeight="1">
      <c r="C54" s="42"/>
      <c r="D54" s="42"/>
      <c r="E54" s="42" t="str">
        <f t="shared" si="1"/>
        <v>0</v>
      </c>
      <c r="F54" s="42" t="str">
        <f t="shared" si="2"/>
        <v>0</v>
      </c>
      <c r="G54" s="42" t="str">
        <f t="shared" si="3"/>
        <v>0</v>
      </c>
      <c r="H54" s="42" t="str">
        <f t="shared" si="4"/>
        <v>0</v>
      </c>
      <c r="I54" s="42" t="str">
        <f t="shared" si="5"/>
        <v>0</v>
      </c>
      <c r="J54" s="42" t="str">
        <f t="shared" si="6"/>
        <v>0</v>
      </c>
      <c r="K54" s="42" t="str">
        <f t="shared" si="7"/>
        <v>0</v>
      </c>
      <c r="L54" s="76"/>
      <c r="M54" s="76"/>
      <c r="N54" s="76"/>
      <c r="O54" s="76"/>
      <c r="P54" s="76"/>
      <c r="Q54" s="76"/>
      <c r="R54" s="76"/>
    </row>
    <row r="55" spans="3:18" ht="41.45" customHeight="1">
      <c r="C55" s="42"/>
      <c r="D55" s="42"/>
      <c r="E55" s="42" t="str">
        <f t="shared" si="1"/>
        <v>0</v>
      </c>
      <c r="F55" s="42" t="str">
        <f t="shared" si="2"/>
        <v>0</v>
      </c>
      <c r="G55" s="42" t="str">
        <f t="shared" si="3"/>
        <v>0</v>
      </c>
      <c r="H55" s="42" t="str">
        <f t="shared" si="4"/>
        <v>0</v>
      </c>
      <c r="I55" s="42" t="str">
        <f t="shared" si="5"/>
        <v>0</v>
      </c>
      <c r="J55" s="42" t="str">
        <f t="shared" si="6"/>
        <v>0</v>
      </c>
      <c r="K55" s="42" t="str">
        <f t="shared" si="7"/>
        <v>0</v>
      </c>
      <c r="L55" s="76"/>
      <c r="M55" s="76"/>
      <c r="N55" s="76"/>
      <c r="O55" s="76"/>
      <c r="P55" s="76"/>
      <c r="Q55" s="76"/>
      <c r="R55" s="76"/>
    </row>
    <row r="56" spans="3:18" ht="41.45" customHeight="1">
      <c r="C56" s="42"/>
      <c r="D56" s="42"/>
      <c r="E56" s="42" t="str">
        <f t="shared" si="1"/>
        <v>0</v>
      </c>
      <c r="F56" s="42" t="str">
        <f t="shared" si="2"/>
        <v>0</v>
      </c>
      <c r="G56" s="42" t="str">
        <f t="shared" si="3"/>
        <v>0</v>
      </c>
      <c r="H56" s="42" t="str">
        <f t="shared" si="4"/>
        <v>0</v>
      </c>
      <c r="I56" s="42" t="str">
        <f t="shared" si="5"/>
        <v>0</v>
      </c>
      <c r="J56" s="42" t="str">
        <f t="shared" si="6"/>
        <v>0</v>
      </c>
      <c r="K56" s="42" t="str">
        <f t="shared" si="7"/>
        <v>0</v>
      </c>
      <c r="L56" s="76"/>
      <c r="M56" s="76"/>
      <c r="N56" s="76"/>
      <c r="O56" s="76"/>
      <c r="P56" s="76"/>
      <c r="Q56" s="76"/>
      <c r="R56" s="76"/>
    </row>
    <row r="57" spans="3:18" ht="41.45" customHeight="1">
      <c r="C57" s="42"/>
      <c r="D57" s="42"/>
      <c r="E57" s="42" t="str">
        <f t="shared" si="1"/>
        <v>0</v>
      </c>
      <c r="F57" s="42" t="str">
        <f t="shared" si="2"/>
        <v>0</v>
      </c>
      <c r="G57" s="42" t="str">
        <f t="shared" si="3"/>
        <v>0</v>
      </c>
      <c r="H57" s="42" t="str">
        <f t="shared" si="4"/>
        <v>0</v>
      </c>
      <c r="I57" s="42" t="str">
        <f t="shared" si="5"/>
        <v>0</v>
      </c>
      <c r="J57" s="42" t="str">
        <f t="shared" si="6"/>
        <v>0</v>
      </c>
      <c r="K57" s="42" t="str">
        <f t="shared" si="7"/>
        <v>0</v>
      </c>
      <c r="L57" s="76"/>
      <c r="M57" s="76"/>
      <c r="N57" s="76"/>
      <c r="O57" s="76"/>
      <c r="P57" s="76"/>
      <c r="Q57" s="76"/>
      <c r="R57" s="76"/>
    </row>
    <row r="58" spans="3:18" ht="41.45" customHeight="1">
      <c r="C58" s="42"/>
      <c r="D58" s="42"/>
      <c r="E58" s="42" t="str">
        <f t="shared" si="1"/>
        <v>0</v>
      </c>
      <c r="F58" s="42" t="str">
        <f t="shared" si="2"/>
        <v>0</v>
      </c>
      <c r="G58" s="42" t="str">
        <f t="shared" si="3"/>
        <v>0</v>
      </c>
      <c r="H58" s="42" t="str">
        <f t="shared" si="4"/>
        <v>0</v>
      </c>
      <c r="I58" s="42" t="str">
        <f t="shared" si="5"/>
        <v>0</v>
      </c>
      <c r="J58" s="42" t="str">
        <f t="shared" si="6"/>
        <v>0</v>
      </c>
      <c r="K58" s="42" t="str">
        <f t="shared" si="7"/>
        <v>0</v>
      </c>
      <c r="L58" s="76"/>
      <c r="M58" s="76"/>
      <c r="N58" s="76"/>
      <c r="O58" s="76"/>
      <c r="P58" s="76"/>
      <c r="Q58" s="76"/>
      <c r="R58" s="76"/>
    </row>
    <row r="59" spans="3:18" ht="41.45" customHeight="1">
      <c r="C59" s="42"/>
      <c r="D59" s="42"/>
      <c r="E59" s="42" t="str">
        <f t="shared" si="1"/>
        <v>0</v>
      </c>
      <c r="F59" s="42" t="str">
        <f t="shared" si="2"/>
        <v>0</v>
      </c>
      <c r="G59" s="42" t="str">
        <f t="shared" si="3"/>
        <v>0</v>
      </c>
      <c r="H59" s="42" t="str">
        <f t="shared" si="4"/>
        <v>0</v>
      </c>
      <c r="I59" s="42" t="str">
        <f t="shared" si="5"/>
        <v>0</v>
      </c>
      <c r="J59" s="42" t="str">
        <f t="shared" si="6"/>
        <v>0</v>
      </c>
      <c r="K59" s="42" t="str">
        <f t="shared" si="7"/>
        <v>0</v>
      </c>
      <c r="L59" s="76"/>
      <c r="M59" s="76"/>
      <c r="N59" s="76"/>
      <c r="O59" s="76"/>
      <c r="P59" s="76"/>
      <c r="Q59" s="76"/>
      <c r="R59" s="76"/>
    </row>
    <row r="60" spans="3:18" ht="41.45" customHeight="1">
      <c r="C60" s="42"/>
      <c r="D60" s="42"/>
      <c r="E60" s="42" t="str">
        <f t="shared" si="1"/>
        <v>0</v>
      </c>
      <c r="F60" s="42" t="str">
        <f t="shared" si="2"/>
        <v>0</v>
      </c>
      <c r="G60" s="42" t="str">
        <f t="shared" si="3"/>
        <v>0</v>
      </c>
      <c r="H60" s="42" t="str">
        <f t="shared" si="4"/>
        <v>0</v>
      </c>
      <c r="I60" s="42" t="str">
        <f t="shared" si="5"/>
        <v>0</v>
      </c>
      <c r="J60" s="42" t="str">
        <f t="shared" si="6"/>
        <v>0</v>
      </c>
      <c r="K60" s="42" t="str">
        <f t="shared" si="7"/>
        <v>0</v>
      </c>
      <c r="L60" s="76"/>
      <c r="M60" s="76"/>
      <c r="N60" s="76"/>
      <c r="O60" s="76"/>
      <c r="P60" s="76"/>
      <c r="Q60" s="76"/>
      <c r="R60" s="76"/>
    </row>
    <row r="61" spans="3:18" ht="41.45" customHeight="1">
      <c r="C61" s="42"/>
      <c r="D61" s="42"/>
      <c r="E61" s="42" t="str">
        <f t="shared" si="1"/>
        <v>0</v>
      </c>
      <c r="F61" s="42" t="str">
        <f t="shared" si="2"/>
        <v>0</v>
      </c>
      <c r="G61" s="42" t="str">
        <f t="shared" si="3"/>
        <v>0</v>
      </c>
      <c r="H61" s="42" t="str">
        <f t="shared" si="4"/>
        <v>0</v>
      </c>
      <c r="I61" s="42" t="str">
        <f t="shared" si="5"/>
        <v>0</v>
      </c>
      <c r="J61" s="42" t="str">
        <f t="shared" si="6"/>
        <v>0</v>
      </c>
      <c r="K61" s="42" t="str">
        <f t="shared" si="7"/>
        <v>0</v>
      </c>
      <c r="L61" s="76"/>
      <c r="M61" s="76"/>
      <c r="N61" s="76"/>
      <c r="O61" s="76"/>
      <c r="P61" s="76"/>
      <c r="Q61" s="76"/>
      <c r="R61" s="76"/>
    </row>
    <row r="62" spans="3:18" ht="41.45" customHeight="1">
      <c r="C62" s="42"/>
      <c r="D62" s="42"/>
      <c r="E62" s="42">
        <f>SUM(E36:E61)</f>
        <v>0</v>
      </c>
      <c r="F62" s="42">
        <f t="shared" ref="F62:K62" si="8">SUM(F36:F61)</f>
        <v>0</v>
      </c>
      <c r="G62" s="42">
        <f t="shared" si="8"/>
        <v>13.56</v>
      </c>
      <c r="H62" s="42">
        <f t="shared" si="8"/>
        <v>0</v>
      </c>
      <c r="I62" s="42">
        <f t="shared" si="8"/>
        <v>9.56</v>
      </c>
      <c r="J62" s="42">
        <f t="shared" si="8"/>
        <v>4</v>
      </c>
      <c r="K62" s="42">
        <f t="shared" si="8"/>
        <v>0</v>
      </c>
      <c r="L62" s="76"/>
      <c r="M62" s="76"/>
      <c r="N62" s="76"/>
      <c r="O62" s="76"/>
      <c r="P62" s="76"/>
      <c r="Q62" s="76"/>
      <c r="R62" s="76"/>
    </row>
    <row r="63" spans="3:18" ht="41.45" customHeight="1">
      <c r="C63" s="42"/>
      <c r="D63" s="42"/>
      <c r="E63" s="42"/>
      <c r="F63" s="43"/>
      <c r="G63" s="43"/>
      <c r="H63" s="43"/>
      <c r="I63" s="43"/>
      <c r="J63" s="43"/>
      <c r="K63" s="43"/>
      <c r="L63" s="76"/>
      <c r="M63" s="76"/>
      <c r="N63" s="76"/>
      <c r="O63" s="76"/>
      <c r="P63" s="76"/>
      <c r="Q63" s="76"/>
      <c r="R63" s="76"/>
    </row>
    <row r="64" spans="3:18" ht="41.45" customHeight="1">
      <c r="C64" s="42"/>
      <c r="D64" s="42"/>
      <c r="E64" s="42"/>
      <c r="F64" s="43"/>
      <c r="G64" s="43"/>
      <c r="H64" s="43"/>
      <c r="I64" s="43"/>
      <c r="J64" s="43"/>
      <c r="K64" s="43"/>
      <c r="L64" s="76"/>
      <c r="M64" s="76"/>
      <c r="N64" s="76"/>
      <c r="O64" s="76"/>
      <c r="P64" s="76"/>
      <c r="Q64" s="76"/>
      <c r="R64" s="76"/>
    </row>
    <row r="65" spans="3:18" ht="41.45" customHeight="1">
      <c r="C65" s="42"/>
      <c r="D65" s="42"/>
      <c r="E65" s="42"/>
      <c r="F65" s="43"/>
      <c r="G65" s="43"/>
      <c r="H65" s="43"/>
      <c r="I65" s="43"/>
      <c r="J65" s="43"/>
      <c r="K65" s="43"/>
      <c r="L65" s="76"/>
      <c r="M65" s="76"/>
      <c r="N65" s="76"/>
      <c r="O65" s="76"/>
      <c r="P65" s="76"/>
      <c r="Q65" s="76"/>
      <c r="R65" s="76"/>
    </row>
    <row r="66" spans="3:18" ht="41.45" customHeight="1">
      <c r="C66" s="42"/>
      <c r="D66" s="42"/>
      <c r="E66" s="42"/>
      <c r="F66" s="43"/>
      <c r="G66" s="43"/>
      <c r="H66" s="43"/>
      <c r="I66" s="43"/>
      <c r="J66" s="43"/>
      <c r="K66" s="43"/>
      <c r="L66" s="76"/>
      <c r="M66" s="76"/>
      <c r="N66" s="76"/>
      <c r="O66" s="76"/>
      <c r="P66" s="76"/>
      <c r="Q66" s="76"/>
      <c r="R66" s="76"/>
    </row>
    <row r="67" spans="3:18" ht="41.45" customHeight="1">
      <c r="C67" s="42"/>
      <c r="D67" s="42"/>
      <c r="E67" s="42"/>
      <c r="F67" s="43"/>
      <c r="G67" s="43"/>
      <c r="H67" s="43"/>
      <c r="I67" s="43"/>
      <c r="J67" s="43"/>
      <c r="K67" s="43"/>
      <c r="L67" s="76"/>
      <c r="M67" s="76"/>
      <c r="N67" s="76"/>
      <c r="O67" s="76"/>
      <c r="P67" s="76"/>
      <c r="Q67" s="76"/>
      <c r="R67" s="76"/>
    </row>
    <row r="68" spans="3:18" ht="41.45" customHeight="1">
      <c r="C68" s="42"/>
      <c r="D68" s="42"/>
      <c r="E68" s="42"/>
      <c r="F68" s="43"/>
      <c r="G68" s="43"/>
      <c r="H68" s="43"/>
      <c r="I68" s="43"/>
      <c r="J68" s="43"/>
      <c r="K68" s="43"/>
      <c r="L68" s="76"/>
      <c r="M68" s="76"/>
      <c r="N68" s="76"/>
      <c r="O68" s="76"/>
      <c r="P68" s="76"/>
      <c r="Q68" s="76"/>
      <c r="R68" s="76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4" right="0.511811024" top="0.78740157499999996" bottom="0.78740157499999996" header="0.31496062000000002" footer="0.31496062000000002"/>
  <pageSetup scale="22" orientation="portrait" r:id="rId1"/>
  <colBreaks count="1" manualBreakCount="1">
    <brk id="18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R68"/>
  <sheetViews>
    <sheetView view="pageBreakPreview" zoomScale="40" zoomScaleNormal="55" zoomScaleSheetLayoutView="40" workbookViewId="0">
      <selection activeCell="J3" sqref="J3"/>
    </sheetView>
  </sheetViews>
  <sheetFormatPr defaultColWidth="8.875" defaultRowHeight="15"/>
  <cols>
    <col min="1" max="1" width="33.375" style="1" customWidth="1"/>
    <col min="2" max="2" width="17.125" style="1" customWidth="1"/>
    <col min="3" max="4" width="13.375" style="1" customWidth="1"/>
    <col min="5" max="5" width="26.375" style="2" customWidth="1"/>
    <col min="6" max="6" width="30.125" style="2" customWidth="1"/>
    <col min="7" max="7" width="26.375" style="2" customWidth="1"/>
    <col min="8" max="8" width="33.125" style="2" customWidth="1"/>
    <col min="9" max="11" width="32" style="2" customWidth="1"/>
    <col min="12" max="14" width="14.375" style="1" customWidth="1"/>
    <col min="15" max="17" width="14.625" style="1" customWidth="1"/>
    <col min="18" max="18" width="37.37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84" t="s">
        <v>3</v>
      </c>
      <c r="J1" s="86">
        <f>'46'!J1</f>
        <v>46204</v>
      </c>
      <c r="K1" s="11"/>
      <c r="L1" s="88" t="s">
        <v>4</v>
      </c>
      <c r="M1" s="88"/>
      <c r="N1" s="90" t="str">
        <f>'46'!N1</f>
        <v>ENG. VINÍCIUS RODRIGUES FERREIRA DE OLIVEIRA</v>
      </c>
      <c r="O1" s="90"/>
      <c r="P1" s="90"/>
      <c r="Q1" s="90"/>
      <c r="R1" s="91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85"/>
      <c r="J2" s="87"/>
      <c r="K2" s="16"/>
      <c r="L2" s="89"/>
      <c r="M2" s="89"/>
      <c r="N2" s="92"/>
      <c r="O2" s="92"/>
      <c r="P2" s="92"/>
      <c r="Q2" s="92"/>
      <c r="R2" s="93"/>
    </row>
    <row r="3" spans="1:18" ht="19.5">
      <c r="A3" s="13" t="s">
        <v>23</v>
      </c>
      <c r="B3" s="45" t="str">
        <f>TT!C11</f>
        <v>RODOVIA TO-429 - TRECHO ENTR. TO-230 (ARAPOEMA) - POVOADO ARACAJI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98" t="s">
        <v>1</v>
      </c>
      <c r="B5" s="94" t="s">
        <v>7</v>
      </c>
      <c r="C5" s="100" t="s">
        <v>5</v>
      </c>
      <c r="D5" s="100" t="s">
        <v>6</v>
      </c>
      <c r="E5" s="94" t="s">
        <v>10</v>
      </c>
      <c r="F5" s="94"/>
      <c r="G5" s="94"/>
      <c r="H5" s="94"/>
      <c r="I5" s="94" t="s">
        <v>11</v>
      </c>
      <c r="J5" s="94"/>
      <c r="K5" s="94"/>
      <c r="L5" s="94" t="s">
        <v>8</v>
      </c>
      <c r="M5" s="94"/>
      <c r="N5" s="94"/>
      <c r="O5" s="94"/>
      <c r="P5" s="94"/>
      <c r="Q5" s="94"/>
      <c r="R5" s="95"/>
    </row>
    <row r="6" spans="1:18" s="6" customFormat="1" ht="79.150000000000006" customHeight="1">
      <c r="A6" s="99"/>
      <c r="B6" s="96"/>
      <c r="C6" s="96"/>
      <c r="D6" s="96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6"/>
      <c r="M6" s="96"/>
      <c r="N6" s="96"/>
      <c r="O6" s="96"/>
      <c r="P6" s="96"/>
      <c r="Q6" s="96"/>
      <c r="R6" s="97"/>
    </row>
    <row r="7" spans="1:18" ht="41.45" customHeight="1">
      <c r="A7" s="38" t="s">
        <v>77</v>
      </c>
      <c r="B7" s="21" t="s">
        <v>18</v>
      </c>
      <c r="C7" s="22">
        <v>0</v>
      </c>
      <c r="D7" s="22">
        <v>16.850000000000001</v>
      </c>
      <c r="E7" s="75" t="s">
        <v>19</v>
      </c>
      <c r="F7" s="21"/>
      <c r="G7" s="21"/>
      <c r="H7" s="21"/>
      <c r="I7" s="75" t="s">
        <v>19</v>
      </c>
      <c r="J7" s="21"/>
      <c r="K7" s="21"/>
      <c r="L7" s="78"/>
      <c r="M7" s="78"/>
      <c r="N7" s="78"/>
      <c r="O7" s="78"/>
      <c r="P7" s="78"/>
      <c r="Q7" s="78"/>
      <c r="R7" s="79"/>
    </row>
    <row r="8" spans="1:18" ht="41.45" customHeight="1">
      <c r="A8" s="38"/>
      <c r="B8" s="21"/>
      <c r="C8" s="22"/>
      <c r="D8" s="22"/>
      <c r="E8" s="21"/>
      <c r="F8" s="21"/>
      <c r="G8" s="21"/>
      <c r="H8" s="21"/>
      <c r="I8" s="21"/>
      <c r="J8" s="21"/>
      <c r="K8" s="21"/>
      <c r="L8" s="78"/>
      <c r="M8" s="78"/>
      <c r="N8" s="78"/>
      <c r="O8" s="78"/>
      <c r="P8" s="78"/>
      <c r="Q8" s="78"/>
      <c r="R8" s="79"/>
    </row>
    <row r="9" spans="1:18" ht="41.45" customHeight="1">
      <c r="A9" s="38"/>
      <c r="B9" s="21"/>
      <c r="C9" s="22"/>
      <c r="D9" s="22"/>
      <c r="E9" s="21"/>
      <c r="F9" s="21"/>
      <c r="G9" s="21"/>
      <c r="H9" s="21"/>
      <c r="I9" s="21"/>
      <c r="J9" s="21"/>
      <c r="K9" s="21"/>
      <c r="L9" s="78"/>
      <c r="M9" s="78"/>
      <c r="N9" s="78"/>
      <c r="O9" s="78"/>
      <c r="P9" s="78"/>
      <c r="Q9" s="78"/>
      <c r="R9" s="79"/>
    </row>
    <row r="10" spans="1:18" ht="41.45" customHeight="1">
      <c r="A10" s="38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78"/>
      <c r="M10" s="78"/>
      <c r="N10" s="78"/>
      <c r="O10" s="78"/>
      <c r="P10" s="78"/>
      <c r="Q10" s="78"/>
      <c r="R10" s="79"/>
    </row>
    <row r="11" spans="1:18" ht="41.45" customHeight="1">
      <c r="A11" s="38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78"/>
      <c r="M11" s="78"/>
      <c r="N11" s="78"/>
      <c r="O11" s="78"/>
      <c r="P11" s="78"/>
      <c r="Q11" s="78"/>
      <c r="R11" s="79"/>
    </row>
    <row r="12" spans="1:18" ht="41.45" customHeight="1">
      <c r="A12" s="38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78"/>
      <c r="M12" s="78"/>
      <c r="N12" s="78"/>
      <c r="O12" s="78"/>
      <c r="P12" s="78"/>
      <c r="Q12" s="78"/>
      <c r="R12" s="79"/>
    </row>
    <row r="13" spans="1:18" ht="41.45" customHeight="1">
      <c r="A13" s="38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78"/>
      <c r="M13" s="78"/>
      <c r="N13" s="78"/>
      <c r="O13" s="78"/>
      <c r="P13" s="78"/>
      <c r="Q13" s="78"/>
      <c r="R13" s="79"/>
    </row>
    <row r="14" spans="1:18" ht="41.45" customHeight="1">
      <c r="A14" s="38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78"/>
      <c r="M14" s="78"/>
      <c r="N14" s="78"/>
      <c r="O14" s="78"/>
      <c r="P14" s="78"/>
      <c r="Q14" s="78"/>
      <c r="R14" s="79"/>
    </row>
    <row r="15" spans="1:18" ht="41.45" customHeight="1">
      <c r="A15" s="38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78"/>
      <c r="M15" s="78"/>
      <c r="N15" s="78"/>
      <c r="O15" s="78"/>
      <c r="P15" s="78"/>
      <c r="Q15" s="78"/>
      <c r="R15" s="79"/>
    </row>
    <row r="16" spans="1:18" ht="41.45" customHeight="1">
      <c r="A16" s="38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78"/>
      <c r="M16" s="78"/>
      <c r="N16" s="78"/>
      <c r="O16" s="78"/>
      <c r="P16" s="78"/>
      <c r="Q16" s="78"/>
      <c r="R16" s="79"/>
    </row>
    <row r="17" spans="1:18" ht="41.45" customHeight="1">
      <c r="A17" s="38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78"/>
      <c r="M17" s="78"/>
      <c r="N17" s="78"/>
      <c r="O17" s="78"/>
      <c r="P17" s="78"/>
      <c r="Q17" s="78"/>
      <c r="R17" s="79"/>
    </row>
    <row r="18" spans="1:18" ht="41.45" customHeight="1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78"/>
      <c r="M18" s="78"/>
      <c r="N18" s="78"/>
      <c r="O18" s="78"/>
      <c r="P18" s="78"/>
      <c r="Q18" s="78"/>
      <c r="R18" s="79"/>
    </row>
    <row r="19" spans="1:18" ht="41.45" customHeight="1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78"/>
      <c r="M19" s="78"/>
      <c r="N19" s="78"/>
      <c r="O19" s="78"/>
      <c r="P19" s="78"/>
      <c r="Q19" s="78"/>
      <c r="R19" s="79"/>
    </row>
    <row r="20" spans="1:18" ht="41.45" customHeight="1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78"/>
      <c r="M20" s="78"/>
      <c r="N20" s="78"/>
      <c r="O20" s="78"/>
      <c r="P20" s="78"/>
      <c r="Q20" s="78"/>
      <c r="R20" s="79"/>
    </row>
    <row r="21" spans="1:18" ht="41.45" customHeight="1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78"/>
      <c r="M21" s="78"/>
      <c r="N21" s="78"/>
      <c r="O21" s="78"/>
      <c r="P21" s="78"/>
      <c r="Q21" s="78"/>
      <c r="R21" s="79"/>
    </row>
    <row r="22" spans="1:18" ht="41.45" customHeight="1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78"/>
      <c r="M22" s="78"/>
      <c r="N22" s="78"/>
      <c r="O22" s="78"/>
      <c r="P22" s="78"/>
      <c r="Q22" s="78"/>
      <c r="R22" s="79"/>
    </row>
    <row r="23" spans="1:18" ht="41.45" customHeight="1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78"/>
      <c r="M23" s="78"/>
      <c r="N23" s="78"/>
      <c r="O23" s="78"/>
      <c r="P23" s="78"/>
      <c r="Q23" s="78"/>
      <c r="R23" s="79"/>
    </row>
    <row r="24" spans="1:18" ht="41.45" customHeight="1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78"/>
      <c r="M24" s="78"/>
      <c r="N24" s="78"/>
      <c r="O24" s="78"/>
      <c r="P24" s="78"/>
      <c r="Q24" s="78"/>
      <c r="R24" s="79"/>
    </row>
    <row r="25" spans="1:18" ht="41.45" customHeight="1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78"/>
      <c r="M25" s="78"/>
      <c r="N25" s="78"/>
      <c r="O25" s="78"/>
      <c r="P25" s="78"/>
      <c r="Q25" s="78"/>
      <c r="R25" s="79"/>
    </row>
    <row r="26" spans="1:18" ht="41.45" customHeight="1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78"/>
      <c r="M26" s="78"/>
      <c r="N26" s="78"/>
      <c r="O26" s="78"/>
      <c r="P26" s="78"/>
      <c r="Q26" s="78"/>
      <c r="R26" s="79"/>
    </row>
    <row r="27" spans="1:18" ht="41.45" customHeight="1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78"/>
      <c r="M27" s="78"/>
      <c r="N27" s="78"/>
      <c r="O27" s="78"/>
      <c r="P27" s="78"/>
      <c r="Q27" s="78"/>
      <c r="R27" s="79"/>
    </row>
    <row r="28" spans="1:18" ht="41.45" customHeight="1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78"/>
      <c r="M28" s="78"/>
      <c r="N28" s="78"/>
      <c r="O28" s="78"/>
      <c r="P28" s="78"/>
      <c r="Q28" s="78"/>
      <c r="R28" s="79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78"/>
      <c r="M29" s="78"/>
      <c r="N29" s="78"/>
      <c r="O29" s="78"/>
      <c r="P29" s="78"/>
      <c r="Q29" s="78"/>
      <c r="R29" s="79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78"/>
      <c r="M30" s="78"/>
      <c r="N30" s="78"/>
      <c r="O30" s="78"/>
      <c r="P30" s="78"/>
      <c r="Q30" s="78"/>
      <c r="R30" s="79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78"/>
      <c r="M31" s="78"/>
      <c r="N31" s="78"/>
      <c r="O31" s="78"/>
      <c r="P31" s="78"/>
      <c r="Q31" s="78"/>
      <c r="R31" s="79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78"/>
      <c r="M32" s="78"/>
      <c r="N32" s="78"/>
      <c r="O32" s="78"/>
      <c r="P32" s="78"/>
      <c r="Q32" s="78"/>
      <c r="R32" s="79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78"/>
      <c r="M33" s="78"/>
      <c r="N33" s="78"/>
      <c r="O33" s="78"/>
      <c r="P33" s="78"/>
      <c r="Q33" s="78"/>
      <c r="R33" s="79"/>
    </row>
    <row r="34" spans="1:18" ht="41.45" customHeight="1" thickBot="1">
      <c r="A34" s="20"/>
      <c r="B34" s="4"/>
      <c r="C34" s="23"/>
      <c r="D34" s="23"/>
      <c r="E34" s="24"/>
      <c r="F34" s="24"/>
      <c r="G34" s="24"/>
      <c r="H34" s="24"/>
      <c r="I34" s="24"/>
      <c r="J34" s="24"/>
      <c r="K34" s="24"/>
      <c r="L34" s="80"/>
      <c r="M34" s="80"/>
      <c r="N34" s="80"/>
      <c r="O34" s="80"/>
      <c r="P34" s="80"/>
      <c r="Q34" s="80"/>
      <c r="R34" s="81"/>
    </row>
    <row r="35" spans="1:18" ht="41.45" customHeight="1">
      <c r="A35" s="39"/>
      <c r="B35" s="39"/>
      <c r="C35" s="40"/>
      <c r="D35" s="40"/>
      <c r="E35" s="41"/>
      <c r="F35" s="41"/>
      <c r="G35" s="41"/>
      <c r="H35" s="41"/>
      <c r="I35" s="41"/>
      <c r="J35" s="41"/>
      <c r="K35" s="41"/>
      <c r="L35" s="77"/>
      <c r="M35" s="77"/>
      <c r="N35" s="77"/>
      <c r="O35" s="77"/>
      <c r="P35" s="77"/>
      <c r="Q35" s="77"/>
      <c r="R35" s="77"/>
    </row>
    <row r="36" spans="1:18" ht="41.45" customHeight="1">
      <c r="C36" s="42"/>
      <c r="D36" s="42"/>
      <c r="E36" s="42">
        <f>IF(E7="X",(D7-C7),"0")</f>
        <v>16.850000000000001</v>
      </c>
      <c r="F36" s="42" t="str">
        <f>IF(F7="X",(D7-C7),"0")</f>
        <v>0</v>
      </c>
      <c r="G36" s="42" t="str">
        <f>IF(G7="X",(D7-C7),"0")</f>
        <v>0</v>
      </c>
      <c r="H36" s="42" t="str">
        <f>IF(H7="X",(D7-C7),"0")</f>
        <v>0</v>
      </c>
      <c r="I36" s="42">
        <f>IF(I7="X",(D7-C7),"0")</f>
        <v>16.850000000000001</v>
      </c>
      <c r="J36" s="42" t="str">
        <f>IF(J7="X",(D7-C7),"0")</f>
        <v>0</v>
      </c>
      <c r="K36" s="42" t="str">
        <f>IF(K7="X",(D7-C7),"0")</f>
        <v>0</v>
      </c>
      <c r="L36" s="76"/>
      <c r="M36" s="76"/>
      <c r="N36" s="76"/>
      <c r="O36" s="76"/>
      <c r="P36" s="76"/>
      <c r="Q36" s="76"/>
      <c r="R36" s="76"/>
    </row>
    <row r="37" spans="1:18" ht="41.45" customHeight="1">
      <c r="C37" s="42"/>
      <c r="D37" s="42"/>
      <c r="E37" s="42" t="str">
        <f t="shared" ref="E37:E61" si="0">IF(E8="X",(D8-C8),"0")</f>
        <v>0</v>
      </c>
      <c r="F37" s="42" t="str">
        <f t="shared" ref="F37:F61" si="1">IF(F8="X",(D8-C8),"0")</f>
        <v>0</v>
      </c>
      <c r="G37" s="42" t="str">
        <f t="shared" ref="G37:G61" si="2">IF(G8="X",(D8-C8),"0")</f>
        <v>0</v>
      </c>
      <c r="H37" s="42" t="str">
        <f t="shared" ref="H37:H61" si="3">IF(H8="X",(D8-C8),"0")</f>
        <v>0</v>
      </c>
      <c r="I37" s="42" t="str">
        <f t="shared" ref="I37:I61" si="4">IF(I8="X",(D8-C8),"0")</f>
        <v>0</v>
      </c>
      <c r="J37" s="42" t="str">
        <f t="shared" ref="J37:J61" si="5">IF(J8="X",(D8-C8),"0")</f>
        <v>0</v>
      </c>
      <c r="K37" s="42" t="str">
        <f t="shared" ref="K37:K61" si="6">IF(K8="X",(D8-C8),"0")</f>
        <v>0</v>
      </c>
      <c r="L37" s="76"/>
      <c r="M37" s="76"/>
      <c r="N37" s="76"/>
      <c r="O37" s="76"/>
      <c r="P37" s="76"/>
      <c r="Q37" s="76"/>
      <c r="R37" s="76"/>
    </row>
    <row r="38" spans="1:18" ht="41.45" customHeight="1">
      <c r="C38" s="42"/>
      <c r="D38" s="42"/>
      <c r="E38" s="42" t="str">
        <f t="shared" si="0"/>
        <v>0</v>
      </c>
      <c r="F38" s="42" t="str">
        <f t="shared" si="1"/>
        <v>0</v>
      </c>
      <c r="G38" s="42" t="str">
        <f t="shared" si="2"/>
        <v>0</v>
      </c>
      <c r="H38" s="42" t="str">
        <f t="shared" si="3"/>
        <v>0</v>
      </c>
      <c r="I38" s="42" t="str">
        <f t="shared" si="4"/>
        <v>0</v>
      </c>
      <c r="J38" s="42" t="str">
        <f t="shared" si="5"/>
        <v>0</v>
      </c>
      <c r="K38" s="42" t="str">
        <f t="shared" si="6"/>
        <v>0</v>
      </c>
      <c r="L38" s="76"/>
      <c r="M38" s="76"/>
      <c r="N38" s="76"/>
      <c r="O38" s="76"/>
      <c r="P38" s="76"/>
      <c r="Q38" s="76"/>
      <c r="R38" s="76"/>
    </row>
    <row r="39" spans="1:18" ht="41.45" customHeight="1">
      <c r="C39" s="42"/>
      <c r="D39" s="42"/>
      <c r="E39" s="42" t="str">
        <f t="shared" si="0"/>
        <v>0</v>
      </c>
      <c r="F39" s="42" t="str">
        <f t="shared" si="1"/>
        <v>0</v>
      </c>
      <c r="G39" s="42" t="str">
        <f t="shared" si="2"/>
        <v>0</v>
      </c>
      <c r="H39" s="42" t="str">
        <f t="shared" si="3"/>
        <v>0</v>
      </c>
      <c r="I39" s="42" t="str">
        <f t="shared" si="4"/>
        <v>0</v>
      </c>
      <c r="J39" s="42" t="str">
        <f t="shared" si="5"/>
        <v>0</v>
      </c>
      <c r="K39" s="42" t="str">
        <f t="shared" si="6"/>
        <v>0</v>
      </c>
      <c r="L39" s="76"/>
      <c r="M39" s="76"/>
      <c r="N39" s="76"/>
      <c r="O39" s="76"/>
      <c r="P39" s="76"/>
      <c r="Q39" s="76"/>
      <c r="R39" s="76"/>
    </row>
    <row r="40" spans="1:18" ht="41.45" customHeight="1">
      <c r="C40" s="42"/>
      <c r="D40" s="42"/>
      <c r="E40" s="42" t="str">
        <f t="shared" si="0"/>
        <v>0</v>
      </c>
      <c r="F40" s="42" t="str">
        <f t="shared" si="1"/>
        <v>0</v>
      </c>
      <c r="G40" s="42" t="str">
        <f t="shared" si="2"/>
        <v>0</v>
      </c>
      <c r="H40" s="42" t="str">
        <f t="shared" si="3"/>
        <v>0</v>
      </c>
      <c r="I40" s="42" t="str">
        <f t="shared" si="4"/>
        <v>0</v>
      </c>
      <c r="J40" s="42" t="str">
        <f t="shared" si="5"/>
        <v>0</v>
      </c>
      <c r="K40" s="42" t="str">
        <f t="shared" si="6"/>
        <v>0</v>
      </c>
      <c r="L40" s="76"/>
      <c r="M40" s="76"/>
      <c r="N40" s="76"/>
      <c r="O40" s="76"/>
      <c r="P40" s="76"/>
      <c r="Q40" s="76"/>
      <c r="R40" s="76"/>
    </row>
    <row r="41" spans="1:18" ht="41.45" customHeight="1">
      <c r="C41" s="42"/>
      <c r="D41" s="42"/>
      <c r="E41" s="42" t="str">
        <f t="shared" si="0"/>
        <v>0</v>
      </c>
      <c r="F41" s="42" t="str">
        <f t="shared" si="1"/>
        <v>0</v>
      </c>
      <c r="G41" s="42" t="str">
        <f t="shared" si="2"/>
        <v>0</v>
      </c>
      <c r="H41" s="42" t="str">
        <f t="shared" si="3"/>
        <v>0</v>
      </c>
      <c r="I41" s="42" t="str">
        <f t="shared" si="4"/>
        <v>0</v>
      </c>
      <c r="J41" s="42" t="str">
        <f t="shared" si="5"/>
        <v>0</v>
      </c>
      <c r="K41" s="42" t="str">
        <f t="shared" si="6"/>
        <v>0</v>
      </c>
      <c r="L41" s="76"/>
      <c r="M41" s="76"/>
      <c r="N41" s="76"/>
      <c r="O41" s="76"/>
      <c r="P41" s="76"/>
      <c r="Q41" s="76"/>
      <c r="R41" s="76"/>
    </row>
    <row r="42" spans="1:18" ht="41.45" customHeight="1">
      <c r="C42" s="42"/>
      <c r="D42" s="42"/>
      <c r="E42" s="42" t="str">
        <f t="shared" si="0"/>
        <v>0</v>
      </c>
      <c r="F42" s="42" t="str">
        <f t="shared" si="1"/>
        <v>0</v>
      </c>
      <c r="G42" s="42" t="str">
        <f t="shared" si="2"/>
        <v>0</v>
      </c>
      <c r="H42" s="42" t="str">
        <f t="shared" si="3"/>
        <v>0</v>
      </c>
      <c r="I42" s="42" t="str">
        <f t="shared" si="4"/>
        <v>0</v>
      </c>
      <c r="J42" s="42" t="str">
        <f t="shared" si="5"/>
        <v>0</v>
      </c>
      <c r="K42" s="42" t="str">
        <f t="shared" si="6"/>
        <v>0</v>
      </c>
      <c r="L42" s="76"/>
      <c r="M42" s="76"/>
      <c r="N42" s="76"/>
      <c r="O42" s="76"/>
      <c r="P42" s="76"/>
      <c r="Q42" s="76"/>
      <c r="R42" s="76"/>
    </row>
    <row r="43" spans="1:18" ht="41.45" customHeight="1">
      <c r="C43" s="42"/>
      <c r="D43" s="42"/>
      <c r="E43" s="42" t="str">
        <f t="shared" si="0"/>
        <v>0</v>
      </c>
      <c r="F43" s="42" t="str">
        <f t="shared" si="1"/>
        <v>0</v>
      </c>
      <c r="G43" s="42" t="str">
        <f t="shared" si="2"/>
        <v>0</v>
      </c>
      <c r="H43" s="42" t="str">
        <f t="shared" si="3"/>
        <v>0</v>
      </c>
      <c r="I43" s="42" t="str">
        <f t="shared" si="4"/>
        <v>0</v>
      </c>
      <c r="J43" s="42" t="str">
        <f t="shared" si="5"/>
        <v>0</v>
      </c>
      <c r="K43" s="42" t="str">
        <f t="shared" si="6"/>
        <v>0</v>
      </c>
      <c r="L43" s="76"/>
      <c r="M43" s="76"/>
      <c r="N43" s="76"/>
      <c r="O43" s="76"/>
      <c r="P43" s="76"/>
      <c r="Q43" s="76"/>
      <c r="R43" s="76"/>
    </row>
    <row r="44" spans="1:18" ht="41.45" customHeight="1">
      <c r="C44" s="42"/>
      <c r="D44" s="42"/>
      <c r="E44" s="42" t="str">
        <f t="shared" si="0"/>
        <v>0</v>
      </c>
      <c r="F44" s="42" t="str">
        <f t="shared" si="1"/>
        <v>0</v>
      </c>
      <c r="G44" s="42" t="str">
        <f t="shared" si="2"/>
        <v>0</v>
      </c>
      <c r="H44" s="42" t="str">
        <f t="shared" si="3"/>
        <v>0</v>
      </c>
      <c r="I44" s="42" t="str">
        <f t="shared" si="4"/>
        <v>0</v>
      </c>
      <c r="J44" s="42" t="str">
        <f t="shared" si="5"/>
        <v>0</v>
      </c>
      <c r="K44" s="42" t="str">
        <f t="shared" si="6"/>
        <v>0</v>
      </c>
      <c r="L44" s="76"/>
      <c r="M44" s="76"/>
      <c r="N44" s="76"/>
      <c r="O44" s="76"/>
      <c r="P44" s="76"/>
      <c r="Q44" s="76"/>
      <c r="R44" s="76"/>
    </row>
    <row r="45" spans="1:18" ht="41.45" customHeight="1">
      <c r="C45" s="42"/>
      <c r="D45" s="42"/>
      <c r="E45" s="42" t="str">
        <f t="shared" si="0"/>
        <v>0</v>
      </c>
      <c r="F45" s="42" t="str">
        <f t="shared" si="1"/>
        <v>0</v>
      </c>
      <c r="G45" s="42" t="str">
        <f t="shared" si="2"/>
        <v>0</v>
      </c>
      <c r="H45" s="42" t="str">
        <f t="shared" si="3"/>
        <v>0</v>
      </c>
      <c r="I45" s="42" t="str">
        <f t="shared" si="4"/>
        <v>0</v>
      </c>
      <c r="J45" s="42" t="str">
        <f t="shared" si="5"/>
        <v>0</v>
      </c>
      <c r="K45" s="42" t="str">
        <f t="shared" si="6"/>
        <v>0</v>
      </c>
      <c r="L45" s="76"/>
      <c r="M45" s="76"/>
      <c r="N45" s="76"/>
      <c r="O45" s="76"/>
      <c r="P45" s="76"/>
      <c r="Q45" s="76"/>
      <c r="R45" s="76"/>
    </row>
    <row r="46" spans="1:18" ht="41.45" customHeight="1">
      <c r="C46" s="42"/>
      <c r="D46" s="42"/>
      <c r="E46" s="42" t="str">
        <f t="shared" si="0"/>
        <v>0</v>
      </c>
      <c r="F46" s="42" t="str">
        <f t="shared" si="1"/>
        <v>0</v>
      </c>
      <c r="G46" s="42" t="str">
        <f t="shared" si="2"/>
        <v>0</v>
      </c>
      <c r="H46" s="42" t="str">
        <f t="shared" si="3"/>
        <v>0</v>
      </c>
      <c r="I46" s="42" t="str">
        <f t="shared" si="4"/>
        <v>0</v>
      </c>
      <c r="J46" s="42" t="str">
        <f t="shared" si="5"/>
        <v>0</v>
      </c>
      <c r="K46" s="42" t="str">
        <f t="shared" si="6"/>
        <v>0</v>
      </c>
      <c r="L46" s="76"/>
      <c r="M46" s="76"/>
      <c r="N46" s="76"/>
      <c r="O46" s="76"/>
      <c r="P46" s="76"/>
      <c r="Q46" s="76"/>
      <c r="R46" s="76"/>
    </row>
    <row r="47" spans="1:18" ht="41.45" customHeight="1">
      <c r="C47" s="42"/>
      <c r="D47" s="42"/>
      <c r="E47" s="42" t="str">
        <f t="shared" si="0"/>
        <v>0</v>
      </c>
      <c r="F47" s="42" t="str">
        <f t="shared" si="1"/>
        <v>0</v>
      </c>
      <c r="G47" s="42" t="str">
        <f t="shared" si="2"/>
        <v>0</v>
      </c>
      <c r="H47" s="42" t="str">
        <f t="shared" si="3"/>
        <v>0</v>
      </c>
      <c r="I47" s="42" t="str">
        <f t="shared" si="4"/>
        <v>0</v>
      </c>
      <c r="J47" s="42" t="str">
        <f t="shared" si="5"/>
        <v>0</v>
      </c>
      <c r="K47" s="42" t="str">
        <f t="shared" si="6"/>
        <v>0</v>
      </c>
      <c r="L47" s="76"/>
      <c r="M47" s="76"/>
      <c r="N47" s="76"/>
      <c r="O47" s="76"/>
      <c r="P47" s="76"/>
      <c r="Q47" s="76"/>
      <c r="R47" s="76"/>
    </row>
    <row r="48" spans="1:18" ht="41.45" customHeight="1">
      <c r="C48" s="42"/>
      <c r="D48" s="42"/>
      <c r="E48" s="42" t="str">
        <f t="shared" si="0"/>
        <v>0</v>
      </c>
      <c r="F48" s="42" t="str">
        <f t="shared" si="1"/>
        <v>0</v>
      </c>
      <c r="G48" s="42" t="str">
        <f t="shared" si="2"/>
        <v>0</v>
      </c>
      <c r="H48" s="42" t="str">
        <f t="shared" si="3"/>
        <v>0</v>
      </c>
      <c r="I48" s="42" t="str">
        <f t="shared" si="4"/>
        <v>0</v>
      </c>
      <c r="J48" s="42" t="str">
        <f t="shared" si="5"/>
        <v>0</v>
      </c>
      <c r="K48" s="42" t="str">
        <f t="shared" si="6"/>
        <v>0</v>
      </c>
      <c r="L48" s="76"/>
      <c r="M48" s="76"/>
      <c r="N48" s="76"/>
      <c r="O48" s="76"/>
      <c r="P48" s="76"/>
      <c r="Q48" s="76"/>
      <c r="R48" s="76"/>
    </row>
    <row r="49" spans="3:18" ht="41.45" customHeight="1">
      <c r="C49" s="42"/>
      <c r="D49" s="42"/>
      <c r="E49" s="42" t="str">
        <f t="shared" si="0"/>
        <v>0</v>
      </c>
      <c r="F49" s="42" t="str">
        <f t="shared" si="1"/>
        <v>0</v>
      </c>
      <c r="G49" s="42" t="str">
        <f t="shared" si="2"/>
        <v>0</v>
      </c>
      <c r="H49" s="42" t="str">
        <f t="shared" si="3"/>
        <v>0</v>
      </c>
      <c r="I49" s="42" t="str">
        <f t="shared" si="4"/>
        <v>0</v>
      </c>
      <c r="J49" s="42" t="str">
        <f t="shared" si="5"/>
        <v>0</v>
      </c>
      <c r="K49" s="42" t="str">
        <f t="shared" si="6"/>
        <v>0</v>
      </c>
      <c r="L49" s="76"/>
      <c r="M49" s="76"/>
      <c r="N49" s="76"/>
      <c r="O49" s="76"/>
      <c r="P49" s="76"/>
      <c r="Q49" s="76"/>
      <c r="R49" s="76"/>
    </row>
    <row r="50" spans="3:18" ht="41.45" customHeight="1">
      <c r="C50" s="42"/>
      <c r="D50" s="42"/>
      <c r="E50" s="42" t="str">
        <f t="shared" si="0"/>
        <v>0</v>
      </c>
      <c r="F50" s="42" t="str">
        <f t="shared" si="1"/>
        <v>0</v>
      </c>
      <c r="G50" s="42" t="str">
        <f t="shared" si="2"/>
        <v>0</v>
      </c>
      <c r="H50" s="42" t="str">
        <f t="shared" si="3"/>
        <v>0</v>
      </c>
      <c r="I50" s="42" t="str">
        <f t="shared" si="4"/>
        <v>0</v>
      </c>
      <c r="J50" s="42" t="str">
        <f t="shared" si="5"/>
        <v>0</v>
      </c>
      <c r="K50" s="42" t="str">
        <f t="shared" si="6"/>
        <v>0</v>
      </c>
      <c r="L50" s="76"/>
      <c r="M50" s="76"/>
      <c r="N50" s="76"/>
      <c r="O50" s="76"/>
      <c r="P50" s="76"/>
      <c r="Q50" s="76"/>
      <c r="R50" s="76"/>
    </row>
    <row r="51" spans="3:18" ht="41.45" customHeight="1">
      <c r="C51" s="42"/>
      <c r="D51" s="42"/>
      <c r="E51" s="42" t="str">
        <f t="shared" si="0"/>
        <v>0</v>
      </c>
      <c r="F51" s="42" t="str">
        <f t="shared" si="1"/>
        <v>0</v>
      </c>
      <c r="G51" s="42" t="str">
        <f t="shared" si="2"/>
        <v>0</v>
      </c>
      <c r="H51" s="42" t="str">
        <f t="shared" si="3"/>
        <v>0</v>
      </c>
      <c r="I51" s="42" t="str">
        <f t="shared" si="4"/>
        <v>0</v>
      </c>
      <c r="J51" s="42" t="str">
        <f t="shared" si="5"/>
        <v>0</v>
      </c>
      <c r="K51" s="42" t="str">
        <f t="shared" si="6"/>
        <v>0</v>
      </c>
      <c r="L51" s="76"/>
      <c r="M51" s="76"/>
      <c r="N51" s="76"/>
      <c r="O51" s="76"/>
      <c r="P51" s="76"/>
      <c r="Q51" s="76"/>
      <c r="R51" s="76"/>
    </row>
    <row r="52" spans="3:18" ht="41.45" customHeight="1">
      <c r="C52" s="42"/>
      <c r="D52" s="42"/>
      <c r="E52" s="42" t="str">
        <f t="shared" si="0"/>
        <v>0</v>
      </c>
      <c r="F52" s="42" t="str">
        <f t="shared" si="1"/>
        <v>0</v>
      </c>
      <c r="G52" s="42" t="str">
        <f t="shared" si="2"/>
        <v>0</v>
      </c>
      <c r="H52" s="42" t="str">
        <f t="shared" si="3"/>
        <v>0</v>
      </c>
      <c r="I52" s="42" t="str">
        <f t="shared" si="4"/>
        <v>0</v>
      </c>
      <c r="J52" s="42" t="str">
        <f t="shared" si="5"/>
        <v>0</v>
      </c>
      <c r="K52" s="42" t="str">
        <f t="shared" si="6"/>
        <v>0</v>
      </c>
      <c r="L52" s="76"/>
      <c r="M52" s="76"/>
      <c r="N52" s="76"/>
      <c r="O52" s="76"/>
      <c r="P52" s="76"/>
      <c r="Q52" s="76"/>
      <c r="R52" s="76"/>
    </row>
    <row r="53" spans="3:18" ht="41.45" customHeight="1">
      <c r="C53" s="42"/>
      <c r="D53" s="42"/>
      <c r="E53" s="42" t="str">
        <f t="shared" si="0"/>
        <v>0</v>
      </c>
      <c r="F53" s="42" t="str">
        <f t="shared" si="1"/>
        <v>0</v>
      </c>
      <c r="G53" s="42" t="str">
        <f t="shared" si="2"/>
        <v>0</v>
      </c>
      <c r="H53" s="42" t="str">
        <f t="shared" si="3"/>
        <v>0</v>
      </c>
      <c r="I53" s="42" t="str">
        <f t="shared" si="4"/>
        <v>0</v>
      </c>
      <c r="J53" s="42" t="str">
        <f t="shared" si="5"/>
        <v>0</v>
      </c>
      <c r="K53" s="42" t="str">
        <f t="shared" si="6"/>
        <v>0</v>
      </c>
      <c r="L53" s="76"/>
      <c r="M53" s="76"/>
      <c r="N53" s="76"/>
      <c r="O53" s="76"/>
      <c r="P53" s="76"/>
      <c r="Q53" s="76"/>
      <c r="R53" s="76"/>
    </row>
    <row r="54" spans="3:18" ht="41.45" customHeight="1">
      <c r="C54" s="42"/>
      <c r="D54" s="42"/>
      <c r="E54" s="42" t="str">
        <f t="shared" si="0"/>
        <v>0</v>
      </c>
      <c r="F54" s="42" t="str">
        <f t="shared" si="1"/>
        <v>0</v>
      </c>
      <c r="G54" s="42" t="str">
        <f t="shared" si="2"/>
        <v>0</v>
      </c>
      <c r="H54" s="42" t="str">
        <f t="shared" si="3"/>
        <v>0</v>
      </c>
      <c r="I54" s="42" t="str">
        <f t="shared" si="4"/>
        <v>0</v>
      </c>
      <c r="J54" s="42" t="str">
        <f t="shared" si="5"/>
        <v>0</v>
      </c>
      <c r="K54" s="42" t="str">
        <f t="shared" si="6"/>
        <v>0</v>
      </c>
      <c r="L54" s="76"/>
      <c r="M54" s="76"/>
      <c r="N54" s="76"/>
      <c r="O54" s="76"/>
      <c r="P54" s="76"/>
      <c r="Q54" s="76"/>
      <c r="R54" s="76"/>
    </row>
    <row r="55" spans="3:18" ht="41.45" customHeight="1">
      <c r="C55" s="42"/>
      <c r="D55" s="42"/>
      <c r="E55" s="42" t="str">
        <f t="shared" si="0"/>
        <v>0</v>
      </c>
      <c r="F55" s="42" t="str">
        <f t="shared" si="1"/>
        <v>0</v>
      </c>
      <c r="G55" s="42" t="str">
        <f t="shared" si="2"/>
        <v>0</v>
      </c>
      <c r="H55" s="42" t="str">
        <f t="shared" si="3"/>
        <v>0</v>
      </c>
      <c r="I55" s="42" t="str">
        <f t="shared" si="4"/>
        <v>0</v>
      </c>
      <c r="J55" s="42" t="str">
        <f t="shared" si="5"/>
        <v>0</v>
      </c>
      <c r="K55" s="42" t="str">
        <f t="shared" si="6"/>
        <v>0</v>
      </c>
      <c r="L55" s="76"/>
      <c r="M55" s="76"/>
      <c r="N55" s="76"/>
      <c r="O55" s="76"/>
      <c r="P55" s="76"/>
      <c r="Q55" s="76"/>
      <c r="R55" s="76"/>
    </row>
    <row r="56" spans="3:18" ht="41.45" customHeight="1">
      <c r="C56" s="42"/>
      <c r="D56" s="42"/>
      <c r="E56" s="42" t="str">
        <f t="shared" si="0"/>
        <v>0</v>
      </c>
      <c r="F56" s="42" t="str">
        <f t="shared" si="1"/>
        <v>0</v>
      </c>
      <c r="G56" s="42" t="str">
        <f t="shared" si="2"/>
        <v>0</v>
      </c>
      <c r="H56" s="42" t="str">
        <f t="shared" si="3"/>
        <v>0</v>
      </c>
      <c r="I56" s="42" t="str">
        <f t="shared" si="4"/>
        <v>0</v>
      </c>
      <c r="J56" s="42" t="str">
        <f t="shared" si="5"/>
        <v>0</v>
      </c>
      <c r="K56" s="42" t="str">
        <f t="shared" si="6"/>
        <v>0</v>
      </c>
      <c r="L56" s="76"/>
      <c r="M56" s="76"/>
      <c r="N56" s="76"/>
      <c r="O56" s="76"/>
      <c r="P56" s="76"/>
      <c r="Q56" s="76"/>
      <c r="R56" s="76"/>
    </row>
    <row r="57" spans="3:18" ht="41.45" customHeight="1">
      <c r="C57" s="42"/>
      <c r="D57" s="42"/>
      <c r="E57" s="42" t="str">
        <f t="shared" si="0"/>
        <v>0</v>
      </c>
      <c r="F57" s="42" t="str">
        <f t="shared" si="1"/>
        <v>0</v>
      </c>
      <c r="G57" s="42" t="str">
        <f t="shared" si="2"/>
        <v>0</v>
      </c>
      <c r="H57" s="42" t="str">
        <f t="shared" si="3"/>
        <v>0</v>
      </c>
      <c r="I57" s="42" t="str">
        <f t="shared" si="4"/>
        <v>0</v>
      </c>
      <c r="J57" s="42" t="str">
        <f t="shared" si="5"/>
        <v>0</v>
      </c>
      <c r="K57" s="42" t="str">
        <f t="shared" si="6"/>
        <v>0</v>
      </c>
      <c r="L57" s="76"/>
      <c r="M57" s="76"/>
      <c r="N57" s="76"/>
      <c r="O57" s="76"/>
      <c r="P57" s="76"/>
      <c r="Q57" s="76"/>
      <c r="R57" s="76"/>
    </row>
    <row r="58" spans="3:18" ht="41.45" customHeight="1">
      <c r="C58" s="42"/>
      <c r="D58" s="42"/>
      <c r="E58" s="42" t="str">
        <f t="shared" si="0"/>
        <v>0</v>
      </c>
      <c r="F58" s="42" t="str">
        <f t="shared" si="1"/>
        <v>0</v>
      </c>
      <c r="G58" s="42" t="str">
        <f t="shared" si="2"/>
        <v>0</v>
      </c>
      <c r="H58" s="42" t="str">
        <f t="shared" si="3"/>
        <v>0</v>
      </c>
      <c r="I58" s="42" t="str">
        <f t="shared" si="4"/>
        <v>0</v>
      </c>
      <c r="J58" s="42" t="str">
        <f t="shared" si="5"/>
        <v>0</v>
      </c>
      <c r="K58" s="42" t="str">
        <f t="shared" si="6"/>
        <v>0</v>
      </c>
      <c r="L58" s="76"/>
      <c r="M58" s="76"/>
      <c r="N58" s="76"/>
      <c r="O58" s="76"/>
      <c r="P58" s="76"/>
      <c r="Q58" s="76"/>
      <c r="R58" s="76"/>
    </row>
    <row r="59" spans="3:18" ht="41.45" customHeight="1">
      <c r="C59" s="42"/>
      <c r="D59" s="42"/>
      <c r="E59" s="42" t="str">
        <f t="shared" si="0"/>
        <v>0</v>
      </c>
      <c r="F59" s="42" t="str">
        <f t="shared" si="1"/>
        <v>0</v>
      </c>
      <c r="G59" s="42" t="str">
        <f t="shared" si="2"/>
        <v>0</v>
      </c>
      <c r="H59" s="42" t="str">
        <f t="shared" si="3"/>
        <v>0</v>
      </c>
      <c r="I59" s="42" t="str">
        <f t="shared" si="4"/>
        <v>0</v>
      </c>
      <c r="J59" s="42" t="str">
        <f t="shared" si="5"/>
        <v>0</v>
      </c>
      <c r="K59" s="42" t="str">
        <f t="shared" si="6"/>
        <v>0</v>
      </c>
      <c r="L59" s="76"/>
      <c r="M59" s="76"/>
      <c r="N59" s="76"/>
      <c r="O59" s="76"/>
      <c r="P59" s="76"/>
      <c r="Q59" s="76"/>
      <c r="R59" s="76"/>
    </row>
    <row r="60" spans="3:18" ht="41.45" customHeight="1">
      <c r="C60" s="42"/>
      <c r="D60" s="42"/>
      <c r="E60" s="42" t="str">
        <f t="shared" si="0"/>
        <v>0</v>
      </c>
      <c r="F60" s="42" t="str">
        <f t="shared" si="1"/>
        <v>0</v>
      </c>
      <c r="G60" s="42" t="str">
        <f t="shared" si="2"/>
        <v>0</v>
      </c>
      <c r="H60" s="42" t="str">
        <f t="shared" si="3"/>
        <v>0</v>
      </c>
      <c r="I60" s="42" t="str">
        <f t="shared" si="4"/>
        <v>0</v>
      </c>
      <c r="J60" s="42" t="str">
        <f t="shared" si="5"/>
        <v>0</v>
      </c>
      <c r="K60" s="42" t="str">
        <f t="shared" si="6"/>
        <v>0</v>
      </c>
      <c r="L60" s="76"/>
      <c r="M60" s="76"/>
      <c r="N60" s="76"/>
      <c r="O60" s="76"/>
      <c r="P60" s="76"/>
      <c r="Q60" s="76"/>
      <c r="R60" s="76"/>
    </row>
    <row r="61" spans="3:18" ht="41.45" customHeight="1">
      <c r="C61" s="42"/>
      <c r="D61" s="42"/>
      <c r="E61" s="42" t="str">
        <f t="shared" si="0"/>
        <v>0</v>
      </c>
      <c r="F61" s="42" t="str">
        <f t="shared" si="1"/>
        <v>0</v>
      </c>
      <c r="G61" s="42" t="str">
        <f t="shared" si="2"/>
        <v>0</v>
      </c>
      <c r="H61" s="42" t="str">
        <f t="shared" si="3"/>
        <v>0</v>
      </c>
      <c r="I61" s="42" t="str">
        <f t="shared" si="4"/>
        <v>0</v>
      </c>
      <c r="J61" s="42" t="str">
        <f t="shared" si="5"/>
        <v>0</v>
      </c>
      <c r="K61" s="42" t="str">
        <f t="shared" si="6"/>
        <v>0</v>
      </c>
      <c r="L61" s="76"/>
      <c r="M61" s="76"/>
      <c r="N61" s="76"/>
      <c r="O61" s="76"/>
      <c r="P61" s="76"/>
      <c r="Q61" s="76"/>
      <c r="R61" s="76"/>
    </row>
    <row r="62" spans="3:18" ht="41.45" customHeight="1">
      <c r="C62" s="42"/>
      <c r="D62" s="42"/>
      <c r="E62" s="42">
        <f>SUM(E36:E61)</f>
        <v>16.850000000000001</v>
      </c>
      <c r="F62" s="42">
        <f t="shared" ref="F62:K62" si="7">SUM(F36:F61)</f>
        <v>0</v>
      </c>
      <c r="G62" s="42">
        <f t="shared" si="7"/>
        <v>0</v>
      </c>
      <c r="H62" s="42">
        <f t="shared" si="7"/>
        <v>0</v>
      </c>
      <c r="I62" s="42">
        <f t="shared" si="7"/>
        <v>16.850000000000001</v>
      </c>
      <c r="J62" s="42">
        <f t="shared" si="7"/>
        <v>0</v>
      </c>
      <c r="K62" s="42">
        <f t="shared" si="7"/>
        <v>0</v>
      </c>
      <c r="L62" s="76"/>
      <c r="M62" s="76"/>
      <c r="N62" s="76"/>
      <c r="O62" s="76"/>
      <c r="P62" s="76"/>
      <c r="Q62" s="76"/>
      <c r="R62" s="76"/>
    </row>
    <row r="63" spans="3:18" ht="41.45" customHeight="1">
      <c r="C63" s="42"/>
      <c r="D63" s="42"/>
      <c r="E63" s="42"/>
      <c r="F63" s="43"/>
      <c r="G63" s="43"/>
      <c r="H63" s="43"/>
      <c r="I63" s="43"/>
      <c r="J63" s="43"/>
      <c r="K63" s="43"/>
      <c r="L63" s="76"/>
      <c r="M63" s="76"/>
      <c r="N63" s="76"/>
      <c r="O63" s="76"/>
      <c r="P63" s="76"/>
      <c r="Q63" s="76"/>
      <c r="R63" s="76"/>
    </row>
    <row r="64" spans="3:18" ht="41.45" customHeight="1">
      <c r="C64" s="42"/>
      <c r="D64" s="42"/>
      <c r="E64" s="42"/>
      <c r="F64" s="43"/>
      <c r="G64" s="43"/>
      <c r="H64" s="43"/>
      <c r="I64" s="43"/>
      <c r="J64" s="43"/>
      <c r="K64" s="43"/>
      <c r="L64" s="76"/>
      <c r="M64" s="76"/>
      <c r="N64" s="76"/>
      <c r="O64" s="76"/>
      <c r="P64" s="76"/>
      <c r="Q64" s="76"/>
      <c r="R64" s="76"/>
    </row>
    <row r="65" spans="3:18" ht="41.45" customHeight="1">
      <c r="C65" s="42"/>
      <c r="D65" s="42"/>
      <c r="E65" s="42"/>
      <c r="F65" s="43"/>
      <c r="G65" s="43"/>
      <c r="H65" s="43"/>
      <c r="I65" s="43"/>
      <c r="J65" s="43"/>
      <c r="K65" s="43"/>
      <c r="L65" s="76"/>
      <c r="M65" s="76"/>
      <c r="N65" s="76"/>
      <c r="O65" s="76"/>
      <c r="P65" s="76"/>
      <c r="Q65" s="76"/>
      <c r="R65" s="76"/>
    </row>
    <row r="66" spans="3:18" ht="41.45" customHeight="1">
      <c r="C66" s="42"/>
      <c r="D66" s="42"/>
      <c r="E66" s="42"/>
      <c r="F66" s="43"/>
      <c r="G66" s="43"/>
      <c r="H66" s="43"/>
      <c r="I66" s="43"/>
      <c r="J66" s="43"/>
      <c r="K66" s="43"/>
      <c r="L66" s="76"/>
      <c r="M66" s="76"/>
      <c r="N66" s="76"/>
      <c r="O66" s="76"/>
      <c r="P66" s="76"/>
      <c r="Q66" s="76"/>
      <c r="R66" s="76"/>
    </row>
    <row r="67" spans="3:18" ht="41.45" customHeight="1">
      <c r="C67" s="42"/>
      <c r="D67" s="42"/>
      <c r="E67" s="42"/>
      <c r="F67" s="43"/>
      <c r="G67" s="43"/>
      <c r="H67" s="43"/>
      <c r="I67" s="43"/>
      <c r="J67" s="43"/>
      <c r="K67" s="43"/>
      <c r="L67" s="76"/>
      <c r="M67" s="76"/>
      <c r="N67" s="76"/>
      <c r="O67" s="76"/>
      <c r="P67" s="76"/>
      <c r="Q67" s="76"/>
      <c r="R67" s="76"/>
    </row>
    <row r="68" spans="3:18" ht="41.45" customHeight="1">
      <c r="C68" s="42"/>
      <c r="D68" s="42"/>
      <c r="E68" s="42"/>
      <c r="F68" s="43"/>
      <c r="G68" s="43"/>
      <c r="H68" s="43"/>
      <c r="I68" s="43"/>
      <c r="J68" s="43"/>
      <c r="K68" s="43"/>
      <c r="L68" s="76"/>
      <c r="M68" s="76"/>
      <c r="N68" s="76"/>
      <c r="O68" s="76"/>
      <c r="P68" s="76"/>
      <c r="Q68" s="76"/>
      <c r="R68" s="76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4" right="0.511811024" top="0.78740157499999996" bottom="0.78740157499999996" header="0.31496062000000002" footer="0.31496062000000002"/>
  <pageSetup scale="21" orientation="portrait" r:id="rId1"/>
  <colBreaks count="1" manualBreakCount="1">
    <brk id="18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R68"/>
  <sheetViews>
    <sheetView view="pageBreakPreview" zoomScale="40" zoomScaleNormal="55" zoomScaleSheetLayoutView="40" workbookViewId="0">
      <selection activeCell="J3" sqref="J3"/>
    </sheetView>
  </sheetViews>
  <sheetFormatPr defaultColWidth="8.875" defaultRowHeight="15"/>
  <cols>
    <col min="1" max="1" width="33.375" style="1" customWidth="1"/>
    <col min="2" max="2" width="17.125" style="1" customWidth="1"/>
    <col min="3" max="4" width="13.375" style="1" customWidth="1"/>
    <col min="5" max="5" width="26.375" style="2" customWidth="1"/>
    <col min="6" max="6" width="30.125" style="2" customWidth="1"/>
    <col min="7" max="7" width="26.375" style="2" customWidth="1"/>
    <col min="8" max="8" width="33.125" style="2" customWidth="1"/>
    <col min="9" max="11" width="32" style="2" customWidth="1"/>
    <col min="12" max="14" width="14.375" style="1" customWidth="1"/>
    <col min="15" max="17" width="14.625" style="1" customWidth="1"/>
    <col min="18" max="18" width="37.37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84" t="s">
        <v>3</v>
      </c>
      <c r="J1" s="86">
        <f>'46'!J1</f>
        <v>46204</v>
      </c>
      <c r="K1" s="11"/>
      <c r="L1" s="88" t="s">
        <v>4</v>
      </c>
      <c r="M1" s="88"/>
      <c r="N1" s="90" t="str">
        <f>'46'!N1</f>
        <v>ENG. VINÍCIUS RODRIGUES FERREIRA DE OLIVEIRA</v>
      </c>
      <c r="O1" s="90"/>
      <c r="P1" s="90"/>
      <c r="Q1" s="90"/>
      <c r="R1" s="91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85"/>
      <c r="J2" s="87"/>
      <c r="K2" s="16"/>
      <c r="L2" s="89"/>
      <c r="M2" s="89"/>
      <c r="N2" s="92"/>
      <c r="O2" s="92"/>
      <c r="P2" s="92"/>
      <c r="Q2" s="92"/>
      <c r="R2" s="93"/>
    </row>
    <row r="3" spans="1:18" ht="19.5">
      <c r="A3" s="13" t="s">
        <v>23</v>
      </c>
      <c r="B3" s="45" t="str">
        <f>TT!C12</f>
        <v>RODOVIA TO-430 - TRECHO POVOADO CORIOLANDO (ENTR. TO-230 - ARAPOEMA) - ENTR. TO-164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98" t="s">
        <v>1</v>
      </c>
      <c r="B5" s="94" t="s">
        <v>7</v>
      </c>
      <c r="C5" s="100" t="s">
        <v>5</v>
      </c>
      <c r="D5" s="100" t="s">
        <v>6</v>
      </c>
      <c r="E5" s="94" t="s">
        <v>10</v>
      </c>
      <c r="F5" s="94"/>
      <c r="G5" s="94"/>
      <c r="H5" s="94"/>
      <c r="I5" s="94" t="s">
        <v>11</v>
      </c>
      <c r="J5" s="94"/>
      <c r="K5" s="94"/>
      <c r="L5" s="94" t="s">
        <v>8</v>
      </c>
      <c r="M5" s="94"/>
      <c r="N5" s="94"/>
      <c r="O5" s="94"/>
      <c r="P5" s="94"/>
      <c r="Q5" s="94"/>
      <c r="R5" s="95"/>
    </row>
    <row r="6" spans="1:18" s="6" customFormat="1" ht="79.150000000000006" customHeight="1">
      <c r="A6" s="99"/>
      <c r="B6" s="96"/>
      <c r="C6" s="96"/>
      <c r="D6" s="96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6"/>
      <c r="M6" s="96"/>
      <c r="N6" s="96"/>
      <c r="O6" s="96"/>
      <c r="P6" s="96"/>
      <c r="Q6" s="96"/>
      <c r="R6" s="97"/>
    </row>
    <row r="7" spans="1:18" ht="41.45" customHeight="1">
      <c r="A7" s="38" t="s">
        <v>46</v>
      </c>
      <c r="B7" s="21" t="s">
        <v>18</v>
      </c>
      <c r="C7" s="22">
        <v>0</v>
      </c>
      <c r="D7" s="22">
        <v>16.64</v>
      </c>
      <c r="E7" s="75" t="s">
        <v>19</v>
      </c>
      <c r="F7" s="21"/>
      <c r="G7" s="71"/>
      <c r="H7" s="21"/>
      <c r="I7" s="75" t="s">
        <v>19</v>
      </c>
      <c r="J7" s="71"/>
      <c r="K7" s="71"/>
      <c r="L7" s="78"/>
      <c r="M7" s="78"/>
      <c r="N7" s="78"/>
      <c r="O7" s="78"/>
      <c r="P7" s="78"/>
      <c r="Q7" s="78"/>
      <c r="R7" s="79"/>
    </row>
    <row r="8" spans="1:18" ht="41.45" customHeight="1">
      <c r="A8" s="38"/>
      <c r="B8" s="21"/>
      <c r="C8" s="22"/>
      <c r="D8" s="22"/>
      <c r="E8" s="21"/>
      <c r="F8" s="21"/>
      <c r="G8" s="21"/>
      <c r="H8" s="21"/>
      <c r="I8" s="21"/>
      <c r="J8" s="21"/>
      <c r="K8" s="21"/>
      <c r="L8" s="78"/>
      <c r="M8" s="78"/>
      <c r="N8" s="78"/>
      <c r="O8" s="78"/>
      <c r="P8" s="78"/>
      <c r="Q8" s="78"/>
      <c r="R8" s="79"/>
    </row>
    <row r="9" spans="1:18" ht="41.45" customHeight="1">
      <c r="A9" s="38"/>
      <c r="B9" s="21"/>
      <c r="C9" s="22"/>
      <c r="D9" s="22"/>
      <c r="E9" s="21"/>
      <c r="F9" s="21"/>
      <c r="G9" s="21"/>
      <c r="H9" s="21"/>
      <c r="I9" s="21"/>
      <c r="J9" s="21"/>
      <c r="K9" s="21"/>
      <c r="L9" s="78"/>
      <c r="M9" s="78"/>
      <c r="N9" s="78"/>
      <c r="O9" s="78"/>
      <c r="P9" s="78"/>
      <c r="Q9" s="78"/>
      <c r="R9" s="79"/>
    </row>
    <row r="10" spans="1:18" ht="41.45" customHeight="1">
      <c r="A10" s="38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78"/>
      <c r="M10" s="78"/>
      <c r="N10" s="78"/>
      <c r="O10" s="78"/>
      <c r="P10" s="78"/>
      <c r="Q10" s="78"/>
      <c r="R10" s="79"/>
    </row>
    <row r="11" spans="1:18" ht="41.45" customHeight="1">
      <c r="A11" s="38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78"/>
      <c r="M11" s="78"/>
      <c r="N11" s="78"/>
      <c r="O11" s="78"/>
      <c r="P11" s="78"/>
      <c r="Q11" s="78"/>
      <c r="R11" s="79"/>
    </row>
    <row r="12" spans="1:18" ht="41.45" customHeight="1">
      <c r="A12" s="38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78"/>
      <c r="M12" s="78"/>
      <c r="N12" s="78"/>
      <c r="O12" s="78"/>
      <c r="P12" s="78"/>
      <c r="Q12" s="78"/>
      <c r="R12" s="79"/>
    </row>
    <row r="13" spans="1:18" ht="41.45" customHeight="1">
      <c r="A13" s="38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78"/>
      <c r="M13" s="78"/>
      <c r="N13" s="78"/>
      <c r="O13" s="78"/>
      <c r="P13" s="78"/>
      <c r="Q13" s="78"/>
      <c r="R13" s="79"/>
    </row>
    <row r="14" spans="1:18" ht="41.45" customHeight="1">
      <c r="A14" s="38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78"/>
      <c r="M14" s="78"/>
      <c r="N14" s="78"/>
      <c r="O14" s="78"/>
      <c r="P14" s="78"/>
      <c r="Q14" s="78"/>
      <c r="R14" s="79"/>
    </row>
    <row r="15" spans="1:18" ht="41.45" customHeight="1">
      <c r="A15" s="38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78"/>
      <c r="M15" s="78"/>
      <c r="N15" s="78"/>
      <c r="O15" s="78"/>
      <c r="P15" s="78"/>
      <c r="Q15" s="78"/>
      <c r="R15" s="79"/>
    </row>
    <row r="16" spans="1:18" ht="41.45" customHeight="1">
      <c r="A16" s="38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78"/>
      <c r="M16" s="78"/>
      <c r="N16" s="78"/>
      <c r="O16" s="78"/>
      <c r="P16" s="78"/>
      <c r="Q16" s="78"/>
      <c r="R16" s="79"/>
    </row>
    <row r="17" spans="1:18" ht="41.45" customHeight="1">
      <c r="A17" s="38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78"/>
      <c r="M17" s="78"/>
      <c r="N17" s="78"/>
      <c r="O17" s="78"/>
      <c r="P17" s="78"/>
      <c r="Q17" s="78"/>
      <c r="R17" s="79"/>
    </row>
    <row r="18" spans="1:18" ht="41.45" customHeight="1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78"/>
      <c r="M18" s="78"/>
      <c r="N18" s="78"/>
      <c r="O18" s="78"/>
      <c r="P18" s="78"/>
      <c r="Q18" s="78"/>
      <c r="R18" s="79"/>
    </row>
    <row r="19" spans="1:18" ht="41.45" customHeight="1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78"/>
      <c r="M19" s="78"/>
      <c r="N19" s="78"/>
      <c r="O19" s="78"/>
      <c r="P19" s="78"/>
      <c r="Q19" s="78"/>
      <c r="R19" s="79"/>
    </row>
    <row r="20" spans="1:18" ht="41.45" customHeight="1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78"/>
      <c r="M20" s="78"/>
      <c r="N20" s="78"/>
      <c r="O20" s="78"/>
      <c r="P20" s="78"/>
      <c r="Q20" s="78"/>
      <c r="R20" s="79"/>
    </row>
    <row r="21" spans="1:18" ht="41.45" customHeight="1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78"/>
      <c r="M21" s="78"/>
      <c r="N21" s="78"/>
      <c r="O21" s="78"/>
      <c r="P21" s="78"/>
      <c r="Q21" s="78"/>
      <c r="R21" s="79"/>
    </row>
    <row r="22" spans="1:18" ht="41.45" customHeight="1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78"/>
      <c r="M22" s="78"/>
      <c r="N22" s="78"/>
      <c r="O22" s="78"/>
      <c r="P22" s="78"/>
      <c r="Q22" s="78"/>
      <c r="R22" s="79"/>
    </row>
    <row r="23" spans="1:18" ht="41.45" customHeight="1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78"/>
      <c r="M23" s="78"/>
      <c r="N23" s="78"/>
      <c r="O23" s="78"/>
      <c r="P23" s="78"/>
      <c r="Q23" s="78"/>
      <c r="R23" s="79"/>
    </row>
    <row r="24" spans="1:18" ht="41.45" customHeight="1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78"/>
      <c r="M24" s="78"/>
      <c r="N24" s="78"/>
      <c r="O24" s="78"/>
      <c r="P24" s="78"/>
      <c r="Q24" s="78"/>
      <c r="R24" s="79"/>
    </row>
    <row r="25" spans="1:18" ht="41.45" customHeight="1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78"/>
      <c r="M25" s="78"/>
      <c r="N25" s="78"/>
      <c r="O25" s="78"/>
      <c r="P25" s="78"/>
      <c r="Q25" s="78"/>
      <c r="R25" s="79"/>
    </row>
    <row r="26" spans="1:18" ht="41.45" customHeight="1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78"/>
      <c r="M26" s="78"/>
      <c r="N26" s="78"/>
      <c r="O26" s="78"/>
      <c r="P26" s="78"/>
      <c r="Q26" s="78"/>
      <c r="R26" s="79"/>
    </row>
    <row r="27" spans="1:18" ht="41.45" customHeight="1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78"/>
      <c r="M27" s="78"/>
      <c r="N27" s="78"/>
      <c r="O27" s="78"/>
      <c r="P27" s="78"/>
      <c r="Q27" s="78"/>
      <c r="R27" s="79"/>
    </row>
    <row r="28" spans="1:18" ht="41.45" customHeight="1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78"/>
      <c r="M28" s="78"/>
      <c r="N28" s="78"/>
      <c r="O28" s="78"/>
      <c r="P28" s="78"/>
      <c r="Q28" s="78"/>
      <c r="R28" s="79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78"/>
      <c r="M29" s="78"/>
      <c r="N29" s="78"/>
      <c r="O29" s="78"/>
      <c r="P29" s="78"/>
      <c r="Q29" s="78"/>
      <c r="R29" s="79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78"/>
      <c r="M30" s="78"/>
      <c r="N30" s="78"/>
      <c r="O30" s="78"/>
      <c r="P30" s="78"/>
      <c r="Q30" s="78"/>
      <c r="R30" s="79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78"/>
      <c r="M31" s="78"/>
      <c r="N31" s="78"/>
      <c r="O31" s="78"/>
      <c r="P31" s="78"/>
      <c r="Q31" s="78"/>
      <c r="R31" s="79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78"/>
      <c r="M32" s="78"/>
      <c r="N32" s="78"/>
      <c r="O32" s="78"/>
      <c r="P32" s="78"/>
      <c r="Q32" s="78"/>
      <c r="R32" s="79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78"/>
      <c r="M33" s="78"/>
      <c r="N33" s="78"/>
      <c r="O33" s="78"/>
      <c r="P33" s="78"/>
      <c r="Q33" s="78"/>
      <c r="R33" s="79"/>
    </row>
    <row r="34" spans="1:18" ht="41.45" customHeight="1" thickBot="1">
      <c r="A34" s="20"/>
      <c r="B34" s="4"/>
      <c r="C34" s="23"/>
      <c r="D34" s="23"/>
      <c r="E34" s="24"/>
      <c r="F34" s="24"/>
      <c r="G34" s="24"/>
      <c r="H34" s="24"/>
      <c r="I34" s="24"/>
      <c r="J34" s="24"/>
      <c r="K34" s="24"/>
      <c r="L34" s="80"/>
      <c r="M34" s="80"/>
      <c r="N34" s="80"/>
      <c r="O34" s="80"/>
      <c r="P34" s="80"/>
      <c r="Q34" s="80"/>
      <c r="R34" s="81"/>
    </row>
    <row r="35" spans="1:18" ht="41.45" customHeight="1">
      <c r="A35" s="39"/>
      <c r="B35" s="39"/>
      <c r="C35" s="40"/>
      <c r="D35" s="40"/>
      <c r="E35" s="41"/>
      <c r="F35" s="41"/>
      <c r="G35" s="41"/>
      <c r="H35" s="41"/>
      <c r="I35" s="41"/>
      <c r="J35" s="41"/>
      <c r="K35" s="41"/>
      <c r="L35" s="77"/>
      <c r="M35" s="77"/>
      <c r="N35" s="77"/>
      <c r="O35" s="77"/>
      <c r="P35" s="77"/>
      <c r="Q35" s="77"/>
      <c r="R35" s="77"/>
    </row>
    <row r="36" spans="1:18" ht="41.45" customHeight="1">
      <c r="C36" s="42"/>
      <c r="D36" s="42"/>
      <c r="E36" s="42">
        <f>IF(E7="X",(D7-C7),"0")</f>
        <v>16.64</v>
      </c>
      <c r="F36" s="42" t="str">
        <f>IF(F7="X",(D7-C7),"0")</f>
        <v>0</v>
      </c>
      <c r="G36" s="42" t="str">
        <f>IF(G7="X",(D7-C7),"0")</f>
        <v>0</v>
      </c>
      <c r="H36" s="42" t="str">
        <f>IF(H7="X",(D7-C7),"0")</f>
        <v>0</v>
      </c>
      <c r="I36" s="42">
        <f>IF(I7="X",(D7-C7),"0")</f>
        <v>16.64</v>
      </c>
      <c r="J36" s="42" t="str">
        <f>IF(J7="X",(D7-C7),"0")</f>
        <v>0</v>
      </c>
      <c r="K36" s="42" t="str">
        <f>IF(K7="X",(D7-C7),"0")</f>
        <v>0</v>
      </c>
      <c r="L36" s="76"/>
      <c r="M36" s="76"/>
      <c r="N36" s="76"/>
      <c r="O36" s="76"/>
      <c r="P36" s="76"/>
      <c r="Q36" s="76"/>
      <c r="R36" s="76"/>
    </row>
    <row r="37" spans="1:18" ht="41.45" customHeight="1">
      <c r="C37" s="42"/>
      <c r="D37" s="42"/>
      <c r="E37" s="42" t="str">
        <f t="shared" ref="E37:E61" si="0">IF(E8="X",(D8-C8),"0")</f>
        <v>0</v>
      </c>
      <c r="F37" s="42" t="str">
        <f t="shared" ref="F37:F61" si="1">IF(F8="X",(D8-C8),"0")</f>
        <v>0</v>
      </c>
      <c r="G37" s="42" t="str">
        <f t="shared" ref="G37:G61" si="2">IF(G8="X",(D8-C8),"0")</f>
        <v>0</v>
      </c>
      <c r="H37" s="42" t="str">
        <f t="shared" ref="H37:H61" si="3">IF(H8="X",(D8-C8),"0")</f>
        <v>0</v>
      </c>
      <c r="I37" s="42" t="str">
        <f t="shared" ref="I37:I61" si="4">IF(I8="X",(D8-C8),"0")</f>
        <v>0</v>
      </c>
      <c r="J37" s="42" t="str">
        <f t="shared" ref="J37:J61" si="5">IF(J8="X",(D8-C8),"0")</f>
        <v>0</v>
      </c>
      <c r="K37" s="42" t="str">
        <f t="shared" ref="K37:K61" si="6">IF(K8="X",(D8-C8),"0")</f>
        <v>0</v>
      </c>
      <c r="L37" s="76"/>
      <c r="M37" s="76"/>
      <c r="N37" s="76"/>
      <c r="O37" s="76"/>
      <c r="P37" s="76"/>
      <c r="Q37" s="76"/>
      <c r="R37" s="76"/>
    </row>
    <row r="38" spans="1:18" ht="41.45" customHeight="1">
      <c r="C38" s="42"/>
      <c r="D38" s="42"/>
      <c r="E38" s="42" t="str">
        <f t="shared" si="0"/>
        <v>0</v>
      </c>
      <c r="F38" s="42" t="str">
        <f t="shared" si="1"/>
        <v>0</v>
      </c>
      <c r="G38" s="42" t="str">
        <f t="shared" si="2"/>
        <v>0</v>
      </c>
      <c r="H38" s="42" t="str">
        <f t="shared" si="3"/>
        <v>0</v>
      </c>
      <c r="I38" s="42" t="str">
        <f t="shared" si="4"/>
        <v>0</v>
      </c>
      <c r="J38" s="42" t="str">
        <f t="shared" si="5"/>
        <v>0</v>
      </c>
      <c r="K38" s="42" t="str">
        <f t="shared" si="6"/>
        <v>0</v>
      </c>
      <c r="L38" s="76"/>
      <c r="M38" s="76"/>
      <c r="N38" s="76"/>
      <c r="O38" s="76"/>
      <c r="P38" s="76"/>
      <c r="Q38" s="76"/>
      <c r="R38" s="76"/>
    </row>
    <row r="39" spans="1:18" ht="41.45" customHeight="1">
      <c r="C39" s="42"/>
      <c r="D39" s="42"/>
      <c r="E39" s="42" t="str">
        <f t="shared" si="0"/>
        <v>0</v>
      </c>
      <c r="F39" s="42" t="str">
        <f t="shared" si="1"/>
        <v>0</v>
      </c>
      <c r="G39" s="42" t="str">
        <f t="shared" si="2"/>
        <v>0</v>
      </c>
      <c r="H39" s="42" t="str">
        <f t="shared" si="3"/>
        <v>0</v>
      </c>
      <c r="I39" s="42" t="str">
        <f t="shared" si="4"/>
        <v>0</v>
      </c>
      <c r="J39" s="42" t="str">
        <f t="shared" si="5"/>
        <v>0</v>
      </c>
      <c r="K39" s="42" t="str">
        <f t="shared" si="6"/>
        <v>0</v>
      </c>
      <c r="L39" s="76"/>
      <c r="M39" s="76"/>
      <c r="N39" s="76"/>
      <c r="O39" s="76"/>
      <c r="P39" s="76"/>
      <c r="Q39" s="76"/>
      <c r="R39" s="76"/>
    </row>
    <row r="40" spans="1:18" ht="41.45" customHeight="1">
      <c r="C40" s="42"/>
      <c r="D40" s="42"/>
      <c r="E40" s="42" t="str">
        <f t="shared" si="0"/>
        <v>0</v>
      </c>
      <c r="F40" s="42" t="str">
        <f t="shared" si="1"/>
        <v>0</v>
      </c>
      <c r="G40" s="42" t="str">
        <f t="shared" si="2"/>
        <v>0</v>
      </c>
      <c r="H40" s="42" t="str">
        <f t="shared" si="3"/>
        <v>0</v>
      </c>
      <c r="I40" s="42" t="str">
        <f t="shared" si="4"/>
        <v>0</v>
      </c>
      <c r="J40" s="42" t="str">
        <f t="shared" si="5"/>
        <v>0</v>
      </c>
      <c r="K40" s="42" t="str">
        <f t="shared" si="6"/>
        <v>0</v>
      </c>
      <c r="L40" s="76"/>
      <c r="M40" s="76"/>
      <c r="N40" s="76"/>
      <c r="O40" s="76"/>
      <c r="P40" s="76"/>
      <c r="Q40" s="76"/>
      <c r="R40" s="76"/>
    </row>
    <row r="41" spans="1:18" ht="41.45" customHeight="1">
      <c r="C41" s="42"/>
      <c r="D41" s="42"/>
      <c r="E41" s="42" t="str">
        <f t="shared" si="0"/>
        <v>0</v>
      </c>
      <c r="F41" s="42" t="str">
        <f t="shared" si="1"/>
        <v>0</v>
      </c>
      <c r="G41" s="42" t="str">
        <f t="shared" si="2"/>
        <v>0</v>
      </c>
      <c r="H41" s="42" t="str">
        <f t="shared" si="3"/>
        <v>0</v>
      </c>
      <c r="I41" s="42" t="str">
        <f t="shared" si="4"/>
        <v>0</v>
      </c>
      <c r="J41" s="42" t="str">
        <f t="shared" si="5"/>
        <v>0</v>
      </c>
      <c r="K41" s="42" t="str">
        <f t="shared" si="6"/>
        <v>0</v>
      </c>
      <c r="L41" s="76"/>
      <c r="M41" s="76"/>
      <c r="N41" s="76"/>
      <c r="O41" s="76"/>
      <c r="P41" s="76"/>
      <c r="Q41" s="76"/>
      <c r="R41" s="76"/>
    </row>
    <row r="42" spans="1:18" ht="41.45" customHeight="1">
      <c r="C42" s="42"/>
      <c r="D42" s="42"/>
      <c r="E42" s="42" t="str">
        <f t="shared" si="0"/>
        <v>0</v>
      </c>
      <c r="F42" s="42" t="str">
        <f t="shared" si="1"/>
        <v>0</v>
      </c>
      <c r="G42" s="42" t="str">
        <f t="shared" si="2"/>
        <v>0</v>
      </c>
      <c r="H42" s="42" t="str">
        <f t="shared" si="3"/>
        <v>0</v>
      </c>
      <c r="I42" s="42" t="str">
        <f t="shared" si="4"/>
        <v>0</v>
      </c>
      <c r="J42" s="42" t="str">
        <f t="shared" si="5"/>
        <v>0</v>
      </c>
      <c r="K42" s="42" t="str">
        <f t="shared" si="6"/>
        <v>0</v>
      </c>
      <c r="L42" s="76"/>
      <c r="M42" s="76"/>
      <c r="N42" s="76"/>
      <c r="O42" s="76"/>
      <c r="P42" s="76"/>
      <c r="Q42" s="76"/>
      <c r="R42" s="76"/>
    </row>
    <row r="43" spans="1:18" ht="41.45" customHeight="1">
      <c r="C43" s="42"/>
      <c r="D43" s="42"/>
      <c r="E43" s="42" t="str">
        <f t="shared" si="0"/>
        <v>0</v>
      </c>
      <c r="F43" s="42" t="str">
        <f t="shared" si="1"/>
        <v>0</v>
      </c>
      <c r="G43" s="42" t="str">
        <f t="shared" si="2"/>
        <v>0</v>
      </c>
      <c r="H43" s="42" t="str">
        <f t="shared" si="3"/>
        <v>0</v>
      </c>
      <c r="I43" s="42" t="str">
        <f t="shared" si="4"/>
        <v>0</v>
      </c>
      <c r="J43" s="42" t="str">
        <f t="shared" si="5"/>
        <v>0</v>
      </c>
      <c r="K43" s="42" t="str">
        <f t="shared" si="6"/>
        <v>0</v>
      </c>
      <c r="L43" s="76"/>
      <c r="M43" s="76"/>
      <c r="N43" s="76"/>
      <c r="O43" s="76"/>
      <c r="P43" s="76"/>
      <c r="Q43" s="76"/>
      <c r="R43" s="76"/>
    </row>
    <row r="44" spans="1:18" ht="41.45" customHeight="1">
      <c r="C44" s="42"/>
      <c r="D44" s="42"/>
      <c r="E44" s="42" t="str">
        <f t="shared" si="0"/>
        <v>0</v>
      </c>
      <c r="F44" s="42" t="str">
        <f t="shared" si="1"/>
        <v>0</v>
      </c>
      <c r="G44" s="42" t="str">
        <f t="shared" si="2"/>
        <v>0</v>
      </c>
      <c r="H44" s="42" t="str">
        <f t="shared" si="3"/>
        <v>0</v>
      </c>
      <c r="I44" s="42" t="str">
        <f t="shared" si="4"/>
        <v>0</v>
      </c>
      <c r="J44" s="42" t="str">
        <f t="shared" si="5"/>
        <v>0</v>
      </c>
      <c r="K44" s="42" t="str">
        <f t="shared" si="6"/>
        <v>0</v>
      </c>
      <c r="L44" s="76"/>
      <c r="M44" s="76"/>
      <c r="N44" s="76"/>
      <c r="O44" s="76"/>
      <c r="P44" s="76"/>
      <c r="Q44" s="76"/>
      <c r="R44" s="76"/>
    </row>
    <row r="45" spans="1:18" ht="41.45" customHeight="1">
      <c r="C45" s="42"/>
      <c r="D45" s="42"/>
      <c r="E45" s="42" t="str">
        <f t="shared" si="0"/>
        <v>0</v>
      </c>
      <c r="F45" s="42" t="str">
        <f t="shared" si="1"/>
        <v>0</v>
      </c>
      <c r="G45" s="42" t="str">
        <f t="shared" si="2"/>
        <v>0</v>
      </c>
      <c r="H45" s="42" t="str">
        <f t="shared" si="3"/>
        <v>0</v>
      </c>
      <c r="I45" s="42" t="str">
        <f t="shared" si="4"/>
        <v>0</v>
      </c>
      <c r="J45" s="42" t="str">
        <f t="shared" si="5"/>
        <v>0</v>
      </c>
      <c r="K45" s="42" t="str">
        <f t="shared" si="6"/>
        <v>0</v>
      </c>
      <c r="L45" s="76"/>
      <c r="M45" s="76"/>
      <c r="N45" s="76"/>
      <c r="O45" s="76"/>
      <c r="P45" s="76"/>
      <c r="Q45" s="76"/>
      <c r="R45" s="76"/>
    </row>
    <row r="46" spans="1:18" ht="41.45" customHeight="1">
      <c r="C46" s="42"/>
      <c r="D46" s="42"/>
      <c r="E46" s="42" t="str">
        <f t="shared" si="0"/>
        <v>0</v>
      </c>
      <c r="F46" s="42" t="str">
        <f t="shared" si="1"/>
        <v>0</v>
      </c>
      <c r="G46" s="42" t="str">
        <f t="shared" si="2"/>
        <v>0</v>
      </c>
      <c r="H46" s="42" t="str">
        <f t="shared" si="3"/>
        <v>0</v>
      </c>
      <c r="I46" s="42" t="str">
        <f t="shared" si="4"/>
        <v>0</v>
      </c>
      <c r="J46" s="42" t="str">
        <f t="shared" si="5"/>
        <v>0</v>
      </c>
      <c r="K46" s="42" t="str">
        <f t="shared" si="6"/>
        <v>0</v>
      </c>
      <c r="L46" s="76"/>
      <c r="M46" s="76"/>
      <c r="N46" s="76"/>
      <c r="O46" s="76"/>
      <c r="P46" s="76"/>
      <c r="Q46" s="76"/>
      <c r="R46" s="76"/>
    </row>
    <row r="47" spans="1:18" ht="41.45" customHeight="1">
      <c r="C47" s="42"/>
      <c r="D47" s="42"/>
      <c r="E47" s="42" t="str">
        <f t="shared" si="0"/>
        <v>0</v>
      </c>
      <c r="F47" s="42" t="str">
        <f t="shared" si="1"/>
        <v>0</v>
      </c>
      <c r="G47" s="42" t="str">
        <f t="shared" si="2"/>
        <v>0</v>
      </c>
      <c r="H47" s="42" t="str">
        <f t="shared" si="3"/>
        <v>0</v>
      </c>
      <c r="I47" s="42" t="str">
        <f t="shared" si="4"/>
        <v>0</v>
      </c>
      <c r="J47" s="42" t="str">
        <f t="shared" si="5"/>
        <v>0</v>
      </c>
      <c r="K47" s="42" t="str">
        <f t="shared" si="6"/>
        <v>0</v>
      </c>
      <c r="L47" s="76"/>
      <c r="M47" s="76"/>
      <c r="N47" s="76"/>
      <c r="O47" s="76"/>
      <c r="P47" s="76"/>
      <c r="Q47" s="76"/>
      <c r="R47" s="76"/>
    </row>
    <row r="48" spans="1:18" ht="41.45" customHeight="1">
      <c r="C48" s="42"/>
      <c r="D48" s="42"/>
      <c r="E48" s="42" t="str">
        <f t="shared" si="0"/>
        <v>0</v>
      </c>
      <c r="F48" s="42" t="str">
        <f t="shared" si="1"/>
        <v>0</v>
      </c>
      <c r="G48" s="42" t="str">
        <f t="shared" si="2"/>
        <v>0</v>
      </c>
      <c r="H48" s="42" t="str">
        <f t="shared" si="3"/>
        <v>0</v>
      </c>
      <c r="I48" s="42" t="str">
        <f t="shared" si="4"/>
        <v>0</v>
      </c>
      <c r="J48" s="42" t="str">
        <f t="shared" si="5"/>
        <v>0</v>
      </c>
      <c r="K48" s="42" t="str">
        <f t="shared" si="6"/>
        <v>0</v>
      </c>
      <c r="L48" s="76"/>
      <c r="M48" s="76"/>
      <c r="N48" s="76"/>
      <c r="O48" s="76"/>
      <c r="P48" s="76"/>
      <c r="Q48" s="76"/>
      <c r="R48" s="76"/>
    </row>
    <row r="49" spans="3:18" ht="41.45" customHeight="1">
      <c r="C49" s="42"/>
      <c r="D49" s="42"/>
      <c r="E49" s="42" t="str">
        <f t="shared" si="0"/>
        <v>0</v>
      </c>
      <c r="F49" s="42" t="str">
        <f t="shared" si="1"/>
        <v>0</v>
      </c>
      <c r="G49" s="42" t="str">
        <f t="shared" si="2"/>
        <v>0</v>
      </c>
      <c r="H49" s="42" t="str">
        <f t="shared" si="3"/>
        <v>0</v>
      </c>
      <c r="I49" s="42" t="str">
        <f t="shared" si="4"/>
        <v>0</v>
      </c>
      <c r="J49" s="42" t="str">
        <f t="shared" si="5"/>
        <v>0</v>
      </c>
      <c r="K49" s="42" t="str">
        <f t="shared" si="6"/>
        <v>0</v>
      </c>
      <c r="L49" s="76"/>
      <c r="M49" s="76"/>
      <c r="N49" s="76"/>
      <c r="O49" s="76"/>
      <c r="P49" s="76"/>
      <c r="Q49" s="76"/>
      <c r="R49" s="76"/>
    </row>
    <row r="50" spans="3:18" ht="41.45" customHeight="1">
      <c r="C50" s="42"/>
      <c r="D50" s="42"/>
      <c r="E50" s="42" t="str">
        <f t="shared" si="0"/>
        <v>0</v>
      </c>
      <c r="F50" s="42" t="str">
        <f t="shared" si="1"/>
        <v>0</v>
      </c>
      <c r="G50" s="42" t="str">
        <f t="shared" si="2"/>
        <v>0</v>
      </c>
      <c r="H50" s="42" t="str">
        <f t="shared" si="3"/>
        <v>0</v>
      </c>
      <c r="I50" s="42" t="str">
        <f t="shared" si="4"/>
        <v>0</v>
      </c>
      <c r="J50" s="42" t="str">
        <f t="shared" si="5"/>
        <v>0</v>
      </c>
      <c r="K50" s="42" t="str">
        <f t="shared" si="6"/>
        <v>0</v>
      </c>
      <c r="L50" s="76"/>
      <c r="M50" s="76"/>
      <c r="N50" s="76"/>
      <c r="O50" s="76"/>
      <c r="P50" s="76"/>
      <c r="Q50" s="76"/>
      <c r="R50" s="76"/>
    </row>
    <row r="51" spans="3:18" ht="41.45" customHeight="1">
      <c r="C51" s="42"/>
      <c r="D51" s="42"/>
      <c r="E51" s="42" t="str">
        <f t="shared" si="0"/>
        <v>0</v>
      </c>
      <c r="F51" s="42" t="str">
        <f t="shared" si="1"/>
        <v>0</v>
      </c>
      <c r="G51" s="42" t="str">
        <f t="shared" si="2"/>
        <v>0</v>
      </c>
      <c r="H51" s="42" t="str">
        <f t="shared" si="3"/>
        <v>0</v>
      </c>
      <c r="I51" s="42" t="str">
        <f t="shared" si="4"/>
        <v>0</v>
      </c>
      <c r="J51" s="42" t="str">
        <f t="shared" si="5"/>
        <v>0</v>
      </c>
      <c r="K51" s="42" t="str">
        <f t="shared" si="6"/>
        <v>0</v>
      </c>
      <c r="L51" s="76"/>
      <c r="M51" s="76"/>
      <c r="N51" s="76"/>
      <c r="O51" s="76"/>
      <c r="P51" s="76"/>
      <c r="Q51" s="76"/>
      <c r="R51" s="76"/>
    </row>
    <row r="52" spans="3:18" ht="41.45" customHeight="1">
      <c r="C52" s="42"/>
      <c r="D52" s="42"/>
      <c r="E52" s="42" t="str">
        <f t="shared" si="0"/>
        <v>0</v>
      </c>
      <c r="F52" s="42" t="str">
        <f t="shared" si="1"/>
        <v>0</v>
      </c>
      <c r="G52" s="42" t="str">
        <f t="shared" si="2"/>
        <v>0</v>
      </c>
      <c r="H52" s="42" t="str">
        <f t="shared" si="3"/>
        <v>0</v>
      </c>
      <c r="I52" s="42" t="str">
        <f t="shared" si="4"/>
        <v>0</v>
      </c>
      <c r="J52" s="42" t="str">
        <f t="shared" si="5"/>
        <v>0</v>
      </c>
      <c r="K52" s="42" t="str">
        <f t="shared" si="6"/>
        <v>0</v>
      </c>
      <c r="L52" s="76"/>
      <c r="M52" s="76"/>
      <c r="N52" s="76"/>
      <c r="O52" s="76"/>
      <c r="P52" s="76"/>
      <c r="Q52" s="76"/>
      <c r="R52" s="76"/>
    </row>
    <row r="53" spans="3:18" ht="41.45" customHeight="1">
      <c r="C53" s="42"/>
      <c r="D53" s="42"/>
      <c r="E53" s="42" t="str">
        <f t="shared" si="0"/>
        <v>0</v>
      </c>
      <c r="F53" s="42" t="str">
        <f t="shared" si="1"/>
        <v>0</v>
      </c>
      <c r="G53" s="42" t="str">
        <f t="shared" si="2"/>
        <v>0</v>
      </c>
      <c r="H53" s="42" t="str">
        <f t="shared" si="3"/>
        <v>0</v>
      </c>
      <c r="I53" s="42" t="str">
        <f t="shared" si="4"/>
        <v>0</v>
      </c>
      <c r="J53" s="42" t="str">
        <f t="shared" si="5"/>
        <v>0</v>
      </c>
      <c r="K53" s="42" t="str">
        <f t="shared" si="6"/>
        <v>0</v>
      </c>
      <c r="L53" s="76"/>
      <c r="M53" s="76"/>
      <c r="N53" s="76"/>
      <c r="O53" s="76"/>
      <c r="P53" s="76"/>
      <c r="Q53" s="76"/>
      <c r="R53" s="76"/>
    </row>
    <row r="54" spans="3:18" ht="41.45" customHeight="1">
      <c r="C54" s="42"/>
      <c r="D54" s="42"/>
      <c r="E54" s="42" t="str">
        <f t="shared" si="0"/>
        <v>0</v>
      </c>
      <c r="F54" s="42" t="str">
        <f t="shared" si="1"/>
        <v>0</v>
      </c>
      <c r="G54" s="42" t="str">
        <f t="shared" si="2"/>
        <v>0</v>
      </c>
      <c r="H54" s="42" t="str">
        <f t="shared" si="3"/>
        <v>0</v>
      </c>
      <c r="I54" s="42" t="str">
        <f t="shared" si="4"/>
        <v>0</v>
      </c>
      <c r="J54" s="42" t="str">
        <f t="shared" si="5"/>
        <v>0</v>
      </c>
      <c r="K54" s="42" t="str">
        <f t="shared" si="6"/>
        <v>0</v>
      </c>
      <c r="L54" s="76"/>
      <c r="M54" s="76"/>
      <c r="N54" s="76"/>
      <c r="O54" s="76"/>
      <c r="P54" s="76"/>
      <c r="Q54" s="76"/>
      <c r="R54" s="76"/>
    </row>
    <row r="55" spans="3:18" ht="41.45" customHeight="1">
      <c r="C55" s="42"/>
      <c r="D55" s="42"/>
      <c r="E55" s="42" t="str">
        <f t="shared" si="0"/>
        <v>0</v>
      </c>
      <c r="F55" s="42" t="str">
        <f t="shared" si="1"/>
        <v>0</v>
      </c>
      <c r="G55" s="42" t="str">
        <f t="shared" si="2"/>
        <v>0</v>
      </c>
      <c r="H55" s="42" t="str">
        <f t="shared" si="3"/>
        <v>0</v>
      </c>
      <c r="I55" s="42" t="str">
        <f t="shared" si="4"/>
        <v>0</v>
      </c>
      <c r="J55" s="42" t="str">
        <f t="shared" si="5"/>
        <v>0</v>
      </c>
      <c r="K55" s="42" t="str">
        <f t="shared" si="6"/>
        <v>0</v>
      </c>
      <c r="L55" s="76"/>
      <c r="M55" s="76"/>
      <c r="N55" s="76"/>
      <c r="O55" s="76"/>
      <c r="P55" s="76"/>
      <c r="Q55" s="76"/>
      <c r="R55" s="76"/>
    </row>
    <row r="56" spans="3:18" ht="41.45" customHeight="1">
      <c r="C56" s="42"/>
      <c r="D56" s="42"/>
      <c r="E56" s="42" t="str">
        <f t="shared" si="0"/>
        <v>0</v>
      </c>
      <c r="F56" s="42" t="str">
        <f t="shared" si="1"/>
        <v>0</v>
      </c>
      <c r="G56" s="42" t="str">
        <f t="shared" si="2"/>
        <v>0</v>
      </c>
      <c r="H56" s="42" t="str">
        <f t="shared" si="3"/>
        <v>0</v>
      </c>
      <c r="I56" s="42" t="str">
        <f t="shared" si="4"/>
        <v>0</v>
      </c>
      <c r="J56" s="42" t="str">
        <f t="shared" si="5"/>
        <v>0</v>
      </c>
      <c r="K56" s="42" t="str">
        <f t="shared" si="6"/>
        <v>0</v>
      </c>
      <c r="L56" s="76"/>
      <c r="M56" s="76"/>
      <c r="N56" s="76"/>
      <c r="O56" s="76"/>
      <c r="P56" s="76"/>
      <c r="Q56" s="76"/>
      <c r="R56" s="76"/>
    </row>
    <row r="57" spans="3:18" ht="41.45" customHeight="1">
      <c r="C57" s="42"/>
      <c r="D57" s="42"/>
      <c r="E57" s="42" t="str">
        <f t="shared" si="0"/>
        <v>0</v>
      </c>
      <c r="F57" s="42" t="str">
        <f t="shared" si="1"/>
        <v>0</v>
      </c>
      <c r="G57" s="42" t="str">
        <f t="shared" si="2"/>
        <v>0</v>
      </c>
      <c r="H57" s="42" t="str">
        <f t="shared" si="3"/>
        <v>0</v>
      </c>
      <c r="I57" s="42" t="str">
        <f t="shared" si="4"/>
        <v>0</v>
      </c>
      <c r="J57" s="42" t="str">
        <f t="shared" si="5"/>
        <v>0</v>
      </c>
      <c r="K57" s="42" t="str">
        <f t="shared" si="6"/>
        <v>0</v>
      </c>
      <c r="L57" s="76"/>
      <c r="M57" s="76"/>
      <c r="N57" s="76"/>
      <c r="O57" s="76"/>
      <c r="P57" s="76"/>
      <c r="Q57" s="76"/>
      <c r="R57" s="76"/>
    </row>
    <row r="58" spans="3:18" ht="41.45" customHeight="1">
      <c r="C58" s="42"/>
      <c r="D58" s="42"/>
      <c r="E58" s="42" t="str">
        <f t="shared" si="0"/>
        <v>0</v>
      </c>
      <c r="F58" s="42" t="str">
        <f t="shared" si="1"/>
        <v>0</v>
      </c>
      <c r="G58" s="42" t="str">
        <f t="shared" si="2"/>
        <v>0</v>
      </c>
      <c r="H58" s="42" t="str">
        <f t="shared" si="3"/>
        <v>0</v>
      </c>
      <c r="I58" s="42" t="str">
        <f t="shared" si="4"/>
        <v>0</v>
      </c>
      <c r="J58" s="42" t="str">
        <f t="shared" si="5"/>
        <v>0</v>
      </c>
      <c r="K58" s="42" t="str">
        <f t="shared" si="6"/>
        <v>0</v>
      </c>
      <c r="L58" s="76"/>
      <c r="M58" s="76"/>
      <c r="N58" s="76"/>
      <c r="O58" s="76"/>
      <c r="P58" s="76"/>
      <c r="Q58" s="76"/>
      <c r="R58" s="76"/>
    </row>
    <row r="59" spans="3:18" ht="41.45" customHeight="1">
      <c r="C59" s="42"/>
      <c r="D59" s="42"/>
      <c r="E59" s="42" t="str">
        <f t="shared" si="0"/>
        <v>0</v>
      </c>
      <c r="F59" s="42" t="str">
        <f t="shared" si="1"/>
        <v>0</v>
      </c>
      <c r="G59" s="42" t="str">
        <f t="shared" si="2"/>
        <v>0</v>
      </c>
      <c r="H59" s="42" t="str">
        <f t="shared" si="3"/>
        <v>0</v>
      </c>
      <c r="I59" s="42" t="str">
        <f t="shared" si="4"/>
        <v>0</v>
      </c>
      <c r="J59" s="42" t="str">
        <f t="shared" si="5"/>
        <v>0</v>
      </c>
      <c r="K59" s="42" t="str">
        <f t="shared" si="6"/>
        <v>0</v>
      </c>
      <c r="L59" s="76"/>
      <c r="M59" s="76"/>
      <c r="N59" s="76"/>
      <c r="O59" s="76"/>
      <c r="P59" s="76"/>
      <c r="Q59" s="76"/>
      <c r="R59" s="76"/>
    </row>
    <row r="60" spans="3:18" ht="41.45" customHeight="1">
      <c r="C60" s="42"/>
      <c r="D60" s="42"/>
      <c r="E60" s="42" t="str">
        <f t="shared" si="0"/>
        <v>0</v>
      </c>
      <c r="F60" s="42" t="str">
        <f t="shared" si="1"/>
        <v>0</v>
      </c>
      <c r="G60" s="42" t="str">
        <f t="shared" si="2"/>
        <v>0</v>
      </c>
      <c r="H60" s="42" t="str">
        <f t="shared" si="3"/>
        <v>0</v>
      </c>
      <c r="I60" s="42" t="str">
        <f t="shared" si="4"/>
        <v>0</v>
      </c>
      <c r="J60" s="42" t="str">
        <f t="shared" si="5"/>
        <v>0</v>
      </c>
      <c r="K60" s="42" t="str">
        <f t="shared" si="6"/>
        <v>0</v>
      </c>
      <c r="L60" s="76"/>
      <c r="M60" s="76"/>
      <c r="N60" s="76"/>
      <c r="O60" s="76"/>
      <c r="P60" s="76"/>
      <c r="Q60" s="76"/>
      <c r="R60" s="76"/>
    </row>
    <row r="61" spans="3:18" ht="41.45" customHeight="1">
      <c r="C61" s="42"/>
      <c r="D61" s="42"/>
      <c r="E61" s="42" t="str">
        <f t="shared" si="0"/>
        <v>0</v>
      </c>
      <c r="F61" s="42" t="str">
        <f t="shared" si="1"/>
        <v>0</v>
      </c>
      <c r="G61" s="42" t="str">
        <f t="shared" si="2"/>
        <v>0</v>
      </c>
      <c r="H61" s="42" t="str">
        <f t="shared" si="3"/>
        <v>0</v>
      </c>
      <c r="I61" s="42" t="str">
        <f t="shared" si="4"/>
        <v>0</v>
      </c>
      <c r="J61" s="42" t="str">
        <f t="shared" si="5"/>
        <v>0</v>
      </c>
      <c r="K61" s="42" t="str">
        <f t="shared" si="6"/>
        <v>0</v>
      </c>
      <c r="L61" s="76"/>
      <c r="M61" s="76"/>
      <c r="N61" s="76"/>
      <c r="O61" s="76"/>
      <c r="P61" s="76"/>
      <c r="Q61" s="76"/>
      <c r="R61" s="76"/>
    </row>
    <row r="62" spans="3:18" ht="41.45" customHeight="1">
      <c r="C62" s="42"/>
      <c r="D62" s="42"/>
      <c r="E62" s="42">
        <f>SUM(E36:E61)</f>
        <v>16.64</v>
      </c>
      <c r="F62" s="42">
        <f t="shared" ref="F62:K62" si="7">SUM(F36:F61)</f>
        <v>0</v>
      </c>
      <c r="G62" s="42">
        <f t="shared" si="7"/>
        <v>0</v>
      </c>
      <c r="H62" s="42">
        <f t="shared" si="7"/>
        <v>0</v>
      </c>
      <c r="I62" s="42">
        <f t="shared" si="7"/>
        <v>16.64</v>
      </c>
      <c r="J62" s="42">
        <f t="shared" si="7"/>
        <v>0</v>
      </c>
      <c r="K62" s="42">
        <f t="shared" si="7"/>
        <v>0</v>
      </c>
      <c r="L62" s="76"/>
      <c r="M62" s="76"/>
      <c r="N62" s="76"/>
      <c r="O62" s="76"/>
      <c r="P62" s="76"/>
      <c r="Q62" s="76"/>
      <c r="R62" s="76"/>
    </row>
    <row r="63" spans="3:18" ht="41.45" customHeight="1">
      <c r="C63" s="42"/>
      <c r="D63" s="42"/>
      <c r="E63" s="42"/>
      <c r="F63" s="43"/>
      <c r="G63" s="43"/>
      <c r="H63" s="43"/>
      <c r="I63" s="43"/>
      <c r="J63" s="43"/>
      <c r="K63" s="43"/>
      <c r="L63" s="76"/>
      <c r="M63" s="76"/>
      <c r="N63" s="76"/>
      <c r="O63" s="76"/>
      <c r="P63" s="76"/>
      <c r="Q63" s="76"/>
      <c r="R63" s="76"/>
    </row>
    <row r="64" spans="3:18" ht="41.45" customHeight="1">
      <c r="C64" s="42"/>
      <c r="D64" s="42"/>
      <c r="E64" s="42"/>
      <c r="F64" s="43"/>
      <c r="G64" s="43"/>
      <c r="H64" s="43"/>
      <c r="I64" s="43"/>
      <c r="J64" s="43"/>
      <c r="K64" s="43"/>
      <c r="L64" s="76"/>
      <c r="M64" s="76"/>
      <c r="N64" s="76"/>
      <c r="O64" s="76"/>
      <c r="P64" s="76"/>
      <c r="Q64" s="76"/>
      <c r="R64" s="76"/>
    </row>
    <row r="65" spans="3:18" ht="41.45" customHeight="1">
      <c r="C65" s="42"/>
      <c r="D65" s="42"/>
      <c r="E65" s="42"/>
      <c r="F65" s="43"/>
      <c r="G65" s="43"/>
      <c r="H65" s="43"/>
      <c r="I65" s="43"/>
      <c r="J65" s="43"/>
      <c r="K65" s="43"/>
      <c r="L65" s="76"/>
      <c r="M65" s="76"/>
      <c r="N65" s="76"/>
      <c r="O65" s="76"/>
      <c r="P65" s="76"/>
      <c r="Q65" s="76"/>
      <c r="R65" s="76"/>
    </row>
    <row r="66" spans="3:18" ht="41.45" customHeight="1">
      <c r="C66" s="42"/>
      <c r="D66" s="42"/>
      <c r="E66" s="42"/>
      <c r="F66" s="43"/>
      <c r="G66" s="43"/>
      <c r="H66" s="43"/>
      <c r="I66" s="43"/>
      <c r="J66" s="43"/>
      <c r="K66" s="43"/>
      <c r="L66" s="76"/>
      <c r="M66" s="76"/>
      <c r="N66" s="76"/>
      <c r="O66" s="76"/>
      <c r="P66" s="76"/>
      <c r="Q66" s="76"/>
      <c r="R66" s="76"/>
    </row>
    <row r="67" spans="3:18" ht="41.45" customHeight="1">
      <c r="C67" s="42"/>
      <c r="D67" s="42"/>
      <c r="E67" s="42"/>
      <c r="F67" s="43"/>
      <c r="G67" s="43"/>
      <c r="H67" s="43"/>
      <c r="I67" s="43"/>
      <c r="J67" s="43"/>
      <c r="K67" s="43"/>
      <c r="L67" s="76"/>
      <c r="M67" s="76"/>
      <c r="N67" s="76"/>
      <c r="O67" s="76"/>
      <c r="P67" s="76"/>
      <c r="Q67" s="76"/>
      <c r="R67" s="76"/>
    </row>
    <row r="68" spans="3:18" ht="41.45" customHeight="1">
      <c r="C68" s="42"/>
      <c r="D68" s="42"/>
      <c r="E68" s="42"/>
      <c r="F68" s="43"/>
      <c r="G68" s="43"/>
      <c r="H68" s="43"/>
      <c r="I68" s="43"/>
      <c r="J68" s="43"/>
      <c r="K68" s="43"/>
      <c r="L68" s="76"/>
      <c r="M68" s="76"/>
      <c r="N68" s="76"/>
      <c r="O68" s="76"/>
      <c r="P68" s="76"/>
      <c r="Q68" s="76"/>
      <c r="R68" s="76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4" right="0.511811024" top="0.78740157499999996" bottom="0.78740157499999996" header="0.31496062000000002" footer="0.31496062000000002"/>
  <pageSetup scale="21" orientation="portrait" r:id="rId1"/>
  <colBreaks count="1" manualBreakCount="1">
    <brk id="18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R68"/>
  <sheetViews>
    <sheetView view="pageBreakPreview" zoomScale="40" zoomScaleNormal="40" zoomScaleSheetLayoutView="40" workbookViewId="0">
      <selection activeCell="J3" sqref="J3"/>
    </sheetView>
  </sheetViews>
  <sheetFormatPr defaultColWidth="8.875" defaultRowHeight="15"/>
  <cols>
    <col min="1" max="1" width="33.375" style="1" customWidth="1"/>
    <col min="2" max="2" width="17.125" style="1" customWidth="1"/>
    <col min="3" max="4" width="13.375" style="1" customWidth="1"/>
    <col min="5" max="5" width="26.375" style="2" customWidth="1"/>
    <col min="6" max="6" width="30.125" style="2" customWidth="1"/>
    <col min="7" max="7" width="26.375" style="2" customWidth="1"/>
    <col min="8" max="8" width="33.125" style="2" customWidth="1"/>
    <col min="9" max="11" width="32" style="2" customWidth="1"/>
    <col min="12" max="14" width="14.375" style="1" customWidth="1"/>
    <col min="15" max="17" width="14.625" style="1" customWidth="1"/>
    <col min="18" max="18" width="37.375" style="1" customWidth="1"/>
    <col min="19" max="16384" width="8.875" style="1"/>
  </cols>
  <sheetData>
    <row r="1" spans="1:18" ht="19.5">
      <c r="A1" s="9" t="s">
        <v>0</v>
      </c>
      <c r="B1" s="10"/>
      <c r="C1" s="10"/>
      <c r="D1" s="10"/>
      <c r="E1" s="11"/>
      <c r="F1" s="12"/>
      <c r="G1" s="11"/>
      <c r="H1" s="11"/>
      <c r="I1" s="84" t="s">
        <v>3</v>
      </c>
      <c r="J1" s="86">
        <f>'46'!J1</f>
        <v>46204</v>
      </c>
      <c r="K1" s="11"/>
      <c r="L1" s="88" t="s">
        <v>4</v>
      </c>
      <c r="M1" s="88"/>
      <c r="N1" s="90" t="str">
        <f>'46'!N1</f>
        <v>ENG. VINÍCIUS RODRIGUES FERREIRA DE OLIVEIRA</v>
      </c>
      <c r="O1" s="90"/>
      <c r="P1" s="90"/>
      <c r="Q1" s="90"/>
      <c r="R1" s="91"/>
    </row>
    <row r="2" spans="1:18" ht="20.25" thickBot="1">
      <c r="A2" s="13"/>
      <c r="B2" s="14"/>
      <c r="C2" s="14"/>
      <c r="D2" s="14"/>
      <c r="E2" s="15"/>
      <c r="F2" s="16" t="s">
        <v>9</v>
      </c>
      <c r="G2" s="15"/>
      <c r="H2" s="15"/>
      <c r="I2" s="85"/>
      <c r="J2" s="87"/>
      <c r="K2" s="16"/>
      <c r="L2" s="89"/>
      <c r="M2" s="89"/>
      <c r="N2" s="92"/>
      <c r="O2" s="92"/>
      <c r="P2" s="92"/>
      <c r="Q2" s="92"/>
      <c r="R2" s="93"/>
    </row>
    <row r="3" spans="1:18" ht="19.5">
      <c r="A3" s="13" t="s">
        <v>23</v>
      </c>
      <c r="B3" s="45" t="str">
        <f>TT!C13</f>
        <v>RODOVIA TO-433 - TRECHO ENTR. TO-230 (POVOADO BRASILENE) - BERNARDO SAYÃO (ENTR. TO-164)</v>
      </c>
      <c r="C3" s="14"/>
      <c r="D3" s="14"/>
      <c r="E3" s="15"/>
      <c r="F3" s="15"/>
      <c r="G3" s="15"/>
      <c r="H3" s="15"/>
      <c r="I3" s="15"/>
      <c r="J3" s="15"/>
      <c r="K3" s="15"/>
      <c r="L3" s="14"/>
      <c r="M3" s="14"/>
      <c r="N3" s="14"/>
      <c r="O3" s="14"/>
      <c r="P3" s="14"/>
      <c r="Q3" s="14"/>
      <c r="R3" s="17"/>
    </row>
    <row r="4" spans="1:18" ht="20.25" thickBot="1">
      <c r="A4" s="18"/>
      <c r="B4" s="14"/>
      <c r="C4" s="14"/>
      <c r="D4" s="14"/>
      <c r="E4" s="15"/>
      <c r="F4" s="15"/>
      <c r="G4" s="15"/>
      <c r="H4" s="15"/>
      <c r="I4" s="15"/>
      <c r="J4" s="15"/>
      <c r="K4" s="15"/>
      <c r="L4" s="14"/>
      <c r="M4" s="14"/>
      <c r="N4" s="14"/>
      <c r="O4" s="14"/>
      <c r="P4" s="14"/>
      <c r="Q4" s="14"/>
      <c r="R4" s="17"/>
    </row>
    <row r="5" spans="1:18" s="5" customFormat="1" ht="54" customHeight="1">
      <c r="A5" s="98" t="s">
        <v>1</v>
      </c>
      <c r="B5" s="94" t="s">
        <v>7</v>
      </c>
      <c r="C5" s="100" t="s">
        <v>5</v>
      </c>
      <c r="D5" s="100" t="s">
        <v>6</v>
      </c>
      <c r="E5" s="94" t="s">
        <v>10</v>
      </c>
      <c r="F5" s="94"/>
      <c r="G5" s="94"/>
      <c r="H5" s="94"/>
      <c r="I5" s="94" t="s">
        <v>11</v>
      </c>
      <c r="J5" s="94"/>
      <c r="K5" s="94"/>
      <c r="L5" s="94" t="s">
        <v>8</v>
      </c>
      <c r="M5" s="94"/>
      <c r="N5" s="94"/>
      <c r="O5" s="94"/>
      <c r="P5" s="94"/>
      <c r="Q5" s="94"/>
      <c r="R5" s="95"/>
    </row>
    <row r="6" spans="1:18" s="6" customFormat="1" ht="79.150000000000006" customHeight="1">
      <c r="A6" s="99"/>
      <c r="B6" s="96"/>
      <c r="C6" s="96"/>
      <c r="D6" s="96"/>
      <c r="E6" s="7" t="s">
        <v>2</v>
      </c>
      <c r="F6" s="8" t="s">
        <v>15</v>
      </c>
      <c r="G6" s="8" t="s">
        <v>16</v>
      </c>
      <c r="H6" s="8" t="s">
        <v>17</v>
      </c>
      <c r="I6" s="7" t="s">
        <v>12</v>
      </c>
      <c r="J6" s="7" t="s">
        <v>13</v>
      </c>
      <c r="K6" s="7" t="s">
        <v>14</v>
      </c>
      <c r="L6" s="96"/>
      <c r="M6" s="96"/>
      <c r="N6" s="96"/>
      <c r="O6" s="96"/>
      <c r="P6" s="96"/>
      <c r="Q6" s="96"/>
      <c r="R6" s="97"/>
    </row>
    <row r="7" spans="1:18" ht="41.45" customHeight="1">
      <c r="A7" s="21" t="s">
        <v>44</v>
      </c>
      <c r="B7" s="21" t="s">
        <v>45</v>
      </c>
      <c r="C7" s="22">
        <v>0</v>
      </c>
      <c r="D7" s="22">
        <v>7</v>
      </c>
      <c r="E7" s="21"/>
      <c r="F7" s="73" t="s">
        <v>19</v>
      </c>
      <c r="G7" s="21"/>
      <c r="H7" s="21"/>
      <c r="I7" s="21"/>
      <c r="J7" s="21" t="s">
        <v>19</v>
      </c>
      <c r="K7" s="21"/>
      <c r="L7" s="78"/>
      <c r="M7" s="78"/>
      <c r="N7" s="78"/>
      <c r="O7" s="78"/>
      <c r="P7" s="78"/>
      <c r="Q7" s="78"/>
      <c r="R7" s="79"/>
    </row>
    <row r="8" spans="1:18" ht="41.45" customHeight="1">
      <c r="A8" s="21"/>
      <c r="B8" s="21" t="s">
        <v>45</v>
      </c>
      <c r="C8" s="22">
        <v>7</v>
      </c>
      <c r="D8" s="22">
        <v>32.28</v>
      </c>
      <c r="E8" s="21"/>
      <c r="F8" s="21" t="s">
        <v>19</v>
      </c>
      <c r="G8" s="21"/>
      <c r="H8" s="21"/>
      <c r="I8" s="21"/>
      <c r="J8" s="21" t="s">
        <v>19</v>
      </c>
      <c r="K8" s="21"/>
      <c r="L8" s="78"/>
      <c r="M8" s="78"/>
      <c r="N8" s="78"/>
      <c r="O8" s="78"/>
      <c r="P8" s="78"/>
      <c r="Q8" s="78"/>
      <c r="R8" s="79"/>
    </row>
    <row r="9" spans="1:18" ht="41.45" customHeight="1">
      <c r="A9" s="38"/>
      <c r="B9" s="21"/>
      <c r="C9" s="22"/>
      <c r="D9" s="22"/>
      <c r="E9" s="21"/>
      <c r="F9" s="21"/>
      <c r="G9" s="21"/>
      <c r="H9" s="21"/>
      <c r="I9" s="21"/>
      <c r="J9" s="21"/>
      <c r="K9" s="21"/>
      <c r="L9" s="78"/>
      <c r="M9" s="78"/>
      <c r="N9" s="78"/>
      <c r="O9" s="78"/>
      <c r="P9" s="78"/>
      <c r="Q9" s="78"/>
      <c r="R9" s="79"/>
    </row>
    <row r="10" spans="1:18" ht="41.45" customHeight="1">
      <c r="A10" s="38"/>
      <c r="B10" s="21"/>
      <c r="C10" s="22"/>
      <c r="D10" s="22"/>
      <c r="E10" s="21"/>
      <c r="F10" s="21"/>
      <c r="G10" s="21"/>
      <c r="H10" s="21"/>
      <c r="I10" s="21"/>
      <c r="J10" s="21"/>
      <c r="K10" s="21"/>
      <c r="L10" s="78"/>
      <c r="M10" s="78"/>
      <c r="N10" s="78"/>
      <c r="O10" s="78"/>
      <c r="P10" s="78"/>
      <c r="Q10" s="78"/>
      <c r="R10" s="79"/>
    </row>
    <row r="11" spans="1:18" ht="41.45" customHeight="1">
      <c r="A11" s="38"/>
      <c r="B11" s="21"/>
      <c r="C11" s="22"/>
      <c r="D11" s="22"/>
      <c r="E11" s="21"/>
      <c r="F11" s="21"/>
      <c r="G11" s="21"/>
      <c r="H11" s="21"/>
      <c r="I11" s="21"/>
      <c r="J11" s="21"/>
      <c r="K11" s="21"/>
      <c r="L11" s="78"/>
      <c r="M11" s="78"/>
      <c r="N11" s="78"/>
      <c r="O11" s="78"/>
      <c r="P11" s="78"/>
      <c r="Q11" s="78"/>
      <c r="R11" s="79"/>
    </row>
    <row r="12" spans="1:18" ht="41.45" customHeight="1">
      <c r="A12" s="38"/>
      <c r="B12" s="21"/>
      <c r="C12" s="22"/>
      <c r="D12" s="22"/>
      <c r="E12" s="21"/>
      <c r="F12" s="21"/>
      <c r="G12" s="21"/>
      <c r="H12" s="21"/>
      <c r="I12" s="21"/>
      <c r="J12" s="21"/>
      <c r="K12" s="21"/>
      <c r="L12" s="78"/>
      <c r="M12" s="78"/>
      <c r="N12" s="78"/>
      <c r="O12" s="78"/>
      <c r="P12" s="78"/>
      <c r="Q12" s="78"/>
      <c r="R12" s="79"/>
    </row>
    <row r="13" spans="1:18" ht="41.45" customHeight="1">
      <c r="A13" s="38"/>
      <c r="B13" s="21"/>
      <c r="C13" s="22"/>
      <c r="D13" s="22"/>
      <c r="E13" s="21"/>
      <c r="F13" s="21"/>
      <c r="G13" s="21"/>
      <c r="H13" s="21"/>
      <c r="I13" s="21"/>
      <c r="J13" s="21"/>
      <c r="K13" s="21"/>
      <c r="L13" s="78"/>
      <c r="M13" s="78"/>
      <c r="N13" s="78"/>
      <c r="O13" s="78"/>
      <c r="P13" s="78"/>
      <c r="Q13" s="78"/>
      <c r="R13" s="79"/>
    </row>
    <row r="14" spans="1:18" ht="41.45" customHeight="1">
      <c r="A14" s="38"/>
      <c r="B14" s="21"/>
      <c r="C14" s="22"/>
      <c r="D14" s="22"/>
      <c r="E14" s="21"/>
      <c r="F14" s="21"/>
      <c r="G14" s="21"/>
      <c r="H14" s="21"/>
      <c r="I14" s="21"/>
      <c r="J14" s="21"/>
      <c r="K14" s="21"/>
      <c r="L14" s="78"/>
      <c r="M14" s="78"/>
      <c r="N14" s="78"/>
      <c r="O14" s="78"/>
      <c r="P14" s="78"/>
      <c r="Q14" s="78"/>
      <c r="R14" s="79"/>
    </row>
    <row r="15" spans="1:18" ht="41.45" customHeight="1">
      <c r="A15" s="38"/>
      <c r="B15" s="21"/>
      <c r="C15" s="22"/>
      <c r="D15" s="22"/>
      <c r="E15" s="21"/>
      <c r="F15" s="21"/>
      <c r="G15" s="21"/>
      <c r="H15" s="21"/>
      <c r="I15" s="21"/>
      <c r="J15" s="21"/>
      <c r="K15" s="21"/>
      <c r="L15" s="78"/>
      <c r="M15" s="78"/>
      <c r="N15" s="78"/>
      <c r="O15" s="78"/>
      <c r="P15" s="78"/>
      <c r="Q15" s="78"/>
      <c r="R15" s="79"/>
    </row>
    <row r="16" spans="1:18" ht="41.45" customHeight="1">
      <c r="A16" s="38"/>
      <c r="B16" s="21"/>
      <c r="C16" s="22"/>
      <c r="D16" s="22"/>
      <c r="E16" s="21"/>
      <c r="F16" s="21"/>
      <c r="G16" s="21"/>
      <c r="H16" s="21"/>
      <c r="I16" s="21"/>
      <c r="J16" s="21"/>
      <c r="K16" s="21"/>
      <c r="L16" s="78"/>
      <c r="M16" s="78"/>
      <c r="N16" s="78"/>
      <c r="O16" s="78"/>
      <c r="P16" s="78"/>
      <c r="Q16" s="78"/>
      <c r="R16" s="79"/>
    </row>
    <row r="17" spans="1:18" ht="41.45" customHeight="1">
      <c r="A17" s="38"/>
      <c r="B17" s="21"/>
      <c r="C17" s="22"/>
      <c r="D17" s="22"/>
      <c r="E17" s="21"/>
      <c r="F17" s="21"/>
      <c r="G17" s="21"/>
      <c r="H17" s="21"/>
      <c r="I17" s="21"/>
      <c r="J17" s="21"/>
      <c r="K17" s="21"/>
      <c r="L17" s="78"/>
      <c r="M17" s="78"/>
      <c r="N17" s="78"/>
      <c r="O17" s="78"/>
      <c r="P17" s="78"/>
      <c r="Q17" s="78"/>
      <c r="R17" s="79"/>
    </row>
    <row r="18" spans="1:18" ht="41.45" customHeight="1">
      <c r="A18" s="19"/>
      <c r="B18" s="3"/>
      <c r="C18" s="22"/>
      <c r="D18" s="22"/>
      <c r="E18" s="21"/>
      <c r="F18" s="21"/>
      <c r="G18" s="21"/>
      <c r="H18" s="21"/>
      <c r="I18" s="21"/>
      <c r="J18" s="21"/>
      <c r="K18" s="21"/>
      <c r="L18" s="78"/>
      <c r="M18" s="78"/>
      <c r="N18" s="78"/>
      <c r="O18" s="78"/>
      <c r="P18" s="78"/>
      <c r="Q18" s="78"/>
      <c r="R18" s="79"/>
    </row>
    <row r="19" spans="1:18" ht="41.45" customHeight="1">
      <c r="A19" s="19"/>
      <c r="B19" s="3"/>
      <c r="C19" s="22"/>
      <c r="D19" s="22"/>
      <c r="E19" s="21"/>
      <c r="F19" s="21"/>
      <c r="G19" s="21"/>
      <c r="H19" s="21"/>
      <c r="I19" s="21"/>
      <c r="J19" s="21"/>
      <c r="K19" s="21"/>
      <c r="L19" s="78"/>
      <c r="M19" s="78"/>
      <c r="N19" s="78"/>
      <c r="O19" s="78"/>
      <c r="P19" s="78"/>
      <c r="Q19" s="78"/>
      <c r="R19" s="79"/>
    </row>
    <row r="20" spans="1:18" ht="41.45" customHeight="1">
      <c r="A20" s="19"/>
      <c r="B20" s="3"/>
      <c r="C20" s="22"/>
      <c r="D20" s="22"/>
      <c r="E20" s="21"/>
      <c r="F20" s="21"/>
      <c r="G20" s="21"/>
      <c r="H20" s="21"/>
      <c r="I20" s="21"/>
      <c r="J20" s="21"/>
      <c r="K20" s="21"/>
      <c r="L20" s="78"/>
      <c r="M20" s="78"/>
      <c r="N20" s="78"/>
      <c r="O20" s="78"/>
      <c r="P20" s="78"/>
      <c r="Q20" s="78"/>
      <c r="R20" s="79"/>
    </row>
    <row r="21" spans="1:18" ht="41.45" customHeight="1">
      <c r="A21" s="19"/>
      <c r="B21" s="3"/>
      <c r="C21" s="22"/>
      <c r="D21" s="22"/>
      <c r="E21" s="21"/>
      <c r="F21" s="21"/>
      <c r="G21" s="21"/>
      <c r="H21" s="21"/>
      <c r="I21" s="21"/>
      <c r="J21" s="21"/>
      <c r="K21" s="21"/>
      <c r="L21" s="78"/>
      <c r="M21" s="78"/>
      <c r="N21" s="78"/>
      <c r="O21" s="78"/>
      <c r="P21" s="78"/>
      <c r="Q21" s="78"/>
      <c r="R21" s="79"/>
    </row>
    <row r="22" spans="1:18" ht="41.45" customHeight="1">
      <c r="A22" s="19"/>
      <c r="B22" s="3"/>
      <c r="C22" s="22"/>
      <c r="D22" s="22"/>
      <c r="E22" s="21"/>
      <c r="F22" s="21"/>
      <c r="G22" s="21"/>
      <c r="H22" s="21"/>
      <c r="I22" s="21"/>
      <c r="J22" s="21"/>
      <c r="K22" s="21"/>
      <c r="L22" s="78"/>
      <c r="M22" s="78"/>
      <c r="N22" s="78"/>
      <c r="O22" s="78"/>
      <c r="P22" s="78"/>
      <c r="Q22" s="78"/>
      <c r="R22" s="79"/>
    </row>
    <row r="23" spans="1:18" ht="41.45" customHeight="1">
      <c r="A23" s="19"/>
      <c r="B23" s="3"/>
      <c r="C23" s="22"/>
      <c r="D23" s="22"/>
      <c r="E23" s="21"/>
      <c r="F23" s="21"/>
      <c r="G23" s="21"/>
      <c r="H23" s="21"/>
      <c r="I23" s="21"/>
      <c r="J23" s="21"/>
      <c r="K23" s="21"/>
      <c r="L23" s="78"/>
      <c r="M23" s="78"/>
      <c r="N23" s="78"/>
      <c r="O23" s="78"/>
      <c r="P23" s="78"/>
      <c r="Q23" s="78"/>
      <c r="R23" s="79"/>
    </row>
    <row r="24" spans="1:18" ht="41.45" customHeight="1">
      <c r="A24" s="19"/>
      <c r="B24" s="3"/>
      <c r="C24" s="22"/>
      <c r="D24" s="22"/>
      <c r="E24" s="21"/>
      <c r="F24" s="21"/>
      <c r="G24" s="21"/>
      <c r="H24" s="21"/>
      <c r="I24" s="21"/>
      <c r="J24" s="21"/>
      <c r="K24" s="21"/>
      <c r="L24" s="78"/>
      <c r="M24" s="78"/>
      <c r="N24" s="78"/>
      <c r="O24" s="78"/>
      <c r="P24" s="78"/>
      <c r="Q24" s="78"/>
      <c r="R24" s="79"/>
    </row>
    <row r="25" spans="1:18" ht="41.45" customHeight="1">
      <c r="A25" s="19"/>
      <c r="B25" s="3"/>
      <c r="C25" s="22"/>
      <c r="D25" s="22"/>
      <c r="E25" s="21"/>
      <c r="F25" s="21"/>
      <c r="G25" s="21"/>
      <c r="H25" s="21"/>
      <c r="I25" s="21"/>
      <c r="J25" s="21"/>
      <c r="K25" s="21"/>
      <c r="L25" s="78"/>
      <c r="M25" s="78"/>
      <c r="N25" s="78"/>
      <c r="O25" s="78"/>
      <c r="P25" s="78"/>
      <c r="Q25" s="78"/>
      <c r="R25" s="79"/>
    </row>
    <row r="26" spans="1:18" ht="41.45" customHeight="1">
      <c r="A26" s="19"/>
      <c r="B26" s="3"/>
      <c r="C26" s="22"/>
      <c r="D26" s="22"/>
      <c r="E26" s="21"/>
      <c r="F26" s="21"/>
      <c r="G26" s="21"/>
      <c r="H26" s="21"/>
      <c r="I26" s="21"/>
      <c r="J26" s="21"/>
      <c r="K26" s="21"/>
      <c r="L26" s="78"/>
      <c r="M26" s="78"/>
      <c r="N26" s="78"/>
      <c r="O26" s="78"/>
      <c r="P26" s="78"/>
      <c r="Q26" s="78"/>
      <c r="R26" s="79"/>
    </row>
    <row r="27" spans="1:18" ht="41.45" customHeight="1">
      <c r="A27" s="19"/>
      <c r="B27" s="3"/>
      <c r="C27" s="22"/>
      <c r="D27" s="22"/>
      <c r="E27" s="21"/>
      <c r="F27" s="21"/>
      <c r="G27" s="21"/>
      <c r="H27" s="21"/>
      <c r="I27" s="21"/>
      <c r="J27" s="21"/>
      <c r="K27" s="21"/>
      <c r="L27" s="78"/>
      <c r="M27" s="78"/>
      <c r="N27" s="78"/>
      <c r="O27" s="78"/>
      <c r="P27" s="78"/>
      <c r="Q27" s="78"/>
      <c r="R27" s="79"/>
    </row>
    <row r="28" spans="1:18" ht="41.45" customHeight="1">
      <c r="A28" s="19"/>
      <c r="B28" s="3"/>
      <c r="C28" s="22"/>
      <c r="D28" s="22"/>
      <c r="E28" s="21"/>
      <c r="F28" s="21"/>
      <c r="G28" s="21"/>
      <c r="H28" s="21"/>
      <c r="I28" s="21"/>
      <c r="J28" s="21"/>
      <c r="K28" s="21"/>
      <c r="L28" s="78"/>
      <c r="M28" s="78"/>
      <c r="N28" s="78"/>
      <c r="O28" s="78"/>
      <c r="P28" s="78"/>
      <c r="Q28" s="78"/>
      <c r="R28" s="79"/>
    </row>
    <row r="29" spans="1:18" ht="41.45" customHeight="1">
      <c r="A29" s="19"/>
      <c r="B29" s="3"/>
      <c r="C29" s="22"/>
      <c r="D29" s="22"/>
      <c r="E29" s="21"/>
      <c r="F29" s="21"/>
      <c r="G29" s="21"/>
      <c r="H29" s="21"/>
      <c r="I29" s="21"/>
      <c r="J29" s="21"/>
      <c r="K29" s="21"/>
      <c r="L29" s="78"/>
      <c r="M29" s="78"/>
      <c r="N29" s="78"/>
      <c r="O29" s="78"/>
      <c r="P29" s="78"/>
      <c r="Q29" s="78"/>
      <c r="R29" s="79"/>
    </row>
    <row r="30" spans="1:18" ht="41.45" customHeight="1">
      <c r="A30" s="19"/>
      <c r="B30" s="3"/>
      <c r="C30" s="22"/>
      <c r="D30" s="22"/>
      <c r="E30" s="21"/>
      <c r="F30" s="21"/>
      <c r="G30" s="21"/>
      <c r="H30" s="21"/>
      <c r="I30" s="21"/>
      <c r="J30" s="21"/>
      <c r="K30" s="21"/>
      <c r="L30" s="78"/>
      <c r="M30" s="78"/>
      <c r="N30" s="78"/>
      <c r="O30" s="78"/>
      <c r="P30" s="78"/>
      <c r="Q30" s="78"/>
      <c r="R30" s="79"/>
    </row>
    <row r="31" spans="1:18" ht="41.45" customHeight="1">
      <c r="A31" s="19"/>
      <c r="B31" s="3"/>
      <c r="C31" s="22"/>
      <c r="D31" s="22"/>
      <c r="E31" s="21"/>
      <c r="F31" s="21"/>
      <c r="G31" s="21"/>
      <c r="H31" s="21"/>
      <c r="I31" s="21"/>
      <c r="J31" s="21"/>
      <c r="K31" s="21"/>
      <c r="L31" s="78"/>
      <c r="M31" s="78"/>
      <c r="N31" s="78"/>
      <c r="O31" s="78"/>
      <c r="P31" s="78"/>
      <c r="Q31" s="78"/>
      <c r="R31" s="79"/>
    </row>
    <row r="32" spans="1:18" ht="41.45" customHeight="1">
      <c r="A32" s="19"/>
      <c r="B32" s="3"/>
      <c r="C32" s="22"/>
      <c r="D32" s="22"/>
      <c r="E32" s="21"/>
      <c r="F32" s="21"/>
      <c r="G32" s="21"/>
      <c r="H32" s="21"/>
      <c r="I32" s="21"/>
      <c r="J32" s="21"/>
      <c r="K32" s="21"/>
      <c r="L32" s="78"/>
      <c r="M32" s="78"/>
      <c r="N32" s="78"/>
      <c r="O32" s="78"/>
      <c r="P32" s="78"/>
      <c r="Q32" s="78"/>
      <c r="R32" s="79"/>
    </row>
    <row r="33" spans="1:18" ht="41.45" customHeight="1">
      <c r="A33" s="19"/>
      <c r="B33" s="3"/>
      <c r="C33" s="22"/>
      <c r="D33" s="22"/>
      <c r="E33" s="21"/>
      <c r="F33" s="21"/>
      <c r="G33" s="21"/>
      <c r="H33" s="21"/>
      <c r="I33" s="21"/>
      <c r="J33" s="21"/>
      <c r="K33" s="21"/>
      <c r="L33" s="78"/>
      <c r="M33" s="78"/>
      <c r="N33" s="78"/>
      <c r="O33" s="78"/>
      <c r="P33" s="78"/>
      <c r="Q33" s="78"/>
      <c r="R33" s="79"/>
    </row>
    <row r="34" spans="1:18" ht="41.45" customHeight="1" thickBot="1">
      <c r="A34" s="20"/>
      <c r="B34" s="4"/>
      <c r="C34" s="23"/>
      <c r="D34" s="23"/>
      <c r="E34" s="24"/>
      <c r="F34" s="24"/>
      <c r="G34" s="24"/>
      <c r="H34" s="24"/>
      <c r="I34" s="24"/>
      <c r="J34" s="24"/>
      <c r="K34" s="24"/>
      <c r="L34" s="80"/>
      <c r="M34" s="80"/>
      <c r="N34" s="80"/>
      <c r="O34" s="80"/>
      <c r="P34" s="80"/>
      <c r="Q34" s="80"/>
      <c r="R34" s="81"/>
    </row>
    <row r="35" spans="1:18" ht="41.45" customHeight="1">
      <c r="A35" s="39"/>
      <c r="B35" s="39"/>
      <c r="C35" s="40"/>
      <c r="D35" s="40"/>
      <c r="E35" s="41"/>
      <c r="F35" s="41"/>
      <c r="G35" s="41"/>
      <c r="H35" s="41"/>
      <c r="I35" s="41"/>
      <c r="J35" s="41"/>
      <c r="K35" s="41"/>
      <c r="L35" s="77"/>
      <c r="M35" s="77"/>
      <c r="N35" s="77"/>
      <c r="O35" s="77"/>
      <c r="P35" s="77"/>
      <c r="Q35" s="77"/>
      <c r="R35" s="77"/>
    </row>
    <row r="36" spans="1:18" ht="41.45" customHeight="1">
      <c r="C36" s="42"/>
      <c r="D36" s="42"/>
      <c r="E36" s="42" t="str">
        <f>IF(E7="X",(D7-C7),"0")</f>
        <v>0</v>
      </c>
      <c r="F36" s="42">
        <f>IF(F7="X",(D7-C7),"0")</f>
        <v>7</v>
      </c>
      <c r="G36" s="42" t="str">
        <f>IF(G7="X",(D7-C7),"0")</f>
        <v>0</v>
      </c>
      <c r="H36" s="42" t="str">
        <f>IF(H7="X",(D7-C7),"0")</f>
        <v>0</v>
      </c>
      <c r="I36" s="42" t="str">
        <f>IF(I7="X",(D7-C7),"0")</f>
        <v>0</v>
      </c>
      <c r="J36" s="42">
        <f>IF(J7="X",(D7-C7),"0")</f>
        <v>7</v>
      </c>
      <c r="K36" s="42" t="str">
        <f>IF(K7="X",(D7-C7),"0")</f>
        <v>0</v>
      </c>
      <c r="L36" s="76"/>
      <c r="M36" s="76"/>
      <c r="N36" s="76"/>
      <c r="O36" s="76"/>
      <c r="P36" s="76"/>
      <c r="Q36" s="76"/>
      <c r="R36" s="76"/>
    </row>
    <row r="37" spans="1:18" ht="41.45" customHeight="1">
      <c r="C37" s="42"/>
      <c r="D37" s="42"/>
      <c r="E37" s="42" t="str">
        <f t="shared" ref="E37:E61" si="0">IF(E8="X",(D8-C8),"0")</f>
        <v>0</v>
      </c>
      <c r="F37" s="42">
        <f t="shared" ref="F37:F61" si="1">IF(F8="X",(D8-C8),"0")</f>
        <v>25.28</v>
      </c>
      <c r="G37" s="42" t="str">
        <f t="shared" ref="G37:G61" si="2">IF(G8="X",(D8-C8),"0")</f>
        <v>0</v>
      </c>
      <c r="H37" s="42" t="str">
        <f t="shared" ref="H37:H61" si="3">IF(H8="X",(D8-C8),"0")</f>
        <v>0</v>
      </c>
      <c r="I37" s="42" t="str">
        <f t="shared" ref="I37:I61" si="4">IF(I8="X",(D8-C8),"0")</f>
        <v>0</v>
      </c>
      <c r="J37" s="42">
        <f t="shared" ref="J37:J61" si="5">IF(J8="X",(D8-C8),"0")</f>
        <v>25.28</v>
      </c>
      <c r="K37" s="42" t="str">
        <f t="shared" ref="K37:K61" si="6">IF(K8="X",(D8-C8),"0")</f>
        <v>0</v>
      </c>
      <c r="L37" s="76"/>
      <c r="M37" s="76"/>
      <c r="N37" s="76"/>
      <c r="O37" s="76"/>
      <c r="P37" s="76"/>
      <c r="Q37" s="76"/>
      <c r="R37" s="76"/>
    </row>
    <row r="38" spans="1:18" ht="41.45" customHeight="1">
      <c r="C38" s="42"/>
      <c r="D38" s="42"/>
      <c r="E38" s="42" t="str">
        <f t="shared" si="0"/>
        <v>0</v>
      </c>
      <c r="F38" s="42" t="str">
        <f t="shared" si="1"/>
        <v>0</v>
      </c>
      <c r="G38" s="42" t="str">
        <f t="shared" si="2"/>
        <v>0</v>
      </c>
      <c r="H38" s="42" t="str">
        <f t="shared" si="3"/>
        <v>0</v>
      </c>
      <c r="I38" s="42" t="str">
        <f t="shared" si="4"/>
        <v>0</v>
      </c>
      <c r="J38" s="42" t="str">
        <f t="shared" si="5"/>
        <v>0</v>
      </c>
      <c r="K38" s="42" t="str">
        <f t="shared" si="6"/>
        <v>0</v>
      </c>
      <c r="L38" s="76"/>
      <c r="M38" s="76"/>
      <c r="N38" s="76"/>
      <c r="O38" s="76"/>
      <c r="P38" s="76"/>
      <c r="Q38" s="76"/>
      <c r="R38" s="76"/>
    </row>
    <row r="39" spans="1:18" ht="41.45" customHeight="1">
      <c r="C39" s="42"/>
      <c r="D39" s="42"/>
      <c r="E39" s="42" t="str">
        <f t="shared" si="0"/>
        <v>0</v>
      </c>
      <c r="F39" s="42" t="str">
        <f t="shared" si="1"/>
        <v>0</v>
      </c>
      <c r="G39" s="42" t="str">
        <f t="shared" si="2"/>
        <v>0</v>
      </c>
      <c r="H39" s="42" t="str">
        <f t="shared" si="3"/>
        <v>0</v>
      </c>
      <c r="I39" s="42" t="str">
        <f t="shared" si="4"/>
        <v>0</v>
      </c>
      <c r="J39" s="42" t="str">
        <f t="shared" si="5"/>
        <v>0</v>
      </c>
      <c r="K39" s="42" t="str">
        <f t="shared" si="6"/>
        <v>0</v>
      </c>
      <c r="L39" s="76"/>
      <c r="M39" s="76"/>
      <c r="N39" s="76"/>
      <c r="O39" s="76"/>
      <c r="P39" s="76"/>
      <c r="Q39" s="76"/>
      <c r="R39" s="76"/>
    </row>
    <row r="40" spans="1:18" ht="41.45" customHeight="1">
      <c r="C40" s="42"/>
      <c r="D40" s="42"/>
      <c r="E40" s="42" t="str">
        <f t="shared" si="0"/>
        <v>0</v>
      </c>
      <c r="F40" s="42" t="str">
        <f t="shared" si="1"/>
        <v>0</v>
      </c>
      <c r="G40" s="42" t="str">
        <f t="shared" si="2"/>
        <v>0</v>
      </c>
      <c r="H40" s="42" t="str">
        <f t="shared" si="3"/>
        <v>0</v>
      </c>
      <c r="I40" s="42" t="str">
        <f t="shared" si="4"/>
        <v>0</v>
      </c>
      <c r="J40" s="42" t="str">
        <f t="shared" si="5"/>
        <v>0</v>
      </c>
      <c r="K40" s="42" t="str">
        <f t="shared" si="6"/>
        <v>0</v>
      </c>
      <c r="L40" s="76"/>
      <c r="M40" s="76"/>
      <c r="N40" s="76"/>
      <c r="O40" s="76"/>
      <c r="P40" s="76"/>
      <c r="Q40" s="76"/>
      <c r="R40" s="76"/>
    </row>
    <row r="41" spans="1:18" ht="41.45" customHeight="1">
      <c r="C41" s="42"/>
      <c r="D41" s="42"/>
      <c r="E41" s="42" t="str">
        <f t="shared" si="0"/>
        <v>0</v>
      </c>
      <c r="F41" s="42" t="str">
        <f t="shared" si="1"/>
        <v>0</v>
      </c>
      <c r="G41" s="42" t="str">
        <f t="shared" si="2"/>
        <v>0</v>
      </c>
      <c r="H41" s="42" t="str">
        <f t="shared" si="3"/>
        <v>0</v>
      </c>
      <c r="I41" s="42" t="str">
        <f t="shared" si="4"/>
        <v>0</v>
      </c>
      <c r="J41" s="42" t="str">
        <f t="shared" si="5"/>
        <v>0</v>
      </c>
      <c r="K41" s="42" t="str">
        <f t="shared" si="6"/>
        <v>0</v>
      </c>
      <c r="L41" s="76"/>
      <c r="M41" s="76"/>
      <c r="N41" s="76"/>
      <c r="O41" s="76"/>
      <c r="P41" s="76"/>
      <c r="Q41" s="76"/>
      <c r="R41" s="76"/>
    </row>
    <row r="42" spans="1:18" ht="41.45" customHeight="1">
      <c r="C42" s="42"/>
      <c r="D42" s="42"/>
      <c r="E42" s="42" t="str">
        <f t="shared" si="0"/>
        <v>0</v>
      </c>
      <c r="F42" s="42" t="str">
        <f t="shared" si="1"/>
        <v>0</v>
      </c>
      <c r="G42" s="42" t="str">
        <f t="shared" si="2"/>
        <v>0</v>
      </c>
      <c r="H42" s="42" t="str">
        <f t="shared" si="3"/>
        <v>0</v>
      </c>
      <c r="I42" s="42" t="str">
        <f t="shared" si="4"/>
        <v>0</v>
      </c>
      <c r="J42" s="42" t="str">
        <f t="shared" si="5"/>
        <v>0</v>
      </c>
      <c r="K42" s="42" t="str">
        <f t="shared" si="6"/>
        <v>0</v>
      </c>
      <c r="L42" s="76"/>
      <c r="M42" s="76"/>
      <c r="N42" s="76"/>
      <c r="O42" s="76"/>
      <c r="P42" s="76"/>
      <c r="Q42" s="76"/>
      <c r="R42" s="76"/>
    </row>
    <row r="43" spans="1:18" ht="41.45" customHeight="1">
      <c r="C43" s="42"/>
      <c r="D43" s="42"/>
      <c r="E43" s="42" t="str">
        <f t="shared" si="0"/>
        <v>0</v>
      </c>
      <c r="F43" s="42" t="str">
        <f t="shared" si="1"/>
        <v>0</v>
      </c>
      <c r="G43" s="42" t="str">
        <f t="shared" si="2"/>
        <v>0</v>
      </c>
      <c r="H43" s="42" t="str">
        <f t="shared" si="3"/>
        <v>0</v>
      </c>
      <c r="I43" s="42" t="str">
        <f t="shared" si="4"/>
        <v>0</v>
      </c>
      <c r="J43" s="42" t="str">
        <f t="shared" si="5"/>
        <v>0</v>
      </c>
      <c r="K43" s="42" t="str">
        <f t="shared" si="6"/>
        <v>0</v>
      </c>
      <c r="L43" s="76"/>
      <c r="M43" s="76"/>
      <c r="N43" s="76"/>
      <c r="O43" s="76"/>
      <c r="P43" s="76"/>
      <c r="Q43" s="76"/>
      <c r="R43" s="76"/>
    </row>
    <row r="44" spans="1:18" ht="41.45" customHeight="1">
      <c r="C44" s="42"/>
      <c r="D44" s="42"/>
      <c r="E44" s="42" t="str">
        <f t="shared" si="0"/>
        <v>0</v>
      </c>
      <c r="F44" s="42" t="str">
        <f t="shared" si="1"/>
        <v>0</v>
      </c>
      <c r="G44" s="42" t="str">
        <f t="shared" si="2"/>
        <v>0</v>
      </c>
      <c r="H44" s="42" t="str">
        <f t="shared" si="3"/>
        <v>0</v>
      </c>
      <c r="I44" s="42" t="str">
        <f t="shared" si="4"/>
        <v>0</v>
      </c>
      <c r="J44" s="42" t="str">
        <f t="shared" si="5"/>
        <v>0</v>
      </c>
      <c r="K44" s="42" t="str">
        <f t="shared" si="6"/>
        <v>0</v>
      </c>
      <c r="L44" s="76"/>
      <c r="M44" s="76"/>
      <c r="N44" s="76"/>
      <c r="O44" s="76"/>
      <c r="P44" s="76"/>
      <c r="Q44" s="76"/>
      <c r="R44" s="76"/>
    </row>
    <row r="45" spans="1:18" ht="41.45" customHeight="1">
      <c r="C45" s="42"/>
      <c r="D45" s="42"/>
      <c r="E45" s="42" t="str">
        <f t="shared" si="0"/>
        <v>0</v>
      </c>
      <c r="F45" s="42" t="str">
        <f t="shared" si="1"/>
        <v>0</v>
      </c>
      <c r="G45" s="42" t="str">
        <f t="shared" si="2"/>
        <v>0</v>
      </c>
      <c r="H45" s="42" t="str">
        <f t="shared" si="3"/>
        <v>0</v>
      </c>
      <c r="I45" s="42" t="str">
        <f t="shared" si="4"/>
        <v>0</v>
      </c>
      <c r="J45" s="42" t="str">
        <f t="shared" si="5"/>
        <v>0</v>
      </c>
      <c r="K45" s="42" t="str">
        <f t="shared" si="6"/>
        <v>0</v>
      </c>
      <c r="L45" s="76"/>
      <c r="M45" s="76"/>
      <c r="N45" s="76"/>
      <c r="O45" s="76"/>
      <c r="P45" s="76"/>
      <c r="Q45" s="76"/>
      <c r="R45" s="76"/>
    </row>
    <row r="46" spans="1:18" ht="41.45" customHeight="1">
      <c r="C46" s="42"/>
      <c r="D46" s="42"/>
      <c r="E46" s="42" t="str">
        <f t="shared" si="0"/>
        <v>0</v>
      </c>
      <c r="F46" s="42" t="str">
        <f t="shared" si="1"/>
        <v>0</v>
      </c>
      <c r="G46" s="42" t="str">
        <f t="shared" si="2"/>
        <v>0</v>
      </c>
      <c r="H46" s="42" t="str">
        <f t="shared" si="3"/>
        <v>0</v>
      </c>
      <c r="I46" s="42" t="str">
        <f t="shared" si="4"/>
        <v>0</v>
      </c>
      <c r="J46" s="42" t="str">
        <f t="shared" si="5"/>
        <v>0</v>
      </c>
      <c r="K46" s="42" t="str">
        <f t="shared" si="6"/>
        <v>0</v>
      </c>
      <c r="L46" s="76"/>
      <c r="M46" s="76"/>
      <c r="N46" s="76"/>
      <c r="O46" s="76"/>
      <c r="P46" s="76"/>
      <c r="Q46" s="76"/>
      <c r="R46" s="76"/>
    </row>
    <row r="47" spans="1:18" ht="41.45" customHeight="1">
      <c r="C47" s="42"/>
      <c r="D47" s="42"/>
      <c r="E47" s="42" t="str">
        <f t="shared" si="0"/>
        <v>0</v>
      </c>
      <c r="F47" s="42" t="str">
        <f t="shared" si="1"/>
        <v>0</v>
      </c>
      <c r="G47" s="42" t="str">
        <f t="shared" si="2"/>
        <v>0</v>
      </c>
      <c r="H47" s="42" t="str">
        <f t="shared" si="3"/>
        <v>0</v>
      </c>
      <c r="I47" s="42" t="str">
        <f t="shared" si="4"/>
        <v>0</v>
      </c>
      <c r="J47" s="42" t="str">
        <f t="shared" si="5"/>
        <v>0</v>
      </c>
      <c r="K47" s="42" t="str">
        <f t="shared" si="6"/>
        <v>0</v>
      </c>
      <c r="L47" s="76"/>
      <c r="M47" s="76"/>
      <c r="N47" s="76"/>
      <c r="O47" s="76"/>
      <c r="P47" s="76"/>
      <c r="Q47" s="76"/>
      <c r="R47" s="76"/>
    </row>
    <row r="48" spans="1:18" ht="41.45" customHeight="1">
      <c r="C48" s="42"/>
      <c r="D48" s="42"/>
      <c r="E48" s="42" t="str">
        <f t="shared" si="0"/>
        <v>0</v>
      </c>
      <c r="F48" s="42" t="str">
        <f t="shared" si="1"/>
        <v>0</v>
      </c>
      <c r="G48" s="42" t="str">
        <f t="shared" si="2"/>
        <v>0</v>
      </c>
      <c r="H48" s="42" t="str">
        <f t="shared" si="3"/>
        <v>0</v>
      </c>
      <c r="I48" s="42" t="str">
        <f t="shared" si="4"/>
        <v>0</v>
      </c>
      <c r="J48" s="42" t="str">
        <f t="shared" si="5"/>
        <v>0</v>
      </c>
      <c r="K48" s="42" t="str">
        <f t="shared" si="6"/>
        <v>0</v>
      </c>
      <c r="L48" s="76"/>
      <c r="M48" s="76"/>
      <c r="N48" s="76"/>
      <c r="O48" s="76"/>
      <c r="P48" s="76"/>
      <c r="Q48" s="76"/>
      <c r="R48" s="76"/>
    </row>
    <row r="49" spans="3:18" ht="41.45" customHeight="1">
      <c r="C49" s="42"/>
      <c r="D49" s="42"/>
      <c r="E49" s="42" t="str">
        <f t="shared" si="0"/>
        <v>0</v>
      </c>
      <c r="F49" s="42" t="str">
        <f t="shared" si="1"/>
        <v>0</v>
      </c>
      <c r="G49" s="42" t="str">
        <f t="shared" si="2"/>
        <v>0</v>
      </c>
      <c r="H49" s="42" t="str">
        <f t="shared" si="3"/>
        <v>0</v>
      </c>
      <c r="I49" s="42" t="str">
        <f t="shared" si="4"/>
        <v>0</v>
      </c>
      <c r="J49" s="42" t="str">
        <f t="shared" si="5"/>
        <v>0</v>
      </c>
      <c r="K49" s="42" t="str">
        <f t="shared" si="6"/>
        <v>0</v>
      </c>
      <c r="L49" s="76"/>
      <c r="M49" s="76"/>
      <c r="N49" s="76"/>
      <c r="O49" s="76"/>
      <c r="P49" s="76"/>
      <c r="Q49" s="76"/>
      <c r="R49" s="76"/>
    </row>
    <row r="50" spans="3:18" ht="41.45" customHeight="1">
      <c r="C50" s="42"/>
      <c r="D50" s="42"/>
      <c r="E50" s="42" t="str">
        <f t="shared" si="0"/>
        <v>0</v>
      </c>
      <c r="F50" s="42" t="str">
        <f t="shared" si="1"/>
        <v>0</v>
      </c>
      <c r="G50" s="42" t="str">
        <f t="shared" si="2"/>
        <v>0</v>
      </c>
      <c r="H50" s="42" t="str">
        <f t="shared" si="3"/>
        <v>0</v>
      </c>
      <c r="I50" s="42" t="str">
        <f t="shared" si="4"/>
        <v>0</v>
      </c>
      <c r="J50" s="42" t="str">
        <f t="shared" si="5"/>
        <v>0</v>
      </c>
      <c r="K50" s="42" t="str">
        <f t="shared" si="6"/>
        <v>0</v>
      </c>
      <c r="L50" s="76"/>
      <c r="M50" s="76"/>
      <c r="N50" s="76"/>
      <c r="O50" s="76"/>
      <c r="P50" s="76"/>
      <c r="Q50" s="76"/>
      <c r="R50" s="76"/>
    </row>
    <row r="51" spans="3:18" ht="41.45" customHeight="1">
      <c r="C51" s="42"/>
      <c r="D51" s="42"/>
      <c r="E51" s="42" t="str">
        <f t="shared" si="0"/>
        <v>0</v>
      </c>
      <c r="F51" s="42" t="str">
        <f t="shared" si="1"/>
        <v>0</v>
      </c>
      <c r="G51" s="42" t="str">
        <f t="shared" si="2"/>
        <v>0</v>
      </c>
      <c r="H51" s="42" t="str">
        <f t="shared" si="3"/>
        <v>0</v>
      </c>
      <c r="I51" s="42" t="str">
        <f t="shared" si="4"/>
        <v>0</v>
      </c>
      <c r="J51" s="42" t="str">
        <f t="shared" si="5"/>
        <v>0</v>
      </c>
      <c r="K51" s="42" t="str">
        <f t="shared" si="6"/>
        <v>0</v>
      </c>
      <c r="L51" s="76"/>
      <c r="M51" s="76"/>
      <c r="N51" s="76"/>
      <c r="O51" s="76"/>
      <c r="P51" s="76"/>
      <c r="Q51" s="76"/>
      <c r="R51" s="76"/>
    </row>
    <row r="52" spans="3:18" ht="41.45" customHeight="1">
      <c r="C52" s="42"/>
      <c r="D52" s="42"/>
      <c r="E52" s="42" t="str">
        <f t="shared" si="0"/>
        <v>0</v>
      </c>
      <c r="F52" s="42" t="str">
        <f t="shared" si="1"/>
        <v>0</v>
      </c>
      <c r="G52" s="42" t="str">
        <f t="shared" si="2"/>
        <v>0</v>
      </c>
      <c r="H52" s="42" t="str">
        <f t="shared" si="3"/>
        <v>0</v>
      </c>
      <c r="I52" s="42" t="str">
        <f t="shared" si="4"/>
        <v>0</v>
      </c>
      <c r="J52" s="42" t="str">
        <f t="shared" si="5"/>
        <v>0</v>
      </c>
      <c r="K52" s="42" t="str">
        <f t="shared" si="6"/>
        <v>0</v>
      </c>
      <c r="L52" s="76"/>
      <c r="M52" s="76"/>
      <c r="N52" s="76"/>
      <c r="O52" s="76"/>
      <c r="P52" s="76"/>
      <c r="Q52" s="76"/>
      <c r="R52" s="76"/>
    </row>
    <row r="53" spans="3:18" ht="41.45" customHeight="1">
      <c r="C53" s="42"/>
      <c r="D53" s="42"/>
      <c r="E53" s="42" t="str">
        <f t="shared" si="0"/>
        <v>0</v>
      </c>
      <c r="F53" s="42" t="str">
        <f t="shared" si="1"/>
        <v>0</v>
      </c>
      <c r="G53" s="42" t="str">
        <f t="shared" si="2"/>
        <v>0</v>
      </c>
      <c r="H53" s="42" t="str">
        <f t="shared" si="3"/>
        <v>0</v>
      </c>
      <c r="I53" s="42" t="str">
        <f t="shared" si="4"/>
        <v>0</v>
      </c>
      <c r="J53" s="42" t="str">
        <f t="shared" si="5"/>
        <v>0</v>
      </c>
      <c r="K53" s="42" t="str">
        <f t="shared" si="6"/>
        <v>0</v>
      </c>
      <c r="L53" s="76"/>
      <c r="M53" s="76"/>
      <c r="N53" s="76"/>
      <c r="O53" s="76"/>
      <c r="P53" s="76"/>
      <c r="Q53" s="76"/>
      <c r="R53" s="76"/>
    </row>
    <row r="54" spans="3:18" ht="41.45" customHeight="1">
      <c r="C54" s="42"/>
      <c r="D54" s="42"/>
      <c r="E54" s="42" t="str">
        <f t="shared" si="0"/>
        <v>0</v>
      </c>
      <c r="F54" s="42" t="str">
        <f t="shared" si="1"/>
        <v>0</v>
      </c>
      <c r="G54" s="42" t="str">
        <f t="shared" si="2"/>
        <v>0</v>
      </c>
      <c r="H54" s="42" t="str">
        <f t="shared" si="3"/>
        <v>0</v>
      </c>
      <c r="I54" s="42" t="str">
        <f t="shared" si="4"/>
        <v>0</v>
      </c>
      <c r="J54" s="42" t="str">
        <f t="shared" si="5"/>
        <v>0</v>
      </c>
      <c r="K54" s="42" t="str">
        <f t="shared" si="6"/>
        <v>0</v>
      </c>
      <c r="L54" s="76"/>
      <c r="M54" s="76"/>
      <c r="N54" s="76"/>
      <c r="O54" s="76"/>
      <c r="P54" s="76"/>
      <c r="Q54" s="76"/>
      <c r="R54" s="76"/>
    </row>
    <row r="55" spans="3:18" ht="41.45" customHeight="1">
      <c r="C55" s="42"/>
      <c r="D55" s="42"/>
      <c r="E55" s="42" t="str">
        <f t="shared" si="0"/>
        <v>0</v>
      </c>
      <c r="F55" s="42" t="str">
        <f t="shared" si="1"/>
        <v>0</v>
      </c>
      <c r="G55" s="42" t="str">
        <f t="shared" si="2"/>
        <v>0</v>
      </c>
      <c r="H55" s="42" t="str">
        <f t="shared" si="3"/>
        <v>0</v>
      </c>
      <c r="I55" s="42" t="str">
        <f t="shared" si="4"/>
        <v>0</v>
      </c>
      <c r="J55" s="42" t="str">
        <f t="shared" si="5"/>
        <v>0</v>
      </c>
      <c r="K55" s="42" t="str">
        <f t="shared" si="6"/>
        <v>0</v>
      </c>
      <c r="L55" s="76"/>
      <c r="M55" s="76"/>
      <c r="N55" s="76"/>
      <c r="O55" s="76"/>
      <c r="P55" s="76"/>
      <c r="Q55" s="76"/>
      <c r="R55" s="76"/>
    </row>
    <row r="56" spans="3:18" ht="41.45" customHeight="1">
      <c r="C56" s="42"/>
      <c r="D56" s="42"/>
      <c r="E56" s="42" t="str">
        <f t="shared" si="0"/>
        <v>0</v>
      </c>
      <c r="F56" s="42" t="str">
        <f t="shared" si="1"/>
        <v>0</v>
      </c>
      <c r="G56" s="42" t="str">
        <f t="shared" si="2"/>
        <v>0</v>
      </c>
      <c r="H56" s="42" t="str">
        <f t="shared" si="3"/>
        <v>0</v>
      </c>
      <c r="I56" s="42" t="str">
        <f t="shared" si="4"/>
        <v>0</v>
      </c>
      <c r="J56" s="42" t="str">
        <f t="shared" si="5"/>
        <v>0</v>
      </c>
      <c r="K56" s="42" t="str">
        <f t="shared" si="6"/>
        <v>0</v>
      </c>
      <c r="L56" s="76"/>
      <c r="M56" s="76"/>
      <c r="N56" s="76"/>
      <c r="O56" s="76"/>
      <c r="P56" s="76"/>
      <c r="Q56" s="76"/>
      <c r="R56" s="76"/>
    </row>
    <row r="57" spans="3:18" ht="41.45" customHeight="1">
      <c r="C57" s="42"/>
      <c r="D57" s="42"/>
      <c r="E57" s="42" t="str">
        <f t="shared" si="0"/>
        <v>0</v>
      </c>
      <c r="F57" s="42" t="str">
        <f t="shared" si="1"/>
        <v>0</v>
      </c>
      <c r="G57" s="42" t="str">
        <f t="shared" si="2"/>
        <v>0</v>
      </c>
      <c r="H57" s="42" t="str">
        <f t="shared" si="3"/>
        <v>0</v>
      </c>
      <c r="I57" s="42" t="str">
        <f t="shared" si="4"/>
        <v>0</v>
      </c>
      <c r="J57" s="42" t="str">
        <f t="shared" si="5"/>
        <v>0</v>
      </c>
      <c r="K57" s="42" t="str">
        <f t="shared" si="6"/>
        <v>0</v>
      </c>
      <c r="L57" s="76"/>
      <c r="M57" s="76"/>
      <c r="N57" s="76"/>
      <c r="O57" s="76"/>
      <c r="P57" s="76"/>
      <c r="Q57" s="76"/>
      <c r="R57" s="76"/>
    </row>
    <row r="58" spans="3:18" ht="41.45" customHeight="1">
      <c r="C58" s="42"/>
      <c r="D58" s="42"/>
      <c r="E58" s="42" t="str">
        <f t="shared" si="0"/>
        <v>0</v>
      </c>
      <c r="F58" s="42" t="str">
        <f t="shared" si="1"/>
        <v>0</v>
      </c>
      <c r="G58" s="42" t="str">
        <f t="shared" si="2"/>
        <v>0</v>
      </c>
      <c r="H58" s="42" t="str">
        <f t="shared" si="3"/>
        <v>0</v>
      </c>
      <c r="I58" s="42" t="str">
        <f t="shared" si="4"/>
        <v>0</v>
      </c>
      <c r="J58" s="42" t="str">
        <f t="shared" si="5"/>
        <v>0</v>
      </c>
      <c r="K58" s="42" t="str">
        <f t="shared" si="6"/>
        <v>0</v>
      </c>
      <c r="L58" s="76"/>
      <c r="M58" s="76"/>
      <c r="N58" s="76"/>
      <c r="O58" s="76"/>
      <c r="P58" s="76"/>
      <c r="Q58" s="76"/>
      <c r="R58" s="76"/>
    </row>
    <row r="59" spans="3:18" ht="41.45" customHeight="1">
      <c r="C59" s="42"/>
      <c r="D59" s="42"/>
      <c r="E59" s="42" t="str">
        <f t="shared" si="0"/>
        <v>0</v>
      </c>
      <c r="F59" s="42" t="str">
        <f t="shared" si="1"/>
        <v>0</v>
      </c>
      <c r="G59" s="42" t="str">
        <f t="shared" si="2"/>
        <v>0</v>
      </c>
      <c r="H59" s="42" t="str">
        <f t="shared" si="3"/>
        <v>0</v>
      </c>
      <c r="I59" s="42" t="str">
        <f t="shared" si="4"/>
        <v>0</v>
      </c>
      <c r="J59" s="42" t="str">
        <f t="shared" si="5"/>
        <v>0</v>
      </c>
      <c r="K59" s="42" t="str">
        <f t="shared" si="6"/>
        <v>0</v>
      </c>
      <c r="L59" s="76"/>
      <c r="M59" s="76"/>
      <c r="N59" s="76"/>
      <c r="O59" s="76"/>
      <c r="P59" s="76"/>
      <c r="Q59" s="76"/>
      <c r="R59" s="76"/>
    </row>
    <row r="60" spans="3:18" ht="41.45" customHeight="1">
      <c r="C60" s="42"/>
      <c r="D60" s="42"/>
      <c r="E60" s="42" t="str">
        <f t="shared" si="0"/>
        <v>0</v>
      </c>
      <c r="F60" s="42" t="str">
        <f t="shared" si="1"/>
        <v>0</v>
      </c>
      <c r="G60" s="42" t="str">
        <f t="shared" si="2"/>
        <v>0</v>
      </c>
      <c r="H60" s="42" t="str">
        <f t="shared" si="3"/>
        <v>0</v>
      </c>
      <c r="I60" s="42" t="str">
        <f t="shared" si="4"/>
        <v>0</v>
      </c>
      <c r="J60" s="42" t="str">
        <f t="shared" si="5"/>
        <v>0</v>
      </c>
      <c r="K60" s="42" t="str">
        <f t="shared" si="6"/>
        <v>0</v>
      </c>
      <c r="L60" s="76"/>
      <c r="M60" s="76"/>
      <c r="N60" s="76"/>
      <c r="O60" s="76"/>
      <c r="P60" s="76"/>
      <c r="Q60" s="76"/>
      <c r="R60" s="76"/>
    </row>
    <row r="61" spans="3:18" ht="41.45" customHeight="1">
      <c r="C61" s="42"/>
      <c r="D61" s="42"/>
      <c r="E61" s="42" t="str">
        <f t="shared" si="0"/>
        <v>0</v>
      </c>
      <c r="F61" s="42" t="str">
        <f t="shared" si="1"/>
        <v>0</v>
      </c>
      <c r="G61" s="42" t="str">
        <f t="shared" si="2"/>
        <v>0</v>
      </c>
      <c r="H61" s="42" t="str">
        <f t="shared" si="3"/>
        <v>0</v>
      </c>
      <c r="I61" s="42" t="str">
        <f t="shared" si="4"/>
        <v>0</v>
      </c>
      <c r="J61" s="42" t="str">
        <f t="shared" si="5"/>
        <v>0</v>
      </c>
      <c r="K61" s="42" t="str">
        <f t="shared" si="6"/>
        <v>0</v>
      </c>
      <c r="L61" s="76"/>
      <c r="M61" s="76"/>
      <c r="N61" s="76"/>
      <c r="O61" s="76"/>
      <c r="P61" s="76"/>
      <c r="Q61" s="76"/>
      <c r="R61" s="76"/>
    </row>
    <row r="62" spans="3:18" ht="41.45" customHeight="1">
      <c r="C62" s="42"/>
      <c r="D62" s="42"/>
      <c r="E62" s="42">
        <f>SUM(E36:E61)</f>
        <v>0</v>
      </c>
      <c r="F62" s="42">
        <f t="shared" ref="F62:K62" si="7">SUM(F36:F61)</f>
        <v>32.28</v>
      </c>
      <c r="G62" s="42">
        <f t="shared" si="7"/>
        <v>0</v>
      </c>
      <c r="H62" s="42">
        <f t="shared" si="7"/>
        <v>0</v>
      </c>
      <c r="I62" s="42">
        <f t="shared" si="7"/>
        <v>0</v>
      </c>
      <c r="J62" s="42">
        <f t="shared" si="7"/>
        <v>32.28</v>
      </c>
      <c r="K62" s="42">
        <f t="shared" si="7"/>
        <v>0</v>
      </c>
      <c r="L62" s="76"/>
      <c r="M62" s="76"/>
      <c r="N62" s="76"/>
      <c r="O62" s="76"/>
      <c r="P62" s="76"/>
      <c r="Q62" s="76"/>
      <c r="R62" s="76"/>
    </row>
    <row r="63" spans="3:18" ht="41.45" customHeight="1">
      <c r="C63" s="42"/>
      <c r="D63" s="42"/>
      <c r="E63" s="42"/>
      <c r="F63" s="43"/>
      <c r="G63" s="43"/>
      <c r="H63" s="43"/>
      <c r="I63" s="43"/>
      <c r="J63" s="43"/>
      <c r="K63" s="43"/>
      <c r="L63" s="76"/>
      <c r="M63" s="76"/>
      <c r="N63" s="76"/>
      <c r="O63" s="76"/>
      <c r="P63" s="76"/>
      <c r="Q63" s="76"/>
      <c r="R63" s="76"/>
    </row>
    <row r="64" spans="3:18" ht="41.45" customHeight="1">
      <c r="C64" s="42"/>
      <c r="D64" s="42"/>
      <c r="E64" s="42"/>
      <c r="F64" s="43"/>
      <c r="G64" s="43"/>
      <c r="H64" s="43"/>
      <c r="I64" s="43"/>
      <c r="J64" s="43"/>
      <c r="K64" s="43"/>
      <c r="L64" s="76"/>
      <c r="M64" s="76"/>
      <c r="N64" s="76"/>
      <c r="O64" s="76"/>
      <c r="P64" s="76"/>
      <c r="Q64" s="76"/>
      <c r="R64" s="76"/>
    </row>
    <row r="65" spans="3:18" ht="41.45" customHeight="1">
      <c r="C65" s="42"/>
      <c r="D65" s="42"/>
      <c r="E65" s="42"/>
      <c r="F65" s="43"/>
      <c r="G65" s="43"/>
      <c r="H65" s="43"/>
      <c r="I65" s="43"/>
      <c r="J65" s="43"/>
      <c r="K65" s="43"/>
      <c r="L65" s="76"/>
      <c r="M65" s="76"/>
      <c r="N65" s="76"/>
      <c r="O65" s="76"/>
      <c r="P65" s="76"/>
      <c r="Q65" s="76"/>
      <c r="R65" s="76"/>
    </row>
    <row r="66" spans="3:18" ht="41.45" customHeight="1">
      <c r="C66" s="42"/>
      <c r="D66" s="42"/>
      <c r="E66" s="42"/>
      <c r="F66" s="43"/>
      <c r="G66" s="43"/>
      <c r="H66" s="43"/>
      <c r="I66" s="43"/>
      <c r="J66" s="43"/>
      <c r="K66" s="43"/>
      <c r="L66" s="76"/>
      <c r="M66" s="76"/>
      <c r="N66" s="76"/>
      <c r="O66" s="76"/>
      <c r="P66" s="76"/>
      <c r="Q66" s="76"/>
      <c r="R66" s="76"/>
    </row>
    <row r="67" spans="3:18" ht="41.45" customHeight="1">
      <c r="C67" s="42"/>
      <c r="D67" s="42"/>
      <c r="E67" s="42"/>
      <c r="F67" s="43"/>
      <c r="G67" s="43"/>
      <c r="H67" s="43"/>
      <c r="I67" s="43"/>
      <c r="J67" s="43"/>
      <c r="K67" s="43"/>
      <c r="L67" s="76"/>
      <c r="M67" s="76"/>
      <c r="N67" s="76"/>
      <c r="O67" s="76"/>
      <c r="P67" s="76"/>
      <c r="Q67" s="76"/>
      <c r="R67" s="76"/>
    </row>
    <row r="68" spans="3:18" ht="41.45" customHeight="1">
      <c r="C68" s="42"/>
      <c r="D68" s="42"/>
      <c r="E68" s="42"/>
      <c r="F68" s="43"/>
      <c r="G68" s="43"/>
      <c r="H68" s="43"/>
      <c r="I68" s="43"/>
      <c r="J68" s="43"/>
      <c r="K68" s="43"/>
      <c r="L68" s="76"/>
      <c r="M68" s="76"/>
      <c r="N68" s="76"/>
      <c r="O68" s="76"/>
      <c r="P68" s="76"/>
      <c r="Q68" s="76"/>
      <c r="R68" s="76"/>
    </row>
  </sheetData>
  <mergeCells count="73">
    <mergeCell ref="A5:A6"/>
    <mergeCell ref="B5:B6"/>
    <mergeCell ref="C5:C6"/>
    <mergeCell ref="D5:D6"/>
    <mergeCell ref="E5:H5"/>
    <mergeCell ref="L11:R11"/>
    <mergeCell ref="I1:I2"/>
    <mergeCell ref="J1:J2"/>
    <mergeCell ref="L1:M2"/>
    <mergeCell ref="N1:R2"/>
    <mergeCell ref="I5:K5"/>
    <mergeCell ref="L5:R6"/>
    <mergeCell ref="L7:R7"/>
    <mergeCell ref="L8:R8"/>
    <mergeCell ref="L9:R9"/>
    <mergeCell ref="L10:R10"/>
    <mergeCell ref="L23:R23"/>
    <mergeCell ref="L12:R12"/>
    <mergeCell ref="L13:R13"/>
    <mergeCell ref="L14:R14"/>
    <mergeCell ref="L15:R15"/>
    <mergeCell ref="L16:R16"/>
    <mergeCell ref="L17:R17"/>
    <mergeCell ref="L18:R18"/>
    <mergeCell ref="L19:R19"/>
    <mergeCell ref="L20:R20"/>
    <mergeCell ref="L21:R21"/>
    <mergeCell ref="L22:R22"/>
    <mergeCell ref="L35:R35"/>
    <mergeCell ref="L24:R24"/>
    <mergeCell ref="L25:R25"/>
    <mergeCell ref="L26:R26"/>
    <mergeCell ref="L27:R27"/>
    <mergeCell ref="L28:R28"/>
    <mergeCell ref="L29:R29"/>
    <mergeCell ref="L30:R30"/>
    <mergeCell ref="L31:R31"/>
    <mergeCell ref="L32:R32"/>
    <mergeCell ref="L33:R33"/>
    <mergeCell ref="L34:R34"/>
    <mergeCell ref="L47:R47"/>
    <mergeCell ref="L36:R36"/>
    <mergeCell ref="L37:R37"/>
    <mergeCell ref="L38:R38"/>
    <mergeCell ref="L39:R39"/>
    <mergeCell ref="L40:R40"/>
    <mergeCell ref="L41:R41"/>
    <mergeCell ref="L42:R42"/>
    <mergeCell ref="L43:R43"/>
    <mergeCell ref="L44:R44"/>
    <mergeCell ref="L45:R45"/>
    <mergeCell ref="L46:R46"/>
    <mergeCell ref="L59:R59"/>
    <mergeCell ref="L48:R48"/>
    <mergeCell ref="L49:R49"/>
    <mergeCell ref="L50:R50"/>
    <mergeCell ref="L51:R51"/>
    <mergeCell ref="L52:R52"/>
    <mergeCell ref="L53:R53"/>
    <mergeCell ref="L54:R54"/>
    <mergeCell ref="L55:R55"/>
    <mergeCell ref="L56:R56"/>
    <mergeCell ref="L57:R57"/>
    <mergeCell ref="L58:R58"/>
    <mergeCell ref="L66:R66"/>
    <mergeCell ref="L67:R67"/>
    <mergeCell ref="L68:R68"/>
    <mergeCell ref="L60:R60"/>
    <mergeCell ref="L61:R61"/>
    <mergeCell ref="L62:R62"/>
    <mergeCell ref="L63:R63"/>
    <mergeCell ref="L64:R64"/>
    <mergeCell ref="L65:R65"/>
  </mergeCells>
  <pageMargins left="0.511811024" right="0.511811024" top="0.78740157499999996" bottom="0.78740157499999996" header="0.31496062000000002" footer="0.31496062000000002"/>
  <pageSetup scale="21" orientation="portrait" r:id="rId1"/>
  <colBreaks count="1" manualBreakCount="1">
    <brk id="1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Z109"/>
  <sheetViews>
    <sheetView view="pageBreakPreview" zoomScale="70" zoomScaleNormal="50" zoomScaleSheetLayoutView="70" workbookViewId="0">
      <selection activeCell="X17" sqref="X17"/>
    </sheetView>
  </sheetViews>
  <sheetFormatPr defaultRowHeight="14.25"/>
  <cols>
    <col min="2" max="2" width="27" bestFit="1" customWidth="1"/>
    <col min="3" max="3" width="135.125" bestFit="1" customWidth="1"/>
    <col min="4" max="4" width="26.375" customWidth="1"/>
    <col min="5" max="5" width="30.125" customWidth="1"/>
    <col min="6" max="6" width="26.375" customWidth="1"/>
    <col min="7" max="7" width="33.125" customWidth="1"/>
    <col min="8" max="10" width="32" customWidth="1"/>
  </cols>
  <sheetData>
    <row r="1" spans="2:26" ht="15" thickBot="1">
      <c r="D1" s="101" t="s">
        <v>20</v>
      </c>
      <c r="E1" s="101"/>
      <c r="F1" s="101"/>
      <c r="G1" s="101"/>
      <c r="H1" s="101"/>
      <c r="I1" s="101"/>
      <c r="J1" s="101"/>
    </row>
    <row r="2" spans="2:26" ht="23.25" thickBot="1">
      <c r="B2" s="109" t="s">
        <v>22</v>
      </c>
      <c r="C2" s="107" t="s">
        <v>21</v>
      </c>
      <c r="D2" s="102" t="s">
        <v>10</v>
      </c>
      <c r="E2" s="103"/>
      <c r="F2" s="103"/>
      <c r="G2" s="103"/>
      <c r="H2" s="104" t="s">
        <v>11</v>
      </c>
      <c r="I2" s="105"/>
      <c r="J2" s="106"/>
    </row>
    <row r="3" spans="2:26" ht="68.25" thickBot="1">
      <c r="B3" s="110"/>
      <c r="C3" s="108"/>
      <c r="D3" s="26" t="s">
        <v>2</v>
      </c>
      <c r="E3" s="27" t="s">
        <v>15</v>
      </c>
      <c r="F3" s="27" t="s">
        <v>16</v>
      </c>
      <c r="G3" s="27" t="s">
        <v>17</v>
      </c>
      <c r="H3" s="28" t="s">
        <v>12</v>
      </c>
      <c r="I3" s="28" t="s">
        <v>13</v>
      </c>
      <c r="J3" s="29" t="s">
        <v>14</v>
      </c>
    </row>
    <row r="4" spans="2:26" ht="30" customHeight="1">
      <c r="B4" s="33" t="s">
        <v>24</v>
      </c>
      <c r="C4" s="32" t="s">
        <v>25</v>
      </c>
      <c r="D4" s="46">
        <f>'46'!E62</f>
        <v>0</v>
      </c>
      <c r="E4" s="46">
        <f>'46'!F62</f>
        <v>68.96339607601</v>
      </c>
      <c r="F4" s="46">
        <f>'46'!G62</f>
        <v>0</v>
      </c>
      <c r="G4" s="46">
        <f>'46'!H62</f>
        <v>0</v>
      </c>
      <c r="H4" s="46">
        <f>'46'!I62</f>
        <v>0</v>
      </c>
      <c r="I4" s="46">
        <f>'46'!J62</f>
        <v>68.96339607601</v>
      </c>
      <c r="J4" s="59">
        <f>'46'!K62</f>
        <v>0</v>
      </c>
    </row>
    <row r="5" spans="2:26" ht="30" customHeight="1">
      <c r="B5" s="33" t="s">
        <v>26</v>
      </c>
      <c r="C5" s="32" t="s">
        <v>27</v>
      </c>
      <c r="D5" s="30">
        <f>'47'!E61</f>
        <v>4.9000000000000004</v>
      </c>
      <c r="E5" s="30">
        <f>'47'!F61</f>
        <v>38.419240710080004</v>
      </c>
      <c r="F5" s="30">
        <f>'47'!G61</f>
        <v>0</v>
      </c>
      <c r="G5" s="30">
        <f>'47'!H61</f>
        <v>0</v>
      </c>
      <c r="H5" s="30">
        <f>'47'!I61</f>
        <v>0</v>
      </c>
      <c r="I5" s="30">
        <f>'47'!J61</f>
        <v>43.319240710080003</v>
      </c>
      <c r="J5" s="31">
        <f>'47'!K61</f>
        <v>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2:26" ht="30" customHeight="1">
      <c r="B6" s="33" t="s">
        <v>28</v>
      </c>
      <c r="C6" s="32" t="s">
        <v>29</v>
      </c>
      <c r="D6" s="30">
        <f>'48'!E62</f>
        <v>0</v>
      </c>
      <c r="E6" s="30">
        <f>'48'!F62</f>
        <v>92.523276156099996</v>
      </c>
      <c r="F6" s="30">
        <f>'48'!G62</f>
        <v>0</v>
      </c>
      <c r="G6" s="30">
        <f>'48'!H62</f>
        <v>0</v>
      </c>
      <c r="H6" s="30">
        <f>'48'!I62</f>
        <v>0</v>
      </c>
      <c r="I6" s="30">
        <f>'48'!J62</f>
        <v>92.523276156099996</v>
      </c>
      <c r="J6" s="31">
        <f>'48'!K62</f>
        <v>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2:26" ht="30" customHeight="1">
      <c r="B7" s="33" t="s">
        <v>30</v>
      </c>
      <c r="C7" s="32" t="s">
        <v>31</v>
      </c>
      <c r="D7" s="30">
        <f>'49'!E62</f>
        <v>0</v>
      </c>
      <c r="E7" s="30">
        <f>'49'!F62</f>
        <v>91.536749372299994</v>
      </c>
      <c r="F7" s="30">
        <f>'49'!G62</f>
        <v>0</v>
      </c>
      <c r="G7" s="30">
        <f>'49'!H62</f>
        <v>0</v>
      </c>
      <c r="H7" s="30">
        <f>'49'!I62</f>
        <v>0</v>
      </c>
      <c r="I7" s="30">
        <f>'49'!J62</f>
        <v>91.536749372299994</v>
      </c>
      <c r="J7" s="31">
        <f>'49'!K62</f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2:26" ht="30" customHeight="1">
      <c r="B8" s="33" t="s">
        <v>32</v>
      </c>
      <c r="C8" s="32" t="s">
        <v>33</v>
      </c>
      <c r="D8" s="30">
        <f>'59'!E62</f>
        <v>0</v>
      </c>
      <c r="E8" s="30">
        <f>'59'!F62</f>
        <v>43.09</v>
      </c>
      <c r="F8" s="30">
        <f>'59'!G62</f>
        <v>0</v>
      </c>
      <c r="G8" s="30">
        <f>'59'!H62</f>
        <v>0</v>
      </c>
      <c r="H8" s="30">
        <f>'59'!I62</f>
        <v>0</v>
      </c>
      <c r="I8" s="30">
        <f>'59'!J62</f>
        <v>43.09</v>
      </c>
      <c r="J8" s="31">
        <f>'59'!K62</f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2:26" ht="30" customHeight="1">
      <c r="B9" s="33" t="s">
        <v>34</v>
      </c>
      <c r="C9" s="32" t="s">
        <v>35</v>
      </c>
      <c r="D9" s="30">
        <f>'60'!E76</f>
        <v>29.12</v>
      </c>
      <c r="E9" s="30">
        <f>'60'!F76</f>
        <v>0</v>
      </c>
      <c r="F9" s="30">
        <f>'60'!G76</f>
        <v>0</v>
      </c>
      <c r="G9" s="30">
        <f>'60'!H76</f>
        <v>0</v>
      </c>
      <c r="H9" s="30">
        <f>'60'!I76</f>
        <v>29.12</v>
      </c>
      <c r="I9" s="30">
        <f>'60'!J76</f>
        <v>0</v>
      </c>
      <c r="J9" s="31">
        <f>'60'!K76</f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2:26" ht="30" customHeight="1">
      <c r="B10" s="67" t="s">
        <v>36</v>
      </c>
      <c r="C10" s="68" t="s">
        <v>37</v>
      </c>
      <c r="D10" s="30">
        <f>'62'!E62</f>
        <v>0</v>
      </c>
      <c r="E10" s="30">
        <f>'62'!F62</f>
        <v>0</v>
      </c>
      <c r="F10" s="30">
        <f>'62'!G62</f>
        <v>13.56</v>
      </c>
      <c r="G10" s="30">
        <f>'62'!H62</f>
        <v>0</v>
      </c>
      <c r="H10" s="30">
        <f>'62'!I62</f>
        <v>9.56</v>
      </c>
      <c r="I10" s="30">
        <f>'62'!J62</f>
        <v>4</v>
      </c>
      <c r="J10" s="31">
        <f>'62'!K62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30" customHeight="1">
      <c r="B11" s="33" t="s">
        <v>38</v>
      </c>
      <c r="C11" s="32" t="s">
        <v>39</v>
      </c>
      <c r="D11" s="30">
        <f>'64'!E62</f>
        <v>16.850000000000001</v>
      </c>
      <c r="E11" s="30">
        <f>'64'!F62</f>
        <v>0</v>
      </c>
      <c r="F11" s="30">
        <f>'64'!G62</f>
        <v>0</v>
      </c>
      <c r="G11" s="30">
        <f>'64'!H62</f>
        <v>0</v>
      </c>
      <c r="H11" s="30">
        <f>'64'!I62</f>
        <v>16.850000000000001</v>
      </c>
      <c r="I11" s="30">
        <f>'64'!J62</f>
        <v>0</v>
      </c>
      <c r="J11" s="31">
        <f>'64'!K62</f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2:26" ht="30" customHeight="1">
      <c r="B12" s="33" t="s">
        <v>40</v>
      </c>
      <c r="C12" s="32" t="s">
        <v>41</v>
      </c>
      <c r="D12" s="30">
        <f>'65'!E62</f>
        <v>16.64</v>
      </c>
      <c r="E12" s="30">
        <f>'65'!F62</f>
        <v>0</v>
      </c>
      <c r="F12" s="30">
        <f>'65'!G62</f>
        <v>0</v>
      </c>
      <c r="G12" s="30">
        <f>'65'!H62</f>
        <v>0</v>
      </c>
      <c r="H12" s="30">
        <f>'65'!I62</f>
        <v>16.64</v>
      </c>
      <c r="I12" s="30">
        <f>'65'!J62</f>
        <v>0</v>
      </c>
      <c r="J12" s="31">
        <f>'65'!K62</f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2:26" ht="30" customHeight="1" thickBot="1">
      <c r="B13" s="34" t="s">
        <v>42</v>
      </c>
      <c r="C13" s="35" t="s">
        <v>43</v>
      </c>
      <c r="D13" s="36">
        <f>'66'!E62</f>
        <v>0</v>
      </c>
      <c r="E13" s="36">
        <f>'66'!F62</f>
        <v>32.28</v>
      </c>
      <c r="F13" s="36">
        <f>'66'!G62</f>
        <v>0</v>
      </c>
      <c r="G13" s="36">
        <f>'66'!H62</f>
        <v>0</v>
      </c>
      <c r="H13" s="36">
        <f>'66'!I62</f>
        <v>0</v>
      </c>
      <c r="I13" s="36">
        <f>'66'!J62</f>
        <v>32.28</v>
      </c>
      <c r="J13" s="37">
        <f>'66'!K62</f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2:26" ht="30" customHeight="1">
      <c r="D14" s="25"/>
      <c r="E14" s="25"/>
      <c r="F14" s="25"/>
      <c r="G14" s="25"/>
      <c r="H14" s="25"/>
      <c r="I14" s="25"/>
      <c r="J14" s="2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2:26" ht="30" customHeight="1">
      <c r="B15" s="96" t="s">
        <v>47</v>
      </c>
      <c r="C15" s="96"/>
      <c r="D15" s="47">
        <f>SUM(D4:D13)</f>
        <v>67.510000000000005</v>
      </c>
      <c r="E15" s="47">
        <f t="shared" ref="E15:J15" si="0">SUM(E4:E13)</f>
        <v>366.81266231449001</v>
      </c>
      <c r="F15" s="47">
        <f t="shared" si="0"/>
        <v>13.56</v>
      </c>
      <c r="G15" s="47">
        <f t="shared" si="0"/>
        <v>0</v>
      </c>
      <c r="H15" s="47">
        <f t="shared" si="0"/>
        <v>72.17</v>
      </c>
      <c r="I15" s="47">
        <f t="shared" si="0"/>
        <v>375.71266231448999</v>
      </c>
      <c r="J15" s="47">
        <f t="shared" si="0"/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30" customHeight="1">
      <c r="B16" s="96" t="s">
        <v>48</v>
      </c>
      <c r="C16" s="96"/>
      <c r="D16" s="48"/>
      <c r="E16" s="48"/>
      <c r="F16" s="48"/>
      <c r="G16" s="47">
        <f>SUM(D15:G15)</f>
        <v>447.88266231449001</v>
      </c>
      <c r="H16" s="48"/>
      <c r="I16" s="48"/>
      <c r="J16" s="4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2:26" ht="30" customHeight="1">
      <c r="B17" s="96" t="s">
        <v>49</v>
      </c>
      <c r="C17" s="96"/>
      <c r="D17" s="48"/>
      <c r="E17" s="48"/>
      <c r="F17" s="48"/>
      <c r="G17" s="49">
        <f>G16/Trechos!F17</f>
        <v>1.1007600811900471</v>
      </c>
      <c r="H17" s="48"/>
      <c r="I17" s="48"/>
      <c r="J17" s="5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2:26" ht="30" customHeight="1">
      <c r="D18" s="25"/>
      <c r="E18" s="25"/>
      <c r="F18" s="25"/>
      <c r="G18" s="25"/>
      <c r="H18" s="25"/>
      <c r="I18" s="25"/>
      <c r="J18" s="2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2:26" ht="30" customHeight="1">
      <c r="D19" s="25"/>
      <c r="E19" s="25"/>
      <c r="F19" s="25"/>
      <c r="G19" s="25"/>
      <c r="H19" s="25"/>
      <c r="I19" s="25"/>
      <c r="J19" s="2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2:26" ht="30" customHeight="1">
      <c r="D20" s="25"/>
      <c r="E20" s="25"/>
      <c r="F20" s="25"/>
      <c r="G20" s="25"/>
      <c r="H20" s="25"/>
      <c r="I20" s="25"/>
      <c r="J20" s="2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2:26" ht="30" customHeight="1">
      <c r="D21" s="25"/>
      <c r="E21" s="25"/>
      <c r="F21" s="25"/>
      <c r="G21" s="25"/>
      <c r="H21" s="25"/>
      <c r="I21" s="25"/>
      <c r="J21" s="2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2:26" ht="30" customHeight="1">
      <c r="D22" s="25"/>
      <c r="E22" s="25"/>
      <c r="F22" s="25"/>
      <c r="G22" s="25"/>
      <c r="H22" s="25"/>
      <c r="I22" s="25"/>
      <c r="J22" s="2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2:26" ht="30" customHeight="1">
      <c r="D23" s="25"/>
      <c r="E23" s="25"/>
      <c r="F23" s="25"/>
      <c r="G23" s="25"/>
      <c r="H23" s="25"/>
      <c r="I23" s="25"/>
      <c r="J23" s="25"/>
    </row>
    <row r="24" spans="2:26" ht="30" customHeight="1">
      <c r="D24" s="25"/>
      <c r="E24" s="25"/>
      <c r="F24" s="25"/>
      <c r="G24" s="25"/>
      <c r="H24" s="25"/>
      <c r="I24" s="25"/>
      <c r="J24" s="25"/>
    </row>
    <row r="25" spans="2:26" ht="30" customHeight="1">
      <c r="D25" s="25"/>
      <c r="E25" s="25"/>
      <c r="F25" s="25"/>
      <c r="G25" s="25"/>
      <c r="H25" s="25"/>
      <c r="I25" s="25"/>
      <c r="J25" s="25"/>
    </row>
    <row r="26" spans="2:26" ht="30" customHeight="1">
      <c r="D26" s="25"/>
      <c r="E26" s="25"/>
      <c r="F26" s="25"/>
      <c r="G26" s="25"/>
      <c r="H26" s="25"/>
      <c r="I26" s="25"/>
      <c r="J26" s="25"/>
    </row>
    <row r="27" spans="2:26" ht="30" customHeight="1">
      <c r="D27" s="25"/>
      <c r="E27" s="25"/>
      <c r="F27" s="25"/>
      <c r="G27" s="25"/>
      <c r="H27" s="25"/>
      <c r="I27" s="25"/>
      <c r="J27" s="25"/>
    </row>
    <row r="28" spans="2:26" ht="30" customHeight="1">
      <c r="D28" s="25"/>
      <c r="E28" s="25"/>
      <c r="F28" s="25"/>
      <c r="G28" s="25"/>
      <c r="H28" s="25"/>
      <c r="I28" s="25"/>
      <c r="J28" s="25"/>
    </row>
    <row r="29" spans="2:26" ht="30" customHeight="1">
      <c r="D29" s="25"/>
      <c r="E29" s="25"/>
      <c r="F29" s="25"/>
      <c r="G29" s="25"/>
      <c r="H29" s="25"/>
      <c r="I29" s="25"/>
      <c r="J29" s="25"/>
    </row>
    <row r="30" spans="2:26" ht="30" customHeight="1">
      <c r="D30" s="25"/>
      <c r="E30" s="25"/>
      <c r="F30" s="25"/>
      <c r="G30" s="25"/>
      <c r="H30" s="25"/>
      <c r="I30" s="25"/>
      <c r="J30" s="25"/>
    </row>
    <row r="31" spans="2:26" ht="30" customHeight="1">
      <c r="D31" s="25"/>
      <c r="E31" s="25"/>
      <c r="F31" s="25"/>
      <c r="G31" s="25"/>
      <c r="H31" s="25"/>
      <c r="I31" s="25"/>
      <c r="J31" s="25"/>
    </row>
    <row r="32" spans="2:26" ht="30" customHeight="1">
      <c r="D32" s="25"/>
      <c r="E32" s="25"/>
      <c r="F32" s="25"/>
      <c r="G32" s="25"/>
      <c r="H32" s="25"/>
      <c r="I32" s="25"/>
      <c r="J32" s="25"/>
    </row>
    <row r="33" spans="4:10" ht="30" customHeight="1">
      <c r="D33" s="25"/>
      <c r="E33" s="25"/>
      <c r="F33" s="25"/>
      <c r="G33" s="25"/>
      <c r="H33" s="25"/>
      <c r="I33" s="25"/>
      <c r="J33" s="25"/>
    </row>
    <row r="34" spans="4:10" ht="30" customHeight="1">
      <c r="D34" s="25"/>
      <c r="E34" s="25"/>
      <c r="F34" s="25"/>
      <c r="G34" s="25"/>
      <c r="H34" s="25"/>
      <c r="I34" s="25"/>
      <c r="J34" s="25"/>
    </row>
    <row r="35" spans="4:10" ht="30" customHeight="1">
      <c r="D35" s="25"/>
      <c r="E35" s="25"/>
      <c r="F35" s="25"/>
      <c r="G35" s="25"/>
      <c r="H35" s="25"/>
      <c r="I35" s="25"/>
      <c r="J35" s="25"/>
    </row>
    <row r="36" spans="4:10" ht="30" customHeight="1">
      <c r="D36" s="25"/>
      <c r="E36" s="25"/>
      <c r="F36" s="25"/>
      <c r="G36" s="25"/>
      <c r="H36" s="25"/>
      <c r="I36" s="25"/>
      <c r="J36" s="25"/>
    </row>
    <row r="37" spans="4:10" ht="30" customHeight="1">
      <c r="D37" s="25"/>
      <c r="E37" s="25"/>
      <c r="F37" s="25"/>
      <c r="G37" s="25"/>
      <c r="H37" s="25"/>
      <c r="I37" s="25"/>
      <c r="J37" s="25"/>
    </row>
    <row r="38" spans="4:10" ht="30" customHeight="1">
      <c r="D38" s="25"/>
      <c r="E38" s="25"/>
      <c r="F38" s="25"/>
      <c r="G38" s="25"/>
      <c r="H38" s="25"/>
      <c r="I38" s="25"/>
      <c r="J38" s="25"/>
    </row>
    <row r="39" spans="4:10" ht="30" customHeight="1">
      <c r="D39" s="25"/>
      <c r="E39" s="25"/>
      <c r="F39" s="25"/>
      <c r="G39" s="25"/>
      <c r="H39" s="25"/>
      <c r="I39" s="25"/>
      <c r="J39" s="25"/>
    </row>
    <row r="40" spans="4:10" ht="30" customHeight="1">
      <c r="D40" s="25"/>
      <c r="E40" s="25"/>
      <c r="F40" s="25"/>
      <c r="G40" s="25"/>
      <c r="H40" s="25"/>
      <c r="I40" s="25"/>
      <c r="J40" s="25"/>
    </row>
    <row r="41" spans="4:10" ht="30" customHeight="1">
      <c r="D41" s="25"/>
      <c r="E41" s="25"/>
      <c r="F41" s="25"/>
      <c r="G41" s="25"/>
      <c r="H41" s="25"/>
      <c r="I41" s="25"/>
      <c r="J41" s="25"/>
    </row>
    <row r="42" spans="4:10" ht="30" customHeight="1">
      <c r="D42" s="25"/>
      <c r="E42" s="25"/>
      <c r="F42" s="25"/>
      <c r="G42" s="25"/>
      <c r="H42" s="25"/>
      <c r="I42" s="25"/>
      <c r="J42" s="25"/>
    </row>
    <row r="43" spans="4:10" ht="30" customHeight="1">
      <c r="D43" s="25"/>
      <c r="E43" s="25"/>
      <c r="F43" s="25"/>
      <c r="G43" s="25"/>
      <c r="H43" s="25"/>
      <c r="I43" s="25"/>
      <c r="J43" s="25"/>
    </row>
    <row r="44" spans="4:10" ht="30" customHeight="1">
      <c r="D44" s="25"/>
      <c r="E44" s="25"/>
      <c r="F44" s="25"/>
      <c r="G44" s="25"/>
      <c r="H44" s="25"/>
      <c r="I44" s="25"/>
      <c r="J44" s="25"/>
    </row>
    <row r="45" spans="4:10" ht="30" customHeight="1">
      <c r="D45" s="25"/>
      <c r="E45" s="25"/>
      <c r="F45" s="25"/>
      <c r="G45" s="25"/>
      <c r="H45" s="25"/>
      <c r="I45" s="25"/>
      <c r="J45" s="25"/>
    </row>
    <row r="46" spans="4:10" ht="30" customHeight="1">
      <c r="D46" s="25"/>
      <c r="E46" s="25"/>
      <c r="F46" s="25"/>
      <c r="G46" s="25"/>
      <c r="H46" s="25"/>
      <c r="I46" s="25"/>
      <c r="J46" s="25"/>
    </row>
    <row r="47" spans="4:10" ht="30" customHeight="1">
      <c r="D47" s="25"/>
      <c r="E47" s="25"/>
      <c r="F47" s="25"/>
      <c r="G47" s="25"/>
      <c r="H47" s="25"/>
      <c r="I47" s="25"/>
      <c r="J47" s="25"/>
    </row>
    <row r="48" spans="4:10" ht="30" customHeight="1">
      <c r="D48" s="25"/>
      <c r="E48" s="25"/>
      <c r="F48" s="25"/>
      <c r="G48" s="25"/>
      <c r="H48" s="25"/>
      <c r="I48" s="25"/>
      <c r="J48" s="25"/>
    </row>
    <row r="49" spans="4:10" ht="30" customHeight="1">
      <c r="D49" s="25"/>
      <c r="E49" s="25"/>
      <c r="F49" s="25"/>
      <c r="G49" s="25"/>
      <c r="H49" s="25"/>
      <c r="I49" s="25"/>
      <c r="J49" s="25"/>
    </row>
    <row r="50" spans="4:10" ht="30" customHeight="1">
      <c r="D50" s="25"/>
      <c r="E50" s="25"/>
      <c r="F50" s="25"/>
      <c r="G50" s="25"/>
      <c r="H50" s="25"/>
      <c r="I50" s="25"/>
      <c r="J50" s="25"/>
    </row>
    <row r="51" spans="4:10" ht="30" customHeight="1">
      <c r="D51" s="25"/>
      <c r="E51" s="25"/>
      <c r="F51" s="25"/>
      <c r="G51" s="25"/>
      <c r="H51" s="25"/>
      <c r="I51" s="25"/>
      <c r="J51" s="25"/>
    </row>
    <row r="52" spans="4:10" ht="30" customHeight="1">
      <c r="D52" s="25"/>
      <c r="E52" s="25"/>
      <c r="F52" s="25"/>
      <c r="G52" s="25"/>
      <c r="H52" s="25"/>
      <c r="I52" s="25"/>
      <c r="J52" s="25"/>
    </row>
    <row r="53" spans="4:10" ht="30" customHeight="1">
      <c r="D53" s="25"/>
      <c r="E53" s="25"/>
      <c r="F53" s="25"/>
      <c r="G53" s="25"/>
      <c r="H53" s="25"/>
      <c r="I53" s="25"/>
      <c r="J53" s="25"/>
    </row>
    <row r="54" spans="4:10" ht="30" customHeight="1">
      <c r="D54" s="25"/>
      <c r="E54" s="25"/>
      <c r="F54" s="25"/>
      <c r="G54" s="25"/>
      <c r="H54" s="25"/>
      <c r="I54" s="25"/>
      <c r="J54" s="25"/>
    </row>
    <row r="55" spans="4:10" ht="30" customHeight="1">
      <c r="D55" s="25"/>
      <c r="E55" s="25"/>
      <c r="F55" s="25"/>
      <c r="G55" s="25"/>
      <c r="H55" s="25"/>
      <c r="I55" s="25"/>
      <c r="J55" s="25"/>
    </row>
    <row r="56" spans="4:10" ht="30" customHeight="1">
      <c r="D56" s="25"/>
      <c r="E56" s="25"/>
      <c r="F56" s="25"/>
      <c r="G56" s="25"/>
      <c r="H56" s="25"/>
      <c r="I56" s="25"/>
      <c r="J56" s="25"/>
    </row>
    <row r="57" spans="4:10" ht="30" customHeight="1">
      <c r="D57" s="25"/>
      <c r="E57" s="25"/>
      <c r="F57" s="25"/>
      <c r="G57" s="25"/>
      <c r="H57" s="25"/>
      <c r="I57" s="25"/>
      <c r="J57" s="25"/>
    </row>
    <row r="58" spans="4:10" ht="30" customHeight="1">
      <c r="D58" s="25"/>
      <c r="E58" s="25"/>
      <c r="F58" s="25"/>
      <c r="G58" s="25"/>
      <c r="H58" s="25"/>
      <c r="I58" s="25"/>
      <c r="J58" s="25"/>
    </row>
    <row r="59" spans="4:10" ht="30" customHeight="1">
      <c r="D59" s="25"/>
      <c r="E59" s="25"/>
      <c r="F59" s="25"/>
      <c r="G59" s="25"/>
      <c r="H59" s="25"/>
      <c r="I59" s="25"/>
      <c r="J59" s="25"/>
    </row>
    <row r="60" spans="4:10" ht="30" customHeight="1">
      <c r="D60" s="25"/>
      <c r="E60" s="25"/>
      <c r="F60" s="25"/>
      <c r="G60" s="25"/>
      <c r="H60" s="25"/>
      <c r="I60" s="25"/>
      <c r="J60" s="25"/>
    </row>
    <row r="61" spans="4:10" ht="30" customHeight="1">
      <c r="D61" s="25"/>
      <c r="E61" s="25"/>
      <c r="F61" s="25"/>
      <c r="G61" s="25"/>
      <c r="H61" s="25"/>
      <c r="I61" s="25"/>
      <c r="J61" s="25"/>
    </row>
    <row r="62" spans="4:10" ht="30" customHeight="1">
      <c r="D62" s="25"/>
      <c r="E62" s="25"/>
      <c r="F62" s="25"/>
      <c r="G62" s="25"/>
      <c r="H62" s="25"/>
      <c r="I62" s="25"/>
      <c r="J62" s="25"/>
    </row>
    <row r="63" spans="4:10" ht="30" customHeight="1">
      <c r="D63" s="25"/>
      <c r="E63" s="25"/>
      <c r="F63" s="25"/>
      <c r="G63" s="25"/>
      <c r="H63" s="25"/>
      <c r="I63" s="25"/>
      <c r="J63" s="25"/>
    </row>
    <row r="64" spans="4:10" ht="30" customHeight="1">
      <c r="D64" s="25"/>
      <c r="E64" s="25"/>
      <c r="F64" s="25"/>
      <c r="G64" s="25"/>
      <c r="H64" s="25"/>
      <c r="I64" s="25"/>
      <c r="J64" s="25"/>
    </row>
    <row r="65" spans="4:10" ht="30" customHeight="1">
      <c r="D65" s="25"/>
      <c r="E65" s="25"/>
      <c r="F65" s="25"/>
      <c r="G65" s="25"/>
      <c r="H65" s="25"/>
      <c r="I65" s="25"/>
      <c r="J65" s="25"/>
    </row>
    <row r="66" spans="4:10" ht="30" customHeight="1">
      <c r="D66" s="25"/>
      <c r="E66" s="25"/>
      <c r="F66" s="25"/>
      <c r="G66" s="25"/>
      <c r="H66" s="25"/>
      <c r="I66" s="25"/>
      <c r="J66" s="25"/>
    </row>
    <row r="67" spans="4:10" ht="30" customHeight="1">
      <c r="D67" s="25"/>
      <c r="E67" s="25"/>
      <c r="F67" s="25"/>
      <c r="G67" s="25"/>
      <c r="H67" s="25"/>
      <c r="I67" s="25"/>
      <c r="J67" s="25"/>
    </row>
    <row r="68" spans="4:10" ht="30" customHeight="1">
      <c r="D68" s="25"/>
      <c r="E68" s="25"/>
      <c r="F68" s="25"/>
      <c r="G68" s="25"/>
      <c r="H68" s="25"/>
      <c r="I68" s="25"/>
      <c r="J68" s="25"/>
    </row>
    <row r="69" spans="4:10" ht="30" customHeight="1">
      <c r="D69" s="25"/>
      <c r="E69" s="25"/>
      <c r="F69" s="25"/>
      <c r="G69" s="25"/>
      <c r="H69" s="25"/>
      <c r="I69" s="25"/>
      <c r="J69" s="25"/>
    </row>
    <row r="70" spans="4:10" ht="30" customHeight="1">
      <c r="D70" s="25"/>
      <c r="E70" s="25"/>
      <c r="F70" s="25"/>
      <c r="G70" s="25"/>
      <c r="H70" s="25"/>
      <c r="I70" s="25"/>
      <c r="J70" s="25"/>
    </row>
    <row r="71" spans="4:10" ht="30" customHeight="1">
      <c r="D71" s="25"/>
      <c r="E71" s="25"/>
      <c r="F71" s="25"/>
      <c r="G71" s="25"/>
      <c r="H71" s="25"/>
      <c r="I71" s="25"/>
      <c r="J71" s="25"/>
    </row>
    <row r="72" spans="4:10" ht="30" customHeight="1">
      <c r="D72" s="25"/>
      <c r="E72" s="25"/>
      <c r="F72" s="25"/>
      <c r="G72" s="25"/>
      <c r="H72" s="25"/>
      <c r="I72" s="25"/>
      <c r="J72" s="25"/>
    </row>
    <row r="73" spans="4:10" ht="30" customHeight="1">
      <c r="D73" s="25"/>
      <c r="E73" s="25"/>
      <c r="F73" s="25"/>
      <c r="G73" s="25"/>
      <c r="H73" s="25"/>
      <c r="I73" s="25"/>
      <c r="J73" s="25"/>
    </row>
    <row r="74" spans="4:10" ht="30" customHeight="1">
      <c r="D74" s="25"/>
      <c r="E74" s="25"/>
      <c r="F74" s="25"/>
      <c r="G74" s="25"/>
      <c r="H74" s="25"/>
      <c r="I74" s="25"/>
      <c r="J74" s="25"/>
    </row>
    <row r="75" spans="4:10" ht="30" customHeight="1">
      <c r="D75" s="25"/>
      <c r="E75" s="25"/>
      <c r="F75" s="25"/>
      <c r="G75" s="25"/>
      <c r="H75" s="25"/>
      <c r="I75" s="25"/>
      <c r="J75" s="25"/>
    </row>
    <row r="76" spans="4:10" ht="30" customHeight="1">
      <c r="D76" s="25"/>
      <c r="E76" s="25"/>
      <c r="F76" s="25"/>
      <c r="G76" s="25"/>
      <c r="H76" s="25"/>
      <c r="I76" s="25"/>
      <c r="J76" s="25"/>
    </row>
    <row r="77" spans="4:10" ht="30" customHeight="1">
      <c r="D77" s="25"/>
      <c r="E77" s="25"/>
      <c r="F77" s="25"/>
      <c r="G77" s="25"/>
      <c r="H77" s="25"/>
      <c r="I77" s="25"/>
      <c r="J77" s="25"/>
    </row>
    <row r="78" spans="4:10" ht="30" customHeight="1">
      <c r="D78" s="25"/>
      <c r="E78" s="25"/>
      <c r="F78" s="25"/>
      <c r="G78" s="25"/>
      <c r="H78" s="25"/>
      <c r="I78" s="25"/>
      <c r="J78" s="25"/>
    </row>
    <row r="79" spans="4:10" ht="30" customHeight="1">
      <c r="D79" s="25"/>
      <c r="E79" s="25"/>
      <c r="F79" s="25"/>
      <c r="G79" s="25"/>
      <c r="H79" s="25"/>
      <c r="I79" s="25"/>
      <c r="J79" s="25"/>
    </row>
    <row r="80" spans="4:10" ht="30" customHeight="1">
      <c r="D80" s="25"/>
      <c r="E80" s="25"/>
      <c r="F80" s="25"/>
      <c r="G80" s="25"/>
      <c r="H80" s="25"/>
      <c r="I80" s="25"/>
      <c r="J80" s="25"/>
    </row>
    <row r="81" spans="4:10" ht="30" customHeight="1">
      <c r="D81" s="25"/>
      <c r="E81" s="25"/>
      <c r="F81" s="25"/>
      <c r="G81" s="25"/>
      <c r="H81" s="25"/>
      <c r="I81" s="25"/>
      <c r="J81" s="25"/>
    </row>
    <row r="82" spans="4:10" ht="30" customHeight="1">
      <c r="D82" s="25"/>
      <c r="E82" s="25"/>
      <c r="F82" s="25"/>
      <c r="G82" s="25"/>
      <c r="H82" s="25"/>
      <c r="I82" s="25"/>
      <c r="J82" s="25"/>
    </row>
    <row r="83" spans="4:10" ht="30" customHeight="1">
      <c r="D83" s="25"/>
      <c r="E83" s="25"/>
      <c r="F83" s="25"/>
      <c r="G83" s="25"/>
      <c r="H83" s="25"/>
      <c r="I83" s="25"/>
      <c r="J83" s="25"/>
    </row>
    <row r="84" spans="4:10" ht="30" customHeight="1">
      <c r="D84" s="25"/>
      <c r="E84" s="25"/>
      <c r="F84" s="25"/>
      <c r="G84" s="25"/>
      <c r="H84" s="25"/>
      <c r="I84" s="25"/>
      <c r="J84" s="25"/>
    </row>
    <row r="85" spans="4:10" ht="30" customHeight="1">
      <c r="D85" s="25"/>
      <c r="E85" s="25"/>
      <c r="F85" s="25"/>
      <c r="G85" s="25"/>
      <c r="H85" s="25"/>
      <c r="I85" s="25"/>
      <c r="J85" s="25"/>
    </row>
    <row r="86" spans="4:10" ht="30" customHeight="1">
      <c r="D86" s="25"/>
      <c r="E86" s="25"/>
      <c r="F86" s="25"/>
      <c r="G86" s="25"/>
      <c r="H86" s="25"/>
      <c r="I86" s="25"/>
      <c r="J86" s="25"/>
    </row>
    <row r="87" spans="4:10" ht="30" customHeight="1">
      <c r="D87" s="25"/>
      <c r="E87" s="25"/>
      <c r="F87" s="25"/>
      <c r="G87" s="25"/>
      <c r="H87" s="25"/>
      <c r="I87" s="25"/>
      <c r="J87" s="25"/>
    </row>
    <row r="88" spans="4:10" ht="30" customHeight="1">
      <c r="D88" s="25"/>
      <c r="E88" s="25"/>
      <c r="F88" s="25"/>
      <c r="G88" s="25"/>
      <c r="H88" s="25"/>
      <c r="I88" s="25"/>
      <c r="J88" s="25"/>
    </row>
    <row r="89" spans="4:10" ht="30" customHeight="1">
      <c r="D89" s="25"/>
      <c r="E89" s="25"/>
      <c r="F89" s="25"/>
      <c r="G89" s="25"/>
      <c r="H89" s="25"/>
      <c r="I89" s="25"/>
      <c r="J89" s="25"/>
    </row>
    <row r="90" spans="4:10" ht="30" customHeight="1">
      <c r="D90" s="25"/>
      <c r="E90" s="25"/>
      <c r="F90" s="25"/>
      <c r="G90" s="25"/>
      <c r="H90" s="25"/>
      <c r="I90" s="25"/>
      <c r="J90" s="25"/>
    </row>
    <row r="91" spans="4:10" ht="30" customHeight="1">
      <c r="D91" s="25"/>
      <c r="E91" s="25"/>
      <c r="F91" s="25"/>
      <c r="G91" s="25"/>
      <c r="H91" s="25"/>
      <c r="I91" s="25"/>
      <c r="J91" s="25"/>
    </row>
    <row r="92" spans="4:10" ht="30" customHeight="1">
      <c r="D92" s="25"/>
      <c r="E92" s="25"/>
      <c r="F92" s="25"/>
      <c r="G92" s="25"/>
      <c r="H92" s="25"/>
      <c r="I92" s="25"/>
      <c r="J92" s="25"/>
    </row>
    <row r="93" spans="4:10" ht="30" customHeight="1">
      <c r="D93" s="25"/>
      <c r="E93" s="25"/>
      <c r="F93" s="25"/>
      <c r="G93" s="25"/>
      <c r="H93" s="25"/>
      <c r="I93" s="25"/>
      <c r="J93" s="25"/>
    </row>
    <row r="94" spans="4:10" ht="30" customHeight="1">
      <c r="D94" s="25"/>
      <c r="E94" s="25"/>
      <c r="F94" s="25"/>
      <c r="G94" s="25"/>
      <c r="H94" s="25"/>
      <c r="I94" s="25"/>
      <c r="J94" s="25"/>
    </row>
    <row r="95" spans="4:10" ht="30" customHeight="1">
      <c r="D95" s="25"/>
      <c r="E95" s="25"/>
      <c r="F95" s="25"/>
      <c r="G95" s="25"/>
      <c r="H95" s="25"/>
      <c r="I95" s="25"/>
      <c r="J95" s="25"/>
    </row>
    <row r="96" spans="4:10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</sheetData>
  <mergeCells count="8">
    <mergeCell ref="B15:C15"/>
    <mergeCell ref="B16:C16"/>
    <mergeCell ref="B17:C17"/>
    <mergeCell ref="D1:J1"/>
    <mergeCell ref="D2:G2"/>
    <mergeCell ref="H2:J2"/>
    <mergeCell ref="C2:C3"/>
    <mergeCell ref="B2:B3"/>
  </mergeCells>
  <pageMargins left="0.511811024" right="0.511811024" top="0.78740157499999996" bottom="0.78740157499999996" header="0.31496062000000002" footer="0.31496062000000002"/>
  <pageSetup scale="28" orientation="portrait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Trechos</vt:lpstr>
      <vt:lpstr>46</vt:lpstr>
      <vt:lpstr>47</vt:lpstr>
      <vt:lpstr>48</vt:lpstr>
      <vt:lpstr>49</vt:lpstr>
      <vt:lpstr>59</vt:lpstr>
      <vt:lpstr>60</vt:lpstr>
      <vt:lpstr>62</vt:lpstr>
      <vt:lpstr>64</vt:lpstr>
      <vt:lpstr>65</vt:lpstr>
      <vt:lpstr>66</vt:lpstr>
      <vt:lpstr>TT</vt:lpstr>
      <vt:lpstr>'46'!Area_de_impressao</vt:lpstr>
      <vt:lpstr>'47'!Area_de_impressao</vt:lpstr>
      <vt:lpstr>'48'!Area_de_impressao</vt:lpstr>
      <vt:lpstr>'49'!Area_de_impressao</vt:lpstr>
      <vt:lpstr>'59'!Area_de_impressao</vt:lpstr>
      <vt:lpstr>'60'!Area_de_impressao</vt:lpstr>
      <vt:lpstr>'62'!Area_de_impressao</vt:lpstr>
      <vt:lpstr>'64'!Area_de_impressao</vt:lpstr>
      <vt:lpstr>'65'!Area_de_impressao</vt:lpstr>
      <vt:lpstr>'66'!Area_de_impressao</vt:lpstr>
      <vt:lpstr>TT!Area_de_impressao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CLIENTE</cp:lastModifiedBy>
  <cp:lastPrinted>2025-08-14T18:20:02Z</cp:lastPrinted>
  <dcterms:created xsi:type="dcterms:W3CDTF">2025-07-22T11:15:05Z</dcterms:created>
  <dcterms:modified xsi:type="dcterms:W3CDTF">2026-07-30T09:30:58Z</dcterms:modified>
</cp:coreProperties>
</file>