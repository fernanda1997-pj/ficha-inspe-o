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/>
  <mc:AlternateContent xmlns:mc="http://schemas.openxmlformats.org/markup-compatibility/2006">
    <mc:Choice Requires="x15">
      <x15ac:absPath xmlns:x15ac="http://schemas.microsoft.com/office/spreadsheetml/2010/11/ac" url="F:\O.S LOTE 01\PLANILHAS SUPERVISÃO\JULHO\"/>
    </mc:Choice>
  </mc:AlternateContent>
  <xr:revisionPtr revIDLastSave="0" documentId="8_{0A07A3F9-B211-459C-8D7F-63B422715256}" xr6:coauthVersionLast="36" xr6:coauthVersionMax="36" xr10:uidLastSave="{00000000-0000-0000-0000-000000000000}"/>
  <bookViews>
    <workbookView xWindow="-28920" yWindow="-4815" windowWidth="29040" windowHeight="15840" activeTab="1" xr2:uid="{00000000-000D-0000-FFFF-FFFF00000000}"/>
  </bookViews>
  <sheets>
    <sheet name="Trechos" sheetId="16" r:id="rId1"/>
    <sheet name="1" sheetId="3" r:id="rId2"/>
    <sheet name="6" sheetId="1" r:id="rId3"/>
    <sheet name="12" sheetId="4" r:id="rId4"/>
    <sheet name="20" sheetId="5" r:id="rId5"/>
    <sheet name="21" sheetId="6" r:id="rId6"/>
    <sheet name="22" sheetId="7" r:id="rId7"/>
    <sheet name="25" sheetId="8" r:id="rId8"/>
    <sheet name="26" sheetId="9" r:id="rId9"/>
    <sheet name="27" sheetId="10" r:id="rId10"/>
    <sheet name="31" sheetId="11" r:id="rId11"/>
    <sheet name="33" sheetId="12" r:id="rId12"/>
    <sheet name="34" sheetId="13" r:id="rId13"/>
    <sheet name="37" sheetId="14" r:id="rId14"/>
    <sheet name="TT" sheetId="2" r:id="rId15"/>
  </sheets>
  <externalReferences>
    <externalReference r:id="rId16"/>
  </externalReferences>
  <definedNames>
    <definedName name="_xlnm._FilterDatabase" localSheetId="0" hidden="1">Trechos!$A$2:$I$116</definedName>
    <definedName name="_xlnm.Print_Area" localSheetId="1">'1'!$A$1:$R$170</definedName>
    <definedName name="_xlnm.Print_Area" localSheetId="3">'12'!$A$1:$R$68</definedName>
    <definedName name="_xlnm.Print_Area" localSheetId="4">'20'!$A$1:$R$68</definedName>
    <definedName name="_xlnm.Print_Area" localSheetId="5">'21'!$A$1:$R$68</definedName>
    <definedName name="_xlnm.Print_Area" localSheetId="6">'22'!$A$1:$R$94</definedName>
    <definedName name="_xlnm.Print_Area" localSheetId="7">'25'!$A$1:$R$68</definedName>
    <definedName name="_xlnm.Print_Area" localSheetId="8">'26'!$A$1:$R$68</definedName>
    <definedName name="_xlnm.Print_Area" localSheetId="9">'27'!$A$1:$R$68</definedName>
    <definedName name="_xlnm.Print_Area" localSheetId="10">'31'!$A$1:$R$95</definedName>
    <definedName name="_xlnm.Print_Area" localSheetId="11">'33'!$A$1:$R$117</definedName>
    <definedName name="_xlnm.Print_Area" localSheetId="12">'34'!$A$1:$R$91</definedName>
    <definedName name="_xlnm.Print_Area" localSheetId="13">'37'!$A$1:$R$60</definedName>
    <definedName name="_xlnm.Print_Area" localSheetId="2">'6'!$A$1:$R$35</definedName>
    <definedName name="_xlnm.Print_Area" localSheetId="14">TT!$A$1:$J$20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4" i="13" l="1"/>
  <c r="E67" i="13"/>
  <c r="E72" i="13"/>
  <c r="E75" i="13"/>
  <c r="J76" i="13"/>
  <c r="C9" i="8"/>
  <c r="E66" i="13"/>
  <c r="J68" i="13"/>
  <c r="E70" i="13"/>
  <c r="E45" i="13"/>
  <c r="F45" i="13"/>
  <c r="G45" i="13"/>
  <c r="H45" i="13"/>
  <c r="I45" i="13"/>
  <c r="J45" i="13"/>
  <c r="K45" i="13"/>
  <c r="E46" i="13"/>
  <c r="G46" i="13"/>
  <c r="H46" i="13"/>
  <c r="I46" i="13"/>
  <c r="K46" i="13"/>
  <c r="E47" i="13"/>
  <c r="G47" i="13"/>
  <c r="H47" i="13"/>
  <c r="I47" i="13"/>
  <c r="K47" i="13"/>
  <c r="G48" i="13"/>
  <c r="H48" i="13"/>
  <c r="K48" i="13"/>
  <c r="F49" i="13"/>
  <c r="G49" i="13"/>
  <c r="H49" i="13"/>
  <c r="K49" i="13"/>
  <c r="F50" i="13"/>
  <c r="G50" i="13"/>
  <c r="H50" i="13"/>
  <c r="J50" i="13"/>
  <c r="K50" i="13"/>
  <c r="G51" i="13"/>
  <c r="H51" i="13"/>
  <c r="I51" i="13"/>
  <c r="K51" i="13"/>
  <c r="G52" i="13"/>
  <c r="H52" i="13"/>
  <c r="K52" i="13"/>
  <c r="G53" i="13"/>
  <c r="H53" i="13"/>
  <c r="I53" i="13"/>
  <c r="K53" i="13"/>
  <c r="F54" i="13"/>
  <c r="G54" i="13"/>
  <c r="H54" i="13"/>
  <c r="J54" i="13"/>
  <c r="K54" i="13"/>
  <c r="F55" i="13"/>
  <c r="G55" i="13"/>
  <c r="H55" i="13"/>
  <c r="K55" i="13"/>
  <c r="G56" i="13"/>
  <c r="H56" i="13"/>
  <c r="I56" i="13"/>
  <c r="K56" i="13"/>
  <c r="F57" i="13"/>
  <c r="G57" i="13"/>
  <c r="H57" i="13"/>
  <c r="I57" i="13"/>
  <c r="K57" i="13"/>
  <c r="G58" i="13"/>
  <c r="H58" i="13"/>
  <c r="I58" i="13"/>
  <c r="K58" i="13"/>
  <c r="G59" i="13"/>
  <c r="H59" i="13"/>
  <c r="I59" i="13"/>
  <c r="K59" i="13"/>
  <c r="G60" i="13"/>
  <c r="H60" i="13"/>
  <c r="I60" i="13"/>
  <c r="K60" i="13"/>
  <c r="E61" i="13"/>
  <c r="G61" i="13"/>
  <c r="H61" i="13"/>
  <c r="I61" i="13"/>
  <c r="K61" i="13"/>
  <c r="F62" i="13"/>
  <c r="G62" i="13"/>
  <c r="H62" i="13"/>
  <c r="I62" i="13"/>
  <c r="K62" i="13"/>
  <c r="F63" i="13"/>
  <c r="G63" i="13"/>
  <c r="H63" i="13"/>
  <c r="I63" i="13"/>
  <c r="K63" i="13"/>
  <c r="F64" i="13"/>
  <c r="G64" i="13"/>
  <c r="H64" i="13"/>
  <c r="I64" i="13"/>
  <c r="K64" i="13"/>
  <c r="F65" i="13"/>
  <c r="G65" i="13"/>
  <c r="H65" i="13"/>
  <c r="I65" i="13"/>
  <c r="K65" i="13"/>
  <c r="F66" i="13"/>
  <c r="G66" i="13"/>
  <c r="H66" i="13"/>
  <c r="I66" i="13"/>
  <c r="J66" i="13"/>
  <c r="K66" i="13"/>
  <c r="F67" i="13"/>
  <c r="G67" i="13"/>
  <c r="H67" i="13"/>
  <c r="I67" i="13"/>
  <c r="K67" i="13"/>
  <c r="E68" i="13"/>
  <c r="F68" i="13"/>
  <c r="G68" i="13"/>
  <c r="H68" i="13"/>
  <c r="I68" i="13"/>
  <c r="K68" i="13"/>
  <c r="E69" i="13"/>
  <c r="F69" i="13"/>
  <c r="G69" i="13"/>
  <c r="H69" i="13"/>
  <c r="I69" i="13"/>
  <c r="J69" i="13"/>
  <c r="K69" i="13"/>
  <c r="F70" i="13"/>
  <c r="G70" i="13"/>
  <c r="H70" i="13"/>
  <c r="I70" i="13"/>
  <c r="J70" i="13"/>
  <c r="K70" i="13"/>
  <c r="E71" i="13"/>
  <c r="F71" i="13"/>
  <c r="G71" i="13"/>
  <c r="H71" i="13"/>
  <c r="I71" i="13"/>
  <c r="J71" i="13"/>
  <c r="K71" i="13"/>
  <c r="F72" i="13"/>
  <c r="G72" i="13"/>
  <c r="H72" i="13"/>
  <c r="I72" i="13"/>
  <c r="K72" i="13"/>
  <c r="E73" i="13"/>
  <c r="F73" i="13"/>
  <c r="G73" i="13"/>
  <c r="H73" i="13"/>
  <c r="I73" i="13"/>
  <c r="J73" i="13"/>
  <c r="K73" i="13"/>
  <c r="E74" i="13"/>
  <c r="F74" i="13"/>
  <c r="G74" i="13"/>
  <c r="H74" i="13"/>
  <c r="I74" i="13"/>
  <c r="J74" i="13"/>
  <c r="K74" i="13"/>
  <c r="F75" i="13"/>
  <c r="G75" i="13"/>
  <c r="H75" i="13"/>
  <c r="I75" i="13"/>
  <c r="J75" i="13"/>
  <c r="K75" i="13"/>
  <c r="F76" i="13"/>
  <c r="G76" i="13"/>
  <c r="H76" i="13"/>
  <c r="I76" i="13"/>
  <c r="K76" i="13"/>
  <c r="E77" i="13"/>
  <c r="F77" i="13"/>
  <c r="G77" i="13"/>
  <c r="H77" i="13"/>
  <c r="I77" i="13"/>
  <c r="J77" i="13"/>
  <c r="K77" i="13"/>
  <c r="E78" i="13"/>
  <c r="F78" i="13"/>
  <c r="G78" i="13"/>
  <c r="H78" i="13"/>
  <c r="I78" i="13"/>
  <c r="J78" i="13"/>
  <c r="K78" i="13"/>
  <c r="C13" i="10"/>
  <c r="C10" i="10"/>
  <c r="J1" i="14"/>
  <c r="J1" i="13"/>
  <c r="J1" i="12"/>
  <c r="J1" i="11"/>
  <c r="J1" i="10"/>
  <c r="J1" i="9"/>
  <c r="J1" i="8"/>
  <c r="J1" i="7"/>
  <c r="J1" i="6"/>
  <c r="J1" i="5"/>
  <c r="J1" i="4"/>
  <c r="N1" i="1"/>
  <c r="J1" i="1"/>
  <c r="E37" i="14"/>
  <c r="G37" i="14"/>
  <c r="H37" i="14"/>
  <c r="K37" i="14"/>
  <c r="E38" i="14"/>
  <c r="G38" i="14"/>
  <c r="H38" i="14"/>
  <c r="J38" i="14"/>
  <c r="K38" i="14"/>
  <c r="E39" i="14"/>
  <c r="G39" i="14"/>
  <c r="H39" i="14"/>
  <c r="J39" i="14"/>
  <c r="K39" i="14"/>
  <c r="E40" i="14"/>
  <c r="G40" i="14"/>
  <c r="H40" i="14"/>
  <c r="K40" i="14"/>
  <c r="F41" i="14"/>
  <c r="H41" i="14"/>
  <c r="K41" i="14"/>
  <c r="F42" i="14"/>
  <c r="G42" i="14"/>
  <c r="H42" i="14"/>
  <c r="J42" i="14"/>
  <c r="K42" i="14"/>
  <c r="F43" i="14"/>
  <c r="G43" i="14"/>
  <c r="H43" i="14"/>
  <c r="J43" i="14"/>
  <c r="K43" i="14"/>
  <c r="F44" i="14"/>
  <c r="G44" i="14"/>
  <c r="H44" i="14"/>
  <c r="J44" i="14"/>
  <c r="K44" i="14"/>
  <c r="F45" i="14"/>
  <c r="G45" i="14"/>
  <c r="H45" i="14"/>
  <c r="J45" i="14"/>
  <c r="K45" i="14"/>
  <c r="E46" i="14"/>
  <c r="H46" i="14"/>
  <c r="I46" i="14"/>
  <c r="K46" i="14"/>
  <c r="E47" i="14"/>
  <c r="H47" i="14"/>
  <c r="I47" i="14"/>
  <c r="K47" i="14"/>
  <c r="E48" i="14"/>
  <c r="H48" i="14"/>
  <c r="I48" i="14"/>
  <c r="K48" i="14"/>
  <c r="E49" i="14"/>
  <c r="F49" i="14"/>
  <c r="G49" i="14"/>
  <c r="H49" i="14"/>
  <c r="I49" i="14"/>
  <c r="J49" i="14"/>
  <c r="K49" i="14"/>
  <c r="E50" i="14"/>
  <c r="F50" i="14"/>
  <c r="G50" i="14"/>
  <c r="H50" i="14"/>
  <c r="I50" i="14"/>
  <c r="J50" i="14"/>
  <c r="K50" i="14"/>
  <c r="E51" i="14"/>
  <c r="F51" i="14"/>
  <c r="G51" i="14"/>
  <c r="H51" i="14"/>
  <c r="I51" i="14"/>
  <c r="J51" i="14"/>
  <c r="K51" i="14"/>
  <c r="E52" i="14"/>
  <c r="F52" i="14"/>
  <c r="G52" i="14"/>
  <c r="H52" i="14"/>
  <c r="I52" i="14"/>
  <c r="J52" i="14"/>
  <c r="K52" i="14"/>
  <c r="E53" i="14"/>
  <c r="F53" i="14"/>
  <c r="G53" i="14"/>
  <c r="H53" i="14"/>
  <c r="I53" i="14"/>
  <c r="J53" i="14"/>
  <c r="K53" i="14"/>
  <c r="G84" i="13"/>
  <c r="H84" i="13"/>
  <c r="I84" i="13"/>
  <c r="K84" i="13"/>
  <c r="E79" i="13"/>
  <c r="F79" i="13"/>
  <c r="G79" i="13"/>
  <c r="H79" i="13"/>
  <c r="I79" i="13"/>
  <c r="J79" i="13"/>
  <c r="K79" i="13"/>
  <c r="E80" i="13"/>
  <c r="F80" i="13"/>
  <c r="G80" i="13"/>
  <c r="H80" i="13"/>
  <c r="I80" i="13"/>
  <c r="J80" i="13"/>
  <c r="K80" i="13"/>
  <c r="E81" i="13"/>
  <c r="F81" i="13"/>
  <c r="G81" i="13"/>
  <c r="H81" i="13"/>
  <c r="I81" i="13"/>
  <c r="J81" i="13"/>
  <c r="K81" i="13"/>
  <c r="E82" i="13"/>
  <c r="F82" i="13"/>
  <c r="G82" i="13"/>
  <c r="H82" i="13"/>
  <c r="I82" i="13"/>
  <c r="J82" i="13"/>
  <c r="K82" i="13"/>
  <c r="E84" i="13"/>
  <c r="H59" i="12"/>
  <c r="H110" i="12" s="1"/>
  <c r="K59" i="12"/>
  <c r="K110" i="12" s="1"/>
  <c r="G60" i="12"/>
  <c r="H60" i="12"/>
  <c r="J60" i="12"/>
  <c r="K60" i="12"/>
  <c r="G61" i="12"/>
  <c r="H61" i="12"/>
  <c r="K61" i="12"/>
  <c r="G62" i="12"/>
  <c r="H62" i="12"/>
  <c r="K62" i="12"/>
  <c r="E63" i="12"/>
  <c r="H63" i="12"/>
  <c r="K63" i="12"/>
  <c r="E64" i="12"/>
  <c r="G64" i="12"/>
  <c r="H64" i="12"/>
  <c r="K64" i="12"/>
  <c r="E65" i="12"/>
  <c r="H65" i="12"/>
  <c r="K65" i="12"/>
  <c r="E66" i="12"/>
  <c r="H66" i="12"/>
  <c r="K66" i="12"/>
  <c r="G67" i="12"/>
  <c r="H67" i="12"/>
  <c r="K67" i="12"/>
  <c r="F68" i="12"/>
  <c r="G68" i="12"/>
  <c r="H68" i="12"/>
  <c r="K68" i="12"/>
  <c r="G69" i="12"/>
  <c r="H69" i="12"/>
  <c r="K69" i="12"/>
  <c r="G70" i="12"/>
  <c r="H70" i="12"/>
  <c r="K70" i="12"/>
  <c r="G71" i="12"/>
  <c r="H71" i="12"/>
  <c r="K71" i="12"/>
  <c r="F72" i="12"/>
  <c r="G72" i="12"/>
  <c r="H72" i="12"/>
  <c r="K72" i="12"/>
  <c r="G73" i="12"/>
  <c r="H73" i="12"/>
  <c r="K73" i="12"/>
  <c r="F74" i="12"/>
  <c r="H74" i="12"/>
  <c r="K74" i="12"/>
  <c r="H75" i="12"/>
  <c r="K75" i="12"/>
  <c r="F76" i="12"/>
  <c r="G76" i="12"/>
  <c r="H76" i="12"/>
  <c r="K76" i="12"/>
  <c r="E77" i="12"/>
  <c r="F77" i="12"/>
  <c r="G77" i="12"/>
  <c r="H77" i="12"/>
  <c r="I77" i="12"/>
  <c r="J77" i="12"/>
  <c r="K77" i="12"/>
  <c r="G78" i="12"/>
  <c r="H78" i="12"/>
  <c r="K78" i="12"/>
  <c r="E79" i="12"/>
  <c r="G79" i="12"/>
  <c r="H79" i="12"/>
  <c r="I79" i="12"/>
  <c r="K79" i="12"/>
  <c r="G80" i="12"/>
  <c r="H80" i="12"/>
  <c r="K80" i="12"/>
  <c r="F81" i="12"/>
  <c r="G81" i="12"/>
  <c r="H81" i="12"/>
  <c r="K81" i="12"/>
  <c r="F82" i="12"/>
  <c r="G82" i="12"/>
  <c r="H82" i="12"/>
  <c r="K82" i="12"/>
  <c r="G83" i="12"/>
  <c r="H83" i="12"/>
  <c r="K83" i="12"/>
  <c r="H84" i="12"/>
  <c r="K84" i="12"/>
  <c r="G85" i="12"/>
  <c r="H85" i="12"/>
  <c r="J85" i="12"/>
  <c r="K85" i="12"/>
  <c r="F86" i="12"/>
  <c r="G86" i="12"/>
  <c r="H86" i="12"/>
  <c r="K86" i="12"/>
  <c r="G87" i="12"/>
  <c r="H87" i="12"/>
  <c r="K87" i="12"/>
  <c r="G88" i="12"/>
  <c r="H88" i="12"/>
  <c r="K88" i="12"/>
  <c r="F89" i="12"/>
  <c r="G89" i="12"/>
  <c r="H89" i="12"/>
  <c r="J89" i="12"/>
  <c r="K89" i="12"/>
  <c r="F90" i="12"/>
  <c r="G90" i="12"/>
  <c r="H90" i="12"/>
  <c r="K90" i="12"/>
  <c r="G91" i="12"/>
  <c r="H91" i="12"/>
  <c r="K91" i="12"/>
  <c r="G92" i="12"/>
  <c r="H92" i="12"/>
  <c r="K92" i="12"/>
  <c r="G93" i="12"/>
  <c r="H93" i="12"/>
  <c r="J93" i="12"/>
  <c r="K93" i="12"/>
  <c r="G94" i="12"/>
  <c r="H94" i="12"/>
  <c r="K94" i="12"/>
  <c r="E95" i="12"/>
  <c r="F95" i="12"/>
  <c r="G95" i="12"/>
  <c r="H95" i="12"/>
  <c r="I95" i="12"/>
  <c r="J95" i="12"/>
  <c r="K95" i="12"/>
  <c r="G96" i="12"/>
  <c r="H96" i="12"/>
  <c r="K96" i="12"/>
  <c r="G97" i="12"/>
  <c r="H97" i="12"/>
  <c r="K97" i="12"/>
  <c r="F98" i="12"/>
  <c r="G98" i="12"/>
  <c r="H98" i="12"/>
  <c r="K98" i="12"/>
  <c r="G99" i="12"/>
  <c r="H99" i="12"/>
  <c r="K99" i="12"/>
  <c r="E100" i="12"/>
  <c r="G100" i="12"/>
  <c r="H100" i="12"/>
  <c r="K100" i="12"/>
  <c r="E101" i="12"/>
  <c r="H101" i="12"/>
  <c r="K101" i="12"/>
  <c r="G102" i="12"/>
  <c r="H102" i="12"/>
  <c r="K102" i="12"/>
  <c r="G103" i="12"/>
  <c r="H103" i="12"/>
  <c r="K103" i="12"/>
  <c r="E104" i="12"/>
  <c r="F104" i="12"/>
  <c r="G104" i="12"/>
  <c r="H104" i="12"/>
  <c r="I104" i="12"/>
  <c r="J104" i="12"/>
  <c r="K104" i="12"/>
  <c r="E105" i="12"/>
  <c r="F105" i="12"/>
  <c r="G105" i="12"/>
  <c r="H105" i="12"/>
  <c r="I105" i="12"/>
  <c r="J105" i="12"/>
  <c r="K105" i="12"/>
  <c r="E106" i="12"/>
  <c r="F106" i="12"/>
  <c r="G106" i="12"/>
  <c r="H106" i="12"/>
  <c r="I106" i="12"/>
  <c r="J106" i="12"/>
  <c r="K106" i="12"/>
  <c r="E107" i="12"/>
  <c r="F107" i="12"/>
  <c r="G107" i="12"/>
  <c r="H107" i="12"/>
  <c r="I107" i="12"/>
  <c r="J107" i="12"/>
  <c r="K107" i="12"/>
  <c r="E108" i="12"/>
  <c r="F108" i="12"/>
  <c r="G108" i="12"/>
  <c r="H108" i="12"/>
  <c r="I108" i="12"/>
  <c r="J108" i="12"/>
  <c r="K108" i="12"/>
  <c r="F37" i="10"/>
  <c r="G37" i="10"/>
  <c r="H37" i="10"/>
  <c r="J37" i="10"/>
  <c r="K37" i="10"/>
  <c r="E38" i="10"/>
  <c r="H38" i="10"/>
  <c r="J38" i="10"/>
  <c r="K38" i="10"/>
  <c r="E39" i="10"/>
  <c r="H39" i="10"/>
  <c r="J39" i="10"/>
  <c r="K39" i="10"/>
  <c r="F40" i="10"/>
  <c r="H40" i="10"/>
  <c r="I40" i="10"/>
  <c r="K40" i="10"/>
  <c r="E41" i="10"/>
  <c r="G41" i="10"/>
  <c r="H41" i="10"/>
  <c r="J41" i="10"/>
  <c r="K41" i="10"/>
  <c r="E42" i="10"/>
  <c r="G42" i="10"/>
  <c r="H42" i="10"/>
  <c r="J42" i="10"/>
  <c r="K42" i="10"/>
  <c r="E43" i="10"/>
  <c r="G43" i="10"/>
  <c r="H43" i="10"/>
  <c r="J43" i="10"/>
  <c r="K43" i="10"/>
  <c r="E44" i="10"/>
  <c r="G44" i="10"/>
  <c r="H44" i="10"/>
  <c r="J44" i="10"/>
  <c r="K44" i="10"/>
  <c r="E45" i="10"/>
  <c r="G45" i="10"/>
  <c r="H45" i="10"/>
  <c r="I45" i="10"/>
  <c r="K45" i="10"/>
  <c r="F46" i="10"/>
  <c r="G46" i="10"/>
  <c r="H46" i="10"/>
  <c r="J46" i="10"/>
  <c r="K46" i="10"/>
  <c r="G47" i="10"/>
  <c r="H47" i="10"/>
  <c r="J47" i="10"/>
  <c r="K47" i="10"/>
  <c r="E48" i="10"/>
  <c r="F48" i="10"/>
  <c r="G48" i="10"/>
  <c r="H48" i="10"/>
  <c r="I48" i="10"/>
  <c r="J48" i="10"/>
  <c r="K48" i="10"/>
  <c r="G49" i="10"/>
  <c r="H49" i="10"/>
  <c r="J49" i="10"/>
  <c r="G50" i="10"/>
  <c r="H50" i="10"/>
  <c r="K50" i="10"/>
  <c r="H51" i="10"/>
  <c r="J51" i="10"/>
  <c r="G52" i="10"/>
  <c r="H52" i="10"/>
  <c r="J52" i="10"/>
  <c r="K52" i="10"/>
  <c r="G53" i="10"/>
  <c r="H53" i="10"/>
  <c r="J53" i="10"/>
  <c r="K53" i="10"/>
  <c r="G54" i="10"/>
  <c r="H54" i="10"/>
  <c r="J54" i="10"/>
  <c r="K54" i="10"/>
  <c r="F55" i="10"/>
  <c r="G55" i="10"/>
  <c r="H55" i="10"/>
  <c r="J55" i="10"/>
  <c r="K55" i="10"/>
  <c r="E56" i="10"/>
  <c r="F56" i="10"/>
  <c r="G56" i="10"/>
  <c r="H56" i="10"/>
  <c r="I56" i="10"/>
  <c r="J56" i="10"/>
  <c r="K56" i="10"/>
  <c r="E57" i="10"/>
  <c r="F57" i="10"/>
  <c r="G57" i="10"/>
  <c r="H57" i="10"/>
  <c r="I57" i="10"/>
  <c r="J57" i="10"/>
  <c r="K57" i="10"/>
  <c r="E58" i="10"/>
  <c r="F58" i="10"/>
  <c r="G58" i="10"/>
  <c r="H58" i="10"/>
  <c r="I58" i="10"/>
  <c r="J58" i="10"/>
  <c r="K58" i="10"/>
  <c r="E59" i="10"/>
  <c r="F59" i="10"/>
  <c r="G59" i="10"/>
  <c r="H59" i="10"/>
  <c r="I59" i="10"/>
  <c r="J59" i="10"/>
  <c r="K59" i="10"/>
  <c r="E60" i="10"/>
  <c r="F60" i="10"/>
  <c r="G60" i="10"/>
  <c r="H60" i="10"/>
  <c r="I60" i="10"/>
  <c r="J60" i="10"/>
  <c r="K60" i="10"/>
  <c r="E61" i="10"/>
  <c r="F61" i="10"/>
  <c r="G61" i="10"/>
  <c r="H61" i="10"/>
  <c r="I61" i="10"/>
  <c r="J61" i="10"/>
  <c r="K61" i="10"/>
  <c r="F37" i="6"/>
  <c r="G37" i="6"/>
  <c r="H37" i="6"/>
  <c r="K37" i="6"/>
  <c r="F38" i="6"/>
  <c r="G38" i="6"/>
  <c r="H38" i="6"/>
  <c r="K38" i="6"/>
  <c r="F39" i="6"/>
  <c r="G39" i="6"/>
  <c r="H39" i="6"/>
  <c r="K39" i="6"/>
  <c r="E40" i="6"/>
  <c r="G40" i="6"/>
  <c r="H40" i="6"/>
  <c r="I40" i="6"/>
  <c r="K40" i="6"/>
  <c r="F41" i="6"/>
  <c r="G41" i="6"/>
  <c r="H41" i="6"/>
  <c r="K41" i="6"/>
  <c r="G42" i="6"/>
  <c r="H42" i="6"/>
  <c r="J42" i="6"/>
  <c r="K42" i="6"/>
  <c r="G43" i="6"/>
  <c r="H43" i="6"/>
  <c r="J43" i="6"/>
  <c r="K43" i="6"/>
  <c r="F44" i="6"/>
  <c r="G44" i="6"/>
  <c r="H44" i="6"/>
  <c r="J44" i="6"/>
  <c r="K44" i="6"/>
  <c r="F45" i="6"/>
  <c r="G45" i="6"/>
  <c r="H45" i="6"/>
  <c r="J45" i="6"/>
  <c r="K45" i="6"/>
  <c r="F46" i="6"/>
  <c r="G46" i="6"/>
  <c r="H46" i="6"/>
  <c r="K46" i="6"/>
  <c r="F47" i="6"/>
  <c r="G47" i="6"/>
  <c r="H47" i="6"/>
  <c r="K47" i="6"/>
  <c r="F48" i="6"/>
  <c r="G48" i="6"/>
  <c r="H48" i="6"/>
  <c r="I48" i="6"/>
  <c r="K48" i="6"/>
  <c r="G49" i="6"/>
  <c r="H49" i="6"/>
  <c r="J49" i="6"/>
  <c r="K49" i="6"/>
  <c r="F50" i="6"/>
  <c r="G50" i="6"/>
  <c r="H50" i="6"/>
  <c r="J50" i="6"/>
  <c r="K50" i="6"/>
  <c r="G51" i="6"/>
  <c r="H51" i="6"/>
  <c r="J51" i="6"/>
  <c r="K51" i="6"/>
  <c r="E52" i="6"/>
  <c r="G52" i="6"/>
  <c r="H52" i="6"/>
  <c r="I52" i="6"/>
  <c r="K52" i="6"/>
  <c r="G53" i="6"/>
  <c r="H53" i="6"/>
  <c r="J53" i="6"/>
  <c r="K53" i="6"/>
  <c r="F54" i="6"/>
  <c r="G54" i="6"/>
  <c r="H54" i="6"/>
  <c r="J54" i="6"/>
  <c r="K54" i="6"/>
  <c r="F55" i="6"/>
  <c r="G55" i="6"/>
  <c r="H55" i="6"/>
  <c r="J55" i="6"/>
  <c r="K55" i="6"/>
  <c r="F56" i="6"/>
  <c r="G56" i="6"/>
  <c r="H56" i="6"/>
  <c r="J56" i="6"/>
  <c r="K56" i="6"/>
  <c r="F57" i="6"/>
  <c r="G57" i="6"/>
  <c r="H57" i="6"/>
  <c r="K57" i="6"/>
  <c r="F58" i="6"/>
  <c r="G58" i="6"/>
  <c r="H58" i="6"/>
  <c r="J58" i="6"/>
  <c r="K58" i="6"/>
  <c r="F59" i="6"/>
  <c r="G59" i="6"/>
  <c r="H59" i="6"/>
  <c r="J59" i="6"/>
  <c r="K59" i="6"/>
  <c r="F60" i="6"/>
  <c r="G60" i="6"/>
  <c r="H60" i="6"/>
  <c r="J60" i="6"/>
  <c r="K60" i="6"/>
  <c r="F61" i="6"/>
  <c r="G61" i="6"/>
  <c r="H61" i="6"/>
  <c r="J61" i="6"/>
  <c r="K61" i="6"/>
  <c r="E58" i="12"/>
  <c r="E109" i="12" s="1"/>
  <c r="E83" i="13"/>
  <c r="E36" i="14"/>
  <c r="G82" i="7"/>
  <c r="H82" i="7"/>
  <c r="K82" i="7"/>
  <c r="E83" i="7"/>
  <c r="G83" i="7"/>
  <c r="H83" i="7"/>
  <c r="I83" i="7"/>
  <c r="K83" i="7"/>
  <c r="F84" i="7"/>
  <c r="G84" i="7"/>
  <c r="H84" i="7"/>
  <c r="J84" i="7"/>
  <c r="K84" i="7"/>
  <c r="F85" i="7"/>
  <c r="G85" i="7"/>
  <c r="H85" i="7"/>
  <c r="J85" i="7"/>
  <c r="K85" i="7"/>
  <c r="F86" i="7"/>
  <c r="G86" i="7"/>
  <c r="H86" i="7"/>
  <c r="J86" i="7"/>
  <c r="K86" i="7"/>
  <c r="E87" i="7"/>
  <c r="F87" i="7"/>
  <c r="G87" i="7"/>
  <c r="H87" i="7"/>
  <c r="I87" i="7"/>
  <c r="J87" i="7"/>
  <c r="K87" i="7"/>
  <c r="G49" i="7"/>
  <c r="H49" i="7"/>
  <c r="F50" i="7"/>
  <c r="G50" i="7"/>
  <c r="H50" i="7"/>
  <c r="K50" i="7"/>
  <c r="G51" i="7"/>
  <c r="H51" i="7"/>
  <c r="K51" i="7"/>
  <c r="F52" i="7"/>
  <c r="G52" i="7"/>
  <c r="H52" i="7"/>
  <c r="K52" i="7"/>
  <c r="G53" i="7"/>
  <c r="H53" i="7"/>
  <c r="K53" i="7"/>
  <c r="G54" i="7"/>
  <c r="H54" i="7"/>
  <c r="K54" i="7"/>
  <c r="G55" i="7"/>
  <c r="H55" i="7"/>
  <c r="K55" i="7"/>
  <c r="G56" i="7"/>
  <c r="H56" i="7"/>
  <c r="J56" i="7"/>
  <c r="K56" i="7"/>
  <c r="G57" i="7"/>
  <c r="H57" i="7"/>
  <c r="J57" i="7"/>
  <c r="K57" i="7"/>
  <c r="G58" i="7"/>
  <c r="H58" i="7"/>
  <c r="K58" i="7"/>
  <c r="E59" i="7"/>
  <c r="G59" i="7"/>
  <c r="H59" i="7"/>
  <c r="K59" i="7"/>
  <c r="F60" i="7"/>
  <c r="G60" i="7"/>
  <c r="H60" i="7"/>
  <c r="J60" i="7"/>
  <c r="K60" i="7"/>
  <c r="G61" i="7"/>
  <c r="H61" i="7"/>
  <c r="K61" i="7"/>
  <c r="G62" i="7"/>
  <c r="H62" i="7"/>
  <c r="K62" i="7"/>
  <c r="G63" i="7"/>
  <c r="H63" i="7"/>
  <c r="K63" i="7"/>
  <c r="F64" i="7"/>
  <c r="G64" i="7"/>
  <c r="H64" i="7"/>
  <c r="K64" i="7"/>
  <c r="G65" i="7"/>
  <c r="H65" i="7"/>
  <c r="K65" i="7"/>
  <c r="F66" i="7"/>
  <c r="G66" i="7"/>
  <c r="H66" i="7"/>
  <c r="K66" i="7"/>
  <c r="F67" i="7"/>
  <c r="G67" i="7"/>
  <c r="H67" i="7"/>
  <c r="K67" i="7"/>
  <c r="G68" i="7"/>
  <c r="H68" i="7"/>
  <c r="J68" i="7"/>
  <c r="K68" i="7"/>
  <c r="G69" i="7"/>
  <c r="H69" i="7"/>
  <c r="J69" i="7"/>
  <c r="K69" i="7"/>
  <c r="F70" i="7"/>
  <c r="G70" i="7"/>
  <c r="H70" i="7"/>
  <c r="K70" i="7"/>
  <c r="F71" i="7"/>
  <c r="G71" i="7"/>
  <c r="H71" i="7"/>
  <c r="K71" i="7"/>
  <c r="F72" i="7"/>
  <c r="G72" i="7"/>
  <c r="H72" i="7"/>
  <c r="K72" i="7"/>
  <c r="F73" i="7"/>
  <c r="G73" i="7"/>
  <c r="H73" i="7"/>
  <c r="J73" i="7"/>
  <c r="K73" i="7"/>
  <c r="G74" i="7"/>
  <c r="H74" i="7"/>
  <c r="J74" i="7"/>
  <c r="K74" i="7"/>
  <c r="F75" i="7"/>
  <c r="G75" i="7"/>
  <c r="H75" i="7"/>
  <c r="J75" i="7"/>
  <c r="K75" i="7"/>
  <c r="F76" i="7"/>
  <c r="G76" i="7"/>
  <c r="H76" i="7"/>
  <c r="J76" i="7"/>
  <c r="K76" i="7"/>
  <c r="F77" i="7"/>
  <c r="G77" i="7"/>
  <c r="H77" i="7"/>
  <c r="K77" i="7"/>
  <c r="F78" i="7"/>
  <c r="G78" i="7"/>
  <c r="H78" i="7"/>
  <c r="K78" i="7"/>
  <c r="F79" i="7"/>
  <c r="G79" i="7"/>
  <c r="H79" i="7"/>
  <c r="I79" i="7"/>
  <c r="K79" i="7"/>
  <c r="G80" i="7"/>
  <c r="H80" i="7"/>
  <c r="J80" i="7"/>
  <c r="K80" i="7"/>
  <c r="G81" i="7"/>
  <c r="H81" i="7"/>
  <c r="J81" i="7"/>
  <c r="K81" i="7"/>
  <c r="E48" i="7"/>
  <c r="C9" i="7"/>
  <c r="E50" i="7" s="1"/>
  <c r="C10" i="7"/>
  <c r="J51" i="7" s="1"/>
  <c r="C11" i="7"/>
  <c r="E52" i="7" s="1"/>
  <c r="C12" i="7"/>
  <c r="E53" i="7" s="1"/>
  <c r="C13" i="7"/>
  <c r="E54" i="7" s="1"/>
  <c r="C14" i="7"/>
  <c r="J55" i="7" s="1"/>
  <c r="C15" i="7"/>
  <c r="E56" i="7" s="1"/>
  <c r="C16" i="7"/>
  <c r="E57" i="7" s="1"/>
  <c r="C17" i="7"/>
  <c r="E58" i="7" s="1"/>
  <c r="C18" i="7"/>
  <c r="F59" i="7" s="1"/>
  <c r="C19" i="7"/>
  <c r="E60" i="7" s="1"/>
  <c r="C20" i="7"/>
  <c r="E61" i="7" s="1"/>
  <c r="C21" i="7"/>
  <c r="E62" i="7" s="1"/>
  <c r="C22" i="7"/>
  <c r="E63" i="7" s="1"/>
  <c r="C23" i="7"/>
  <c r="E64" i="7" s="1"/>
  <c r="C24" i="7"/>
  <c r="E65" i="7" s="1"/>
  <c r="C25" i="7"/>
  <c r="E66" i="7" s="1"/>
  <c r="C26" i="7"/>
  <c r="J67" i="7" s="1"/>
  <c r="E68" i="7"/>
  <c r="E69" i="7"/>
  <c r="E70" i="7"/>
  <c r="J71" i="7"/>
  <c r="E72" i="7"/>
  <c r="E73" i="7"/>
  <c r="E74" i="7"/>
  <c r="E76" i="7"/>
  <c r="E77" i="7"/>
  <c r="E80" i="7"/>
  <c r="E81" i="7"/>
  <c r="F83" i="7"/>
  <c r="E84" i="7"/>
  <c r="E85" i="7"/>
  <c r="E36" i="6"/>
  <c r="H123" i="3"/>
  <c r="I123" i="3"/>
  <c r="K123" i="3"/>
  <c r="H124" i="3"/>
  <c r="I124" i="3"/>
  <c r="K124" i="3"/>
  <c r="E125" i="3"/>
  <c r="F125" i="3"/>
  <c r="G125" i="3"/>
  <c r="H125" i="3"/>
  <c r="I125" i="3"/>
  <c r="J125" i="3"/>
  <c r="K125" i="3"/>
  <c r="H126" i="3"/>
  <c r="I126" i="3"/>
  <c r="K126" i="3"/>
  <c r="H127" i="3"/>
  <c r="I127" i="3"/>
  <c r="K127" i="3"/>
  <c r="H128" i="3"/>
  <c r="I128" i="3"/>
  <c r="K128" i="3"/>
  <c r="G129" i="3"/>
  <c r="H129" i="3"/>
  <c r="I129" i="3"/>
  <c r="K129" i="3"/>
  <c r="E130" i="3"/>
  <c r="F130" i="3"/>
  <c r="H130" i="3"/>
  <c r="I130" i="3"/>
  <c r="K130" i="3"/>
  <c r="H131" i="3"/>
  <c r="I131" i="3"/>
  <c r="K131" i="3"/>
  <c r="E132" i="3"/>
  <c r="H132" i="3"/>
  <c r="I132" i="3"/>
  <c r="K132" i="3"/>
  <c r="E133" i="3"/>
  <c r="I133" i="3"/>
  <c r="K133" i="3"/>
  <c r="E134" i="3"/>
  <c r="H134" i="3"/>
  <c r="I134" i="3"/>
  <c r="K134" i="3"/>
  <c r="E135" i="3"/>
  <c r="H135" i="3"/>
  <c r="I135" i="3"/>
  <c r="K135" i="3"/>
  <c r="E136" i="3"/>
  <c r="G136" i="3"/>
  <c r="I136" i="3"/>
  <c r="K136" i="3"/>
  <c r="E137" i="3"/>
  <c r="G137" i="3"/>
  <c r="H137" i="3"/>
  <c r="I137" i="3"/>
  <c r="K137" i="3"/>
  <c r="E138" i="3"/>
  <c r="I138" i="3"/>
  <c r="K138" i="3"/>
  <c r="H139" i="3"/>
  <c r="I139" i="3"/>
  <c r="K139" i="3"/>
  <c r="F140" i="3"/>
  <c r="H140" i="3"/>
  <c r="J140" i="3"/>
  <c r="K140" i="3"/>
  <c r="E141" i="3"/>
  <c r="G141" i="3"/>
  <c r="H141" i="3"/>
  <c r="I141" i="3"/>
  <c r="K141" i="3"/>
  <c r="E142" i="3"/>
  <c r="F142" i="3"/>
  <c r="G142" i="3"/>
  <c r="H142" i="3"/>
  <c r="I142" i="3"/>
  <c r="J142" i="3"/>
  <c r="K142" i="3"/>
  <c r="E143" i="3"/>
  <c r="I143" i="3"/>
  <c r="K143" i="3"/>
  <c r="E144" i="3"/>
  <c r="F144" i="3"/>
  <c r="G144" i="3"/>
  <c r="H144" i="3"/>
  <c r="I144" i="3"/>
  <c r="J144" i="3"/>
  <c r="K144" i="3"/>
  <c r="E145" i="3"/>
  <c r="H145" i="3"/>
  <c r="I145" i="3"/>
  <c r="K145" i="3"/>
  <c r="H146" i="3"/>
  <c r="J146" i="3"/>
  <c r="K146" i="3"/>
  <c r="E147" i="3"/>
  <c r="H147" i="3"/>
  <c r="I147" i="3"/>
  <c r="K147" i="3"/>
  <c r="E148" i="3"/>
  <c r="G148" i="3"/>
  <c r="H148" i="3"/>
  <c r="I148" i="3"/>
  <c r="K148" i="3"/>
  <c r="E149" i="3"/>
  <c r="G149" i="3"/>
  <c r="I149" i="3"/>
  <c r="K149" i="3"/>
  <c r="E150" i="3"/>
  <c r="H150" i="3"/>
  <c r="I150" i="3"/>
  <c r="K150" i="3"/>
  <c r="E151" i="3"/>
  <c r="G151" i="3"/>
  <c r="I151" i="3"/>
  <c r="K151" i="3"/>
  <c r="E152" i="3"/>
  <c r="F152" i="3"/>
  <c r="G152" i="3"/>
  <c r="H152" i="3"/>
  <c r="I152" i="3"/>
  <c r="J152" i="3"/>
  <c r="K152" i="3"/>
  <c r="E153" i="3"/>
  <c r="H153" i="3"/>
  <c r="K153" i="3"/>
  <c r="E154" i="3"/>
  <c r="H154" i="3"/>
  <c r="K154" i="3"/>
  <c r="E155" i="3"/>
  <c r="H155" i="3"/>
  <c r="K155" i="3"/>
  <c r="E156" i="3"/>
  <c r="F156" i="3"/>
  <c r="G156" i="3"/>
  <c r="H156" i="3"/>
  <c r="I156" i="3"/>
  <c r="J156" i="3"/>
  <c r="K156" i="3"/>
  <c r="H157" i="3"/>
  <c r="I157" i="3"/>
  <c r="K157" i="3"/>
  <c r="F158" i="3"/>
  <c r="H158" i="3"/>
  <c r="I158" i="3"/>
  <c r="K158" i="3"/>
  <c r="E159" i="3"/>
  <c r="H159" i="3"/>
  <c r="I159" i="3"/>
  <c r="K159" i="3"/>
  <c r="E160" i="3"/>
  <c r="F160" i="3"/>
  <c r="H160" i="3"/>
  <c r="I160" i="3"/>
  <c r="K160" i="3"/>
  <c r="E161" i="3"/>
  <c r="F161" i="3"/>
  <c r="I161" i="3"/>
  <c r="K161" i="3"/>
  <c r="E162" i="3"/>
  <c r="H162" i="3"/>
  <c r="I162" i="3"/>
  <c r="K162" i="3"/>
  <c r="E163" i="3"/>
  <c r="F163" i="3"/>
  <c r="H163" i="3"/>
  <c r="I163" i="3"/>
  <c r="K163" i="3"/>
  <c r="E164" i="3"/>
  <c r="H164" i="3"/>
  <c r="I164" i="3"/>
  <c r="K164" i="3"/>
  <c r="E165" i="3"/>
  <c r="H165" i="3"/>
  <c r="I165" i="3"/>
  <c r="K165" i="3"/>
  <c r="H116" i="3"/>
  <c r="I116" i="3"/>
  <c r="K116" i="3"/>
  <c r="E117" i="3"/>
  <c r="H117" i="3"/>
  <c r="I117" i="3"/>
  <c r="K117" i="3"/>
  <c r="H118" i="3"/>
  <c r="J118" i="3"/>
  <c r="K118" i="3"/>
  <c r="E119" i="3"/>
  <c r="F119" i="3"/>
  <c r="G119" i="3"/>
  <c r="H119" i="3"/>
  <c r="I119" i="3"/>
  <c r="J119" i="3"/>
  <c r="K119" i="3"/>
  <c r="H120" i="3"/>
  <c r="I120" i="3"/>
  <c r="K120" i="3"/>
  <c r="H121" i="3"/>
  <c r="I121" i="3"/>
  <c r="K121" i="3"/>
  <c r="F122" i="3"/>
  <c r="H122" i="3"/>
  <c r="I122" i="3"/>
  <c r="K122" i="3"/>
  <c r="E87" i="3"/>
  <c r="F48" i="14"/>
  <c r="F47" i="14"/>
  <c r="F46" i="14"/>
  <c r="C12" i="14"/>
  <c r="J41" i="14" s="1"/>
  <c r="C11" i="14"/>
  <c r="J40" i="14" s="1"/>
  <c r="C10" i="14"/>
  <c r="C9" i="14"/>
  <c r="C8" i="14"/>
  <c r="J37" i="14" s="1"/>
  <c r="J65" i="13"/>
  <c r="E63" i="13"/>
  <c r="E62" i="13"/>
  <c r="F61" i="13"/>
  <c r="C22" i="13"/>
  <c r="E60" i="13" s="1"/>
  <c r="C21" i="13"/>
  <c r="E59" i="13" s="1"/>
  <c r="C20" i="13"/>
  <c r="E58" i="13" s="1"/>
  <c r="C19" i="13"/>
  <c r="J57" i="13" s="1"/>
  <c r="C18" i="13"/>
  <c r="E56" i="13" s="1"/>
  <c r="C17" i="13"/>
  <c r="E55" i="13" s="1"/>
  <c r="C16" i="13"/>
  <c r="E54" i="13" s="1"/>
  <c r="C15" i="13"/>
  <c r="F53" i="13" s="1"/>
  <c r="C14" i="13"/>
  <c r="F52" i="13" s="1"/>
  <c r="C13" i="13"/>
  <c r="F51" i="13" s="1"/>
  <c r="C12" i="13"/>
  <c r="E50" i="13" s="1"/>
  <c r="C11" i="13"/>
  <c r="J49" i="13" s="1"/>
  <c r="C10" i="13"/>
  <c r="E48" i="13" s="1"/>
  <c r="C9" i="13"/>
  <c r="F47" i="13" s="1"/>
  <c r="C8" i="13"/>
  <c r="J46" i="13" s="1"/>
  <c r="F58" i="12"/>
  <c r="F109" i="12" s="1"/>
  <c r="C52" i="12"/>
  <c r="C51" i="12"/>
  <c r="J102" i="12" s="1"/>
  <c r="C50" i="12"/>
  <c r="J101" i="12" s="1"/>
  <c r="C49" i="12"/>
  <c r="C48" i="12"/>
  <c r="E99" i="12" s="1"/>
  <c r="C47" i="12"/>
  <c r="E98" i="12" s="1"/>
  <c r="C46" i="12"/>
  <c r="F97" i="12" s="1"/>
  <c r="C45" i="12"/>
  <c r="J96" i="12" s="1"/>
  <c r="C43" i="12"/>
  <c r="J94" i="12" s="1"/>
  <c r="C42" i="12"/>
  <c r="E93" i="12" s="1"/>
  <c r="C41" i="12"/>
  <c r="J92" i="12" s="1"/>
  <c r="C40" i="12"/>
  <c r="J91" i="12" s="1"/>
  <c r="C39" i="12"/>
  <c r="J90" i="12" s="1"/>
  <c r="C38" i="12"/>
  <c r="C37" i="12"/>
  <c r="C36" i="12"/>
  <c r="F87" i="12" s="1"/>
  <c r="C35" i="12"/>
  <c r="J86" i="12" s="1"/>
  <c r="C34" i="12"/>
  <c r="F85" i="12" s="1"/>
  <c r="C33" i="12"/>
  <c r="F84" i="12" s="1"/>
  <c r="C32" i="12"/>
  <c r="F83" i="12" s="1"/>
  <c r="C31" i="12"/>
  <c r="J82" i="12" s="1"/>
  <c r="C30" i="12"/>
  <c r="E81" i="12" s="1"/>
  <c r="C29" i="12"/>
  <c r="C28" i="12"/>
  <c r="F79" i="12" s="1"/>
  <c r="C27" i="12"/>
  <c r="C25" i="12"/>
  <c r="J76" i="12" s="1"/>
  <c r="C24" i="12"/>
  <c r="G75" i="12" s="1"/>
  <c r="C23" i="12"/>
  <c r="C22" i="12"/>
  <c r="C21" i="12"/>
  <c r="J72" i="12" s="1"/>
  <c r="C20" i="12"/>
  <c r="F71" i="12" s="1"/>
  <c r="C19" i="12"/>
  <c r="J70" i="12" s="1"/>
  <c r="C18" i="12"/>
  <c r="C17" i="12"/>
  <c r="J68" i="12" s="1"/>
  <c r="C16" i="12"/>
  <c r="J67" i="12" s="1"/>
  <c r="C15" i="12"/>
  <c r="C14" i="12"/>
  <c r="J65" i="12" s="1"/>
  <c r="C13" i="12"/>
  <c r="J64" i="12" s="1"/>
  <c r="C12" i="12"/>
  <c r="G63" i="12" s="1"/>
  <c r="C11" i="12"/>
  <c r="J62" i="12" s="1"/>
  <c r="C10" i="12"/>
  <c r="I61" i="12" s="1"/>
  <c r="C9" i="12"/>
  <c r="E60" i="12" s="1"/>
  <c r="C8" i="12"/>
  <c r="F59" i="12" s="1"/>
  <c r="F110" i="12" s="1"/>
  <c r="G76" i="11"/>
  <c r="H76" i="11"/>
  <c r="J76" i="11"/>
  <c r="K76" i="11"/>
  <c r="G77" i="11"/>
  <c r="H77" i="11"/>
  <c r="K77" i="11"/>
  <c r="E78" i="11"/>
  <c r="F78" i="11"/>
  <c r="G78" i="11"/>
  <c r="H78" i="11"/>
  <c r="I78" i="11"/>
  <c r="J78" i="11"/>
  <c r="K78" i="11"/>
  <c r="F79" i="11"/>
  <c r="G79" i="11"/>
  <c r="H79" i="11"/>
  <c r="K79" i="11"/>
  <c r="G80" i="11"/>
  <c r="H80" i="11"/>
  <c r="J80" i="11"/>
  <c r="K80" i="11"/>
  <c r="F81" i="11"/>
  <c r="G81" i="11"/>
  <c r="H81" i="11"/>
  <c r="K81" i="11"/>
  <c r="G82" i="11"/>
  <c r="H82" i="11"/>
  <c r="K82" i="11"/>
  <c r="F83" i="11"/>
  <c r="G83" i="11"/>
  <c r="H83" i="11"/>
  <c r="K83" i="11"/>
  <c r="G84" i="11"/>
  <c r="H84" i="11"/>
  <c r="J84" i="11"/>
  <c r="K84" i="11"/>
  <c r="F85" i="11"/>
  <c r="G85" i="11"/>
  <c r="H85" i="11"/>
  <c r="K85" i="11"/>
  <c r="G86" i="11"/>
  <c r="H86" i="11"/>
  <c r="K86" i="11"/>
  <c r="F87" i="11"/>
  <c r="G87" i="11"/>
  <c r="H87" i="11"/>
  <c r="K87" i="11"/>
  <c r="G88" i="11"/>
  <c r="H88" i="11"/>
  <c r="J88" i="11"/>
  <c r="K88" i="11"/>
  <c r="E62" i="11"/>
  <c r="H62" i="11"/>
  <c r="J62" i="11"/>
  <c r="K62" i="11"/>
  <c r="E63" i="11"/>
  <c r="G63" i="11"/>
  <c r="H63" i="11"/>
  <c r="J63" i="11"/>
  <c r="K63" i="11"/>
  <c r="E64" i="11"/>
  <c r="G64" i="11"/>
  <c r="H64" i="11"/>
  <c r="J64" i="11"/>
  <c r="K64" i="11"/>
  <c r="E65" i="11"/>
  <c r="G65" i="11"/>
  <c r="H65" i="11"/>
  <c r="J65" i="11"/>
  <c r="K65" i="11"/>
  <c r="E66" i="11"/>
  <c r="G66" i="11"/>
  <c r="H66" i="11"/>
  <c r="J66" i="11"/>
  <c r="K66" i="11"/>
  <c r="G67" i="11"/>
  <c r="H67" i="11"/>
  <c r="J67" i="11"/>
  <c r="K67" i="11"/>
  <c r="G68" i="11"/>
  <c r="H68" i="11"/>
  <c r="J68" i="11"/>
  <c r="K68" i="11"/>
  <c r="G69" i="11"/>
  <c r="H69" i="11"/>
  <c r="J69" i="11"/>
  <c r="K69" i="11"/>
  <c r="G70" i="11"/>
  <c r="H70" i="11"/>
  <c r="J70" i="11"/>
  <c r="K70" i="11"/>
  <c r="E71" i="11"/>
  <c r="G71" i="11"/>
  <c r="H71" i="11"/>
  <c r="J71" i="11"/>
  <c r="K71" i="11"/>
  <c r="G72" i="11"/>
  <c r="H72" i="11"/>
  <c r="J72" i="11"/>
  <c r="K72" i="11"/>
  <c r="G73" i="11"/>
  <c r="H73" i="11"/>
  <c r="J73" i="11"/>
  <c r="K73" i="11"/>
  <c r="G74" i="11"/>
  <c r="H74" i="11"/>
  <c r="J74" i="11"/>
  <c r="K74" i="11"/>
  <c r="F75" i="11"/>
  <c r="G75" i="11"/>
  <c r="H75" i="11"/>
  <c r="K75" i="11"/>
  <c r="F52" i="11"/>
  <c r="G52" i="11"/>
  <c r="H52" i="11"/>
  <c r="J52" i="11"/>
  <c r="K52" i="11"/>
  <c r="F53" i="11"/>
  <c r="G53" i="11"/>
  <c r="H53" i="11"/>
  <c r="J53" i="11"/>
  <c r="K53" i="11"/>
  <c r="E54" i="11"/>
  <c r="F54" i="11"/>
  <c r="G54" i="11"/>
  <c r="H54" i="11"/>
  <c r="I54" i="11"/>
  <c r="J54" i="11"/>
  <c r="K54" i="11"/>
  <c r="E55" i="11"/>
  <c r="H55" i="11"/>
  <c r="J55" i="11"/>
  <c r="K55" i="11"/>
  <c r="E56" i="11"/>
  <c r="H56" i="11"/>
  <c r="J56" i="11"/>
  <c r="K56" i="11"/>
  <c r="E57" i="11"/>
  <c r="H57" i="11"/>
  <c r="J57" i="11"/>
  <c r="K57" i="11"/>
  <c r="E58" i="11"/>
  <c r="G58" i="11"/>
  <c r="H58" i="11"/>
  <c r="J58" i="11"/>
  <c r="K58" i="11"/>
  <c r="E59" i="11"/>
  <c r="F59" i="11"/>
  <c r="G59" i="11"/>
  <c r="H59" i="11"/>
  <c r="I59" i="11"/>
  <c r="J59" i="11"/>
  <c r="K59" i="11"/>
  <c r="G60" i="11"/>
  <c r="H60" i="11"/>
  <c r="J60" i="11"/>
  <c r="K60" i="11"/>
  <c r="E61" i="11"/>
  <c r="G61" i="11"/>
  <c r="H61" i="11"/>
  <c r="J61" i="11"/>
  <c r="K61" i="11"/>
  <c r="E51" i="11"/>
  <c r="C44" i="11"/>
  <c r="I88" i="11" s="1"/>
  <c r="C43" i="11"/>
  <c r="I87" i="11" s="1"/>
  <c r="C42" i="11"/>
  <c r="E86" i="11" s="1"/>
  <c r="C41" i="11"/>
  <c r="E85" i="11" s="1"/>
  <c r="C40" i="11"/>
  <c r="E84" i="11" s="1"/>
  <c r="C39" i="11"/>
  <c r="E83" i="11" s="1"/>
  <c r="C38" i="11"/>
  <c r="F82" i="11" s="1"/>
  <c r="C37" i="11"/>
  <c r="E81" i="11" s="1"/>
  <c r="C36" i="11"/>
  <c r="I80" i="11" s="1"/>
  <c r="C35" i="11"/>
  <c r="E79" i="11" s="1"/>
  <c r="C33" i="11"/>
  <c r="E77" i="11" s="1"/>
  <c r="C32" i="11"/>
  <c r="E76" i="11" s="1"/>
  <c r="C31" i="11"/>
  <c r="E75" i="11" s="1"/>
  <c r="C30" i="11"/>
  <c r="E74" i="11" s="1"/>
  <c r="C29" i="11"/>
  <c r="I73" i="11" s="1"/>
  <c r="C28" i="11"/>
  <c r="F72" i="11" s="1"/>
  <c r="C27" i="11"/>
  <c r="F71" i="11" s="1"/>
  <c r="C26" i="11"/>
  <c r="F70" i="11" s="1"/>
  <c r="C25" i="11"/>
  <c r="F69" i="11" s="1"/>
  <c r="C24" i="11"/>
  <c r="I68" i="11" s="1"/>
  <c r="C23" i="11"/>
  <c r="F67" i="11" s="1"/>
  <c r="C22" i="11"/>
  <c r="I66" i="11" s="1"/>
  <c r="C21" i="11"/>
  <c r="F65" i="11" s="1"/>
  <c r="C20" i="11"/>
  <c r="I64" i="11" s="1"/>
  <c r="C19" i="11"/>
  <c r="F63" i="11" s="1"/>
  <c r="C18" i="11"/>
  <c r="G62" i="11" s="1"/>
  <c r="C17" i="11"/>
  <c r="F61" i="11" s="1"/>
  <c r="C16" i="11"/>
  <c r="F60" i="11" s="1"/>
  <c r="C14" i="11"/>
  <c r="F58" i="11" s="1"/>
  <c r="C13" i="11"/>
  <c r="G57" i="11" s="1"/>
  <c r="C12" i="11"/>
  <c r="I56" i="11" s="1"/>
  <c r="C11" i="11"/>
  <c r="G55" i="11" s="1"/>
  <c r="C9" i="11"/>
  <c r="E53" i="11" s="1"/>
  <c r="C8" i="11"/>
  <c r="E52" i="11" s="1"/>
  <c r="F54" i="10"/>
  <c r="F53" i="10"/>
  <c r="F52" i="10"/>
  <c r="C22" i="10"/>
  <c r="F51" i="10" s="1"/>
  <c r="C21" i="10"/>
  <c r="F50" i="10" s="1"/>
  <c r="C20" i="10"/>
  <c r="F49" i="10" s="1"/>
  <c r="F47" i="10"/>
  <c r="C15" i="10"/>
  <c r="C14" i="10"/>
  <c r="C12" i="10"/>
  <c r="C11" i="10"/>
  <c r="G40" i="10" s="1"/>
  <c r="F39" i="10"/>
  <c r="C9" i="10"/>
  <c r="F38" i="10" s="1"/>
  <c r="C7" i="10"/>
  <c r="C21" i="9"/>
  <c r="F50" i="9" s="1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F52" i="8"/>
  <c r="C14" i="8"/>
  <c r="C13" i="8"/>
  <c r="C12" i="8"/>
  <c r="C11" i="8"/>
  <c r="C10" i="8"/>
  <c r="C8" i="8"/>
  <c r="C32" i="6"/>
  <c r="C31" i="6"/>
  <c r="C30" i="6"/>
  <c r="C29" i="6"/>
  <c r="C28" i="6"/>
  <c r="J57" i="6" s="1"/>
  <c r="C27" i="6"/>
  <c r="C26" i="6"/>
  <c r="C25" i="6"/>
  <c r="C24" i="6"/>
  <c r="E53" i="6" s="1"/>
  <c r="C23" i="6"/>
  <c r="F52" i="6" s="1"/>
  <c r="C22" i="6"/>
  <c r="E51" i="6" s="1"/>
  <c r="C21" i="6"/>
  <c r="E50" i="6" s="1"/>
  <c r="C20" i="6"/>
  <c r="E49" i="6" s="1"/>
  <c r="C19" i="6"/>
  <c r="C18" i="6"/>
  <c r="C17" i="6"/>
  <c r="C16" i="6"/>
  <c r="E45" i="6" s="1"/>
  <c r="C15" i="6"/>
  <c r="C14" i="6"/>
  <c r="C13" i="6"/>
  <c r="C12" i="6"/>
  <c r="E41" i="6" s="1"/>
  <c r="C11" i="6"/>
  <c r="C10" i="6"/>
  <c r="C9" i="6"/>
  <c r="C8" i="6"/>
  <c r="E37" i="6" s="1"/>
  <c r="C28" i="5"/>
  <c r="E57" i="5" s="1"/>
  <c r="C27" i="5"/>
  <c r="C26" i="5"/>
  <c r="C25" i="5"/>
  <c r="C24" i="5"/>
  <c r="C23" i="5"/>
  <c r="C22" i="5"/>
  <c r="C21" i="5"/>
  <c r="C20" i="5"/>
  <c r="C19" i="5"/>
  <c r="C18" i="5"/>
  <c r="C17" i="5"/>
  <c r="C15" i="5"/>
  <c r="C14" i="5"/>
  <c r="C13" i="5"/>
  <c r="C12" i="5"/>
  <c r="C11" i="5"/>
  <c r="C10" i="5"/>
  <c r="C9" i="5"/>
  <c r="C8" i="5"/>
  <c r="C7" i="5"/>
  <c r="C85" i="3"/>
  <c r="G165" i="3" s="1"/>
  <c r="C83" i="3"/>
  <c r="G163" i="3" s="1"/>
  <c r="C84" i="3"/>
  <c r="J164" i="3" s="1"/>
  <c r="C78" i="3"/>
  <c r="C79" i="3"/>
  <c r="G159" i="3" s="1"/>
  <c r="C80" i="3"/>
  <c r="J160" i="3" s="1"/>
  <c r="C81" i="3"/>
  <c r="J161" i="3" s="1"/>
  <c r="C82" i="3"/>
  <c r="G162" i="3" s="1"/>
  <c r="C77" i="3"/>
  <c r="J157" i="3" s="1"/>
  <c r="C74" i="3"/>
  <c r="C75" i="3"/>
  <c r="I155" i="3" s="1"/>
  <c r="C73" i="3"/>
  <c r="F153" i="3" s="1"/>
  <c r="C66" i="3"/>
  <c r="F146" i="3" s="1"/>
  <c r="C67" i="3"/>
  <c r="F147" i="3" s="1"/>
  <c r="C68" i="3"/>
  <c r="F148" i="3" s="1"/>
  <c r="C69" i="3"/>
  <c r="C70" i="3"/>
  <c r="C71" i="3"/>
  <c r="F151" i="3" s="1"/>
  <c r="C65" i="3"/>
  <c r="J145" i="3" s="1"/>
  <c r="C63" i="3"/>
  <c r="J143" i="3" s="1"/>
  <c r="C47" i="3"/>
  <c r="G127" i="3" s="1"/>
  <c r="C48" i="3"/>
  <c r="G128" i="3" s="1"/>
  <c r="C49" i="3"/>
  <c r="C50" i="3"/>
  <c r="C51" i="3"/>
  <c r="C52" i="3"/>
  <c r="F132" i="3" s="1"/>
  <c r="C53" i="3"/>
  <c r="F133" i="3" s="1"/>
  <c r="C54" i="3"/>
  <c r="C55" i="3"/>
  <c r="C56" i="3"/>
  <c r="J136" i="3" s="1"/>
  <c r="C57" i="3"/>
  <c r="J137" i="3" s="1"/>
  <c r="C58" i="3"/>
  <c r="G138" i="3" s="1"/>
  <c r="C59" i="3"/>
  <c r="F139" i="3" s="1"/>
  <c r="C60" i="3"/>
  <c r="E140" i="3" s="1"/>
  <c r="C61" i="3"/>
  <c r="F141" i="3" s="1"/>
  <c r="C46" i="3"/>
  <c r="J126" i="3" s="1"/>
  <c r="C41" i="3"/>
  <c r="F121" i="3" s="1"/>
  <c r="C42" i="3"/>
  <c r="E122" i="3" s="1"/>
  <c r="C43" i="3"/>
  <c r="G123" i="3" s="1"/>
  <c r="C44" i="3"/>
  <c r="G124" i="3" s="1"/>
  <c r="C40" i="3"/>
  <c r="E120" i="3" s="1"/>
  <c r="C37" i="3"/>
  <c r="C38" i="3"/>
  <c r="E118" i="3" s="1"/>
  <c r="C34" i="3"/>
  <c r="C35" i="3"/>
  <c r="C36" i="3"/>
  <c r="E116" i="3" s="1"/>
  <c r="C28" i="3"/>
  <c r="C29" i="3"/>
  <c r="C30" i="3"/>
  <c r="C31" i="3"/>
  <c r="C32" i="3"/>
  <c r="C23" i="3"/>
  <c r="C24" i="3"/>
  <c r="C25" i="3"/>
  <c r="C26" i="3"/>
  <c r="C27" i="3"/>
  <c r="E76" i="13" l="1"/>
  <c r="J72" i="13"/>
  <c r="J67" i="13"/>
  <c r="J86" i="11"/>
  <c r="J82" i="11"/>
  <c r="F165" i="3"/>
  <c r="F55" i="7"/>
  <c r="J41" i="6"/>
  <c r="K51" i="10"/>
  <c r="K49" i="10"/>
  <c r="E61" i="12"/>
  <c r="G41" i="14"/>
  <c r="F60" i="13"/>
  <c r="I48" i="13"/>
  <c r="F88" i="11"/>
  <c r="J85" i="11"/>
  <c r="F84" i="11"/>
  <c r="J81" i="11"/>
  <c r="F80" i="11"/>
  <c r="F164" i="3"/>
  <c r="F159" i="3"/>
  <c r="G143" i="3"/>
  <c r="F80" i="7"/>
  <c r="F74" i="7"/>
  <c r="F51" i="6"/>
  <c r="J50" i="10"/>
  <c r="F102" i="12"/>
  <c r="F60" i="12"/>
  <c r="F59" i="13"/>
  <c r="F56" i="13"/>
  <c r="I54" i="13"/>
  <c r="E53" i="13"/>
  <c r="F46" i="13"/>
  <c r="F77" i="11"/>
  <c r="F157" i="3"/>
  <c r="G133" i="3"/>
  <c r="I59" i="7"/>
  <c r="F51" i="7"/>
  <c r="E94" i="12"/>
  <c r="E67" i="12"/>
  <c r="J62" i="13"/>
  <c r="E52" i="13"/>
  <c r="I50" i="13"/>
  <c r="E60" i="11"/>
  <c r="F56" i="11"/>
  <c r="J75" i="11"/>
  <c r="F74" i="11"/>
  <c r="J87" i="11"/>
  <c r="F86" i="11"/>
  <c r="J83" i="11"/>
  <c r="J79" i="11"/>
  <c r="J77" i="11"/>
  <c r="F76" i="11"/>
  <c r="F162" i="3"/>
  <c r="F68" i="7"/>
  <c r="F65" i="7"/>
  <c r="F63" i="7"/>
  <c r="F62" i="7"/>
  <c r="F61" i="7"/>
  <c r="F53" i="6"/>
  <c r="F49" i="6"/>
  <c r="G51" i="10"/>
  <c r="E96" i="12"/>
  <c r="E92" i="12"/>
  <c r="E91" i="12"/>
  <c r="J81" i="12"/>
  <c r="F75" i="12"/>
  <c r="E62" i="12"/>
  <c r="J58" i="13"/>
  <c r="F58" i="13"/>
  <c r="I55" i="13"/>
  <c r="I52" i="13"/>
  <c r="E51" i="13"/>
  <c r="I49" i="13"/>
  <c r="F48" i="13"/>
  <c r="J59" i="7"/>
  <c r="F56" i="7"/>
  <c r="J53" i="7"/>
  <c r="J52" i="7"/>
  <c r="E65" i="13"/>
  <c r="E49" i="13"/>
  <c r="J63" i="13"/>
  <c r="J59" i="13"/>
  <c r="J55" i="13"/>
  <c r="J51" i="13"/>
  <c r="J47" i="13"/>
  <c r="E57" i="13"/>
  <c r="J64" i="13"/>
  <c r="J60" i="13"/>
  <c r="J56" i="13"/>
  <c r="J52" i="13"/>
  <c r="J48" i="13"/>
  <c r="J61" i="13"/>
  <c r="J53" i="13"/>
  <c r="F154" i="3"/>
  <c r="G154" i="3"/>
  <c r="F84" i="13"/>
  <c r="J84" i="13"/>
  <c r="H136" i="3"/>
  <c r="J63" i="12"/>
  <c r="F135" i="3"/>
  <c r="G135" i="3"/>
  <c r="J150" i="3"/>
  <c r="G150" i="3"/>
  <c r="I146" i="3"/>
  <c r="G146" i="3"/>
  <c r="E39" i="6"/>
  <c r="J39" i="6"/>
  <c r="E43" i="6"/>
  <c r="F43" i="6"/>
  <c r="E47" i="6"/>
  <c r="J47" i="6"/>
  <c r="E70" i="11"/>
  <c r="G120" i="3"/>
  <c r="G157" i="3"/>
  <c r="J153" i="3"/>
  <c r="J151" i="3"/>
  <c r="E79" i="7"/>
  <c r="J79" i="7"/>
  <c r="J97" i="12"/>
  <c r="J71" i="12"/>
  <c r="G65" i="12"/>
  <c r="E38" i="6"/>
  <c r="J38" i="6"/>
  <c r="F57" i="11"/>
  <c r="E59" i="12"/>
  <c r="E110" i="12" s="1"/>
  <c r="J59" i="12"/>
  <c r="J110" i="12" s="1"/>
  <c r="G59" i="12"/>
  <c r="G110" i="12" s="1"/>
  <c r="G122" i="3"/>
  <c r="E139" i="3"/>
  <c r="G139" i="3"/>
  <c r="J134" i="3"/>
  <c r="G134" i="3"/>
  <c r="F143" i="3"/>
  <c r="H143" i="3"/>
  <c r="J158" i="3"/>
  <c r="G158" i="3"/>
  <c r="E44" i="6"/>
  <c r="I44" i="6"/>
  <c r="F55" i="11"/>
  <c r="E68" i="11"/>
  <c r="F61" i="12"/>
  <c r="J61" i="12"/>
  <c r="F69" i="12"/>
  <c r="J69" i="12"/>
  <c r="J73" i="12"/>
  <c r="F73" i="12"/>
  <c r="E78" i="12"/>
  <c r="J78" i="12"/>
  <c r="F78" i="12"/>
  <c r="I99" i="12"/>
  <c r="J99" i="12"/>
  <c r="I103" i="12"/>
  <c r="J103" i="12"/>
  <c r="F103" i="12"/>
  <c r="G147" i="3"/>
  <c r="G132" i="3"/>
  <c r="E86" i="7"/>
  <c r="I86" i="7"/>
  <c r="E82" i="7"/>
  <c r="F82" i="7"/>
  <c r="J82" i="7"/>
  <c r="E78" i="7"/>
  <c r="J78" i="7"/>
  <c r="J63" i="7"/>
  <c r="J83" i="7"/>
  <c r="J87" i="12"/>
  <c r="J83" i="12"/>
  <c r="J79" i="12"/>
  <c r="J117" i="3"/>
  <c r="G117" i="3"/>
  <c r="E42" i="6"/>
  <c r="F42" i="6"/>
  <c r="E46" i="6"/>
  <c r="J46" i="6"/>
  <c r="E80" i="12"/>
  <c r="F80" i="12"/>
  <c r="J80" i="12"/>
  <c r="G84" i="12"/>
  <c r="J84" i="12"/>
  <c r="J88" i="12"/>
  <c r="F88" i="12"/>
  <c r="I101" i="12"/>
  <c r="G101" i="12"/>
  <c r="J121" i="3"/>
  <c r="G121" i="3"/>
  <c r="E131" i="3"/>
  <c r="G131" i="3"/>
  <c r="F138" i="3"/>
  <c r="H138" i="3"/>
  <c r="J130" i="3"/>
  <c r="G130" i="3"/>
  <c r="F149" i="3"/>
  <c r="H149" i="3"/>
  <c r="F40" i="6"/>
  <c r="J40" i="6"/>
  <c r="E48" i="6"/>
  <c r="J48" i="6"/>
  <c r="E72" i="11"/>
  <c r="E67" i="11"/>
  <c r="F62" i="11"/>
  <c r="J66" i="12"/>
  <c r="G66" i="12"/>
  <c r="J74" i="12"/>
  <c r="G74" i="12"/>
  <c r="I100" i="12"/>
  <c r="J100" i="12"/>
  <c r="G116" i="3"/>
  <c r="G153" i="3"/>
  <c r="H151" i="3"/>
  <c r="G140" i="3"/>
  <c r="G126" i="3"/>
  <c r="J52" i="6"/>
  <c r="J75" i="12"/>
  <c r="F70" i="12"/>
  <c r="J65" i="7"/>
  <c r="J61" i="7"/>
  <c r="F58" i="7"/>
  <c r="E73" i="11"/>
  <c r="E69" i="11"/>
  <c r="G118" i="3"/>
  <c r="H161" i="3"/>
  <c r="G155" i="3"/>
  <c r="G145" i="3"/>
  <c r="H133" i="3"/>
  <c r="F81" i="7"/>
  <c r="J72" i="7"/>
  <c r="J64" i="7"/>
  <c r="J58" i="7"/>
  <c r="F57" i="7"/>
  <c r="J54" i="7"/>
  <c r="F53" i="7"/>
  <c r="J50" i="7"/>
  <c r="J37" i="6"/>
  <c r="J98" i="12"/>
  <c r="J70" i="7"/>
  <c r="F69" i="7"/>
  <c r="J66" i="7"/>
  <c r="J62" i="7"/>
  <c r="J77" i="7"/>
  <c r="F54" i="7"/>
  <c r="I84" i="7"/>
  <c r="I53" i="6"/>
  <c r="I49" i="6"/>
  <c r="I45" i="6"/>
  <c r="I41" i="6"/>
  <c r="I37" i="6"/>
  <c r="F99" i="12"/>
  <c r="I98" i="12"/>
  <c r="I80" i="12"/>
  <c r="F155" i="3"/>
  <c r="F116" i="3"/>
  <c r="J155" i="3"/>
  <c r="F120" i="3"/>
  <c r="F118" i="3"/>
  <c r="G164" i="3"/>
  <c r="J159" i="3"/>
  <c r="E146" i="3"/>
  <c r="I63" i="7"/>
  <c r="I85" i="7"/>
  <c r="I50" i="6"/>
  <c r="I46" i="6"/>
  <c r="I42" i="6"/>
  <c r="I38" i="6"/>
  <c r="F100" i="12"/>
  <c r="I81" i="12"/>
  <c r="I59" i="12"/>
  <c r="I110" i="12" s="1"/>
  <c r="F117" i="3"/>
  <c r="J154" i="3"/>
  <c r="J135" i="3"/>
  <c r="F131" i="3"/>
  <c r="I82" i="7"/>
  <c r="I51" i="6"/>
  <c r="I47" i="6"/>
  <c r="I43" i="6"/>
  <c r="I39" i="6"/>
  <c r="F101" i="12"/>
  <c r="I78" i="12"/>
  <c r="I60" i="12"/>
  <c r="E103" i="12"/>
  <c r="I51" i="7"/>
  <c r="E51" i="7"/>
  <c r="I55" i="7"/>
  <c r="E55" i="7"/>
  <c r="E67" i="7"/>
  <c r="I67" i="7"/>
  <c r="E71" i="7"/>
  <c r="I71" i="7"/>
  <c r="I75" i="7"/>
  <c r="E75" i="7"/>
  <c r="J48" i="14"/>
  <c r="G48" i="14"/>
  <c r="G47" i="14"/>
  <c r="J47" i="14"/>
  <c r="J46" i="14"/>
  <c r="G46" i="14"/>
  <c r="I45" i="14"/>
  <c r="E45" i="14"/>
  <c r="I44" i="14"/>
  <c r="E44" i="14"/>
  <c r="I43" i="14"/>
  <c r="E43" i="14"/>
  <c r="E42" i="14"/>
  <c r="I42" i="14"/>
  <c r="I41" i="14"/>
  <c r="E41" i="14"/>
  <c r="I40" i="14"/>
  <c r="F40" i="14"/>
  <c r="F39" i="14"/>
  <c r="I39" i="14"/>
  <c r="F38" i="14"/>
  <c r="I38" i="14"/>
  <c r="F37" i="14"/>
  <c r="I37" i="14"/>
  <c r="E102" i="12"/>
  <c r="I102" i="12"/>
  <c r="I97" i="12"/>
  <c r="E97" i="12"/>
  <c r="F96" i="12"/>
  <c r="I96" i="12"/>
  <c r="I94" i="12"/>
  <c r="F94" i="12"/>
  <c r="I93" i="12"/>
  <c r="F93" i="12"/>
  <c r="I92" i="12"/>
  <c r="F92" i="12"/>
  <c r="I91" i="12"/>
  <c r="F91" i="12"/>
  <c r="I90" i="12"/>
  <c r="E90" i="12"/>
  <c r="I89" i="12"/>
  <c r="E89" i="12"/>
  <c r="I88" i="12"/>
  <c r="E88" i="12"/>
  <c r="I87" i="12"/>
  <c r="E87" i="12"/>
  <c r="E86" i="12"/>
  <c r="I86" i="12"/>
  <c r="I85" i="12"/>
  <c r="E85" i="12"/>
  <c r="E84" i="12"/>
  <c r="I84" i="12"/>
  <c r="I83" i="12"/>
  <c r="E83" i="12"/>
  <c r="I82" i="12"/>
  <c r="E82" i="12"/>
  <c r="I76" i="12"/>
  <c r="E76" i="12"/>
  <c r="I75" i="12"/>
  <c r="E75" i="12"/>
  <c r="I74" i="12"/>
  <c r="E74" i="12"/>
  <c r="I73" i="12"/>
  <c r="E73" i="12"/>
  <c r="I72" i="12"/>
  <c r="E72" i="12"/>
  <c r="I71" i="12"/>
  <c r="E71" i="12"/>
  <c r="E70" i="12"/>
  <c r="I70" i="12"/>
  <c r="I69" i="12"/>
  <c r="E69" i="12"/>
  <c r="E68" i="12"/>
  <c r="I68" i="12"/>
  <c r="I67" i="12"/>
  <c r="F67" i="12"/>
  <c r="F66" i="12"/>
  <c r="I66" i="12"/>
  <c r="F65" i="12"/>
  <c r="I65" i="12"/>
  <c r="F64" i="12"/>
  <c r="I64" i="12"/>
  <c r="I63" i="12"/>
  <c r="F63" i="12"/>
  <c r="F62" i="12"/>
  <c r="I62" i="12"/>
  <c r="E82" i="11"/>
  <c r="I82" i="11"/>
  <c r="E55" i="10"/>
  <c r="I55" i="10"/>
  <c r="E54" i="10"/>
  <c r="I54" i="10"/>
  <c r="I53" i="10"/>
  <c r="E53" i="10"/>
  <c r="I52" i="10"/>
  <c r="E52" i="10"/>
  <c r="E51" i="10"/>
  <c r="I51" i="10"/>
  <c r="I50" i="10"/>
  <c r="E50" i="10"/>
  <c r="E49" i="10"/>
  <c r="I49" i="10"/>
  <c r="E47" i="10"/>
  <c r="I47" i="10"/>
  <c r="E46" i="10"/>
  <c r="I46" i="10"/>
  <c r="F45" i="10"/>
  <c r="J45" i="10"/>
  <c r="I44" i="10"/>
  <c r="F44" i="10"/>
  <c r="F43" i="10"/>
  <c r="I43" i="10"/>
  <c r="I42" i="10"/>
  <c r="F42" i="10"/>
  <c r="F41" i="10"/>
  <c r="I41" i="10"/>
  <c r="E40" i="10"/>
  <c r="J40" i="10"/>
  <c r="I39" i="10"/>
  <c r="G39" i="10"/>
  <c r="I38" i="10"/>
  <c r="G38" i="10"/>
  <c r="I37" i="10"/>
  <c r="E37" i="10"/>
  <c r="E61" i="6"/>
  <c r="I61" i="6"/>
  <c r="I60" i="6"/>
  <c r="E60" i="6"/>
  <c r="I59" i="6"/>
  <c r="E59" i="6"/>
  <c r="I58" i="6"/>
  <c r="E58" i="6"/>
  <c r="I57" i="6"/>
  <c r="E57" i="6"/>
  <c r="I56" i="6"/>
  <c r="E56" i="6"/>
  <c r="E55" i="6"/>
  <c r="I55" i="6"/>
  <c r="E54" i="6"/>
  <c r="I54" i="6"/>
  <c r="E127" i="3"/>
  <c r="J127" i="3"/>
  <c r="J128" i="3"/>
  <c r="F128" i="3"/>
  <c r="J129" i="3"/>
  <c r="F129" i="3"/>
  <c r="E123" i="3"/>
  <c r="F123" i="3"/>
  <c r="E124" i="3"/>
  <c r="F124" i="3"/>
  <c r="I80" i="7"/>
  <c r="I76" i="7"/>
  <c r="I72" i="7"/>
  <c r="I68" i="7"/>
  <c r="I64" i="7"/>
  <c r="I60" i="7"/>
  <c r="I56" i="7"/>
  <c r="I52" i="7"/>
  <c r="I81" i="7"/>
  <c r="I77" i="7"/>
  <c r="I73" i="7"/>
  <c r="I69" i="7"/>
  <c r="I65" i="7"/>
  <c r="I61" i="7"/>
  <c r="I57" i="7"/>
  <c r="I53" i="7"/>
  <c r="I78" i="7"/>
  <c r="I74" i="7"/>
  <c r="I70" i="7"/>
  <c r="I66" i="7"/>
  <c r="I62" i="7"/>
  <c r="I58" i="7"/>
  <c r="I54" i="7"/>
  <c r="I50" i="7"/>
  <c r="J162" i="3"/>
  <c r="E157" i="3"/>
  <c r="I153" i="3"/>
  <c r="F150" i="3"/>
  <c r="J138" i="3"/>
  <c r="F134" i="3"/>
  <c r="F126" i="3"/>
  <c r="F68" i="11"/>
  <c r="E88" i="11"/>
  <c r="J163" i="3"/>
  <c r="G160" i="3"/>
  <c r="E158" i="3"/>
  <c r="I154" i="3"/>
  <c r="J147" i="3"/>
  <c r="J139" i="3"/>
  <c r="J131" i="3"/>
  <c r="F127" i="3"/>
  <c r="E126" i="3"/>
  <c r="J123" i="3"/>
  <c r="I84" i="11"/>
  <c r="G161" i="3"/>
  <c r="J148" i="3"/>
  <c r="F136" i="3"/>
  <c r="J132" i="3"/>
  <c r="J124" i="3"/>
  <c r="E80" i="11"/>
  <c r="J149" i="3"/>
  <c r="F145" i="3"/>
  <c r="J141" i="3"/>
  <c r="I140" i="3"/>
  <c r="F137" i="3"/>
  <c r="J133" i="3"/>
  <c r="E128" i="3"/>
  <c r="E87" i="11"/>
  <c r="J122" i="3"/>
  <c r="J165" i="3"/>
  <c r="E129" i="3"/>
  <c r="E121" i="3"/>
  <c r="I86" i="11"/>
  <c r="I118" i="3"/>
  <c r="J120" i="3"/>
  <c r="J116" i="3"/>
  <c r="I77" i="11"/>
  <c r="I70" i="11"/>
  <c r="I60" i="11"/>
  <c r="F73" i="11"/>
  <c r="I79" i="11"/>
  <c r="I75" i="11"/>
  <c r="I81" i="11"/>
  <c r="F64" i="11"/>
  <c r="I72" i="11"/>
  <c r="I83" i="11"/>
  <c r="I76" i="11"/>
  <c r="I85" i="11"/>
  <c r="F66" i="11"/>
  <c r="I63" i="11"/>
  <c r="I65" i="11"/>
  <c r="I74" i="11"/>
  <c r="I67" i="11"/>
  <c r="G56" i="11"/>
  <c r="I69" i="11"/>
  <c r="I62" i="11"/>
  <c r="I71" i="11"/>
  <c r="I58" i="11"/>
  <c r="I53" i="11"/>
  <c r="I55" i="11"/>
  <c r="I57" i="11"/>
  <c r="I52" i="11"/>
  <c r="I61" i="11"/>
  <c r="C8" i="7"/>
  <c r="C9" i="4"/>
  <c r="C10" i="4"/>
  <c r="C11" i="4"/>
  <c r="C12" i="4"/>
  <c r="C13" i="4"/>
  <c r="C14" i="4"/>
  <c r="C15" i="4"/>
  <c r="C16" i="4"/>
  <c r="C17" i="4"/>
  <c r="C18" i="4"/>
  <c r="C19" i="4"/>
  <c r="F48" i="4" s="1"/>
  <c r="C8" i="4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8" i="1"/>
  <c r="F111" i="3"/>
  <c r="C33" i="3"/>
  <c r="K113" i="3" s="1"/>
  <c r="F114" i="3"/>
  <c r="C9" i="3"/>
  <c r="E89" i="3" s="1"/>
  <c r="C10" i="3"/>
  <c r="H90" i="3" s="1"/>
  <c r="C11" i="3"/>
  <c r="E91" i="3" s="1"/>
  <c r="C12" i="3"/>
  <c r="K92" i="3" s="1"/>
  <c r="C13" i="3"/>
  <c r="E93" i="3" s="1"/>
  <c r="C14" i="3"/>
  <c r="C15" i="3"/>
  <c r="F95" i="3" s="1"/>
  <c r="C16" i="3"/>
  <c r="F96" i="3" s="1"/>
  <c r="C17" i="3"/>
  <c r="C18" i="3"/>
  <c r="C19" i="3"/>
  <c r="F99" i="3" s="1"/>
  <c r="C20" i="3"/>
  <c r="E100" i="3" s="1"/>
  <c r="C21" i="3"/>
  <c r="I101" i="3" s="1"/>
  <c r="C22" i="3"/>
  <c r="I102" i="3" s="1"/>
  <c r="C8" i="3"/>
  <c r="E88" i="3" s="1"/>
  <c r="D23" i="1"/>
  <c r="K102" i="3"/>
  <c r="H117" i="16"/>
  <c r="J117" i="16" s="1"/>
  <c r="J118" i="16" s="1"/>
  <c r="G88" i="3"/>
  <c r="I88" i="3"/>
  <c r="J88" i="3"/>
  <c r="G89" i="3"/>
  <c r="I89" i="3"/>
  <c r="J89" i="3"/>
  <c r="I90" i="3"/>
  <c r="J90" i="3"/>
  <c r="G91" i="3"/>
  <c r="I91" i="3"/>
  <c r="J91" i="3"/>
  <c r="E92" i="3"/>
  <c r="G92" i="3"/>
  <c r="I92" i="3"/>
  <c r="J92" i="3"/>
  <c r="F93" i="3"/>
  <c r="I93" i="3"/>
  <c r="K93" i="3"/>
  <c r="H94" i="3"/>
  <c r="I94" i="3"/>
  <c r="G95" i="3"/>
  <c r="H95" i="3"/>
  <c r="I95" i="3"/>
  <c r="H96" i="3"/>
  <c r="I96" i="3"/>
  <c r="G97" i="3"/>
  <c r="H97" i="3"/>
  <c r="I97" i="3"/>
  <c r="K97" i="3"/>
  <c r="G98" i="3"/>
  <c r="H98" i="3"/>
  <c r="I98" i="3"/>
  <c r="K98" i="3"/>
  <c r="G99" i="3"/>
  <c r="H99" i="3"/>
  <c r="I99" i="3"/>
  <c r="J99" i="3"/>
  <c r="F100" i="3"/>
  <c r="G100" i="3"/>
  <c r="H100" i="3"/>
  <c r="K100" i="3"/>
  <c r="F101" i="3"/>
  <c r="G101" i="3"/>
  <c r="H101" i="3"/>
  <c r="J101" i="3"/>
  <c r="K101" i="3"/>
  <c r="E102" i="3"/>
  <c r="G102" i="3"/>
  <c r="H102" i="3"/>
  <c r="J102" i="3"/>
  <c r="E103" i="3"/>
  <c r="F103" i="3"/>
  <c r="G103" i="3"/>
  <c r="H103" i="3"/>
  <c r="I103" i="3"/>
  <c r="J103" i="3"/>
  <c r="K103" i="3"/>
  <c r="E104" i="3"/>
  <c r="F104" i="3"/>
  <c r="G104" i="3"/>
  <c r="H104" i="3"/>
  <c r="I104" i="3"/>
  <c r="J104" i="3"/>
  <c r="K104" i="3"/>
  <c r="E105" i="3"/>
  <c r="F105" i="3"/>
  <c r="G105" i="3"/>
  <c r="H105" i="3"/>
  <c r="I105" i="3"/>
  <c r="J105" i="3"/>
  <c r="K105" i="3"/>
  <c r="E106" i="3"/>
  <c r="F106" i="3"/>
  <c r="G106" i="3"/>
  <c r="H106" i="3"/>
  <c r="I106" i="3"/>
  <c r="J106" i="3"/>
  <c r="K106" i="3"/>
  <c r="E107" i="3"/>
  <c r="F107" i="3"/>
  <c r="G107" i="3"/>
  <c r="H107" i="3"/>
  <c r="I107" i="3"/>
  <c r="J107" i="3"/>
  <c r="K107" i="3"/>
  <c r="E108" i="3"/>
  <c r="F108" i="3"/>
  <c r="G108" i="3"/>
  <c r="H108" i="3"/>
  <c r="I108" i="3"/>
  <c r="J108" i="3"/>
  <c r="K108" i="3"/>
  <c r="E109" i="3"/>
  <c r="F109" i="3"/>
  <c r="G109" i="3"/>
  <c r="H109" i="3"/>
  <c r="I109" i="3"/>
  <c r="J109" i="3"/>
  <c r="K109" i="3"/>
  <c r="E110" i="3"/>
  <c r="F110" i="3"/>
  <c r="G110" i="3"/>
  <c r="H110" i="3"/>
  <c r="I110" i="3"/>
  <c r="J110" i="3"/>
  <c r="K110" i="3"/>
  <c r="E111" i="3"/>
  <c r="G111" i="3"/>
  <c r="H111" i="3"/>
  <c r="I111" i="3"/>
  <c r="J111" i="3"/>
  <c r="E112" i="3"/>
  <c r="F112" i="3"/>
  <c r="G112" i="3"/>
  <c r="H112" i="3"/>
  <c r="I112" i="3"/>
  <c r="J112" i="3"/>
  <c r="K112" i="3"/>
  <c r="F113" i="3"/>
  <c r="G113" i="3"/>
  <c r="H113" i="3"/>
  <c r="I113" i="3"/>
  <c r="E114" i="3"/>
  <c r="G114" i="3"/>
  <c r="H114" i="3"/>
  <c r="I114" i="3"/>
  <c r="J114" i="3"/>
  <c r="K114" i="3"/>
  <c r="E115" i="3"/>
  <c r="F115" i="3"/>
  <c r="G115" i="3"/>
  <c r="H115" i="3"/>
  <c r="I115" i="3"/>
  <c r="J115" i="3"/>
  <c r="K115" i="3"/>
  <c r="H87" i="3"/>
  <c r="J49" i="7" l="1"/>
  <c r="K49" i="7"/>
  <c r="F49" i="7"/>
  <c r="J100" i="3"/>
  <c r="E89" i="11"/>
  <c r="G96" i="3"/>
  <c r="G90" i="3"/>
  <c r="F102" i="3"/>
  <c r="K94" i="3"/>
  <c r="G94" i="3"/>
  <c r="E97" i="3"/>
  <c r="F97" i="3"/>
  <c r="E98" i="3"/>
  <c r="F98" i="3"/>
  <c r="J98" i="3"/>
  <c r="E49" i="7"/>
  <c r="I49" i="7"/>
  <c r="F52" i="1"/>
  <c r="F90" i="3"/>
  <c r="K90" i="3"/>
  <c r="J97" i="3"/>
  <c r="H89" i="3"/>
  <c r="J96" i="3"/>
  <c r="E96" i="3"/>
  <c r="H92" i="3"/>
  <c r="K89" i="3"/>
  <c r="E101" i="3"/>
  <c r="F89" i="3"/>
  <c r="F92" i="3"/>
  <c r="I100" i="3"/>
  <c r="J93" i="3"/>
  <c r="H93" i="3"/>
  <c r="G93" i="3"/>
  <c r="J94" i="3"/>
  <c r="E94" i="3"/>
  <c r="E90" i="3"/>
  <c r="F91" i="3"/>
  <c r="J113" i="3"/>
  <c r="H88" i="3"/>
  <c r="E113" i="3"/>
  <c r="H91" i="3"/>
  <c r="K88" i="3"/>
  <c r="E99" i="3"/>
  <c r="J95" i="3"/>
  <c r="E95" i="3"/>
  <c r="K91" i="3"/>
  <c r="F88" i="3"/>
  <c r="K99" i="3"/>
  <c r="K111" i="3"/>
  <c r="K95" i="3"/>
  <c r="K96" i="3"/>
  <c r="F94" i="3"/>
  <c r="H167" i="3" l="1"/>
  <c r="G4" i="2" s="1"/>
  <c r="B3" i="14"/>
  <c r="B3" i="13"/>
  <c r="B3" i="12"/>
  <c r="B3" i="11"/>
  <c r="B3" i="10"/>
  <c r="B3" i="9"/>
  <c r="B3" i="8"/>
  <c r="B3" i="7"/>
  <c r="B3" i="6"/>
  <c r="B3" i="5"/>
  <c r="B3" i="4"/>
  <c r="K36" i="14"/>
  <c r="J36" i="14"/>
  <c r="I36" i="14"/>
  <c r="H36" i="14"/>
  <c r="G36" i="14"/>
  <c r="F36" i="14"/>
  <c r="E85" i="13"/>
  <c r="K83" i="13"/>
  <c r="J83" i="13"/>
  <c r="I83" i="13"/>
  <c r="H83" i="13"/>
  <c r="G83" i="13"/>
  <c r="F83" i="13"/>
  <c r="K58" i="12"/>
  <c r="K109" i="12" s="1"/>
  <c r="J58" i="12"/>
  <c r="J109" i="12" s="1"/>
  <c r="I58" i="12"/>
  <c r="I109" i="12" s="1"/>
  <c r="H58" i="12"/>
  <c r="H109" i="12" s="1"/>
  <c r="G58" i="12"/>
  <c r="G109" i="12" s="1"/>
  <c r="K51" i="11"/>
  <c r="J51" i="11"/>
  <c r="I51" i="11"/>
  <c r="H51" i="11"/>
  <c r="G51" i="11"/>
  <c r="F51" i="11"/>
  <c r="K36" i="10"/>
  <c r="J36" i="10"/>
  <c r="I36" i="10"/>
  <c r="H36" i="10"/>
  <c r="G36" i="10"/>
  <c r="F36" i="10"/>
  <c r="E36" i="10"/>
  <c r="K61" i="9"/>
  <c r="J61" i="9"/>
  <c r="I61" i="9"/>
  <c r="H61" i="9"/>
  <c r="G61" i="9"/>
  <c r="F61" i="9"/>
  <c r="E61" i="9"/>
  <c r="K60" i="9"/>
  <c r="J60" i="9"/>
  <c r="I60" i="9"/>
  <c r="H60" i="9"/>
  <c r="G60" i="9"/>
  <c r="F60" i="9"/>
  <c r="E60" i="9"/>
  <c r="K59" i="9"/>
  <c r="J59" i="9"/>
  <c r="I59" i="9"/>
  <c r="H59" i="9"/>
  <c r="G59" i="9"/>
  <c r="F59" i="9"/>
  <c r="E59" i="9"/>
  <c r="K58" i="9"/>
  <c r="J58" i="9"/>
  <c r="I58" i="9"/>
  <c r="H58" i="9"/>
  <c r="G58" i="9"/>
  <c r="F58" i="9"/>
  <c r="E58" i="9"/>
  <c r="K57" i="9"/>
  <c r="J57" i="9"/>
  <c r="I57" i="9"/>
  <c r="H57" i="9"/>
  <c r="G57" i="9"/>
  <c r="F57" i="9"/>
  <c r="E57" i="9"/>
  <c r="K56" i="9"/>
  <c r="J56" i="9"/>
  <c r="I56" i="9"/>
  <c r="H56" i="9"/>
  <c r="G56" i="9"/>
  <c r="F56" i="9"/>
  <c r="E56" i="9"/>
  <c r="K55" i="9"/>
  <c r="J55" i="9"/>
  <c r="I55" i="9"/>
  <c r="H55" i="9"/>
  <c r="G55" i="9"/>
  <c r="F55" i="9"/>
  <c r="E55" i="9"/>
  <c r="K54" i="9"/>
  <c r="J54" i="9"/>
  <c r="I54" i="9"/>
  <c r="H54" i="9"/>
  <c r="G54" i="9"/>
  <c r="F54" i="9"/>
  <c r="E54" i="9"/>
  <c r="K53" i="9"/>
  <c r="J53" i="9"/>
  <c r="I53" i="9"/>
  <c r="H53" i="9"/>
  <c r="G53" i="9"/>
  <c r="F53" i="9"/>
  <c r="E53" i="9"/>
  <c r="K52" i="9"/>
  <c r="J52" i="9"/>
  <c r="I52" i="9"/>
  <c r="H52" i="9"/>
  <c r="G52" i="9"/>
  <c r="F52" i="9"/>
  <c r="E52" i="9"/>
  <c r="K51" i="9"/>
  <c r="J51" i="9"/>
  <c r="I51" i="9"/>
  <c r="H51" i="9"/>
  <c r="G51" i="9"/>
  <c r="F51" i="9"/>
  <c r="E51" i="9"/>
  <c r="K50" i="9"/>
  <c r="J50" i="9"/>
  <c r="I50" i="9"/>
  <c r="H50" i="9"/>
  <c r="G50" i="9"/>
  <c r="E50" i="9"/>
  <c r="K49" i="9"/>
  <c r="J49" i="9"/>
  <c r="I49" i="9"/>
  <c r="H49" i="9"/>
  <c r="G49" i="9"/>
  <c r="F49" i="9"/>
  <c r="E49" i="9"/>
  <c r="K48" i="9"/>
  <c r="J48" i="9"/>
  <c r="I48" i="9"/>
  <c r="H48" i="9"/>
  <c r="G48" i="9"/>
  <c r="F48" i="9"/>
  <c r="E48" i="9"/>
  <c r="K47" i="9"/>
  <c r="J47" i="9"/>
  <c r="I47" i="9"/>
  <c r="H47" i="9"/>
  <c r="G47" i="9"/>
  <c r="F47" i="9"/>
  <c r="E47" i="9"/>
  <c r="K46" i="9"/>
  <c r="I46" i="9"/>
  <c r="H46" i="9"/>
  <c r="G46" i="9"/>
  <c r="E46" i="9"/>
  <c r="K45" i="9"/>
  <c r="J45" i="9"/>
  <c r="I45" i="9"/>
  <c r="H45" i="9"/>
  <c r="F45" i="9"/>
  <c r="E45" i="9"/>
  <c r="K44" i="9"/>
  <c r="I44" i="9"/>
  <c r="H44" i="9"/>
  <c r="F44" i="9"/>
  <c r="E44" i="9"/>
  <c r="K43" i="9"/>
  <c r="I43" i="9"/>
  <c r="H43" i="9"/>
  <c r="G43" i="9"/>
  <c r="F43" i="9"/>
  <c r="E43" i="9"/>
  <c r="K42" i="9"/>
  <c r="J42" i="9"/>
  <c r="I42" i="9"/>
  <c r="H42" i="9"/>
  <c r="G42" i="9"/>
  <c r="E42" i="9"/>
  <c r="K41" i="9"/>
  <c r="J41" i="9"/>
  <c r="I41" i="9"/>
  <c r="H41" i="9"/>
  <c r="G41" i="9"/>
  <c r="F41" i="9"/>
  <c r="E41" i="9"/>
  <c r="K40" i="9"/>
  <c r="I40" i="9"/>
  <c r="H40" i="9"/>
  <c r="F40" i="9"/>
  <c r="E40" i="9"/>
  <c r="K39" i="9"/>
  <c r="I39" i="9"/>
  <c r="H39" i="9"/>
  <c r="F39" i="9"/>
  <c r="E39" i="9"/>
  <c r="K38" i="9"/>
  <c r="J38" i="9"/>
  <c r="I38" i="9"/>
  <c r="H38" i="9"/>
  <c r="G38" i="9"/>
  <c r="F38" i="9"/>
  <c r="E38" i="9"/>
  <c r="K37" i="9"/>
  <c r="J37" i="9"/>
  <c r="I37" i="9"/>
  <c r="H37" i="9"/>
  <c r="G37" i="9"/>
  <c r="F37" i="9"/>
  <c r="E37" i="9"/>
  <c r="K36" i="9"/>
  <c r="J36" i="9"/>
  <c r="I36" i="9"/>
  <c r="H36" i="9"/>
  <c r="G36" i="9"/>
  <c r="F36" i="9"/>
  <c r="E36" i="9"/>
  <c r="F46" i="9"/>
  <c r="G45" i="9"/>
  <c r="G44" i="9"/>
  <c r="J43" i="9"/>
  <c r="F42" i="9"/>
  <c r="J39" i="9"/>
  <c r="K61" i="8"/>
  <c r="J61" i="8"/>
  <c r="I61" i="8"/>
  <c r="H61" i="8"/>
  <c r="G61" i="8"/>
  <c r="F61" i="8"/>
  <c r="E61" i="8"/>
  <c r="K60" i="8"/>
  <c r="J60" i="8"/>
  <c r="I60" i="8"/>
  <c r="H60" i="8"/>
  <c r="G60" i="8"/>
  <c r="F60" i="8"/>
  <c r="E60" i="8"/>
  <c r="K59" i="8"/>
  <c r="J59" i="8"/>
  <c r="I59" i="8"/>
  <c r="H59" i="8"/>
  <c r="G59" i="8"/>
  <c r="F59" i="8"/>
  <c r="E59" i="8"/>
  <c r="K58" i="8"/>
  <c r="J58" i="8"/>
  <c r="I58" i="8"/>
  <c r="H58" i="8"/>
  <c r="G58" i="8"/>
  <c r="F58" i="8"/>
  <c r="E58" i="8"/>
  <c r="K57" i="8"/>
  <c r="J57" i="8"/>
  <c r="I57" i="8"/>
  <c r="H57" i="8"/>
  <c r="G57" i="8"/>
  <c r="F57" i="8"/>
  <c r="E57" i="8"/>
  <c r="K56" i="8"/>
  <c r="J56" i="8"/>
  <c r="I56" i="8"/>
  <c r="H56" i="8"/>
  <c r="G56" i="8"/>
  <c r="F56" i="8"/>
  <c r="E56" i="8"/>
  <c r="K55" i="8"/>
  <c r="J55" i="8"/>
  <c r="I55" i="8"/>
  <c r="H55" i="8"/>
  <c r="G55" i="8"/>
  <c r="F55" i="8"/>
  <c r="E55" i="8"/>
  <c r="K54" i="8"/>
  <c r="J54" i="8"/>
  <c r="I54" i="8"/>
  <c r="H54" i="8"/>
  <c r="G54" i="8"/>
  <c r="F54" i="8"/>
  <c r="E54" i="8"/>
  <c r="K53" i="8"/>
  <c r="J53" i="8"/>
  <c r="I53" i="8"/>
  <c r="H53" i="8"/>
  <c r="G53" i="8"/>
  <c r="F53" i="8"/>
  <c r="E53" i="8"/>
  <c r="K52" i="8"/>
  <c r="J52" i="8"/>
  <c r="I52" i="8"/>
  <c r="H52" i="8"/>
  <c r="G52" i="8"/>
  <c r="E52" i="8"/>
  <c r="K51" i="8"/>
  <c r="J51" i="8"/>
  <c r="I51" i="8"/>
  <c r="H51" i="8"/>
  <c r="G51" i="8"/>
  <c r="F51" i="8"/>
  <c r="E51" i="8"/>
  <c r="K50" i="8"/>
  <c r="J50" i="8"/>
  <c r="I50" i="8"/>
  <c r="H50" i="8"/>
  <c r="G50" i="8"/>
  <c r="F50" i="8"/>
  <c r="E50" i="8"/>
  <c r="K49" i="8"/>
  <c r="J49" i="8"/>
  <c r="I49" i="8"/>
  <c r="H49" i="8"/>
  <c r="G49" i="8"/>
  <c r="F49" i="8"/>
  <c r="E49" i="8"/>
  <c r="K48" i="8"/>
  <c r="J48" i="8"/>
  <c r="I48" i="8"/>
  <c r="H48" i="8"/>
  <c r="G48" i="8"/>
  <c r="F48" i="8"/>
  <c r="E48" i="8"/>
  <c r="K47" i="8"/>
  <c r="J47" i="8"/>
  <c r="I47" i="8"/>
  <c r="H47" i="8"/>
  <c r="G47" i="8"/>
  <c r="F47" i="8"/>
  <c r="E47" i="8"/>
  <c r="K46" i="8"/>
  <c r="I46" i="8"/>
  <c r="H46" i="8"/>
  <c r="G46" i="8"/>
  <c r="E46" i="8"/>
  <c r="K45" i="8"/>
  <c r="I45" i="8"/>
  <c r="H45" i="8"/>
  <c r="G45" i="8"/>
  <c r="F45" i="8"/>
  <c r="E45" i="8"/>
  <c r="K44" i="8"/>
  <c r="I44" i="8"/>
  <c r="H44" i="8"/>
  <c r="F44" i="8"/>
  <c r="E44" i="8"/>
  <c r="K43" i="8"/>
  <c r="I43" i="8"/>
  <c r="H43" i="8"/>
  <c r="G43" i="8"/>
  <c r="F43" i="8"/>
  <c r="E43" i="8"/>
  <c r="K42" i="8"/>
  <c r="J42" i="8"/>
  <c r="I42" i="8"/>
  <c r="H42" i="8"/>
  <c r="G42" i="8"/>
  <c r="E42" i="8"/>
  <c r="K41" i="8"/>
  <c r="I41" i="8"/>
  <c r="H41" i="8"/>
  <c r="G41" i="8"/>
  <c r="F41" i="8"/>
  <c r="E41" i="8"/>
  <c r="K40" i="8"/>
  <c r="I40" i="8"/>
  <c r="H40" i="8"/>
  <c r="F40" i="8"/>
  <c r="E40" i="8"/>
  <c r="K39" i="8"/>
  <c r="I39" i="8"/>
  <c r="H39" i="8"/>
  <c r="F39" i="8"/>
  <c r="E39" i="8"/>
  <c r="K38" i="8"/>
  <c r="J38" i="8"/>
  <c r="I38" i="8"/>
  <c r="H38" i="8"/>
  <c r="G38" i="8"/>
  <c r="F38" i="8"/>
  <c r="E38" i="8"/>
  <c r="K37" i="8"/>
  <c r="J37" i="8"/>
  <c r="I37" i="8"/>
  <c r="H37" i="8"/>
  <c r="G37" i="8"/>
  <c r="F37" i="8"/>
  <c r="E37" i="8"/>
  <c r="K36" i="8"/>
  <c r="J36" i="8"/>
  <c r="I36" i="8"/>
  <c r="H36" i="8"/>
  <c r="G36" i="8"/>
  <c r="F36" i="8"/>
  <c r="E36" i="8"/>
  <c r="J46" i="8"/>
  <c r="J45" i="8"/>
  <c r="G44" i="8"/>
  <c r="J43" i="8"/>
  <c r="F42" i="8"/>
  <c r="J41" i="8"/>
  <c r="J39" i="8"/>
  <c r="K48" i="7"/>
  <c r="J48" i="7"/>
  <c r="I48" i="7"/>
  <c r="H48" i="7"/>
  <c r="G48" i="7"/>
  <c r="F48" i="7"/>
  <c r="K36" i="6"/>
  <c r="J36" i="6"/>
  <c r="I36" i="6"/>
  <c r="H36" i="6"/>
  <c r="G36" i="6"/>
  <c r="F36" i="6"/>
  <c r="K61" i="5"/>
  <c r="J61" i="5"/>
  <c r="I61" i="5"/>
  <c r="H61" i="5"/>
  <c r="G61" i="5"/>
  <c r="F61" i="5"/>
  <c r="E61" i="5"/>
  <c r="K60" i="5"/>
  <c r="J60" i="5"/>
  <c r="I60" i="5"/>
  <c r="H60" i="5"/>
  <c r="G60" i="5"/>
  <c r="F60" i="5"/>
  <c r="E60" i="5"/>
  <c r="K59" i="5"/>
  <c r="J59" i="5"/>
  <c r="I59" i="5"/>
  <c r="H59" i="5"/>
  <c r="G59" i="5"/>
  <c r="F59" i="5"/>
  <c r="E59" i="5"/>
  <c r="K58" i="5"/>
  <c r="J58" i="5"/>
  <c r="I58" i="5"/>
  <c r="H58" i="5"/>
  <c r="G58" i="5"/>
  <c r="F58" i="5"/>
  <c r="E58" i="5"/>
  <c r="K57" i="5"/>
  <c r="J57" i="5"/>
  <c r="I57" i="5"/>
  <c r="H57" i="5"/>
  <c r="G57" i="5"/>
  <c r="F57" i="5"/>
  <c r="K56" i="5"/>
  <c r="J56" i="5"/>
  <c r="I56" i="5"/>
  <c r="H56" i="5"/>
  <c r="G56" i="5"/>
  <c r="F56" i="5"/>
  <c r="E56" i="5"/>
  <c r="K55" i="5"/>
  <c r="J55" i="5"/>
  <c r="I55" i="5"/>
  <c r="H55" i="5"/>
  <c r="G55" i="5"/>
  <c r="F55" i="5"/>
  <c r="E55" i="5"/>
  <c r="K54" i="5"/>
  <c r="J54" i="5"/>
  <c r="I54" i="5"/>
  <c r="H54" i="5"/>
  <c r="G54" i="5"/>
  <c r="F54" i="5"/>
  <c r="E54" i="5"/>
  <c r="K53" i="5"/>
  <c r="J53" i="5"/>
  <c r="I53" i="5"/>
  <c r="H53" i="5"/>
  <c r="G53" i="5"/>
  <c r="F53" i="5"/>
  <c r="E53" i="5"/>
  <c r="K52" i="5"/>
  <c r="J52" i="5"/>
  <c r="I52" i="5"/>
  <c r="H52" i="5"/>
  <c r="G52" i="5"/>
  <c r="F52" i="5"/>
  <c r="E52" i="5"/>
  <c r="K51" i="5"/>
  <c r="J51" i="5"/>
  <c r="I51" i="5"/>
  <c r="H51" i="5"/>
  <c r="G51" i="5"/>
  <c r="F51" i="5"/>
  <c r="E51" i="5"/>
  <c r="K50" i="5"/>
  <c r="J50" i="5"/>
  <c r="I50" i="5"/>
  <c r="H50" i="5"/>
  <c r="G50" i="5"/>
  <c r="F50" i="5"/>
  <c r="E50" i="5"/>
  <c r="K49" i="5"/>
  <c r="J49" i="5"/>
  <c r="I49" i="5"/>
  <c r="H49" i="5"/>
  <c r="G49" i="5"/>
  <c r="F49" i="5"/>
  <c r="E49" i="5"/>
  <c r="K48" i="5"/>
  <c r="J48" i="5"/>
  <c r="I48" i="5"/>
  <c r="H48" i="5"/>
  <c r="G48" i="5"/>
  <c r="F48" i="5"/>
  <c r="E48" i="5"/>
  <c r="K47" i="5"/>
  <c r="J47" i="5"/>
  <c r="I47" i="5"/>
  <c r="H47" i="5"/>
  <c r="G47" i="5"/>
  <c r="F47" i="5"/>
  <c r="E47" i="5"/>
  <c r="K46" i="5"/>
  <c r="J46" i="5"/>
  <c r="I46" i="5"/>
  <c r="H46" i="5"/>
  <c r="G46" i="5"/>
  <c r="E46" i="5"/>
  <c r="K45" i="5"/>
  <c r="I45" i="5"/>
  <c r="H45" i="5"/>
  <c r="F45" i="5"/>
  <c r="E45" i="5"/>
  <c r="K44" i="5"/>
  <c r="I44" i="5"/>
  <c r="H44" i="5"/>
  <c r="F44" i="5"/>
  <c r="E44" i="5"/>
  <c r="K43" i="5"/>
  <c r="J43" i="5"/>
  <c r="I43" i="5"/>
  <c r="H43" i="5"/>
  <c r="G43" i="5"/>
  <c r="F43" i="5"/>
  <c r="E43" i="5"/>
  <c r="K42" i="5"/>
  <c r="I42" i="5"/>
  <c r="H42" i="5"/>
  <c r="G42" i="5"/>
  <c r="E42" i="5"/>
  <c r="K41" i="5"/>
  <c r="J41" i="5"/>
  <c r="I41" i="5"/>
  <c r="H41" i="5"/>
  <c r="G41" i="5"/>
  <c r="F41" i="5"/>
  <c r="E41" i="5"/>
  <c r="K40" i="5"/>
  <c r="I40" i="5"/>
  <c r="H40" i="5"/>
  <c r="F40" i="5"/>
  <c r="E40" i="5"/>
  <c r="K39" i="5"/>
  <c r="I39" i="5"/>
  <c r="H39" i="5"/>
  <c r="F39" i="5"/>
  <c r="E39" i="5"/>
  <c r="K38" i="5"/>
  <c r="J38" i="5"/>
  <c r="I38" i="5"/>
  <c r="H38" i="5"/>
  <c r="F38" i="5"/>
  <c r="E38" i="5"/>
  <c r="K37" i="5"/>
  <c r="J37" i="5"/>
  <c r="I37" i="5"/>
  <c r="H37" i="5"/>
  <c r="G37" i="5"/>
  <c r="F37" i="5"/>
  <c r="E37" i="5"/>
  <c r="K36" i="5"/>
  <c r="J36" i="5"/>
  <c r="I36" i="5"/>
  <c r="H36" i="5"/>
  <c r="G36" i="5"/>
  <c r="F36" i="5"/>
  <c r="E36" i="5"/>
  <c r="F46" i="5"/>
  <c r="J45" i="5"/>
  <c r="G44" i="5"/>
  <c r="F42" i="5"/>
  <c r="J39" i="5"/>
  <c r="G38" i="5"/>
  <c r="K61" i="4"/>
  <c r="J61" i="4"/>
  <c r="I61" i="4"/>
  <c r="H61" i="4"/>
  <c r="G61" i="4"/>
  <c r="F61" i="4"/>
  <c r="E61" i="4"/>
  <c r="K60" i="4"/>
  <c r="J60" i="4"/>
  <c r="I60" i="4"/>
  <c r="H60" i="4"/>
  <c r="G60" i="4"/>
  <c r="F60" i="4"/>
  <c r="E60" i="4"/>
  <c r="K59" i="4"/>
  <c r="J59" i="4"/>
  <c r="I59" i="4"/>
  <c r="H59" i="4"/>
  <c r="G59" i="4"/>
  <c r="F59" i="4"/>
  <c r="E59" i="4"/>
  <c r="K58" i="4"/>
  <c r="J58" i="4"/>
  <c r="I58" i="4"/>
  <c r="H58" i="4"/>
  <c r="G58" i="4"/>
  <c r="F58" i="4"/>
  <c r="E58" i="4"/>
  <c r="K57" i="4"/>
  <c r="J57" i="4"/>
  <c r="I57" i="4"/>
  <c r="H57" i="4"/>
  <c r="G57" i="4"/>
  <c r="F57" i="4"/>
  <c r="E57" i="4"/>
  <c r="K56" i="4"/>
  <c r="J56" i="4"/>
  <c r="I56" i="4"/>
  <c r="H56" i="4"/>
  <c r="G56" i="4"/>
  <c r="F56" i="4"/>
  <c r="E56" i="4"/>
  <c r="K55" i="4"/>
  <c r="J55" i="4"/>
  <c r="I55" i="4"/>
  <c r="H55" i="4"/>
  <c r="G55" i="4"/>
  <c r="F55" i="4"/>
  <c r="E55" i="4"/>
  <c r="K54" i="4"/>
  <c r="J54" i="4"/>
  <c r="I54" i="4"/>
  <c r="H54" i="4"/>
  <c r="G54" i="4"/>
  <c r="F54" i="4"/>
  <c r="E54" i="4"/>
  <c r="K53" i="4"/>
  <c r="J53" i="4"/>
  <c r="I53" i="4"/>
  <c r="H53" i="4"/>
  <c r="G53" i="4"/>
  <c r="F53" i="4"/>
  <c r="E53" i="4"/>
  <c r="K52" i="4"/>
  <c r="J52" i="4"/>
  <c r="I52" i="4"/>
  <c r="H52" i="4"/>
  <c r="G52" i="4"/>
  <c r="F52" i="4"/>
  <c r="E52" i="4"/>
  <c r="K51" i="4"/>
  <c r="J51" i="4"/>
  <c r="I51" i="4"/>
  <c r="H51" i="4"/>
  <c r="G51" i="4"/>
  <c r="F51" i="4"/>
  <c r="E51" i="4"/>
  <c r="K50" i="4"/>
  <c r="J50" i="4"/>
  <c r="I50" i="4"/>
  <c r="H50" i="4"/>
  <c r="G50" i="4"/>
  <c r="F50" i="4"/>
  <c r="E50" i="4"/>
  <c r="K49" i="4"/>
  <c r="J49" i="4"/>
  <c r="I49" i="4"/>
  <c r="H49" i="4"/>
  <c r="G49" i="4"/>
  <c r="F49" i="4"/>
  <c r="E49" i="4"/>
  <c r="K48" i="4"/>
  <c r="J48" i="4"/>
  <c r="I48" i="4"/>
  <c r="H48" i="4"/>
  <c r="G48" i="4"/>
  <c r="E48" i="4"/>
  <c r="K47" i="4"/>
  <c r="J47" i="4"/>
  <c r="I47" i="4"/>
  <c r="H47" i="4"/>
  <c r="G47" i="4"/>
  <c r="F47" i="4"/>
  <c r="E47" i="4"/>
  <c r="K46" i="4"/>
  <c r="J46" i="4"/>
  <c r="I46" i="4"/>
  <c r="H46" i="4"/>
  <c r="G46" i="4"/>
  <c r="F46" i="4"/>
  <c r="E46" i="4"/>
  <c r="K45" i="4"/>
  <c r="I45" i="4"/>
  <c r="H45" i="4"/>
  <c r="F45" i="4"/>
  <c r="E45" i="4"/>
  <c r="K44" i="4"/>
  <c r="I44" i="4"/>
  <c r="H44" i="4"/>
  <c r="G44" i="4"/>
  <c r="F44" i="4"/>
  <c r="E44" i="4"/>
  <c r="K43" i="4"/>
  <c r="I43" i="4"/>
  <c r="G43" i="4"/>
  <c r="F43" i="4"/>
  <c r="E43" i="4"/>
  <c r="K42" i="4"/>
  <c r="I42" i="4"/>
  <c r="H42" i="4"/>
  <c r="G42" i="4"/>
  <c r="E42" i="4"/>
  <c r="K41" i="4"/>
  <c r="I41" i="4"/>
  <c r="H41" i="4"/>
  <c r="G41" i="4"/>
  <c r="F41" i="4"/>
  <c r="K40" i="4"/>
  <c r="I40" i="4"/>
  <c r="H40" i="4"/>
  <c r="F40" i="4"/>
  <c r="E40" i="4"/>
  <c r="K39" i="4"/>
  <c r="I39" i="4"/>
  <c r="H39" i="4"/>
  <c r="G39" i="4"/>
  <c r="F39" i="4"/>
  <c r="E39" i="4"/>
  <c r="K38" i="4"/>
  <c r="J38" i="4"/>
  <c r="I38" i="4"/>
  <c r="H38" i="4"/>
  <c r="F38" i="4"/>
  <c r="E38" i="4"/>
  <c r="K37" i="4"/>
  <c r="J37" i="4"/>
  <c r="I37" i="4"/>
  <c r="H37" i="4"/>
  <c r="G37" i="4"/>
  <c r="F37" i="4"/>
  <c r="E37" i="4"/>
  <c r="K36" i="4"/>
  <c r="J36" i="4"/>
  <c r="I36" i="4"/>
  <c r="H36" i="4"/>
  <c r="G36" i="4"/>
  <c r="F36" i="4"/>
  <c r="E36" i="4"/>
  <c r="J45" i="4"/>
  <c r="J44" i="4"/>
  <c r="J43" i="4"/>
  <c r="F42" i="4"/>
  <c r="J41" i="4"/>
  <c r="J39" i="4"/>
  <c r="G38" i="4"/>
  <c r="B3" i="3"/>
  <c r="K87" i="3"/>
  <c r="K167" i="3" s="1"/>
  <c r="J87" i="3"/>
  <c r="J167" i="3" s="1"/>
  <c r="I87" i="3"/>
  <c r="I167" i="3" s="1"/>
  <c r="G87" i="3"/>
  <c r="G167" i="3" s="1"/>
  <c r="J4" i="2" s="1"/>
  <c r="F87" i="3"/>
  <c r="F167" i="3" s="1"/>
  <c r="E167" i="3"/>
  <c r="D4" i="2" s="1"/>
  <c r="B3" i="1"/>
  <c r="E51" i="1"/>
  <c r="F51" i="1"/>
  <c r="G51" i="1"/>
  <c r="H51" i="1"/>
  <c r="I51" i="1"/>
  <c r="J51" i="1"/>
  <c r="K51" i="1"/>
  <c r="E52" i="1"/>
  <c r="G52" i="1"/>
  <c r="H52" i="1"/>
  <c r="I52" i="1"/>
  <c r="J52" i="1"/>
  <c r="K52" i="1"/>
  <c r="E53" i="1"/>
  <c r="F53" i="1"/>
  <c r="G53" i="1"/>
  <c r="H53" i="1"/>
  <c r="I53" i="1"/>
  <c r="J53" i="1"/>
  <c r="K53" i="1"/>
  <c r="E54" i="1"/>
  <c r="F54" i="1"/>
  <c r="G54" i="1"/>
  <c r="H54" i="1"/>
  <c r="I54" i="1"/>
  <c r="J54" i="1"/>
  <c r="K54" i="1"/>
  <c r="E55" i="1"/>
  <c r="F55" i="1"/>
  <c r="G55" i="1"/>
  <c r="H55" i="1"/>
  <c r="I55" i="1"/>
  <c r="J55" i="1"/>
  <c r="K55" i="1"/>
  <c r="E56" i="1"/>
  <c r="F56" i="1"/>
  <c r="G56" i="1"/>
  <c r="H56" i="1"/>
  <c r="I56" i="1"/>
  <c r="J56" i="1"/>
  <c r="K56" i="1"/>
  <c r="E57" i="1"/>
  <c r="F57" i="1"/>
  <c r="G57" i="1"/>
  <c r="H57" i="1"/>
  <c r="I57" i="1"/>
  <c r="J57" i="1"/>
  <c r="K57" i="1"/>
  <c r="E58" i="1"/>
  <c r="F58" i="1"/>
  <c r="G58" i="1"/>
  <c r="H58" i="1"/>
  <c r="I58" i="1"/>
  <c r="J58" i="1"/>
  <c r="K58" i="1"/>
  <c r="E59" i="1"/>
  <c r="F59" i="1"/>
  <c r="G59" i="1"/>
  <c r="H59" i="1"/>
  <c r="I59" i="1"/>
  <c r="J59" i="1"/>
  <c r="K59" i="1"/>
  <c r="E60" i="1"/>
  <c r="F60" i="1"/>
  <c r="G60" i="1"/>
  <c r="H60" i="1"/>
  <c r="I60" i="1"/>
  <c r="J60" i="1"/>
  <c r="K60" i="1"/>
  <c r="E61" i="1"/>
  <c r="F61" i="1"/>
  <c r="G61" i="1"/>
  <c r="H61" i="1"/>
  <c r="I61" i="1"/>
  <c r="J61" i="1"/>
  <c r="K61" i="1"/>
  <c r="E47" i="1"/>
  <c r="F47" i="1"/>
  <c r="G47" i="1"/>
  <c r="H47" i="1"/>
  <c r="I47" i="1"/>
  <c r="J47" i="1"/>
  <c r="K47" i="1"/>
  <c r="E48" i="1"/>
  <c r="F48" i="1"/>
  <c r="G48" i="1"/>
  <c r="H48" i="1"/>
  <c r="I48" i="1"/>
  <c r="J48" i="1"/>
  <c r="K48" i="1"/>
  <c r="E49" i="1"/>
  <c r="F49" i="1"/>
  <c r="G49" i="1"/>
  <c r="H49" i="1"/>
  <c r="I49" i="1"/>
  <c r="J49" i="1"/>
  <c r="K49" i="1"/>
  <c r="E50" i="1"/>
  <c r="F50" i="1"/>
  <c r="G50" i="1"/>
  <c r="H50" i="1"/>
  <c r="I50" i="1"/>
  <c r="J50" i="1"/>
  <c r="K50" i="1"/>
  <c r="E37" i="1"/>
  <c r="F37" i="1"/>
  <c r="G37" i="1"/>
  <c r="H37" i="1"/>
  <c r="I37" i="1"/>
  <c r="J37" i="1"/>
  <c r="K37" i="1"/>
  <c r="E38" i="1"/>
  <c r="F38" i="1"/>
  <c r="G38" i="1"/>
  <c r="H38" i="1"/>
  <c r="I38" i="1"/>
  <c r="J38" i="1"/>
  <c r="K38" i="1"/>
  <c r="E39" i="1"/>
  <c r="F39" i="1"/>
  <c r="G39" i="1"/>
  <c r="H39" i="1"/>
  <c r="I39" i="1"/>
  <c r="J39" i="1"/>
  <c r="K39" i="1"/>
  <c r="E40" i="1"/>
  <c r="F40" i="1"/>
  <c r="G40" i="1"/>
  <c r="H40" i="1"/>
  <c r="I40" i="1"/>
  <c r="J40" i="1"/>
  <c r="K40" i="1"/>
  <c r="E41" i="1"/>
  <c r="F41" i="1"/>
  <c r="G41" i="1"/>
  <c r="H41" i="1"/>
  <c r="I41" i="1"/>
  <c r="J41" i="1"/>
  <c r="K41" i="1"/>
  <c r="E42" i="1"/>
  <c r="F42" i="1"/>
  <c r="G42" i="1"/>
  <c r="H42" i="1"/>
  <c r="I42" i="1"/>
  <c r="J42" i="1"/>
  <c r="K42" i="1"/>
  <c r="E43" i="1"/>
  <c r="F43" i="1"/>
  <c r="G43" i="1"/>
  <c r="H43" i="1"/>
  <c r="I43" i="1"/>
  <c r="J43" i="1"/>
  <c r="K43" i="1"/>
  <c r="E44" i="1"/>
  <c r="F44" i="1"/>
  <c r="G44" i="1"/>
  <c r="H44" i="1"/>
  <c r="I44" i="1"/>
  <c r="J44" i="1"/>
  <c r="K44" i="1"/>
  <c r="E45" i="1"/>
  <c r="F45" i="1"/>
  <c r="G45" i="1"/>
  <c r="H45" i="1"/>
  <c r="I45" i="1"/>
  <c r="J45" i="1"/>
  <c r="K45" i="1"/>
  <c r="E46" i="1"/>
  <c r="F46" i="1"/>
  <c r="G46" i="1"/>
  <c r="H46" i="1"/>
  <c r="I46" i="1"/>
  <c r="J46" i="1"/>
  <c r="K46" i="1"/>
  <c r="K36" i="1"/>
  <c r="J36" i="1"/>
  <c r="I36" i="1"/>
  <c r="H36" i="1"/>
  <c r="G36" i="1"/>
  <c r="F36" i="1"/>
  <c r="E36" i="1"/>
  <c r="E111" i="12" l="1"/>
  <c r="D14" i="2" s="1"/>
  <c r="H111" i="12"/>
  <c r="I111" i="12"/>
  <c r="H14" i="2" s="1"/>
  <c r="K111" i="12"/>
  <c r="J14" i="2" s="1"/>
  <c r="F111" i="12"/>
  <c r="E14" i="2" s="1"/>
  <c r="I4" i="2"/>
  <c r="E4" i="2"/>
  <c r="H4" i="2"/>
  <c r="F4" i="2"/>
  <c r="I85" i="13"/>
  <c r="H15" i="2" s="1"/>
  <c r="D15" i="2"/>
  <c r="E62" i="1"/>
  <c r="D5" i="2" s="1"/>
  <c r="I62" i="1"/>
  <c r="H5" i="2" s="1"/>
  <c r="K62" i="1"/>
  <c r="J5" i="2" s="1"/>
  <c r="G62" i="1"/>
  <c r="F5" i="2" s="1"/>
  <c r="J62" i="1"/>
  <c r="I5" i="2" s="1"/>
  <c r="F62" i="1"/>
  <c r="E5" i="2" s="1"/>
  <c r="H62" i="1"/>
  <c r="G5" i="2" s="1"/>
  <c r="F54" i="14"/>
  <c r="E16" i="2" s="1"/>
  <c r="J54" i="14"/>
  <c r="I16" i="2" s="1"/>
  <c r="G54" i="14"/>
  <c r="F16" i="2" s="1"/>
  <c r="K54" i="14"/>
  <c r="J16" i="2" s="1"/>
  <c r="E54" i="14"/>
  <c r="D16" i="2" s="1"/>
  <c r="I54" i="14"/>
  <c r="H16" i="2" s="1"/>
  <c r="H54" i="14"/>
  <c r="G16" i="2" s="1"/>
  <c r="I62" i="10"/>
  <c r="H12" i="2" s="1"/>
  <c r="K62" i="6"/>
  <c r="J8" i="2" s="1"/>
  <c r="F85" i="13"/>
  <c r="E15" i="2" s="1"/>
  <c r="G85" i="13"/>
  <c r="F15" i="2" s="1"/>
  <c r="K85" i="13"/>
  <c r="J15" i="2" s="1"/>
  <c r="J85" i="13"/>
  <c r="I15" i="2" s="1"/>
  <c r="H85" i="13"/>
  <c r="G15" i="2" s="1"/>
  <c r="K88" i="7"/>
  <c r="J9" i="2" s="1"/>
  <c r="G14" i="2"/>
  <c r="K89" i="11"/>
  <c r="J13" i="2" s="1"/>
  <c r="I89" i="11"/>
  <c r="H13" i="2" s="1"/>
  <c r="K62" i="10"/>
  <c r="J12" i="2" s="1"/>
  <c r="E62" i="10"/>
  <c r="D12" i="2" s="1"/>
  <c r="E62" i="9"/>
  <c r="D11" i="2" s="1"/>
  <c r="H62" i="9"/>
  <c r="G11" i="2" s="1"/>
  <c r="I62" i="9"/>
  <c r="H11" i="2" s="1"/>
  <c r="K62" i="9"/>
  <c r="J11" i="2" s="1"/>
  <c r="E62" i="8"/>
  <c r="D10" i="2" s="1"/>
  <c r="H62" i="8"/>
  <c r="G10" i="2" s="1"/>
  <c r="I62" i="8"/>
  <c r="H10" i="2" s="1"/>
  <c r="K62" i="8"/>
  <c r="J10" i="2" s="1"/>
  <c r="I88" i="7"/>
  <c r="H9" i="2" s="1"/>
  <c r="E62" i="6"/>
  <c r="D8" i="2" s="1"/>
  <c r="I62" i="6"/>
  <c r="H8" i="2" s="1"/>
  <c r="E62" i="5"/>
  <c r="D7" i="2" s="1"/>
  <c r="H62" i="5"/>
  <c r="G7" i="2" s="1"/>
  <c r="I62" i="5"/>
  <c r="H7" i="2" s="1"/>
  <c r="K62" i="5"/>
  <c r="J7" i="2" s="1"/>
  <c r="I62" i="4"/>
  <c r="H6" i="2" s="1"/>
  <c r="K62" i="4"/>
  <c r="J6" i="2" s="1"/>
  <c r="G111" i="12"/>
  <c r="J89" i="11"/>
  <c r="I13" i="2" s="1"/>
  <c r="H89" i="11"/>
  <c r="G13" i="2" s="1"/>
  <c r="D13" i="2"/>
  <c r="F89" i="11"/>
  <c r="E13" i="2" s="1"/>
  <c r="F62" i="10"/>
  <c r="E12" i="2" s="1"/>
  <c r="J62" i="10"/>
  <c r="I12" i="2" s="1"/>
  <c r="G62" i="10"/>
  <c r="F12" i="2" s="1"/>
  <c r="H62" i="10"/>
  <c r="G12" i="2" s="1"/>
  <c r="F62" i="9"/>
  <c r="E11" i="2" s="1"/>
  <c r="J44" i="9"/>
  <c r="J46" i="9"/>
  <c r="G39" i="9"/>
  <c r="J44" i="8"/>
  <c r="G39" i="8"/>
  <c r="F46" i="8"/>
  <c r="F62" i="8" s="1"/>
  <c r="E10" i="2" s="1"/>
  <c r="J88" i="7"/>
  <c r="I9" i="2" s="1"/>
  <c r="E88" i="7"/>
  <c r="D9" i="2" s="1"/>
  <c r="H88" i="7"/>
  <c r="G9" i="2" s="1"/>
  <c r="F88" i="7"/>
  <c r="E9" i="2" s="1"/>
  <c r="H62" i="6"/>
  <c r="G8" i="2" s="1"/>
  <c r="J62" i="6"/>
  <c r="I8" i="2" s="1"/>
  <c r="F62" i="6"/>
  <c r="E8" i="2" s="1"/>
  <c r="F62" i="5"/>
  <c r="E7" i="2" s="1"/>
  <c r="J42" i="5"/>
  <c r="J44" i="5"/>
  <c r="G45" i="5"/>
  <c r="G39" i="5"/>
  <c r="J40" i="4"/>
  <c r="G40" i="4"/>
  <c r="F62" i="4"/>
  <c r="E6" i="2" s="1"/>
  <c r="J42" i="4"/>
  <c r="G45" i="4"/>
  <c r="E41" i="4"/>
  <c r="E62" i="4" s="1"/>
  <c r="D6" i="2" s="1"/>
  <c r="H43" i="4"/>
  <c r="H62" i="4" s="1"/>
  <c r="G6" i="2" s="1"/>
  <c r="J111" i="12" l="1"/>
  <c r="I14" i="2" s="1"/>
  <c r="F14" i="2"/>
  <c r="H18" i="2"/>
  <c r="D18" i="2"/>
  <c r="J18" i="2"/>
  <c r="G62" i="4"/>
  <c r="F6" i="2" s="1"/>
  <c r="J62" i="4"/>
  <c r="I6" i="2" s="1"/>
  <c r="G18" i="2"/>
  <c r="E18" i="2"/>
  <c r="G62" i="6"/>
  <c r="F8" i="2" s="1"/>
  <c r="G89" i="11"/>
  <c r="F13" i="2" s="1"/>
  <c r="G88" i="7"/>
  <c r="F9" i="2" s="1"/>
  <c r="J40" i="9"/>
  <c r="J62" i="9" s="1"/>
  <c r="I11" i="2" s="1"/>
  <c r="G40" i="9"/>
  <c r="G62" i="9" s="1"/>
  <c r="F11" i="2" s="1"/>
  <c r="J40" i="8"/>
  <c r="J62" i="8" s="1"/>
  <c r="I10" i="2" s="1"/>
  <c r="G40" i="8"/>
  <c r="G62" i="8" s="1"/>
  <c r="F10" i="2" s="1"/>
  <c r="J40" i="5"/>
  <c r="J62" i="5" s="1"/>
  <c r="I7" i="2" s="1"/>
  <c r="G40" i="5"/>
  <c r="G62" i="5" s="1"/>
  <c r="F7" i="2" s="1"/>
  <c r="F18" i="2" l="1"/>
  <c r="G19" i="2" s="1"/>
  <c r="G20" i="2" s="1"/>
  <c r="I18" i="2"/>
</calcChain>
</file>

<file path=xl/sharedStrings.xml><?xml version="1.0" encoding="utf-8"?>
<sst xmlns="http://schemas.openxmlformats.org/spreadsheetml/2006/main" count="1795" uniqueCount="403">
  <si>
    <t>PROGRAMA DE MANUTENÇÃORODOVIÁRIA</t>
  </si>
  <si>
    <t>S.R.E.</t>
  </si>
  <si>
    <t>BOM</t>
  </si>
  <si>
    <t>DATA:</t>
  </si>
  <si>
    <t>TÉCNICO RESP.</t>
  </si>
  <si>
    <t>INÍCIO
(KM)</t>
  </si>
  <si>
    <t>FIM
(KM)</t>
  </si>
  <si>
    <t>SENTIDO</t>
  </si>
  <si>
    <t>OBSERV.</t>
  </si>
  <si>
    <t>RODOVIAS NÃO PAVIMENTADAS</t>
  </si>
  <si>
    <t>CONDIÇÃO DA PLATAFORMA</t>
  </si>
  <si>
    <t>DRENAGEM SUPERFICIAL</t>
  </si>
  <si>
    <t>LIMPA</t>
  </si>
  <si>
    <t>OBSTRUÍDA</t>
  </si>
  <si>
    <t>AUSENTE</t>
  </si>
  <si>
    <t>REG.
(ATÉ 10 IRR./KM)</t>
  </si>
  <si>
    <t>RUÍM
(+ 10 IRR./KM)</t>
  </si>
  <si>
    <t>PÉSSIMA
(ATOLEIRO/PTO. CRÍTICO)</t>
  </si>
  <si>
    <t>C</t>
  </si>
  <si>
    <t>X</t>
  </si>
  <si>
    <t>RESUMO</t>
  </si>
  <si>
    <t>TRECHO</t>
  </si>
  <si>
    <t>Nº DO TRECHO</t>
  </si>
  <si>
    <t>FICHA DE INSPEÇÃO:</t>
  </si>
  <si>
    <t>RODOVIA TO-010 - TRECHO ANANÁS - ENTR. BR-230</t>
  </si>
  <si>
    <t>RODOVIA TO-126 - TRECHO MAURILÂNDIA - TOCANTINÓPOLIS</t>
  </si>
  <si>
    <t>RODOVIA TO-134 - TRECHO RIO TOCANTINS (JATOBAL) - AXIXÁ DO TOCANTINS</t>
  </si>
  <si>
    <t>RODOVIA TO-201 - TRECHO ESPERANTINA - DIVISA TO-MA</t>
  </si>
  <si>
    <t>RODOVIA TO-205 - TRECHO SÃO BENTO DO TOCANTINS - ENTR. TO-010</t>
  </si>
  <si>
    <t>RODOVIA TO-210 - TRECHO ENTR. TO-010 - DIVISA TO-PA (VILA ANTONINA)</t>
  </si>
  <si>
    <t>RODOVIA TO-210 - TRECHO TOCANTINÓPOLIS - NAZARÉ</t>
  </si>
  <si>
    <t>RODOVIA TO-402 - TRECHO DIVISA TO-MA (VILA JURANDIR BELIZARIO) - ENTR. TO-201</t>
  </si>
  <si>
    <t>RODOVIA TO-403 - TRECHO CARRASCO BONITO - SAMPAIO</t>
  </si>
  <si>
    <t>RODOVIA TO-405 - TRECHO AXIXÁ DO TOCANTINS - ENTR. BR-230</t>
  </si>
  <si>
    <t>RODOVIA TO-409 - TRECHO MAURILÂNDIA - ENTR. TO-134</t>
  </si>
  <si>
    <t>RODOVIA TO-414 - TRECHO CACHOEIRINHA - ENTR. TO-010 (TAPUIO)</t>
  </si>
  <si>
    <t>RODOVIA TO-415 - TRECHO ENTR. RODOVIA VICINAL - NAZARÉ</t>
  </si>
  <si>
    <t>1</t>
  </si>
  <si>
    <t>6</t>
  </si>
  <si>
    <t>12</t>
  </si>
  <si>
    <t>20</t>
  </si>
  <si>
    <t>21</t>
  </si>
  <si>
    <t>22</t>
  </si>
  <si>
    <t>25</t>
  </si>
  <si>
    <t>26</t>
  </si>
  <si>
    <t>27</t>
  </si>
  <si>
    <t>31</t>
  </si>
  <si>
    <t>33</t>
  </si>
  <si>
    <t>34</t>
  </si>
  <si>
    <t>37</t>
  </si>
  <si>
    <t>210ETO0290</t>
  </si>
  <si>
    <t>414ETO0020</t>
  </si>
  <si>
    <t>D</t>
  </si>
  <si>
    <t>205ETO0010</t>
  </si>
  <si>
    <t>010ETO0560</t>
  </si>
  <si>
    <t>010ETO0570</t>
  </si>
  <si>
    <t>010ETO0580</t>
  </si>
  <si>
    <t>010ETO0590</t>
  </si>
  <si>
    <t>010ETO0600</t>
  </si>
  <si>
    <t>010ETO0610</t>
  </si>
  <si>
    <t>010ETO0620</t>
  </si>
  <si>
    <t>201ETO0260</t>
  </si>
  <si>
    <t>201ETO0270</t>
  </si>
  <si>
    <t>403ETO0020</t>
  </si>
  <si>
    <t>403ETO0010</t>
  </si>
  <si>
    <t>405ETO020</t>
  </si>
  <si>
    <t>405ETO030</t>
  </si>
  <si>
    <t>405ETO040</t>
  </si>
  <si>
    <t>405ETO050</t>
  </si>
  <si>
    <t>134ETO0070</t>
  </si>
  <si>
    <t>KM 12,2 AO 14,2 - PAV. TSD (VILA FOLHA SECA)</t>
  </si>
  <si>
    <t xml:space="preserve">MATERIAL FINO SOBRE A PISTA </t>
  </si>
  <si>
    <t>210ETO0090</t>
  </si>
  <si>
    <t>210ETO0100</t>
  </si>
  <si>
    <t>415ETO0030</t>
  </si>
  <si>
    <t>409ETO0020</t>
  </si>
  <si>
    <t>409ETO0030</t>
  </si>
  <si>
    <t>126ETO0130</t>
  </si>
  <si>
    <t xml:space="preserve">ALTO INDICE DE BURACOS E VALETAS </t>
  </si>
  <si>
    <t>GREIDE REBAIXADO</t>
  </si>
  <si>
    <t>AUSENCIA DE DRENAGEM E MATERIAL FINO SOBRE A PISTA</t>
  </si>
  <si>
    <t>402ETO0010</t>
  </si>
  <si>
    <t>PISTA PATROLADA MAS COM IRREGULARIDADES E MAT. FINO SOBRE A PISTA</t>
  </si>
  <si>
    <t>PERCORRIDO NO MÊS:</t>
  </si>
  <si>
    <t>TOTAL:</t>
  </si>
  <si>
    <t>% DA EXTENSÃO DA MALHA:</t>
  </si>
  <si>
    <t>RELAÇÃO DOS TRECHOS DAS REGIÕES DE MANUTENÇÃO</t>
  </si>
  <si>
    <t>LOTE</t>
  </si>
  <si>
    <t>N°</t>
  </si>
  <si>
    <t>SUBTRECHOS</t>
  </si>
  <si>
    <t>EXT. (KM)</t>
  </si>
  <si>
    <t>TIPO</t>
  </si>
  <si>
    <t>LEN</t>
  </si>
  <si>
    <t>EOP</t>
  </si>
  <si>
    <t>REGIÃO DE CONSERVAÇÃO</t>
  </si>
  <si>
    <t>CIDADE SEDE</t>
  </si>
  <si>
    <t>S.R.E</t>
  </si>
  <si>
    <t>TOCANTINÓPOLIS</t>
  </si>
  <si>
    <t>010ETO0511</t>
  </si>
  <si>
    <t>ANANÁS *TRECHO URBANO*</t>
  </si>
  <si>
    <t>PSU</t>
  </si>
  <si>
    <t>010ETO0512</t>
  </si>
  <si>
    <t>010ETO0540</t>
  </si>
  <si>
    <t>ANANÁS *TRECHO URBANO* - ENTR. TO-414(TAPUIO)</t>
  </si>
  <si>
    <t>PPS</t>
  </si>
  <si>
    <t>010ETO0550</t>
  </si>
  <si>
    <t>ENTR. TO-414 (TAPUIO) - ENTR. TO-210</t>
  </si>
  <si>
    <t>010ETO0555</t>
  </si>
  <si>
    <t>ENTR. TO-210 - FIM PAVIMENTACAO</t>
  </si>
  <si>
    <t>FIM PAVIMENTACAO - ENTR. TO-205</t>
  </si>
  <si>
    <t>ENTR. TO-205 - RONCA</t>
  </si>
  <si>
    <t>RONCA - NATAL</t>
  </si>
  <si>
    <t>NATAL - ESPERANCA VIVA</t>
  </si>
  <si>
    <t>ESPERANCA VIVA - VILA NOVA</t>
  </si>
  <si>
    <t>VILA NOVA - TAQUARI</t>
  </si>
  <si>
    <t>TAQUARI - ENTR. BR-230</t>
  </si>
  <si>
    <t>2</t>
  </si>
  <si>
    <t>RODOVIA TO-010 - TRECHO ENTR. BR-230 - ARAGUATINS</t>
  </si>
  <si>
    <t>010ETO0630</t>
  </si>
  <si>
    <t>ENTR. BR-230 - TRANSARAGUAIA</t>
  </si>
  <si>
    <t>010ETO0640</t>
  </si>
  <si>
    <t>TRANSARAGUAIA (BR-230) - ARAGUATINS</t>
  </si>
  <si>
    <t>3</t>
  </si>
  <si>
    <t>RODOVIA TO-010 - TRECHO ARAGUATINS - ENTR. TO-201</t>
  </si>
  <si>
    <t>010ETO0650</t>
  </si>
  <si>
    <t>ARAGUATINS - ENTR. TO-404</t>
  </si>
  <si>
    <t>010ETO0665</t>
  </si>
  <si>
    <t>ENTR. TO-404 - POV. CANAÃ</t>
  </si>
  <si>
    <t>010ETO0670</t>
  </si>
  <si>
    <t>CANAÃ - VILA UNIÃO</t>
  </si>
  <si>
    <t>010ETO0680</t>
  </si>
  <si>
    <t>VILA UNIÃO - ENTR. TO-201</t>
  </si>
  <si>
    <t>4</t>
  </si>
  <si>
    <t>RODOVIA TO-010 - TRECHO BURITI DO TOCANTINS (ENTR. TO-201) - SÃO SEBASTIÃO DO TOCANTINS</t>
  </si>
  <si>
    <t>010ETO0690</t>
  </si>
  <si>
    <t>ENTR. TO-201 - BURITI DO TOCANTINS *TRECHO URBANO*</t>
  </si>
  <si>
    <t>010ETO0710</t>
  </si>
  <si>
    <t>BURITI DO TOCANTINS *TRECHO URBANO* - SÃO SEBASTIÃO DO TOCANTINS *TRECHO URBANO*</t>
  </si>
  <si>
    <t>5</t>
  </si>
  <si>
    <t>RODOVIA TO-126 - TRECHO TOCANTINÓPOLIS - ENTR. BR-230 (AGUIARNÓPOLIS)</t>
  </si>
  <si>
    <t>126ETO0151</t>
  </si>
  <si>
    <t>PERÍMETRO URBANO TOCANTINOPOLIS</t>
  </si>
  <si>
    <t>PDU</t>
  </si>
  <si>
    <t>126ETO0190</t>
  </si>
  <si>
    <t>TOCANTINÓPOLIS *TRECHO URBANO* - ENTR. ACESSO TRIPA NORTE</t>
  </si>
  <si>
    <t>126ETO0200</t>
  </si>
  <si>
    <t>ENTR. ACESSO TRIPA NORTE - ENTR. BR-230</t>
  </si>
  <si>
    <t>ACESSO</t>
  </si>
  <si>
    <t>ENTR.TO-126 - ASA NORTE</t>
  </si>
  <si>
    <t>MAURILÃNDIA DO TOCANTINS *TRECHO URBANO* - RIBEIRÃO GRANDE</t>
  </si>
  <si>
    <t>126ETO0140</t>
  </si>
  <si>
    <t>RIBEIRÃO GRANDE - FOLHA GROSSA</t>
  </si>
  <si>
    <t>126ETO0150</t>
  </si>
  <si>
    <t>FOLHA GROSSA - TOCANTINÓPOLIS *TRECHO URBANO*</t>
  </si>
  <si>
    <t>7</t>
  </si>
  <si>
    <t>RODOVIA TO-126 - TRECHO ITAGUATINS - MAURILÂNDIA DO TOCANTINS</t>
  </si>
  <si>
    <t>126ETO0101</t>
  </si>
  <si>
    <t>PERÍMETRO URBANO ITAGUATINS</t>
  </si>
  <si>
    <t>126ETO0120</t>
  </si>
  <si>
    <t>ITAGUATINS *TRECHO URBANO* - MAURILÃNDIA DO TOCANTINS *TRECHO URBANO*</t>
  </si>
  <si>
    <t>8</t>
  </si>
  <si>
    <t xml:space="preserve">RODOVIA TO-126 - TRECHO SÍTIO NOVO DO TOCANTINS - ITAGUATINS </t>
  </si>
  <si>
    <t>126ETO0090</t>
  </si>
  <si>
    <t>ENTR. TO-201(B)(SÍTIO NOVO DO TOCANTINS) - CASTANHEIRO</t>
  </si>
  <si>
    <t>126ETO0100</t>
  </si>
  <si>
    <t>CASTANHEIRO - ITAGUATINS *TRECHO URBANO*</t>
  </si>
  <si>
    <t>9</t>
  </si>
  <si>
    <t>RODOVIA TO-126 - TRECHO SUMAUMA - SÍTIO NOVO DO TOCANTINS</t>
  </si>
  <si>
    <t>126ETO0050</t>
  </si>
  <si>
    <t>SUMAUMA *TRECHO URBANO* - SÃO PEDRO</t>
  </si>
  <si>
    <t>126ETO0060</t>
  </si>
  <si>
    <t>SÃO PEDRO - ENTR. TO-201</t>
  </si>
  <si>
    <t>126ETO0080</t>
  </si>
  <si>
    <t>ENTR. TO-201(A) - ENTR. TO-201(B)(SÍTIO NOVO DO TOCANTINS)</t>
  </si>
  <si>
    <t>10</t>
  </si>
  <si>
    <t>RODOVIA TO-134 - TRECHO ANGICO - DARCINÓPOLIS</t>
  </si>
  <si>
    <t>134ETO0220</t>
  </si>
  <si>
    <t>ENTR. TO-210 (ANGICO) - AMIGOS DA TERRA</t>
  </si>
  <si>
    <t>134ETO0230</t>
  </si>
  <si>
    <t>AMIGOS DA TERRA - ENTR. BR-226(DARCINÓPOLIS)</t>
  </si>
  <si>
    <t>11</t>
  </si>
  <si>
    <t>RODOVIA TO-134 - TRECHO LUZINÓPOLIS - ANGICO</t>
  </si>
  <si>
    <t>134ETO0180</t>
  </si>
  <si>
    <t>ENTR. BR-230(LUZINÓPOLIS) - SANTA HELENA</t>
  </si>
  <si>
    <t>134ETO0190</t>
  </si>
  <si>
    <t>SANTA HELENA - BURITI</t>
  </si>
  <si>
    <t>134ETO0200</t>
  </si>
  <si>
    <t>BURITI - ENTR. TO-210 (GROTÃO DE NAZARÉ)</t>
  </si>
  <si>
    <t>134ETO0210</t>
  </si>
  <si>
    <t>ENTR. TO-210 (GROTÃO DE NAZARE) - ENTR. TO-210 (ANGICO)</t>
  </si>
  <si>
    <t>134ETO0020</t>
  </si>
  <si>
    <t>JATOBAL *TRECHO URBANO* - FOLHA SECA</t>
  </si>
  <si>
    <t>134ETO0030</t>
  </si>
  <si>
    <t>FOLHA SECA - JUVELÃNDIA</t>
  </si>
  <si>
    <t>134ETO0040</t>
  </si>
  <si>
    <t>JUVELÃNDIA - VILA SÃO FRANCISCO</t>
  </si>
  <si>
    <t>134ETO0050</t>
  </si>
  <si>
    <t>VILA SÃO FRANCISCO - SANTA LUZIA</t>
  </si>
  <si>
    <t>134ETO0060</t>
  </si>
  <si>
    <t>SANTA LUZIA - MORADA NOVA</t>
  </si>
  <si>
    <t>MORADA NOVA - AXIXÁ DO TOCANTINS *TRECHO URBANO*</t>
  </si>
  <si>
    <t>13</t>
  </si>
  <si>
    <t>RODOVIA TO-134 - TRECHO AXIXÁ DO TOCANTINS - ENTR. BR-230</t>
  </si>
  <si>
    <t>134ETO0071</t>
  </si>
  <si>
    <t>AXIXÁ DO TOCANTINS *TRECHO URBANO*</t>
  </si>
  <si>
    <t>134ETO0110</t>
  </si>
  <si>
    <t>AXIXÁ DO TOCANTINS *TRECHO URBANO* - ENTR. TO-409</t>
  </si>
  <si>
    <t>134ETO0120</t>
  </si>
  <si>
    <t>ENTR. TO-409 - ENTR. BR-230</t>
  </si>
  <si>
    <t>14</t>
  </si>
  <si>
    <t>RODOVIA TO-201 - TRECHO DIV. TO-MA - SÃO MIGUEL DO TOCANTINS</t>
  </si>
  <si>
    <t>201ETO0010</t>
  </si>
  <si>
    <t>DIV. TO-MA(PONTE RIO TOCANTINS) - ACESSO BELA VISTA</t>
  </si>
  <si>
    <t>201ETO0020</t>
  </si>
  <si>
    <t>ACESSO BELA VISTA - SÃO MIGUEL DO TOCANTINS</t>
  </si>
  <si>
    <t>BELA VISTA (BALSA) - ENTR. TO-201</t>
  </si>
  <si>
    <t>15</t>
  </si>
  <si>
    <t>RODOVIA TO-201 - TRECHO SÃO MIGUEL DO TOCANTINS - SÍTIO NOVO DO TOCANTINS</t>
  </si>
  <si>
    <t>201ETO0030</t>
  </si>
  <si>
    <t>SÃO MIGUEL DO TOCANTINS - ENTR. TO-126</t>
  </si>
  <si>
    <t>201ETO0050</t>
  </si>
  <si>
    <t>ENTR. TO-126 - SÍTIO NOVO *TRECHO URBANO*</t>
  </si>
  <si>
    <t>16</t>
  </si>
  <si>
    <t>RODOVIA TO-201 - TRECHO SÍTIO NOVO DO TOCANTINS - AXIXÁ DO TOCANTINS</t>
  </si>
  <si>
    <t>201ETO0070</t>
  </si>
  <si>
    <t>SÍTIO NOVO DO TOCANTINS *TRECHO URBANO* - ALTO DO ZUMBI</t>
  </si>
  <si>
    <t>201ETO0080</t>
  </si>
  <si>
    <t>ALTO DO ZUMBI - AXIXÁ DO TOCANTINS *TRECHO URBANO*</t>
  </si>
  <si>
    <t>17</t>
  </si>
  <si>
    <t>RODOVIA TO-201 - TRECHO AXIXÁ DO TOCANTINS - AUGUSTINÓPOLIS</t>
  </si>
  <si>
    <t>201ETO0120</t>
  </si>
  <si>
    <t>AXIXÁ DO TOCANTINS *TRECHO URBANO* - GROTÃO</t>
  </si>
  <si>
    <t>201ETO0130</t>
  </si>
  <si>
    <t>GROTÃO - AUGUSTINÓPOLIS *TRECHO URBANO*</t>
  </si>
  <si>
    <t>18</t>
  </si>
  <si>
    <t>RODOVIA TO-201 - TRECHO AUGUSTINÓPOLIS - BURITI DO TOCANTINS</t>
  </si>
  <si>
    <t>201ETO0150</t>
  </si>
  <si>
    <t>AUGUSTINÓPOLIS *TRECHO URBANO* - VINTE MIL</t>
  </si>
  <si>
    <t>201ETO0160</t>
  </si>
  <si>
    <t>VINTE MIL - ENTR. TO-407</t>
  </si>
  <si>
    <t>201ETO0170</t>
  </si>
  <si>
    <t>ENTR.TO-407 - CENTRO DOS FIRMINOS</t>
  </si>
  <si>
    <t>201ETO0180</t>
  </si>
  <si>
    <t>CENTRO DOS FIRMINOS - CENTRO DOS FERREIRAS</t>
  </si>
  <si>
    <t>201ETO0190</t>
  </si>
  <si>
    <t>CENTRO DOS FERREIRAS - ENTR. TO-010</t>
  </si>
  <si>
    <t>201ETO0200</t>
  </si>
  <si>
    <t>ENTR. TO-010 - BURITI DO TOCANTINS *TRECHO URBANO*</t>
  </si>
  <si>
    <t>19</t>
  </si>
  <si>
    <t>RODOVIA TO-201 - TRECHO BURITI DO TOCANTINS - ESPERANTINA</t>
  </si>
  <si>
    <t>201ETO0210</t>
  </si>
  <si>
    <t>BURITI DO TOCANTINS *TRECHO URBANO* - JOSÉ ESTEVÃO</t>
  </si>
  <si>
    <t>201ETO0220</t>
  </si>
  <si>
    <t>JOSÉ ESTEVÃO - ENTR. TO-402</t>
  </si>
  <si>
    <t>201ETO0230</t>
  </si>
  <si>
    <t>ENTR. TO-402 - VILA TOCANTINS</t>
  </si>
  <si>
    <t>201ETO0240</t>
  </si>
  <si>
    <t>VILA TOCANTINS - ESPERANTINA *TRECHO URBANO*</t>
  </si>
  <si>
    <t>ACESSO*</t>
  </si>
  <si>
    <t>ENTR. TO-201 - DIV. TO-PA (PEDRA GRANDE)</t>
  </si>
  <si>
    <t>201ETO0250</t>
  </si>
  <si>
    <t>ESPERANTINA *TRECHO URBANO* - ENTR. ACESSO DIV. TO-PA (PEDRA GRANDE)</t>
  </si>
  <si>
    <t>ENTR. ACESSO DIV. TO-PA (PEDRA GRANDE) - PEDRA DE AMOLAR</t>
  </si>
  <si>
    <t>PEDRA DE AMOLAR - DIV TO-PA-MA</t>
  </si>
  <si>
    <t>SÃO BENTO DO TO * TRECHO URBANO* - ENTR. TO-010 (CAMPO ALEGRE)</t>
  </si>
  <si>
    <t>ENTR. TO-010 - VILA ANTONINA</t>
  </si>
  <si>
    <t>23</t>
  </si>
  <si>
    <t>RODOVIA TO-210 - TRECHO ANGICO - ANANÁS</t>
  </si>
  <si>
    <t>210ETO0230</t>
  </si>
  <si>
    <t>ENTR. TO-134 - ANGICO</t>
  </si>
  <si>
    <t>210ETO0240</t>
  </si>
  <si>
    <t>ANGICO - ANANÁS *TRECHO URBANO*</t>
  </si>
  <si>
    <t>24</t>
  </si>
  <si>
    <t>RODOVIA TO-210 - TRECHO NAZARÉ - ENTR. TO-134 (POVOADO GROTÃO DE NAZARÉ)</t>
  </si>
  <si>
    <t>210ETO0140</t>
  </si>
  <si>
    <t>NAZARÉ *TRECHO URBANO* - MATA GRANDE</t>
  </si>
  <si>
    <t>210ETO0150</t>
  </si>
  <si>
    <t>MATA GRANDE - ENTR. BR-230</t>
  </si>
  <si>
    <t>210ETO0160</t>
  </si>
  <si>
    <t>ENTR. BR-230 - POV. VILA ROBERTINO</t>
  </si>
  <si>
    <t>210ETO0170</t>
  </si>
  <si>
    <t>POV. VILA ROBERTINO - POV. PIAÇABA</t>
  </si>
  <si>
    <t>210ETO0190</t>
  </si>
  <si>
    <t>POV. PIAÇABA - POV. PIRANHAS</t>
  </si>
  <si>
    <t>210ETO0200</t>
  </si>
  <si>
    <t>POV. PIRANHAS - POV. BREJINHO</t>
  </si>
  <si>
    <t>210ETO0210</t>
  </si>
  <si>
    <t>POV. BREJINHO - ENTR. TO-134 (POV. GROTÃO DE NAZARÉ)</t>
  </si>
  <si>
    <t>210ETO0050</t>
  </si>
  <si>
    <t>TOCANTINÓPOLIS *TRECHO URBANO* - OLHO DAGUA</t>
  </si>
  <si>
    <t>210ETO0060</t>
  </si>
  <si>
    <t>OLHO DAGUA - PASSARINHO</t>
  </si>
  <si>
    <t>210ETO0070</t>
  </si>
  <si>
    <t>PASSARINHO - ENTR. ACESSO BR-230</t>
  </si>
  <si>
    <t>ENTR.ACESSO A BR-230 - GROTA DE AREIA</t>
  </si>
  <si>
    <t>GROTA DE AREIRA - NAZARÉ *TRECHO URBANO*</t>
  </si>
  <si>
    <t>ENTR. TO-210 - ENTR. BR-230</t>
  </si>
  <si>
    <t>DIVISA TO-MA - VILA JURANDIR BELIZARIO - ENTR. TO-201</t>
  </si>
  <si>
    <t>CARRASCO BONITO *TRECHO URBANO* - CACHIADO</t>
  </si>
  <si>
    <t>CACHIADO - SAMPAIO *TRECHO URBANO*</t>
  </si>
  <si>
    <t>28</t>
  </si>
  <si>
    <t>RODOVIA TO-403 - TRECHO SAMPAIO - ENTR. TO-404 (ITAÚBA)</t>
  </si>
  <si>
    <t>403ETO0021</t>
  </si>
  <si>
    <t>PERÍMETRO URBANO DE SAMPAIO</t>
  </si>
  <si>
    <t>403ETO0030</t>
  </si>
  <si>
    <t>SAMPAIO *TRECHO URBANO* - ENTR. TO-404(ITAÚBA)</t>
  </si>
  <si>
    <t>29</t>
  </si>
  <si>
    <t>RODOVIA TO-404 - TRECHO AUGUSTINÓPOLIS - ENTR. TO-010 (POVOADO MATA VELHA)</t>
  </si>
  <si>
    <t>404ETO0030</t>
  </si>
  <si>
    <t>ENTR. TO-201(AUGUSTINÓPOLIS) - DEZESSEIS MIL</t>
  </si>
  <si>
    <t>404ETO0040</t>
  </si>
  <si>
    <t>DEZESSEIS MIL - MATA VELHA</t>
  </si>
  <si>
    <t>404ETO0050</t>
  </si>
  <si>
    <t>MATA VELHA - ENTR. TO-010</t>
  </si>
  <si>
    <t>30</t>
  </si>
  <si>
    <t xml:space="preserve">RODOVIA TO-404 - TRECHO AUGUSTINÓPOLIS - PRAIA NORTE </t>
  </si>
  <si>
    <t>404ETO0010</t>
  </si>
  <si>
    <t>PRAIA NORTE - ENTR. TO-403(ITAÚBA)</t>
  </si>
  <si>
    <t>404ETO0020</t>
  </si>
  <si>
    <t>ENTR. TO-403 (ITAÚBA) - ENTR. TO-201(AUGUSTINÓPOLIS)</t>
  </si>
  <si>
    <t>405ETO0020</t>
  </si>
  <si>
    <t>AXIXA DO TOCANTINS *TRECHO URBANO* - TABUA</t>
  </si>
  <si>
    <t>405ETO0030</t>
  </si>
  <si>
    <t>TABUA - GROTA DAGUA</t>
  </si>
  <si>
    <t>405ETO0040</t>
  </si>
  <si>
    <t>GROTA DAGUA - CANTO DO BARREIRO</t>
  </si>
  <si>
    <t>405ETO0050</t>
  </si>
  <si>
    <t>CANTO DO BARREIRO - ENTR. BR-230</t>
  </si>
  <si>
    <t>32</t>
  </si>
  <si>
    <t>RODOVIA TO-407 - TRECHO CARRASCO BONITO - ENTR. TO-201 (POVOADO CENTRO DOS FIRMINOS)</t>
  </si>
  <si>
    <t>407ETO0020</t>
  </si>
  <si>
    <t>CARRASCO BONITO *TRECHO URBANO* - ENTR. TO-201(P- POVOADO CENTRO DOS FIRMINOS)</t>
  </si>
  <si>
    <t>MAURILANDIA DO TOCANTINS *TRECHO URBANO* - RODOVILÂNDIA</t>
  </si>
  <si>
    <t>RODOVILÂNDIA - ENTR. TO-134</t>
  </si>
  <si>
    <t>CACHOEIRINHA *TRECHO URBANO* - ENTR. TO-010-TO-210(TAPUIO)</t>
  </si>
  <si>
    <t>35</t>
  </si>
  <si>
    <t>RODOVIA TO-415 - TRECHO SANTA TEREZINHA DO TOCANTINS - PALMEIRAS DO TOCANTINS</t>
  </si>
  <si>
    <t>415ETO0060</t>
  </si>
  <si>
    <t>SANTA TEREZINHA DO TOCANTINS - IMBIRA</t>
  </si>
  <si>
    <t>415ETO0070</t>
  </si>
  <si>
    <t>IMBIRA - PALMEIRAS DO TOCANTINS *TRECHO URBANO*</t>
  </si>
  <si>
    <t>36</t>
  </si>
  <si>
    <t>RODOVIA TO-415 - TRECHO NAZARÉ - SANTA TEREZINHA DO TOCANTINS</t>
  </si>
  <si>
    <t>415ETO0040</t>
  </si>
  <si>
    <t>ENTR. TO-210(NAZARÉ *TRECHO URBANO*) - ENTR. BR-230</t>
  </si>
  <si>
    <t>415ETO0050</t>
  </si>
  <si>
    <t>ENTR. BR-230 - SANTA TEREZINHA DO TOCANTINS</t>
  </si>
  <si>
    <t>ENTR. ROD MUNICIPAL - NAZARÉ *TRECHO URBANO*</t>
  </si>
  <si>
    <t>38</t>
  </si>
  <si>
    <t>RODOVIA TO-416 - TRECHO ANANÁS - ENTR. TO-010</t>
  </si>
  <si>
    <t>416ETO0020</t>
  </si>
  <si>
    <t>ANANÁS *TRECHO URBANO* - SÃO RAIMUNDO</t>
  </si>
  <si>
    <t>416ETO0030</t>
  </si>
  <si>
    <t>SÃO RAIMUNDO - ENTR. TO-010</t>
  </si>
  <si>
    <t>ENG. VINICIUS RODRIGUES</t>
  </si>
  <si>
    <t>ENG. VINÍCIUS RODRIGUES FERREIRA DE OLIVEIRA</t>
  </si>
  <si>
    <t>LABORATORISTA -CLAUDIOMIRO VIEIRA LOPES</t>
  </si>
  <si>
    <t>PONTE DE CONCRETO KM-0,400 (4.45/12.0)</t>
  </si>
  <si>
    <t>BUEIRO DUPLO KM-0,800 (0.70/0.70)</t>
  </si>
  <si>
    <t>BUEIRO DUPLO KM-5,500 (2.00/2.00)</t>
  </si>
  <si>
    <t>PONTE DE CONCRETO KM-1,00 (3.40/24.00)</t>
  </si>
  <si>
    <t>PONTE DE MADEIRA KM-1,10 (4.30/4.40)</t>
  </si>
  <si>
    <t>PONTE DE CONCRETO KM-1,40 (4.50/10.40)</t>
  </si>
  <si>
    <t>BUEIRO DUPLO KM-5,00 (1.10/1.10)</t>
  </si>
  <si>
    <t>PONTE DE CONCRETO KM-0,0 (4.45/20,30)</t>
  </si>
  <si>
    <t>POSSIVEL ATOLEIRO KM-1,1  E  SEM DRENAGEM</t>
  </si>
  <si>
    <t>POSSIVEL ATOLEIRO KM-1,7  E  EROZAO  ( 1,0 / 10,0)</t>
  </si>
  <si>
    <t>EROZAO KM-4,2 ( 1,0 / 4,0 )</t>
  </si>
  <si>
    <t>EROZAO KM-4,9 ( 1,0 / 6,0 )</t>
  </si>
  <si>
    <t>PONTE DE CONCRETO KM-9,1 (4.45/34,40)</t>
  </si>
  <si>
    <t>EROZAO KM-20,4 ( 2,0 / 10,0 )</t>
  </si>
  <si>
    <t>EROZAO KM-24,5 ( 3,5 / 11,0 )</t>
  </si>
  <si>
    <t>EROZAO KM-27,4 ( 1,0 / 10,0 )</t>
  </si>
  <si>
    <t>PONTE DE CONCRETO KM-28,2 (4.45/25,0)</t>
  </si>
  <si>
    <t>POSSIVEL ATOLEIRO KM-28,9</t>
  </si>
  <si>
    <t>BUEIRO SIMPLES KM-0,2  ( 0,70 / 0,70 )</t>
  </si>
  <si>
    <t>BUEIRO SIMPLES KM-5,3  ( 1,20/ 1,20 )</t>
  </si>
  <si>
    <t>BUEIRO SIMPLES KM-9,9  ( 1,20/ 1,20 )</t>
  </si>
  <si>
    <t>BUEIRO SIMPLES KM-4,70  ( 1,10 / 1,10 ) ESTAR SEM CABECA</t>
  </si>
  <si>
    <t>BUEIRO DUPLO KM-12,3 (1,20 / 1,20)</t>
  </si>
  <si>
    <t>BUEIRO SIMPLES KM-14,6  ( 0,70 / 0,70 )</t>
  </si>
  <si>
    <t>GALERIA  KM-16,0 ( 2,50 / 2,50 )</t>
  </si>
  <si>
    <t>PONTO CRITICO KM- 16,7</t>
  </si>
  <si>
    <t>PONTE DE CONCRETO KM-22,4 ( 4.45 / 30,30 )</t>
  </si>
  <si>
    <t>PONTE DE CONCRETO KM-13,9 ( 4.45 / 6,20 )</t>
  </si>
  <si>
    <t>PONTE DE CONCRETO KM-24,6 ( 4.45 / 12,10 )</t>
  </si>
  <si>
    <t>BUEIRO SIMPLES KM-26,3  ( 0,70 / 0,70 )</t>
  </si>
  <si>
    <t>BUEIRO SIMPLES KM-29,0  ( 1,10 / 1,10 ) ESTAR OBSTRUIDO</t>
  </si>
  <si>
    <t>PONTE DE CONCRETO KM-30,6 ( 4.45 / 11,0 )</t>
  </si>
  <si>
    <t>BUEIRO DUPLO KM-31,6 (1,20 / 1,20) ESTAR OBSTRUIDO</t>
  </si>
  <si>
    <t>PONTE DE CONCRETO KM-33,4 ( 4.45 / 10,0 )</t>
  </si>
  <si>
    <t>RODOVIA TO-415 - TRECHO ENTR. ROD. VICINAL-NAZARÉ A TRIBO INDIGENA</t>
  </si>
  <si>
    <t>FAZER PATROLAMENTO DO KM-0,0 A 6,00 E KM-20,00 A 29,00</t>
  </si>
  <si>
    <t>PONTE DE CONCRETO KM-1,3 ( 4,50 / 10,0 )</t>
  </si>
  <si>
    <t>BUEIRO SIMPLES KM-6,5  ( 1,20/ 1,20 )</t>
  </si>
  <si>
    <t>BUEIRO DUPLO KM-7,5 (1,20 / 1,20)</t>
  </si>
  <si>
    <t>PONTE DE CONCRETO KM-8,4 ( 4.45 / 30,0 )</t>
  </si>
  <si>
    <t>BUEIRO SIMPLES KM-10,3  ( 1,10/ 1,10 )</t>
  </si>
  <si>
    <t>BUEIRO SIMPLES KM-10,9  ( 1,20/ 1,20 )</t>
  </si>
  <si>
    <t>BUEIRO SIMPLES KM-11,8  ( 1,10/ 1,10 )</t>
  </si>
  <si>
    <t>BUEIRO SIMPLES KM-13,4  ( 1,10/ 1,10 )</t>
  </si>
  <si>
    <t>BUEIRO DUPLO KM-14,2 (1,10 / 1,10)</t>
  </si>
  <si>
    <t>PONTE DE CONCRETO KM-15,0 ( 3,70 / 10,0 )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</si>
</sst>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\-yy;@"/>
  </numFmts>
  <fonts count="18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5"/>
      <color rgb="FFFF0000"/>
      <name val="Times New Roman"/>
      <family val="1"/>
    </font>
    <font>
      <sz val="18"/>
      <color theme="1"/>
      <name val="Times New Roman"/>
      <family val="1"/>
    </font>
    <font>
      <sz val="18"/>
      <color rgb="FFFF0000"/>
      <name val="Times New Roman"/>
      <family val="1"/>
    </font>
    <font>
      <sz val="18"/>
      <name val="Times New Roman"/>
      <family val="1"/>
    </font>
    <font>
      <sz val="18"/>
      <color theme="1"/>
      <name val="Aptos Narrow"/>
      <family val="2"/>
      <scheme val="minor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rgb="FFFF0000"/>
      <name val="Times New Roman"/>
      <family val="1"/>
    </font>
    <font>
      <sz val="8"/>
      <name val="Aptos Narrow"/>
      <family val="2"/>
      <scheme val="minor"/>
    </font>
    <font>
      <sz val="18"/>
      <color theme="0"/>
      <name val="Times New Roman"/>
      <family val="1"/>
    </font>
    <font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theme="2"/>
      </top>
      <bottom style="thin">
        <color auto="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2" borderId="17" xfId="0" applyFont="1" applyFill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8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20" xfId="0" applyFont="1" applyFill="1" applyBorder="1"/>
    <xf numFmtId="0" fontId="4" fillId="2" borderId="18" xfId="0" applyFont="1" applyFill="1" applyBorder="1"/>
    <xf numFmtId="0" fontId="1" fillId="0" borderId="22" xfId="0" applyFont="1" applyBorder="1"/>
    <xf numFmtId="0" fontId="1" fillId="0" borderId="23" xfId="0" applyFont="1" applyBorder="1"/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1" fillId="0" borderId="24" xfId="0" applyFont="1" applyBorder="1"/>
    <xf numFmtId="0" fontId="1" fillId="0" borderId="25" xfId="0" applyFont="1" applyBorder="1"/>
    <xf numFmtId="2" fontId="8" fillId="0" borderId="25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2" borderId="0" xfId="0" applyFont="1" applyFill="1"/>
    <xf numFmtId="0" fontId="8" fillId="0" borderId="2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2" fontId="7" fillId="2" borderId="0" xfId="0" applyNumberFormat="1" applyFont="1" applyFill="1"/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2" fontId="12" fillId="0" borderId="40" xfId="0" applyNumberFormat="1" applyFont="1" applyBorder="1" applyAlignment="1">
      <alignment horizontal="left" vertical="center"/>
    </xf>
    <xf numFmtId="2" fontId="12" fillId="0" borderId="2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left" vertical="center"/>
    </xf>
    <xf numFmtId="2" fontId="1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12" fillId="0" borderId="40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0" fontId="6" fillId="0" borderId="2" xfId="3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/>
    </xf>
    <xf numFmtId="17" fontId="13" fillId="0" borderId="0" xfId="0" applyNumberFormat="1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" fontId="13" fillId="0" borderId="2" xfId="0" applyNumberFormat="1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2" fontId="12" fillId="2" borderId="2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12" fontId="12" fillId="0" borderId="22" xfId="0" applyNumberFormat="1" applyFont="1" applyBorder="1" applyAlignment="1">
      <alignment horizontal="center" vertical="center"/>
    </xf>
    <xf numFmtId="2" fontId="17" fillId="0" borderId="2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left" vertical="center"/>
    </xf>
    <xf numFmtId="2" fontId="17" fillId="0" borderId="2" xfId="0" applyNumberFormat="1" applyFont="1" applyBorder="1" applyAlignment="1">
      <alignment horizontal="center" vertical="center"/>
    </xf>
    <xf numFmtId="2" fontId="12" fillId="0" borderId="2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left" vertical="center"/>
    </xf>
    <xf numFmtId="2" fontId="12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2" fontId="9" fillId="0" borderId="25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4" fillId="0" borderId="4" xfId="0" applyNumberFormat="1" applyFont="1" applyBorder="1" applyAlignment="1">
      <alignment horizontal="center" vertical="center"/>
    </xf>
    <xf numFmtId="44" fontId="3" fillId="2" borderId="9" xfId="1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</cellXfs>
  <cellStyles count="4">
    <cellStyle name="Moeda" xfId="1" builtinId="4"/>
    <cellStyle name="Normal" xfId="0" builtinId="0"/>
    <cellStyle name="Normal 9" xfId="2" xr:uid="{00000000-0005-0000-0000-000002000000}"/>
    <cellStyle name="Porcentagem" xfId="3" builtinId="5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'1'!$E$6:$G$6</c:f>
              <c:strCache>
                <c:ptCount val="3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A5-4D94-A00F-381E4ECBED5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A5-4D94-A00F-381E4ECBED5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A5-4D94-A00F-381E4ECBED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A5-4D94-A00F-381E4ECBED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'1'!$E$167:$H$167</c:f>
              <c:numCache>
                <c:formatCode>0.00</c:formatCode>
                <c:ptCount val="4"/>
                <c:pt idx="0">
                  <c:v>27.24</c:v>
                </c:pt>
                <c:pt idx="1">
                  <c:v>48.4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5-4D94-A00F-381E4ECBED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1EB-BBF4-96C1005090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1EB-BBF4-96C1005090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1EB-BBF4-96C10050901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'1'!$I$167:$K$167</c:f>
              <c:numCache>
                <c:formatCode>0.00</c:formatCode>
                <c:ptCount val="3"/>
                <c:pt idx="0">
                  <c:v>69.64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D5-41EB-BBF4-96C10050901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192-4402-AD9D-6190FBACCD2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92-4402-AD9D-6190FBACCD2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192-4402-AD9D-6190FBACCD2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92-4402-AD9D-6190FBACCD2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92-4402-AD9D-6190FBACCD2A}"/>
                </c:ext>
              </c:extLst>
            </c:dLbl>
            <c:dLbl>
              <c:idx val="2"/>
              <c:layout>
                <c:manualLayout>
                  <c:x val="8.3429415829340353E-2"/>
                  <c:y val="0.1604961569853885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92-4402-AD9D-6190FBA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92-4402-AD9D-6190FBACCD2A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'6'!$E$62:$H$62</c:f>
              <c:numCache>
                <c:formatCode>0.00</c:formatCode>
                <c:ptCount val="4"/>
                <c:pt idx="0">
                  <c:v>22</c:v>
                </c:pt>
                <c:pt idx="1">
                  <c:v>13.479668777500002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2-4402-AD9D-6190FBACCD2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68-41CF-AB17-F9CFFC42693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68-41CF-AB17-F9CFFC42693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68-41CF-AB17-F9CFFC42693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68-41CF-AB17-F9CFFC42693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'6'!$I$62:$K$62</c:f>
              <c:numCache>
                <c:formatCode>0.00</c:formatCode>
                <c:ptCount val="3"/>
                <c:pt idx="0">
                  <c:v>29.479668777500002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68-41CF-AB17-F9CFFC4269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0C-480B-ABAE-DDF9E8A96D94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0C-480B-ABAE-DDF9E8A96D9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0C-480B-ABAE-DDF9E8A96D9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0C-480B-ABAE-DDF9E8A96D9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0C-480B-ABAE-DDF9E8A96D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0C-480B-ABAE-DDF9E8A96D9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'12'!$E$62:$H$62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26.3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0C-480B-ABAE-DDF9E8A96D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DC-4896-92AE-E78F2B97CE9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DC-4896-92AE-E78F2B97CE9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DC-4896-92AE-E78F2B97CE9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DC-4896-92AE-E78F2B97CE9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DC-4896-92AE-E78F2B97CE9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'12'!$I$62:$K$62</c:f>
              <c:numCache>
                <c:formatCode>0.00</c:formatCode>
                <c:ptCount val="3"/>
                <c:pt idx="0">
                  <c:v>0</c:v>
                </c:pt>
                <c:pt idx="1">
                  <c:v>26.3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DC-4896-92AE-E78F2B97CE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AC-43BA-A081-675C0243943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AC-43BA-A081-675C0243943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AC-43BA-A081-675C0243943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AC-43BA-A081-675C02439439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AC-43BA-A081-675C024394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AC-43BA-A081-675C0243943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'20'!$E$62:$H$62</c:f>
              <c:numCache>
                <c:formatCode>0.00</c:formatCode>
                <c:ptCount val="4"/>
                <c:pt idx="0">
                  <c:v>8</c:v>
                </c:pt>
                <c:pt idx="1">
                  <c:v>13.21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AC-43BA-A081-675C024394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1748075809446054"/>
          <c:y val="2.59865635143328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6C-446E-8F64-0BC46A789F7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6C-446E-8F64-0BC46A789F7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6C-446E-8F64-0BC46A789F7A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6C-446E-8F64-0BC46A789F7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'20'!$I$62:$K$62</c:f>
              <c:numCache>
                <c:formatCode>0.00</c:formatCode>
                <c:ptCount val="3"/>
                <c:pt idx="0">
                  <c:v>3.6400000000000006</c:v>
                </c:pt>
                <c:pt idx="1">
                  <c:v>17.57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6C-446E-8F64-0BC46A789F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43-485C-AD04-BF207836DD85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43-485C-AD04-BF207836DD8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43-485C-AD04-BF207836DD8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43-485C-AD04-BF207836DD85}"/>
              </c:ext>
            </c:extLst>
          </c:dPt>
          <c:dLbls>
            <c:dLbl>
              <c:idx val="0"/>
              <c:layout>
                <c:manualLayout>
                  <c:x val="-0.1104103694518097"/>
                  <c:y val="-0.2253394586477648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43-485C-AD04-BF207836DD8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43-485C-AD04-BF207836DD8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43-485C-AD04-BF207836DD8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43-485C-AD04-BF207836DD8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'21'!$E$62:$H$62</c:f>
              <c:numCache>
                <c:formatCode>0.00</c:formatCode>
                <c:ptCount val="4"/>
                <c:pt idx="0">
                  <c:v>16.670000000000002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43-485C-AD04-BF207836DD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A1-45D8-87A6-D885A8485A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A1-45D8-87A6-D885A8485A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A1-45D8-87A6-D885A8485A34}"/>
              </c:ext>
            </c:extLst>
          </c:dPt>
          <c:dLbls>
            <c:dLbl>
              <c:idx val="0"/>
              <c:layout>
                <c:manualLayout>
                  <c:x val="-0.13313794607558296"/>
                  <c:y val="-0.1471690015980304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A1-45D8-87A6-D885A8485A34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A1-45D8-87A6-D885A8485A3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A1-45D8-87A6-D885A8485A3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'21'!$I$62:$K$62</c:f>
              <c:numCache>
                <c:formatCode>0.00</c:formatCode>
                <c:ptCount val="3"/>
                <c:pt idx="0">
                  <c:v>14.670000000000002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A1-45D8-87A6-D885A8485A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C0-4F52-913E-20942B59E2E6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C0-4F52-913E-20942B59E2E6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C0-4F52-913E-20942B59E2E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C0-4F52-913E-20942B59E2E6}"/>
              </c:ext>
            </c:extLst>
          </c:dPt>
          <c:dLbls>
            <c:dLbl>
              <c:idx val="0"/>
              <c:layout>
                <c:manualLayout>
                  <c:x val="2.8677517211096966E-2"/>
                  <c:y val="-7.273604479363191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C0-4F52-913E-20942B59E2E6}"/>
                </c:ext>
              </c:extLst>
            </c:dLbl>
            <c:dLbl>
              <c:idx val="1"/>
              <c:layout>
                <c:manualLayout>
                  <c:x val="-3.0667926629188921E-2"/>
                  <c:y val="-0.27596510507806665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C0-4F52-913E-20942B59E2E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C0-4F52-913E-20942B59E2E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C0-4F52-913E-20942B59E2E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'22'!$E$88:$H$88</c:f>
              <c:numCache>
                <c:formatCode>0.00</c:formatCode>
                <c:ptCount val="4"/>
                <c:pt idx="0">
                  <c:v>10.25</c:v>
                </c:pt>
                <c:pt idx="1">
                  <c:v>28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C0-4F52-913E-20942B59E2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E9-4339-8262-82E54A0CB20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E9-4339-8262-82E54A0CB20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E9-4339-8262-82E54A0CB20A}"/>
              </c:ext>
            </c:extLst>
          </c:dPt>
          <c:dLbls>
            <c:dLbl>
              <c:idx val="0"/>
              <c:layout>
                <c:manualLayout>
                  <c:x val="-4.7107631814311976E-2"/>
                  <c:y val="-0.3858074139625655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E9-4339-8262-82E54A0CB20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E9-4339-8262-82E54A0CB20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E9-4339-8262-82E54A0CB20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'22'!$I$88:$K$88</c:f>
              <c:numCache>
                <c:formatCode>0.00</c:formatCode>
                <c:ptCount val="3"/>
                <c:pt idx="0">
                  <c:v>33.200000000000003</c:v>
                </c:pt>
                <c:pt idx="1">
                  <c:v>3.0499999999999972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E9-4339-8262-82E54A0CB2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98-4B5E-9E0C-00897BB46B8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98-4B5E-9E0C-00897BB46B8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98-4B5E-9E0C-00897BB46B8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98-4B5E-9E0C-00897BB46B8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'25'!$E$62:$H$62</c:f>
              <c:numCache>
                <c:formatCode>0.00</c:formatCode>
                <c:ptCount val="4"/>
                <c:pt idx="0">
                  <c:v>15.5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98-4B5E-9E0C-00897BB46B8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5104068489934161"/>
          <c:y val="2.85852198657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A3-4A9E-BB79-C2041171C23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A3-4A9E-BB79-C2041171C23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A3-4A9E-BB79-C2041171C23A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3-4A9E-BB79-C2041171C23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'25'!$I$62:$K$62</c:f>
              <c:numCache>
                <c:formatCode>0.00</c:formatCode>
                <c:ptCount val="3"/>
                <c:pt idx="0">
                  <c:v>15.5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A3-4A9E-BB79-C2041171C23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F6-46B2-9953-A278A1B8C635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F6-46B2-9953-A278A1B8C63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F6-46B2-9953-A278A1B8C63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F6-46B2-9953-A278A1B8C63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F6-46B2-9953-A278A1B8C63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F6-46B2-9953-A278A1B8C63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'26'!$E$62:$H$62</c:f>
              <c:numCache>
                <c:formatCode>0.00</c:formatCode>
                <c:ptCount val="4"/>
                <c:pt idx="0">
                  <c:v>3</c:v>
                </c:pt>
                <c:pt idx="1">
                  <c:v>11.27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F6-46B2-9953-A278A1B8C6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0254908140291012"/>
          <c:y val="2.1224401460389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71-44CA-A7E6-F629F620DC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71-44CA-A7E6-F629F620DC6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71-44CA-A7E6-F629F620DC6D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71-44CA-A7E6-F629F620DC6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'26'!$I$62:$K$62</c:f>
              <c:numCache>
                <c:formatCode>0.00</c:formatCode>
                <c:ptCount val="3"/>
                <c:pt idx="0">
                  <c:v>0</c:v>
                </c:pt>
                <c:pt idx="1">
                  <c:v>14.27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71-44CA-A7E6-F629F620DC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72-4C03-B4FE-A11D9F1CCA0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72-4C03-B4FE-A11D9F1CCA0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72-4C03-B4FE-A11D9F1CCA0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72-4C03-B4FE-A11D9F1CCA00}"/>
              </c:ext>
            </c:extLst>
          </c:dPt>
          <c:dLbls>
            <c:dLbl>
              <c:idx val="0"/>
              <c:layout>
                <c:manualLayout>
                  <c:x val="-0.19461083049485195"/>
                  <c:y val="-0.1113233795339763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72-4C03-B4FE-A11D9F1CCA00}"/>
                </c:ext>
              </c:extLst>
            </c:dLbl>
            <c:dLbl>
              <c:idx val="1"/>
              <c:layout>
                <c:manualLayout>
                  <c:x val="0.12556089022570871"/>
                  <c:y val="5.371887263586044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72-4C03-B4FE-A11D9F1CCA00}"/>
                </c:ext>
              </c:extLst>
            </c:dLbl>
            <c:dLbl>
              <c:idx val="2"/>
              <c:layout>
                <c:manualLayout>
                  <c:x val="0.10716729936506322"/>
                  <c:y val="9.4712572473401174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56291465238789"/>
                      <c:h val="6.51378689051839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372-4C03-B4FE-A11D9F1CCA0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72-4C03-B4FE-A11D9F1CCA0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'27'!$E$62:$H$62</c:f>
              <c:numCache>
                <c:formatCode>0.00</c:formatCode>
                <c:ptCount val="4"/>
                <c:pt idx="0">
                  <c:v>6</c:v>
                </c:pt>
                <c:pt idx="1">
                  <c:v>14.6</c:v>
                </c:pt>
                <c:pt idx="2">
                  <c:v>3.2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72-4C03-B4FE-A11D9F1CCA0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3345516145666628"/>
          <c:y val="2.0797357589275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1C-460D-8A0C-4B0572104E0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1C-460D-8A0C-4B0572104E0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1C-460D-8A0C-4B0572104E0F}"/>
              </c:ext>
            </c:extLst>
          </c:dPt>
          <c:dLbls>
            <c:dLbl>
              <c:idx val="1"/>
              <c:layout>
                <c:manualLayout>
                  <c:x val="3.9417490192183519E-2"/>
                  <c:y val="-1.078416966226935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21913951929284"/>
                      <c:h val="5.79780716605754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C1C-460D-8A0C-4B0572104E0F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1C-460D-8A0C-4B0572104E0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'27'!$I$62:$K$62</c:f>
              <c:numCache>
                <c:formatCode>0.00</c:formatCode>
                <c:ptCount val="3"/>
                <c:pt idx="0">
                  <c:v>10.6</c:v>
                </c:pt>
                <c:pt idx="1">
                  <c:v>8</c:v>
                </c:pt>
                <c:pt idx="2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1C-460D-8A0C-4B0572104E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layout>
        <c:manualLayout>
          <c:xMode val="edge"/>
          <c:yMode val="edge"/>
          <c:x val="0.25521280732898616"/>
          <c:y val="5.27996668470700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DE-47ED-B2A0-9E5E6F8A1E26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DE-47ED-B2A0-9E5E6F8A1E26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DE-47ED-B2A0-9E5E6F8A1E2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DE-47ED-B2A0-9E5E6F8A1E26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DE-47ED-B2A0-9E5E6F8A1E2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'31'!$E$89:$H$89</c:f>
              <c:numCache>
                <c:formatCode>0.00</c:formatCode>
                <c:ptCount val="4"/>
                <c:pt idx="0">
                  <c:v>4.6400000000000006</c:v>
                </c:pt>
                <c:pt idx="1">
                  <c:v>31.32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DE-47ED-B2A0-9E5E6F8A1E2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0383496912479258"/>
          <c:y val="1.3006319637576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CB-43A3-B71D-5271534A77D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CB-43A3-B71D-5271534A77D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CB-43A3-B71D-5271534A77DC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CB-43A3-B71D-5271534A77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CB-43A3-B71D-5271534A77D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'31'!$I$89:$K$89</c:f>
              <c:numCache>
                <c:formatCode>0.00</c:formatCode>
                <c:ptCount val="3"/>
                <c:pt idx="0">
                  <c:v>22.55</c:v>
                </c:pt>
                <c:pt idx="1">
                  <c:v>13.409999999999998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B-43A3-B71D-5271534A77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E9-4336-BE01-CD196DA86DC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E9-4336-BE01-CD196DA86DC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E9-4336-BE01-CD196DA86DC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E9-4336-BE01-CD196DA86DCC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E9-4336-BE01-CD196DA86D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E9-4336-BE01-CD196DA86DC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'33'!$E$111:$H$111</c:f>
              <c:numCache>
                <c:formatCode>0.00</c:formatCode>
                <c:ptCount val="4"/>
                <c:pt idx="0">
                  <c:v>49.480000000000004</c:v>
                </c:pt>
                <c:pt idx="1">
                  <c:v>13.41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E9-4336-BE01-CD196DA86D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E6-4977-AC52-0FD383E013D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E6-4977-AC52-0FD383E013D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E6-4977-AC52-0FD383E013D0}"/>
              </c:ext>
            </c:extLst>
          </c:dPt>
          <c:dLbls>
            <c:dLbl>
              <c:idx val="0"/>
              <c:layout>
                <c:manualLayout>
                  <c:x val="8.7514552641578848E-3"/>
                  <c:y val="-0.3785521145477187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E6-4977-AC52-0FD383E013D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E6-4977-AC52-0FD383E013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E6-4977-AC52-0FD383E013D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'33'!$I$111:$K$111</c:f>
              <c:numCache>
                <c:formatCode>0.00</c:formatCode>
                <c:ptCount val="3"/>
                <c:pt idx="0">
                  <c:v>42.480000000000004</c:v>
                </c:pt>
                <c:pt idx="1">
                  <c:v>20.41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E6-4977-AC52-0FD383E013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layout>
        <c:manualLayout>
          <c:xMode val="edge"/>
          <c:yMode val="edge"/>
          <c:x val="0.14724072835957283"/>
          <c:y val="2.9051867253138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1C-4412-8E17-E3B2B5050A82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1C-4412-8E17-E3B2B5050A8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B1C-4412-8E17-E3B2B5050A8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B1C-4412-8E17-E3B2B5050A82}"/>
              </c:ext>
            </c:extLst>
          </c:dPt>
          <c:dLbls>
            <c:dLbl>
              <c:idx val="0"/>
              <c:layout>
                <c:manualLayout>
                  <c:x val="-7.3677549736948331E-2"/>
                  <c:y val="-0.277224678412933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1C-4412-8E17-E3B2B5050A82}"/>
                </c:ext>
              </c:extLst>
            </c:dLbl>
            <c:dLbl>
              <c:idx val="1"/>
              <c:layout>
                <c:manualLayout>
                  <c:x val="1.8391211294664957E-2"/>
                  <c:y val="-3.497866855462537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1C-4412-8E17-E3B2B5050A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1C-4412-8E17-E3B2B5050A8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1C-4412-8E17-E3B2B5050A8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'34'!$E$85:$H$85</c:f>
              <c:numCache>
                <c:formatCode>0.00</c:formatCode>
                <c:ptCount val="4"/>
                <c:pt idx="0">
                  <c:v>12</c:v>
                </c:pt>
                <c:pt idx="1">
                  <c:v>19.600000000000001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1C-4412-8E17-E3B2B5050A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65-4C3D-A457-4B619FE116D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65-4C3D-A457-4B619FE116D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65-4C3D-A457-4B619FE116D1}"/>
              </c:ext>
            </c:extLst>
          </c:dPt>
          <c:dLbls>
            <c:dLbl>
              <c:idx val="0"/>
              <c:layout>
                <c:manualLayout>
                  <c:x val="-9.9916742190991711E-2"/>
                  <c:y val="-0.253230625897396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65-4C3D-A457-4B619FE116D1}"/>
                </c:ext>
              </c:extLst>
            </c:dLbl>
            <c:dLbl>
              <c:idx val="1"/>
              <c:layout>
                <c:manualLayout>
                  <c:x val="2.3301067287804442E-2"/>
                  <c:y val="1.272626835097166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520377583299586"/>
                      <c:h val="0.104028391861903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E65-4C3D-A457-4B619FE116D1}"/>
                </c:ext>
              </c:extLst>
            </c:dLbl>
            <c:dLbl>
              <c:idx val="2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65-4C3D-A457-4B619FE116D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'34'!$I$85:$K$85</c:f>
              <c:numCache>
                <c:formatCode>0.00</c:formatCode>
                <c:ptCount val="3"/>
                <c:pt idx="0">
                  <c:v>16</c:v>
                </c:pt>
                <c:pt idx="1">
                  <c:v>11.600000000000001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65-4C3D-A457-4B619FE116D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1A-46A5-AD2E-BE1A629DF3BD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1A-46A5-AD2E-BE1A629DF3B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1A-46A5-AD2E-BE1A629DF3B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D1A-46A5-AD2E-BE1A629DF3BD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1A-46A5-AD2E-BE1A629DF3B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'37'!$E$54:$H$54</c:f>
              <c:numCache>
                <c:formatCode>0.00</c:formatCode>
                <c:ptCount val="4"/>
                <c:pt idx="0">
                  <c:v>0</c:v>
                </c:pt>
                <c:pt idx="1">
                  <c:v>8</c:v>
                </c:pt>
                <c:pt idx="2">
                  <c:v>4.0999999999999996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1A-46A5-AD2E-BE1A629DF3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6A-4C8C-AB16-5C0BC3E2752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6A-4C8C-AB16-5C0BC3E2752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6A-4C8C-AB16-5C0BC3E27529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6A-4C8C-AB16-5C0BC3E2752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'37'!$I$54:$K$54</c:f>
              <c:numCache>
                <c:formatCode>0.00</c:formatCode>
                <c:ptCount val="3"/>
                <c:pt idx="0">
                  <c:v>4</c:v>
                </c:pt>
                <c:pt idx="1">
                  <c:v>8.1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6A-4C8C-AB16-5C0BC3E275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5B-4128-A1CC-9A13400D90B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5B-4128-A1CC-9A13400D90B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5B-4128-A1CC-9A13400D90B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B5B-4128-A1CC-9A13400D90B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[1]TT!$D$3:$G$3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TT!$D$18:$G$18</c:f>
              <c:numCache>
                <c:formatCode>0.00</c:formatCode>
                <c:ptCount val="4"/>
                <c:pt idx="0">
                  <c:v>174.78</c:v>
                </c:pt>
                <c:pt idx="1">
                  <c:v>210.2896687775</c:v>
                </c:pt>
                <c:pt idx="2">
                  <c:v>33.6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5B-4128-A1CC-9A13400D90B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7A-4A2E-8A6C-278C861591D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7A-4A2E-8A6C-278C861591D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7A-4A2E-8A6C-278C861591D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[1]TT!$H$3:$J$3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TT!$H$18:$J$18</c:f>
              <c:numCache>
                <c:formatCode>0.00</c:formatCode>
                <c:ptCount val="3"/>
                <c:pt idx="0">
                  <c:v>219.35966877750002</c:v>
                </c:pt>
                <c:pt idx="1">
                  <c:v>182.10999999999999</c:v>
                </c:pt>
                <c:pt idx="2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7A-4A2E-8A6C-278C861591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396AA-FA1D-4B51-9138-1F4645DA0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396844</xdr:colOff>
      <xdr:row>5</xdr:row>
      <xdr:rowOff>326668</xdr:rowOff>
    </xdr:from>
    <xdr:to>
      <xdr:col>36</xdr:col>
      <xdr:colOff>222814</xdr:colOff>
      <xdr:row>11</xdr:row>
      <xdr:rowOff>310978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9397D3-68A9-42A3-AA3C-031EDBFF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63C1D3-FBE7-9FEF-3D9A-18B05FD3A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539548</xdr:colOff>
      <xdr:row>5</xdr:row>
      <xdr:rowOff>302857</xdr:rowOff>
    </xdr:from>
    <xdr:to>
      <xdr:col>36</xdr:col>
      <xdr:colOff>480511</xdr:colOff>
      <xdr:row>11</xdr:row>
      <xdr:rowOff>308295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805ADA5-AD8B-4FD9-9A82-2F9C4EB22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487953</xdr:rowOff>
    </xdr:from>
    <xdr:to>
      <xdr:col>29</xdr:col>
      <xdr:colOff>503465</xdr:colOff>
      <xdr:row>16</xdr:row>
      <xdr:rowOff>136071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1233C2A-8200-4AEA-9E44-0C267BC92585}"/>
            </a:ext>
          </a:extLst>
        </xdr:cNvPr>
        <xdr:cNvSpPr txBox="1"/>
      </xdr:nvSpPr>
      <xdr:spPr>
        <a:xfrm>
          <a:off x="34573845" y="7931060"/>
          <a:ext cx="1008834" cy="178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2CB965-1231-4074-8ACE-36A9FC325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550025</xdr:colOff>
      <xdr:row>5</xdr:row>
      <xdr:rowOff>306667</xdr:rowOff>
    </xdr:from>
    <xdr:to>
      <xdr:col>36</xdr:col>
      <xdr:colOff>504323</xdr:colOff>
      <xdr:row>11</xdr:row>
      <xdr:rowOff>304485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C6428E-42F8-488D-9F70-A627A958F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106951</xdr:colOff>
      <xdr:row>15</xdr:row>
      <xdr:rowOff>487953</xdr:rowOff>
    </xdr:from>
    <xdr:to>
      <xdr:col>29</xdr:col>
      <xdr:colOff>484908</xdr:colOff>
      <xdr:row>16</xdr:row>
      <xdr:rowOff>207818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A8C2707-AAB2-483F-89E5-499AB6479281}"/>
            </a:ext>
          </a:extLst>
        </xdr:cNvPr>
        <xdr:cNvSpPr txBox="1"/>
      </xdr:nvSpPr>
      <xdr:spPr>
        <a:xfrm>
          <a:off x="34587451" y="7830862"/>
          <a:ext cx="984093" cy="239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382367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53068D-9E5F-470D-B1CF-903D660DC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478921</xdr:colOff>
      <xdr:row>5</xdr:row>
      <xdr:rowOff>313062</xdr:rowOff>
    </xdr:from>
    <xdr:to>
      <xdr:col>36</xdr:col>
      <xdr:colOff>368029</xdr:colOff>
      <xdr:row>11</xdr:row>
      <xdr:rowOff>252740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4C3650-1BD6-4D75-8E79-D4B3E5584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382367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DE42DD-CF5D-48C5-BCA3-E5DDE7631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500172</xdr:colOff>
      <xdr:row>5</xdr:row>
      <xdr:rowOff>310378</xdr:rowOff>
    </xdr:from>
    <xdr:to>
      <xdr:col>36</xdr:col>
      <xdr:colOff>391185</xdr:colOff>
      <xdr:row>11</xdr:row>
      <xdr:rowOff>250056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BFD6E4-181E-497F-A332-3377B5276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487952</xdr:rowOff>
    </xdr:from>
    <xdr:to>
      <xdr:col>29</xdr:col>
      <xdr:colOff>476250</xdr:colOff>
      <xdr:row>16</xdr:row>
      <xdr:rowOff>176892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9501F55-355D-4545-BEEE-2400D6826D3E}"/>
            </a:ext>
          </a:extLst>
        </xdr:cNvPr>
        <xdr:cNvSpPr txBox="1"/>
      </xdr:nvSpPr>
      <xdr:spPr>
        <a:xfrm>
          <a:off x="34573845" y="7931059"/>
          <a:ext cx="981619" cy="2196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E53F4B-A2BF-45A3-A48B-11BA6CDF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539547</xdr:colOff>
      <xdr:row>5</xdr:row>
      <xdr:rowOff>320176</xdr:rowOff>
    </xdr:from>
    <xdr:to>
      <xdr:col>36</xdr:col>
      <xdr:colOff>480510</xdr:colOff>
      <xdr:row>11</xdr:row>
      <xdr:rowOff>325614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9B3999-27D0-4DA3-9CC6-DFD4AD38E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487953</xdr:rowOff>
    </xdr:from>
    <xdr:to>
      <xdr:col>29</xdr:col>
      <xdr:colOff>476250</xdr:colOff>
      <xdr:row>16</xdr:row>
      <xdr:rowOff>149678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0943C67-7653-4A6C-8291-21FB1C9206F9}"/>
            </a:ext>
          </a:extLst>
        </xdr:cNvPr>
        <xdr:cNvSpPr txBox="1"/>
      </xdr:nvSpPr>
      <xdr:spPr>
        <a:xfrm>
          <a:off x="34573845" y="7931060"/>
          <a:ext cx="981619" cy="192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382367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42AAFD-55E2-42E9-8309-8777D7077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476249</xdr:colOff>
      <xdr:row>5</xdr:row>
      <xdr:rowOff>306568</xdr:rowOff>
    </xdr:from>
    <xdr:to>
      <xdr:col>36</xdr:col>
      <xdr:colOff>365357</xdr:colOff>
      <xdr:row>11</xdr:row>
      <xdr:rowOff>242436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8086A7-2BE6-4B73-B8BD-85BB2FBE1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382367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F04CB3-49E9-41C5-A790-0FCD4E295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467688</xdr:colOff>
      <xdr:row>5</xdr:row>
      <xdr:rowOff>313062</xdr:rowOff>
    </xdr:from>
    <xdr:to>
      <xdr:col>36</xdr:col>
      <xdr:colOff>356796</xdr:colOff>
      <xdr:row>11</xdr:row>
      <xdr:rowOff>252740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4B9C8D-6482-4604-BBC4-43B44F85B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487952</xdr:rowOff>
    </xdr:from>
    <xdr:to>
      <xdr:col>29</xdr:col>
      <xdr:colOff>530679</xdr:colOff>
      <xdr:row>16</xdr:row>
      <xdr:rowOff>258534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3A19B12-DFF1-4238-8176-9AC2C1E386EC}"/>
            </a:ext>
          </a:extLst>
        </xdr:cNvPr>
        <xdr:cNvSpPr txBox="1"/>
      </xdr:nvSpPr>
      <xdr:spPr>
        <a:xfrm>
          <a:off x="34573845" y="7931059"/>
          <a:ext cx="1036048" cy="301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382367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EEA83F-5D41-4427-B15F-43B6C26C8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476149</xdr:colOff>
      <xdr:row>5</xdr:row>
      <xdr:rowOff>299455</xdr:rowOff>
    </xdr:from>
    <xdr:to>
      <xdr:col>36</xdr:col>
      <xdr:colOff>365257</xdr:colOff>
      <xdr:row>11</xdr:row>
      <xdr:rowOff>239133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4007FB-874D-46AD-888B-756D409D4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8BEDCE-AB39-4C25-A78C-23D16AA3B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536863</xdr:colOff>
      <xdr:row>5</xdr:row>
      <xdr:rowOff>288224</xdr:rowOff>
    </xdr:from>
    <xdr:to>
      <xdr:col>36</xdr:col>
      <xdr:colOff>477826</xdr:colOff>
      <xdr:row>11</xdr:row>
      <xdr:rowOff>282232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7E58DD-8D1E-443E-AA98-22795F453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106951</xdr:colOff>
      <xdr:row>15</xdr:row>
      <xdr:rowOff>487953</xdr:rowOff>
    </xdr:from>
    <xdr:to>
      <xdr:col>29</xdr:col>
      <xdr:colOff>450272</xdr:colOff>
      <xdr:row>44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4FB6254-F666-4BAD-814C-4899FB430065}"/>
            </a:ext>
          </a:extLst>
        </xdr:cNvPr>
        <xdr:cNvSpPr txBox="1"/>
      </xdr:nvSpPr>
      <xdr:spPr>
        <a:xfrm>
          <a:off x="34587451" y="7830862"/>
          <a:ext cx="949457" cy="204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0A38FC-5D9F-48FB-94F5-419514F30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528724</xdr:colOff>
      <xdr:row>5</xdr:row>
      <xdr:rowOff>320175</xdr:rowOff>
    </xdr:from>
    <xdr:to>
      <xdr:col>36</xdr:col>
      <xdr:colOff>467782</xdr:colOff>
      <xdr:row>11</xdr:row>
      <xdr:rowOff>325613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B15CE7-AD40-449C-A039-3FF56CCA5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316501</xdr:rowOff>
    </xdr:from>
    <xdr:to>
      <xdr:col>27</xdr:col>
      <xdr:colOff>382367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66B1BB-9D3E-4670-B486-0B7FE671D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448368</xdr:colOff>
      <xdr:row>5</xdr:row>
      <xdr:rowOff>312744</xdr:rowOff>
    </xdr:from>
    <xdr:to>
      <xdr:col>36</xdr:col>
      <xdr:colOff>337476</xdr:colOff>
      <xdr:row>11</xdr:row>
      <xdr:rowOff>252422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6786C6-9DDA-4449-B7CA-8A40EEA26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CA1C48-7A75-4304-809F-6A21DD06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541712</xdr:colOff>
      <xdr:row>5</xdr:row>
      <xdr:rowOff>305542</xdr:rowOff>
    </xdr:from>
    <xdr:to>
      <xdr:col>36</xdr:col>
      <xdr:colOff>482675</xdr:colOff>
      <xdr:row>11</xdr:row>
      <xdr:rowOff>303360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08B138-5384-402F-A8EE-35093FF39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487952</xdr:rowOff>
    </xdr:from>
    <xdr:to>
      <xdr:col>29</xdr:col>
      <xdr:colOff>449036</xdr:colOff>
      <xdr:row>16</xdr:row>
      <xdr:rowOff>258534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D681B52-D17F-4980-AD4C-7D075FD5BCBC}"/>
            </a:ext>
          </a:extLst>
        </xdr:cNvPr>
        <xdr:cNvSpPr txBox="1"/>
      </xdr:nvSpPr>
      <xdr:spPr>
        <a:xfrm>
          <a:off x="34573845" y="7931059"/>
          <a:ext cx="954405" cy="301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34939</xdr:colOff>
      <xdr:row>4</xdr:row>
      <xdr:rowOff>17929</xdr:rowOff>
    </xdr:from>
    <xdr:to>
      <xdr:col>21</xdr:col>
      <xdr:colOff>536367</xdr:colOff>
      <xdr:row>10</xdr:row>
      <xdr:rowOff>111096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1EB1299-30E0-4EEB-A71C-F8099AF05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592319</xdr:colOff>
      <xdr:row>4</xdr:row>
      <xdr:rowOff>11703</xdr:rowOff>
    </xdr:from>
    <xdr:to>
      <xdr:col>30</xdr:col>
      <xdr:colOff>481426</xdr:colOff>
      <xdr:row>10</xdr:row>
      <xdr:rowOff>108680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A8F5A3C-39C0-40C7-B7BD-EC9F15AF5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3144b48bf6ffb4c/Desktop/TO/CONS&#211;RCIO%20RTA%20MSI/Atividades/Lote%2001/Julho%2025/Regi&#227;o%2003/Ficha%20de%20inspe&#231;&#227;o_rodovias%20n&#227;o%20pavimentadas_R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chos"/>
      <sheetName val="67"/>
      <sheetName val="69"/>
      <sheetName val="71"/>
      <sheetName val="72"/>
      <sheetName val="75"/>
      <sheetName val="76"/>
      <sheetName val="79"/>
      <sheetName val="81"/>
      <sheetName val="82"/>
      <sheetName val="83"/>
      <sheetName val="84"/>
      <sheetName val="T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D3" t="str">
            <v>BOM</v>
          </cell>
          <cell r="E3" t="str">
            <v>REG.
(ATÉ 10 IRR./KM)</v>
          </cell>
          <cell r="F3" t="str">
            <v>RUÍM
(+ 10 IRR./KM)</v>
          </cell>
          <cell r="G3" t="str">
            <v>PÉSSIMA
(ATOLEIRO/PTO. CRÍTICO)</v>
          </cell>
          <cell r="H3" t="str">
            <v>LIMPA</v>
          </cell>
          <cell r="I3" t="str">
            <v>OBSTRUÍDA</v>
          </cell>
          <cell r="J3" t="str">
            <v>AUSENTE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8"/>
  <sheetViews>
    <sheetView zoomScale="70" zoomScaleNormal="70" workbookViewId="0">
      <selection activeCell="H93" sqref="H93:H94"/>
    </sheetView>
  </sheetViews>
  <sheetFormatPr defaultColWidth="8.875" defaultRowHeight="15"/>
  <cols>
    <col min="1" max="1" width="7.25" style="47" customWidth="1"/>
    <col min="2" max="2" width="23.625" style="1" hidden="1" customWidth="1"/>
    <col min="3" max="3" width="16.25" style="1" hidden="1" customWidth="1"/>
    <col min="4" max="4" width="8.25" style="47" customWidth="1"/>
    <col min="5" max="5" width="53.25" style="60" customWidth="1"/>
    <col min="6" max="6" width="13.25" style="47" customWidth="1"/>
    <col min="7" max="7" width="48.625" style="60" customWidth="1"/>
    <col min="8" max="8" width="14" style="58" bestFit="1" customWidth="1"/>
    <col min="9" max="9" width="5" style="47" bestFit="1" customWidth="1"/>
    <col min="10" max="15" width="8.875" style="47"/>
    <col min="16" max="16384" width="8.875" style="46"/>
  </cols>
  <sheetData>
    <row r="1" spans="1:15">
      <c r="A1" s="56" t="s">
        <v>86</v>
      </c>
      <c r="J1" s="61"/>
      <c r="K1" s="61"/>
      <c r="L1" s="61"/>
    </row>
    <row r="2" spans="1:15" s="47" customFormat="1">
      <c r="A2" s="66" t="s">
        <v>87</v>
      </c>
      <c r="B2" s="62" t="s">
        <v>94</v>
      </c>
      <c r="C2" s="62" t="s">
        <v>95</v>
      </c>
      <c r="D2" s="57" t="s">
        <v>88</v>
      </c>
      <c r="E2" s="57" t="s">
        <v>21</v>
      </c>
      <c r="F2" s="66" t="s">
        <v>96</v>
      </c>
      <c r="G2" s="57" t="s">
        <v>89</v>
      </c>
      <c r="H2" s="59" t="s">
        <v>90</v>
      </c>
      <c r="I2" s="92" t="s">
        <v>91</v>
      </c>
      <c r="J2" s="93">
        <v>45839</v>
      </c>
      <c r="K2" s="93">
        <v>45870</v>
      </c>
      <c r="L2" s="93">
        <v>45901</v>
      </c>
      <c r="M2" s="65">
        <v>45931</v>
      </c>
      <c r="N2" s="65">
        <v>45962</v>
      </c>
      <c r="O2" s="65">
        <v>45992</v>
      </c>
    </row>
    <row r="3" spans="1:15" s="1" customFormat="1" hidden="1">
      <c r="A3" s="2">
        <v>1</v>
      </c>
      <c r="B3" s="1">
        <v>1</v>
      </c>
      <c r="C3" s="1" t="s">
        <v>97</v>
      </c>
      <c r="D3" s="2" t="s">
        <v>37</v>
      </c>
      <c r="E3" s="63" t="s">
        <v>24</v>
      </c>
      <c r="F3" s="2" t="s">
        <v>98</v>
      </c>
      <c r="G3" s="2" t="s">
        <v>99</v>
      </c>
      <c r="H3" s="64">
        <v>0.87749259325600004</v>
      </c>
      <c r="I3" s="2" t="s">
        <v>100</v>
      </c>
    </row>
    <row r="4" spans="1:15" s="1" customFormat="1" hidden="1">
      <c r="A4" s="2">
        <v>1</v>
      </c>
      <c r="B4" s="1">
        <v>1</v>
      </c>
      <c r="C4" s="1" t="s">
        <v>97</v>
      </c>
      <c r="D4" s="2" t="s">
        <v>37</v>
      </c>
      <c r="E4" s="63" t="s">
        <v>24</v>
      </c>
      <c r="F4" s="2" t="s">
        <v>101</v>
      </c>
      <c r="G4" s="2" t="s">
        <v>99</v>
      </c>
      <c r="H4" s="64">
        <v>1.98925832543</v>
      </c>
      <c r="I4" s="2" t="s">
        <v>100</v>
      </c>
    </row>
    <row r="5" spans="1:15" s="1" customFormat="1" hidden="1">
      <c r="A5" s="2">
        <v>1</v>
      </c>
      <c r="B5" s="1">
        <v>1</v>
      </c>
      <c r="C5" s="1" t="s">
        <v>97</v>
      </c>
      <c r="D5" s="2" t="s">
        <v>37</v>
      </c>
      <c r="E5" s="63" t="s">
        <v>24</v>
      </c>
      <c r="F5" s="2" t="s">
        <v>102</v>
      </c>
      <c r="G5" s="2" t="s">
        <v>103</v>
      </c>
      <c r="H5" s="64">
        <v>3.8103284894499998</v>
      </c>
      <c r="I5" s="2" t="s">
        <v>104</v>
      </c>
    </row>
    <row r="6" spans="1:15" s="1" customFormat="1" hidden="1">
      <c r="A6" s="2">
        <v>1</v>
      </c>
      <c r="B6" s="1">
        <v>1</v>
      </c>
      <c r="C6" s="1" t="s">
        <v>97</v>
      </c>
      <c r="D6" s="2" t="s">
        <v>37</v>
      </c>
      <c r="E6" s="63" t="s">
        <v>24</v>
      </c>
      <c r="F6" s="2" t="s">
        <v>105</v>
      </c>
      <c r="G6" s="2" t="s">
        <v>106</v>
      </c>
      <c r="H6" s="64">
        <v>1.66539509741</v>
      </c>
      <c r="I6" s="2" t="s">
        <v>104</v>
      </c>
    </row>
    <row r="7" spans="1:15" s="1" customFormat="1" hidden="1">
      <c r="A7" s="2">
        <v>1</v>
      </c>
      <c r="B7" s="1">
        <v>1</v>
      </c>
      <c r="C7" s="1" t="s">
        <v>97</v>
      </c>
      <c r="D7" s="2" t="s">
        <v>37</v>
      </c>
      <c r="E7" s="63" t="s">
        <v>24</v>
      </c>
      <c r="F7" s="2" t="s">
        <v>107</v>
      </c>
      <c r="G7" s="2" t="s">
        <v>108</v>
      </c>
      <c r="H7" s="64">
        <v>1.3552324662799999</v>
      </c>
      <c r="I7" s="2" t="s">
        <v>104</v>
      </c>
    </row>
    <row r="8" spans="1:15">
      <c r="A8" s="86">
        <v>1</v>
      </c>
      <c r="B8" s="1">
        <v>1</v>
      </c>
      <c r="C8" s="1" t="s">
        <v>97</v>
      </c>
      <c r="D8" s="86" t="s">
        <v>37</v>
      </c>
      <c r="E8" s="87" t="s">
        <v>24</v>
      </c>
      <c r="F8" s="86" t="s">
        <v>54</v>
      </c>
      <c r="G8" s="96" t="s">
        <v>109</v>
      </c>
      <c r="H8" s="88">
        <v>32.187522192499998</v>
      </c>
      <c r="I8" s="89" t="s">
        <v>93</v>
      </c>
      <c r="J8" s="89" t="s">
        <v>19</v>
      </c>
      <c r="K8" s="89" t="s">
        <v>19</v>
      </c>
      <c r="L8" s="89"/>
      <c r="M8" s="89"/>
      <c r="N8" s="89"/>
      <c r="O8" s="89"/>
    </row>
    <row r="9" spans="1:15">
      <c r="A9" s="86">
        <v>1</v>
      </c>
      <c r="B9" s="1">
        <v>1</v>
      </c>
      <c r="C9" s="1" t="s">
        <v>97</v>
      </c>
      <c r="D9" s="86" t="s">
        <v>37</v>
      </c>
      <c r="E9" s="87" t="s">
        <v>24</v>
      </c>
      <c r="F9" s="86" t="s">
        <v>55</v>
      </c>
      <c r="G9" s="96" t="s">
        <v>110</v>
      </c>
      <c r="H9" s="88">
        <v>5.3799353933000003</v>
      </c>
      <c r="I9" s="89" t="s">
        <v>93</v>
      </c>
      <c r="J9" s="89" t="s">
        <v>19</v>
      </c>
      <c r="K9" s="89" t="s">
        <v>19</v>
      </c>
      <c r="L9" s="89"/>
      <c r="M9" s="89"/>
      <c r="N9" s="89"/>
      <c r="O9" s="89"/>
    </row>
    <row r="10" spans="1:15">
      <c r="A10" s="86">
        <v>1</v>
      </c>
      <c r="B10" s="1">
        <v>1</v>
      </c>
      <c r="C10" s="1" t="s">
        <v>97</v>
      </c>
      <c r="D10" s="86" t="s">
        <v>37</v>
      </c>
      <c r="E10" s="87" t="s">
        <v>24</v>
      </c>
      <c r="F10" s="86" t="s">
        <v>56</v>
      </c>
      <c r="G10" s="96" t="s">
        <v>111</v>
      </c>
      <c r="H10" s="88">
        <v>16.209854130699998</v>
      </c>
      <c r="I10" s="89" t="s">
        <v>93</v>
      </c>
      <c r="J10" s="89" t="s">
        <v>19</v>
      </c>
      <c r="K10" s="89" t="s">
        <v>19</v>
      </c>
      <c r="L10" s="89"/>
      <c r="M10" s="89"/>
      <c r="N10" s="89"/>
      <c r="O10" s="89"/>
    </row>
    <row r="11" spans="1:15">
      <c r="A11" s="86">
        <v>1</v>
      </c>
      <c r="B11" s="1">
        <v>1</v>
      </c>
      <c r="C11" s="1" t="s">
        <v>97</v>
      </c>
      <c r="D11" s="86" t="s">
        <v>37</v>
      </c>
      <c r="E11" s="87" t="s">
        <v>24</v>
      </c>
      <c r="F11" s="86" t="s">
        <v>57</v>
      </c>
      <c r="G11" s="96" t="s">
        <v>112</v>
      </c>
      <c r="H11" s="88">
        <v>1.34564477962</v>
      </c>
      <c r="I11" s="89" t="s">
        <v>93</v>
      </c>
      <c r="J11" s="89" t="s">
        <v>19</v>
      </c>
      <c r="K11" s="89" t="s">
        <v>19</v>
      </c>
      <c r="L11" s="89"/>
      <c r="M11" s="89"/>
      <c r="N11" s="89"/>
      <c r="O11" s="89"/>
    </row>
    <row r="12" spans="1:15">
      <c r="A12" s="86">
        <v>1</v>
      </c>
      <c r="B12" s="1">
        <v>1</v>
      </c>
      <c r="C12" s="1" t="s">
        <v>97</v>
      </c>
      <c r="D12" s="86" t="s">
        <v>37</v>
      </c>
      <c r="E12" s="87" t="s">
        <v>24</v>
      </c>
      <c r="F12" s="86" t="s">
        <v>58</v>
      </c>
      <c r="G12" s="96" t="s">
        <v>113</v>
      </c>
      <c r="H12" s="88">
        <v>7.29392567847</v>
      </c>
      <c r="I12" s="89" t="s">
        <v>93</v>
      </c>
      <c r="J12" s="89" t="s">
        <v>19</v>
      </c>
      <c r="K12" s="89" t="s">
        <v>19</v>
      </c>
      <c r="L12" s="89"/>
      <c r="M12" s="89"/>
      <c r="N12" s="89"/>
      <c r="O12" s="89"/>
    </row>
    <row r="13" spans="1:15">
      <c r="A13" s="86">
        <v>1</v>
      </c>
      <c r="B13" s="1">
        <v>1</v>
      </c>
      <c r="C13" s="1" t="s">
        <v>97</v>
      </c>
      <c r="D13" s="86" t="s">
        <v>37</v>
      </c>
      <c r="E13" s="87" t="s">
        <v>24</v>
      </c>
      <c r="F13" s="86" t="s">
        <v>59</v>
      </c>
      <c r="G13" s="96" t="s">
        <v>114</v>
      </c>
      <c r="H13" s="88">
        <v>3.8572586660399999</v>
      </c>
      <c r="I13" s="89" t="s">
        <v>93</v>
      </c>
      <c r="J13" s="89" t="s">
        <v>19</v>
      </c>
      <c r="K13" s="89" t="s">
        <v>19</v>
      </c>
      <c r="L13" s="89"/>
      <c r="M13" s="89"/>
      <c r="N13" s="89"/>
      <c r="O13" s="89"/>
    </row>
    <row r="14" spans="1:15">
      <c r="A14" s="86">
        <v>1</v>
      </c>
      <c r="B14" s="1">
        <v>1</v>
      </c>
      <c r="C14" s="1" t="s">
        <v>97</v>
      </c>
      <c r="D14" s="86" t="s">
        <v>37</v>
      </c>
      <c r="E14" s="87" t="s">
        <v>24</v>
      </c>
      <c r="F14" s="86" t="s">
        <v>60</v>
      </c>
      <c r="G14" s="96" t="s">
        <v>115</v>
      </c>
      <c r="H14" s="88">
        <v>9.3575815335199994</v>
      </c>
      <c r="I14" s="89" t="s">
        <v>93</v>
      </c>
      <c r="J14" s="89" t="s">
        <v>19</v>
      </c>
      <c r="K14" s="89" t="s">
        <v>19</v>
      </c>
      <c r="L14" s="89"/>
      <c r="M14" s="89"/>
      <c r="N14" s="89"/>
      <c r="O14" s="89"/>
    </row>
    <row r="15" spans="1:15" s="1" customFormat="1" hidden="1">
      <c r="A15" s="2">
        <v>1</v>
      </c>
      <c r="B15" s="1">
        <v>1</v>
      </c>
      <c r="C15" s="1" t="s">
        <v>97</v>
      </c>
      <c r="D15" s="2" t="s">
        <v>116</v>
      </c>
      <c r="E15" s="63" t="s">
        <v>117</v>
      </c>
      <c r="F15" s="2" t="s">
        <v>118</v>
      </c>
      <c r="G15" s="2" t="s">
        <v>119</v>
      </c>
      <c r="H15" s="64">
        <v>1.03059884173</v>
      </c>
      <c r="I15" s="2" t="s">
        <v>104</v>
      </c>
    </row>
    <row r="16" spans="1:15" s="1" customFormat="1" ht="30" hidden="1">
      <c r="A16" s="2">
        <v>1</v>
      </c>
      <c r="B16" s="1">
        <v>1</v>
      </c>
      <c r="C16" s="1" t="s">
        <v>97</v>
      </c>
      <c r="D16" s="2" t="s">
        <v>116</v>
      </c>
      <c r="E16" s="63" t="s">
        <v>117</v>
      </c>
      <c r="F16" s="2" t="s">
        <v>120</v>
      </c>
      <c r="G16" s="2" t="s">
        <v>121</v>
      </c>
      <c r="H16" s="64">
        <v>8.6075718702900001</v>
      </c>
      <c r="I16" s="2" t="s">
        <v>104</v>
      </c>
    </row>
    <row r="17" spans="1:15" s="1" customFormat="1" ht="30" hidden="1">
      <c r="A17" s="2">
        <v>1</v>
      </c>
      <c r="B17" s="1">
        <v>1</v>
      </c>
      <c r="C17" s="1" t="s">
        <v>97</v>
      </c>
      <c r="D17" s="2" t="s">
        <v>122</v>
      </c>
      <c r="E17" s="63" t="s">
        <v>123</v>
      </c>
      <c r="F17" s="2" t="s">
        <v>124</v>
      </c>
      <c r="G17" s="2" t="s">
        <v>125</v>
      </c>
      <c r="H17" s="64">
        <v>7.7551853679800002</v>
      </c>
      <c r="I17" s="2" t="s">
        <v>104</v>
      </c>
    </row>
    <row r="18" spans="1:15" s="1" customFormat="1" ht="30" hidden="1">
      <c r="A18" s="2">
        <v>1</v>
      </c>
      <c r="B18" s="1">
        <v>1</v>
      </c>
      <c r="C18" s="1" t="s">
        <v>97</v>
      </c>
      <c r="D18" s="2" t="s">
        <v>122</v>
      </c>
      <c r="E18" s="63" t="s">
        <v>123</v>
      </c>
      <c r="F18" s="2" t="s">
        <v>126</v>
      </c>
      <c r="G18" s="2" t="s">
        <v>127</v>
      </c>
      <c r="H18" s="64">
        <v>28.047220652899998</v>
      </c>
      <c r="I18" s="2" t="s">
        <v>104</v>
      </c>
    </row>
    <row r="19" spans="1:15" s="1" customFormat="1" ht="30" hidden="1">
      <c r="A19" s="2">
        <v>1</v>
      </c>
      <c r="B19" s="1">
        <v>1</v>
      </c>
      <c r="C19" s="1" t="s">
        <v>97</v>
      </c>
      <c r="D19" s="2" t="s">
        <v>122</v>
      </c>
      <c r="E19" s="63" t="s">
        <v>123</v>
      </c>
      <c r="F19" s="2" t="s">
        <v>128</v>
      </c>
      <c r="G19" s="2" t="s">
        <v>129</v>
      </c>
      <c r="H19" s="64">
        <v>2.8623319182300002</v>
      </c>
      <c r="I19" s="2" t="s">
        <v>104</v>
      </c>
    </row>
    <row r="20" spans="1:15" s="1" customFormat="1" ht="30" hidden="1">
      <c r="A20" s="2">
        <v>1</v>
      </c>
      <c r="B20" s="1">
        <v>1</v>
      </c>
      <c r="C20" s="1" t="s">
        <v>97</v>
      </c>
      <c r="D20" s="2" t="s">
        <v>122</v>
      </c>
      <c r="E20" s="63" t="s">
        <v>123</v>
      </c>
      <c r="F20" s="2" t="s">
        <v>130</v>
      </c>
      <c r="G20" s="2" t="s">
        <v>131</v>
      </c>
      <c r="H20" s="64">
        <v>2.9422715580699998</v>
      </c>
      <c r="I20" s="2" t="s">
        <v>104</v>
      </c>
    </row>
    <row r="21" spans="1:15" s="1" customFormat="1" ht="30" hidden="1">
      <c r="A21" s="2">
        <v>1</v>
      </c>
      <c r="B21" s="1">
        <v>1</v>
      </c>
      <c r="C21" s="1" t="s">
        <v>97</v>
      </c>
      <c r="D21" s="2" t="s">
        <v>132</v>
      </c>
      <c r="E21" s="63" t="s">
        <v>133</v>
      </c>
      <c r="F21" s="2" t="s">
        <v>134</v>
      </c>
      <c r="G21" s="2" t="s">
        <v>135</v>
      </c>
      <c r="H21" s="64">
        <v>3.6607757999700001</v>
      </c>
      <c r="I21" s="2" t="s">
        <v>104</v>
      </c>
    </row>
    <row r="22" spans="1:15" s="1" customFormat="1" ht="30" hidden="1">
      <c r="A22" s="2">
        <v>1</v>
      </c>
      <c r="B22" s="1">
        <v>1</v>
      </c>
      <c r="C22" s="1" t="s">
        <v>97</v>
      </c>
      <c r="D22" s="2" t="s">
        <v>132</v>
      </c>
      <c r="E22" s="63" t="s">
        <v>133</v>
      </c>
      <c r="F22" s="2" t="s">
        <v>136</v>
      </c>
      <c r="G22" s="2" t="s">
        <v>137</v>
      </c>
      <c r="H22" s="64">
        <v>5.5891580305200002</v>
      </c>
      <c r="I22" s="2" t="s">
        <v>104</v>
      </c>
    </row>
    <row r="23" spans="1:15" s="1" customFormat="1" ht="30" hidden="1">
      <c r="A23" s="2">
        <v>1</v>
      </c>
      <c r="B23" s="1">
        <v>1</v>
      </c>
      <c r="C23" s="1" t="s">
        <v>97</v>
      </c>
      <c r="D23" s="2" t="s">
        <v>138</v>
      </c>
      <c r="E23" s="63" t="s">
        <v>139</v>
      </c>
      <c r="F23" s="2" t="s">
        <v>140</v>
      </c>
      <c r="G23" s="2" t="s">
        <v>141</v>
      </c>
      <c r="H23" s="64">
        <v>1.86233580401</v>
      </c>
      <c r="I23" s="2" t="s">
        <v>142</v>
      </c>
    </row>
    <row r="24" spans="1:15" s="1" customFormat="1" ht="30" hidden="1">
      <c r="A24" s="2">
        <v>1</v>
      </c>
      <c r="B24" s="1">
        <v>1</v>
      </c>
      <c r="C24" s="1" t="s">
        <v>97</v>
      </c>
      <c r="D24" s="2" t="s">
        <v>138</v>
      </c>
      <c r="E24" s="63" t="s">
        <v>139</v>
      </c>
      <c r="F24" s="2" t="s">
        <v>143</v>
      </c>
      <c r="G24" s="2" t="s">
        <v>144</v>
      </c>
      <c r="H24" s="64">
        <v>22.489852453000001</v>
      </c>
      <c r="I24" s="2" t="s">
        <v>104</v>
      </c>
    </row>
    <row r="25" spans="1:15" s="1" customFormat="1" ht="30" hidden="1">
      <c r="A25" s="2">
        <v>1</v>
      </c>
      <c r="B25" s="1">
        <v>1</v>
      </c>
      <c r="C25" s="1" t="s">
        <v>97</v>
      </c>
      <c r="D25" s="2" t="s">
        <v>138</v>
      </c>
      <c r="E25" s="63" t="s">
        <v>139</v>
      </c>
      <c r="F25" s="2" t="s">
        <v>145</v>
      </c>
      <c r="G25" s="2" t="s">
        <v>146</v>
      </c>
      <c r="H25" s="64">
        <v>3.23447964588</v>
      </c>
      <c r="I25" s="2" t="s">
        <v>104</v>
      </c>
    </row>
    <row r="26" spans="1:15" s="1" customFormat="1" ht="30" hidden="1">
      <c r="A26" s="2">
        <v>1</v>
      </c>
      <c r="B26" s="1">
        <v>1</v>
      </c>
      <c r="C26" s="1" t="s">
        <v>97</v>
      </c>
      <c r="D26" s="2" t="s">
        <v>138</v>
      </c>
      <c r="E26" s="63" t="s">
        <v>139</v>
      </c>
      <c r="F26" s="2" t="s">
        <v>147</v>
      </c>
      <c r="G26" s="2" t="s">
        <v>148</v>
      </c>
      <c r="H26" s="64">
        <v>2.6525118651900002</v>
      </c>
      <c r="I26" s="2" t="s">
        <v>104</v>
      </c>
    </row>
    <row r="27" spans="1:15" ht="30">
      <c r="A27" s="89">
        <v>1</v>
      </c>
      <c r="B27" s="1">
        <v>1</v>
      </c>
      <c r="C27" s="1" t="s">
        <v>97</v>
      </c>
      <c r="D27" s="89" t="s">
        <v>38</v>
      </c>
      <c r="E27" s="90" t="s">
        <v>25</v>
      </c>
      <c r="F27" s="89" t="s">
        <v>77</v>
      </c>
      <c r="G27" s="95" t="s">
        <v>149</v>
      </c>
      <c r="H27" s="91">
        <v>35.479668777500002</v>
      </c>
      <c r="I27" s="89" t="s">
        <v>92</v>
      </c>
      <c r="J27" s="89" t="s">
        <v>19</v>
      </c>
      <c r="K27" s="89"/>
      <c r="L27" s="89"/>
      <c r="M27" s="89"/>
      <c r="N27" s="89"/>
      <c r="O27" s="89"/>
    </row>
    <row r="28" spans="1:15" s="1" customFormat="1" ht="30" hidden="1">
      <c r="A28" s="2">
        <v>1</v>
      </c>
      <c r="B28" s="1">
        <v>1</v>
      </c>
      <c r="C28" s="1" t="s">
        <v>97</v>
      </c>
      <c r="D28" s="2" t="s">
        <v>38</v>
      </c>
      <c r="E28" s="63" t="s">
        <v>25</v>
      </c>
      <c r="F28" s="2" t="s">
        <v>150</v>
      </c>
      <c r="G28" s="2" t="s">
        <v>151</v>
      </c>
      <c r="H28" s="64">
        <v>5.5291152566699999</v>
      </c>
      <c r="I28" s="2" t="s">
        <v>104</v>
      </c>
    </row>
    <row r="29" spans="1:15" s="1" customFormat="1" ht="30" hidden="1">
      <c r="A29" s="2">
        <v>1</v>
      </c>
      <c r="B29" s="1">
        <v>1</v>
      </c>
      <c r="C29" s="1" t="s">
        <v>97</v>
      </c>
      <c r="D29" s="2" t="s">
        <v>38</v>
      </c>
      <c r="E29" s="63" t="s">
        <v>25</v>
      </c>
      <c r="F29" s="2" t="s">
        <v>152</v>
      </c>
      <c r="G29" s="2" t="s">
        <v>153</v>
      </c>
      <c r="H29" s="64">
        <v>2.9848124491900001</v>
      </c>
      <c r="I29" s="2" t="s">
        <v>104</v>
      </c>
    </row>
    <row r="30" spans="1:15" s="1" customFormat="1" ht="30" hidden="1">
      <c r="A30" s="2">
        <v>1</v>
      </c>
      <c r="B30" s="1">
        <v>1</v>
      </c>
      <c r="C30" s="1" t="s">
        <v>97</v>
      </c>
      <c r="D30" s="2" t="s">
        <v>154</v>
      </c>
      <c r="E30" s="63" t="s">
        <v>155</v>
      </c>
      <c r="F30" s="2" t="s">
        <v>156</v>
      </c>
      <c r="G30" s="2" t="s">
        <v>157</v>
      </c>
      <c r="H30" s="64">
        <v>0.74066591426299999</v>
      </c>
      <c r="I30" s="2" t="s">
        <v>100</v>
      </c>
    </row>
    <row r="31" spans="1:15" s="1" customFormat="1" ht="30" hidden="1">
      <c r="A31" s="2">
        <v>1</v>
      </c>
      <c r="B31" s="1">
        <v>1</v>
      </c>
      <c r="C31" s="1" t="s">
        <v>97</v>
      </c>
      <c r="D31" s="2" t="s">
        <v>154</v>
      </c>
      <c r="E31" s="63" t="s">
        <v>155</v>
      </c>
      <c r="F31" s="2" t="s">
        <v>158</v>
      </c>
      <c r="G31" s="2" t="s">
        <v>159</v>
      </c>
      <c r="H31" s="64">
        <v>20.919422496700001</v>
      </c>
      <c r="I31" s="2" t="s">
        <v>104</v>
      </c>
    </row>
    <row r="32" spans="1:15" s="1" customFormat="1" ht="30" hidden="1">
      <c r="A32" s="2">
        <v>1</v>
      </c>
      <c r="B32" s="1">
        <v>1</v>
      </c>
      <c r="C32" s="1" t="s">
        <v>97</v>
      </c>
      <c r="D32" s="2" t="s">
        <v>160</v>
      </c>
      <c r="E32" s="63" t="s">
        <v>161</v>
      </c>
      <c r="F32" s="2" t="s">
        <v>162</v>
      </c>
      <c r="G32" s="2" t="s">
        <v>163</v>
      </c>
      <c r="H32" s="64">
        <v>11.3554300661</v>
      </c>
      <c r="I32" s="2" t="s">
        <v>104</v>
      </c>
    </row>
    <row r="33" spans="1:15" s="1" customFormat="1" ht="30" hidden="1">
      <c r="A33" s="2">
        <v>1</v>
      </c>
      <c r="B33" s="1">
        <v>1</v>
      </c>
      <c r="C33" s="1" t="s">
        <v>97</v>
      </c>
      <c r="D33" s="2" t="s">
        <v>160</v>
      </c>
      <c r="E33" s="63" t="s">
        <v>161</v>
      </c>
      <c r="F33" s="2" t="s">
        <v>164</v>
      </c>
      <c r="G33" s="2" t="s">
        <v>165</v>
      </c>
      <c r="H33" s="64">
        <v>14.021183132099999</v>
      </c>
      <c r="I33" s="2" t="s">
        <v>104</v>
      </c>
    </row>
    <row r="34" spans="1:15" s="1" customFormat="1" ht="30" hidden="1">
      <c r="A34" s="2">
        <v>1</v>
      </c>
      <c r="B34" s="1">
        <v>1</v>
      </c>
      <c r="C34" s="1" t="s">
        <v>97</v>
      </c>
      <c r="D34" s="2" t="s">
        <v>166</v>
      </c>
      <c r="E34" s="63" t="s">
        <v>167</v>
      </c>
      <c r="F34" s="2" t="s">
        <v>168</v>
      </c>
      <c r="G34" s="2" t="s">
        <v>169</v>
      </c>
      <c r="H34" s="64">
        <v>7.9173809789899998</v>
      </c>
      <c r="I34" s="2" t="s">
        <v>104</v>
      </c>
    </row>
    <row r="35" spans="1:15" s="1" customFormat="1" ht="30" hidden="1">
      <c r="A35" s="2">
        <v>1</v>
      </c>
      <c r="B35" s="1">
        <v>1</v>
      </c>
      <c r="C35" s="1" t="s">
        <v>97</v>
      </c>
      <c r="D35" s="2" t="s">
        <v>166</v>
      </c>
      <c r="E35" s="63" t="s">
        <v>167</v>
      </c>
      <c r="F35" s="2" t="s">
        <v>170</v>
      </c>
      <c r="G35" s="2" t="s">
        <v>171</v>
      </c>
      <c r="H35" s="64">
        <v>6.5761498107099996</v>
      </c>
      <c r="I35" s="2" t="s">
        <v>104</v>
      </c>
    </row>
    <row r="36" spans="1:15" s="1" customFormat="1" ht="30" hidden="1">
      <c r="A36" s="2">
        <v>1</v>
      </c>
      <c r="B36" s="1">
        <v>1</v>
      </c>
      <c r="C36" s="1" t="s">
        <v>97</v>
      </c>
      <c r="D36" s="2" t="s">
        <v>166</v>
      </c>
      <c r="E36" s="63" t="s">
        <v>167</v>
      </c>
      <c r="F36" s="2" t="s">
        <v>172</v>
      </c>
      <c r="G36" s="2" t="s">
        <v>173</v>
      </c>
      <c r="H36" s="64">
        <v>2.1814370737400002</v>
      </c>
      <c r="I36" s="2" t="s">
        <v>104</v>
      </c>
    </row>
    <row r="37" spans="1:15" s="1" customFormat="1" hidden="1">
      <c r="A37" s="2">
        <v>1</v>
      </c>
      <c r="B37" s="1">
        <v>1</v>
      </c>
      <c r="C37" s="1" t="s">
        <v>97</v>
      </c>
      <c r="D37" s="2" t="s">
        <v>174</v>
      </c>
      <c r="E37" s="63" t="s">
        <v>175</v>
      </c>
      <c r="F37" s="2" t="s">
        <v>176</v>
      </c>
      <c r="G37" s="2" t="s">
        <v>177</v>
      </c>
      <c r="H37" s="64">
        <v>31.5971797837</v>
      </c>
      <c r="I37" s="2" t="s">
        <v>104</v>
      </c>
    </row>
    <row r="38" spans="1:15" s="1" customFormat="1" hidden="1">
      <c r="A38" s="2">
        <v>1</v>
      </c>
      <c r="B38" s="1">
        <v>1</v>
      </c>
      <c r="C38" s="1" t="s">
        <v>97</v>
      </c>
      <c r="D38" s="2" t="s">
        <v>174</v>
      </c>
      <c r="E38" s="63" t="s">
        <v>175</v>
      </c>
      <c r="F38" s="2" t="s">
        <v>178</v>
      </c>
      <c r="G38" s="2" t="s">
        <v>179</v>
      </c>
      <c r="H38" s="64">
        <v>13.750622153</v>
      </c>
      <c r="I38" s="2" t="s">
        <v>104</v>
      </c>
    </row>
    <row r="39" spans="1:15" s="1" customFormat="1" hidden="1">
      <c r="A39" s="2">
        <v>1</v>
      </c>
      <c r="B39" s="1">
        <v>1</v>
      </c>
      <c r="C39" s="1" t="s">
        <v>97</v>
      </c>
      <c r="D39" s="2" t="s">
        <v>180</v>
      </c>
      <c r="E39" s="63" t="s">
        <v>181</v>
      </c>
      <c r="F39" s="2" t="s">
        <v>182</v>
      </c>
      <c r="G39" s="2" t="s">
        <v>183</v>
      </c>
      <c r="H39" s="64">
        <v>9.8047447062799993</v>
      </c>
      <c r="I39" s="2" t="s">
        <v>104</v>
      </c>
    </row>
    <row r="40" spans="1:15" s="1" customFormat="1" hidden="1">
      <c r="A40" s="2">
        <v>1</v>
      </c>
      <c r="B40" s="1">
        <v>1</v>
      </c>
      <c r="C40" s="1" t="s">
        <v>97</v>
      </c>
      <c r="D40" s="2" t="s">
        <v>180</v>
      </c>
      <c r="E40" s="63" t="s">
        <v>181</v>
      </c>
      <c r="F40" s="2" t="s">
        <v>184</v>
      </c>
      <c r="G40" s="2" t="s">
        <v>185</v>
      </c>
      <c r="H40" s="64">
        <v>3.6265270530099998</v>
      </c>
      <c r="I40" s="2" t="s">
        <v>104</v>
      </c>
    </row>
    <row r="41" spans="1:15" s="1" customFormat="1" hidden="1">
      <c r="A41" s="2">
        <v>1</v>
      </c>
      <c r="B41" s="1">
        <v>1</v>
      </c>
      <c r="C41" s="1" t="s">
        <v>97</v>
      </c>
      <c r="D41" s="2" t="s">
        <v>180</v>
      </c>
      <c r="E41" s="63" t="s">
        <v>181</v>
      </c>
      <c r="F41" s="2" t="s">
        <v>186</v>
      </c>
      <c r="G41" s="2" t="s">
        <v>187</v>
      </c>
      <c r="H41" s="64">
        <v>3.5926665791199999</v>
      </c>
      <c r="I41" s="2" t="s">
        <v>104</v>
      </c>
    </row>
    <row r="42" spans="1:15" s="1" customFormat="1" hidden="1">
      <c r="A42" s="2">
        <v>1</v>
      </c>
      <c r="B42" s="1">
        <v>1</v>
      </c>
      <c r="C42" s="1" t="s">
        <v>97</v>
      </c>
      <c r="D42" s="2" t="s">
        <v>180</v>
      </c>
      <c r="E42" s="63" t="s">
        <v>181</v>
      </c>
      <c r="F42" s="2" t="s">
        <v>188</v>
      </c>
      <c r="G42" s="2" t="s">
        <v>189</v>
      </c>
      <c r="H42" s="64">
        <v>7.4162558291799998</v>
      </c>
      <c r="I42" s="2" t="s">
        <v>104</v>
      </c>
    </row>
    <row r="43" spans="1:15" ht="30">
      <c r="A43" s="89">
        <v>1</v>
      </c>
      <c r="B43" s="1">
        <v>1</v>
      </c>
      <c r="C43" s="1" t="s">
        <v>97</v>
      </c>
      <c r="D43" s="89" t="s">
        <v>39</v>
      </c>
      <c r="E43" s="90" t="s">
        <v>26</v>
      </c>
      <c r="F43" s="89" t="s">
        <v>190</v>
      </c>
      <c r="G43" s="94" t="s">
        <v>191</v>
      </c>
      <c r="H43" s="91">
        <v>12.568883355400001</v>
      </c>
      <c r="I43" s="89" t="s">
        <v>92</v>
      </c>
      <c r="J43" s="89" t="s">
        <v>19</v>
      </c>
      <c r="K43" s="89"/>
      <c r="L43" s="89"/>
      <c r="M43" s="89"/>
      <c r="N43" s="89"/>
      <c r="O43" s="89"/>
    </row>
    <row r="44" spans="1:15" ht="30">
      <c r="A44" s="89">
        <v>1</v>
      </c>
      <c r="B44" s="1">
        <v>1</v>
      </c>
      <c r="C44" s="1" t="s">
        <v>97</v>
      </c>
      <c r="D44" s="89" t="s">
        <v>39</v>
      </c>
      <c r="E44" s="90" t="s">
        <v>26</v>
      </c>
      <c r="F44" s="89" t="s">
        <v>192</v>
      </c>
      <c r="G44" s="94" t="s">
        <v>193</v>
      </c>
      <c r="H44" s="91">
        <v>1.14732172667</v>
      </c>
      <c r="I44" s="89" t="s">
        <v>92</v>
      </c>
      <c r="J44" s="89" t="s">
        <v>19</v>
      </c>
      <c r="K44" s="89"/>
      <c r="L44" s="89"/>
      <c r="M44" s="89"/>
      <c r="N44" s="89"/>
      <c r="O44" s="89"/>
    </row>
    <row r="45" spans="1:15" ht="30">
      <c r="A45" s="89">
        <v>1</v>
      </c>
      <c r="B45" s="1">
        <v>1</v>
      </c>
      <c r="C45" s="1" t="s">
        <v>97</v>
      </c>
      <c r="D45" s="89" t="s">
        <v>39</v>
      </c>
      <c r="E45" s="90" t="s">
        <v>26</v>
      </c>
      <c r="F45" s="89" t="s">
        <v>194</v>
      </c>
      <c r="G45" s="94" t="s">
        <v>195</v>
      </c>
      <c r="H45" s="91">
        <v>3.5587620200700001</v>
      </c>
      <c r="I45" s="89" t="s">
        <v>92</v>
      </c>
      <c r="J45" s="89" t="s">
        <v>19</v>
      </c>
      <c r="K45" s="89"/>
      <c r="L45" s="89"/>
      <c r="M45" s="89"/>
      <c r="N45" s="89"/>
      <c r="O45" s="89"/>
    </row>
    <row r="46" spans="1:15" ht="30">
      <c r="A46" s="89">
        <v>1</v>
      </c>
      <c r="B46" s="1">
        <v>1</v>
      </c>
      <c r="C46" s="1" t="s">
        <v>97</v>
      </c>
      <c r="D46" s="89" t="s">
        <v>39</v>
      </c>
      <c r="E46" s="90" t="s">
        <v>26</v>
      </c>
      <c r="F46" s="89" t="s">
        <v>196</v>
      </c>
      <c r="G46" s="94" t="s">
        <v>197</v>
      </c>
      <c r="H46" s="91">
        <v>4.3098892958899997</v>
      </c>
      <c r="I46" s="89" t="s">
        <v>92</v>
      </c>
      <c r="J46" s="89" t="s">
        <v>19</v>
      </c>
      <c r="K46" s="89"/>
      <c r="L46" s="89"/>
      <c r="M46" s="89"/>
      <c r="N46" s="89"/>
      <c r="O46" s="89"/>
    </row>
    <row r="47" spans="1:15" ht="30">
      <c r="A47" s="89">
        <v>1</v>
      </c>
      <c r="B47" s="1">
        <v>1</v>
      </c>
      <c r="C47" s="1" t="s">
        <v>97</v>
      </c>
      <c r="D47" s="89" t="s">
        <v>39</v>
      </c>
      <c r="E47" s="90" t="s">
        <v>26</v>
      </c>
      <c r="F47" s="89" t="s">
        <v>198</v>
      </c>
      <c r="G47" s="94" t="s">
        <v>199</v>
      </c>
      <c r="H47" s="91">
        <v>1.0618145800100001</v>
      </c>
      <c r="I47" s="89" t="s">
        <v>92</v>
      </c>
      <c r="J47" s="89" t="s">
        <v>19</v>
      </c>
      <c r="K47" s="89"/>
      <c r="L47" s="89"/>
      <c r="M47" s="89"/>
      <c r="N47" s="89"/>
      <c r="O47" s="89"/>
    </row>
    <row r="48" spans="1:15" ht="30">
      <c r="A48" s="89">
        <v>1</v>
      </c>
      <c r="B48" s="1">
        <v>1</v>
      </c>
      <c r="C48" s="1" t="s">
        <v>97</v>
      </c>
      <c r="D48" s="89" t="s">
        <v>39</v>
      </c>
      <c r="E48" s="90" t="s">
        <v>26</v>
      </c>
      <c r="F48" s="89" t="s">
        <v>69</v>
      </c>
      <c r="G48" s="94" t="s">
        <v>200</v>
      </c>
      <c r="H48" s="91">
        <v>3.65443679451</v>
      </c>
      <c r="I48" s="89" t="s">
        <v>92</v>
      </c>
      <c r="J48" s="89" t="s">
        <v>19</v>
      </c>
      <c r="K48" s="89"/>
      <c r="L48" s="89"/>
      <c r="M48" s="89"/>
      <c r="N48" s="89"/>
      <c r="O48" s="89"/>
    </row>
    <row r="49" spans="1:9" s="1" customFormat="1" ht="30" hidden="1">
      <c r="A49" s="2">
        <v>1</v>
      </c>
      <c r="B49" s="1">
        <v>1</v>
      </c>
      <c r="C49" s="1" t="s">
        <v>97</v>
      </c>
      <c r="D49" s="2" t="s">
        <v>201</v>
      </c>
      <c r="E49" s="63" t="s">
        <v>202</v>
      </c>
      <c r="F49" s="2" t="s">
        <v>203</v>
      </c>
      <c r="G49" s="2" t="s">
        <v>204</v>
      </c>
      <c r="H49" s="64">
        <v>0.41740116896899998</v>
      </c>
      <c r="I49" s="2" t="s">
        <v>100</v>
      </c>
    </row>
    <row r="50" spans="1:9" s="1" customFormat="1" ht="30" hidden="1">
      <c r="A50" s="2">
        <v>1</v>
      </c>
      <c r="B50" s="1">
        <v>1</v>
      </c>
      <c r="C50" s="1" t="s">
        <v>97</v>
      </c>
      <c r="D50" s="2" t="s">
        <v>201</v>
      </c>
      <c r="E50" s="63" t="s">
        <v>202</v>
      </c>
      <c r="F50" s="2" t="s">
        <v>205</v>
      </c>
      <c r="G50" s="2" t="s">
        <v>206</v>
      </c>
      <c r="H50" s="64">
        <v>41.676456106899998</v>
      </c>
      <c r="I50" s="2" t="s">
        <v>104</v>
      </c>
    </row>
    <row r="51" spans="1:9" s="1" customFormat="1" ht="30" hidden="1">
      <c r="A51" s="2">
        <v>1</v>
      </c>
      <c r="B51" s="1">
        <v>1</v>
      </c>
      <c r="C51" s="1" t="s">
        <v>97</v>
      </c>
      <c r="D51" s="2" t="s">
        <v>201</v>
      </c>
      <c r="E51" s="63" t="s">
        <v>202</v>
      </c>
      <c r="F51" s="2" t="s">
        <v>207</v>
      </c>
      <c r="G51" s="2" t="s">
        <v>208</v>
      </c>
      <c r="H51" s="64">
        <v>4.1233136154199999</v>
      </c>
      <c r="I51" s="2" t="s">
        <v>104</v>
      </c>
    </row>
    <row r="52" spans="1:9" s="1" customFormat="1" ht="30" hidden="1">
      <c r="A52" s="2">
        <v>1</v>
      </c>
      <c r="B52" s="1">
        <v>1</v>
      </c>
      <c r="C52" s="1" t="s">
        <v>97</v>
      </c>
      <c r="D52" s="2" t="s">
        <v>209</v>
      </c>
      <c r="E52" s="63" t="s">
        <v>210</v>
      </c>
      <c r="F52" s="2" t="s">
        <v>211</v>
      </c>
      <c r="G52" s="2" t="s">
        <v>212</v>
      </c>
      <c r="H52" s="64">
        <v>6.6208989713399999</v>
      </c>
      <c r="I52" s="2" t="s">
        <v>104</v>
      </c>
    </row>
    <row r="53" spans="1:9" s="1" customFormat="1" ht="30" hidden="1">
      <c r="A53" s="2">
        <v>1</v>
      </c>
      <c r="B53" s="1">
        <v>1</v>
      </c>
      <c r="C53" s="1" t="s">
        <v>97</v>
      </c>
      <c r="D53" s="2" t="s">
        <v>209</v>
      </c>
      <c r="E53" s="63" t="s">
        <v>210</v>
      </c>
      <c r="F53" s="2" t="s">
        <v>213</v>
      </c>
      <c r="G53" s="2" t="s">
        <v>214</v>
      </c>
      <c r="H53" s="64">
        <v>3.37361729672</v>
      </c>
      <c r="I53" s="2" t="s">
        <v>104</v>
      </c>
    </row>
    <row r="54" spans="1:9" s="1" customFormat="1" ht="30" hidden="1">
      <c r="A54" s="2">
        <v>1</v>
      </c>
      <c r="B54" s="1">
        <v>1</v>
      </c>
      <c r="C54" s="1" t="s">
        <v>97</v>
      </c>
      <c r="D54" s="2" t="s">
        <v>209</v>
      </c>
      <c r="E54" s="63" t="s">
        <v>210</v>
      </c>
      <c r="F54" s="2" t="s">
        <v>147</v>
      </c>
      <c r="G54" s="2" t="s">
        <v>215</v>
      </c>
      <c r="H54" s="64">
        <v>5.9161415636400001</v>
      </c>
      <c r="I54" s="2" t="s">
        <v>104</v>
      </c>
    </row>
    <row r="55" spans="1:9" s="1" customFormat="1" ht="30" hidden="1">
      <c r="A55" s="2">
        <v>1</v>
      </c>
      <c r="B55" s="1">
        <v>1</v>
      </c>
      <c r="C55" s="1" t="s">
        <v>97</v>
      </c>
      <c r="D55" s="2" t="s">
        <v>216</v>
      </c>
      <c r="E55" s="63" t="s">
        <v>217</v>
      </c>
      <c r="F55" s="2" t="s">
        <v>218</v>
      </c>
      <c r="G55" s="2" t="s">
        <v>219</v>
      </c>
      <c r="H55" s="64">
        <v>6.9727132514200001</v>
      </c>
      <c r="I55" s="2" t="s">
        <v>104</v>
      </c>
    </row>
    <row r="56" spans="1:9" s="1" customFormat="1" ht="30" hidden="1">
      <c r="A56" s="2">
        <v>1</v>
      </c>
      <c r="B56" s="1">
        <v>1</v>
      </c>
      <c r="C56" s="1" t="s">
        <v>97</v>
      </c>
      <c r="D56" s="2" t="s">
        <v>216</v>
      </c>
      <c r="E56" s="63" t="s">
        <v>217</v>
      </c>
      <c r="F56" s="2" t="s">
        <v>220</v>
      </c>
      <c r="G56" s="2" t="s">
        <v>221</v>
      </c>
      <c r="H56" s="64">
        <v>0.30242920566699999</v>
      </c>
      <c r="I56" s="2" t="s">
        <v>104</v>
      </c>
    </row>
    <row r="57" spans="1:9" s="1" customFormat="1" ht="30" hidden="1">
      <c r="A57" s="2">
        <v>1</v>
      </c>
      <c r="B57" s="1">
        <v>1</v>
      </c>
      <c r="C57" s="1" t="s">
        <v>97</v>
      </c>
      <c r="D57" s="2" t="s">
        <v>222</v>
      </c>
      <c r="E57" s="63" t="s">
        <v>223</v>
      </c>
      <c r="F57" s="2" t="s">
        <v>224</v>
      </c>
      <c r="G57" s="2" t="s">
        <v>225</v>
      </c>
      <c r="H57" s="64">
        <v>9.29256611908</v>
      </c>
      <c r="I57" s="2" t="s">
        <v>104</v>
      </c>
    </row>
    <row r="58" spans="1:9" s="1" customFormat="1" ht="30" hidden="1">
      <c r="A58" s="2">
        <v>1</v>
      </c>
      <c r="B58" s="1">
        <v>1</v>
      </c>
      <c r="C58" s="1" t="s">
        <v>97</v>
      </c>
      <c r="D58" s="2" t="s">
        <v>222</v>
      </c>
      <c r="E58" s="63" t="s">
        <v>223</v>
      </c>
      <c r="F58" s="2" t="s">
        <v>226</v>
      </c>
      <c r="G58" s="2" t="s">
        <v>227</v>
      </c>
      <c r="H58" s="64">
        <v>4.7790210114400002</v>
      </c>
      <c r="I58" s="2" t="s">
        <v>104</v>
      </c>
    </row>
    <row r="59" spans="1:9" s="1" customFormat="1" ht="30" hidden="1">
      <c r="A59" s="2">
        <v>1</v>
      </c>
      <c r="B59" s="1">
        <v>1</v>
      </c>
      <c r="C59" s="1" t="s">
        <v>97</v>
      </c>
      <c r="D59" s="2" t="s">
        <v>228</v>
      </c>
      <c r="E59" s="63" t="s">
        <v>229</v>
      </c>
      <c r="F59" s="2" t="s">
        <v>230</v>
      </c>
      <c r="G59" s="2" t="s">
        <v>231</v>
      </c>
      <c r="H59" s="64">
        <v>6.4056834824299997</v>
      </c>
      <c r="I59" s="2" t="s">
        <v>104</v>
      </c>
    </row>
    <row r="60" spans="1:9" s="1" customFormat="1" ht="30" hidden="1">
      <c r="A60" s="2">
        <v>1</v>
      </c>
      <c r="B60" s="1">
        <v>1</v>
      </c>
      <c r="C60" s="1" t="s">
        <v>97</v>
      </c>
      <c r="D60" s="2" t="s">
        <v>228</v>
      </c>
      <c r="E60" s="63" t="s">
        <v>229</v>
      </c>
      <c r="F60" s="2" t="s">
        <v>232</v>
      </c>
      <c r="G60" s="2" t="s">
        <v>233</v>
      </c>
      <c r="H60" s="64">
        <v>13.6626338889</v>
      </c>
      <c r="I60" s="2" t="s">
        <v>104</v>
      </c>
    </row>
    <row r="61" spans="1:9" s="1" customFormat="1" ht="30" hidden="1">
      <c r="A61" s="2">
        <v>1</v>
      </c>
      <c r="B61" s="1">
        <v>1</v>
      </c>
      <c r="C61" s="1" t="s">
        <v>97</v>
      </c>
      <c r="D61" s="2" t="s">
        <v>234</v>
      </c>
      <c r="E61" s="63" t="s">
        <v>235</v>
      </c>
      <c r="F61" s="2" t="s">
        <v>236</v>
      </c>
      <c r="G61" s="2" t="s">
        <v>237</v>
      </c>
      <c r="H61" s="64">
        <v>13.605198378300001</v>
      </c>
      <c r="I61" s="2" t="s">
        <v>104</v>
      </c>
    </row>
    <row r="62" spans="1:9" s="1" customFormat="1" ht="30" hidden="1">
      <c r="A62" s="2">
        <v>1</v>
      </c>
      <c r="B62" s="1">
        <v>1</v>
      </c>
      <c r="C62" s="1" t="s">
        <v>97</v>
      </c>
      <c r="D62" s="2" t="s">
        <v>234</v>
      </c>
      <c r="E62" s="63" t="s">
        <v>235</v>
      </c>
      <c r="F62" s="2" t="s">
        <v>238</v>
      </c>
      <c r="G62" s="2" t="s">
        <v>239</v>
      </c>
      <c r="H62" s="64">
        <v>4.2600635240600004</v>
      </c>
      <c r="I62" s="2" t="s">
        <v>104</v>
      </c>
    </row>
    <row r="63" spans="1:9" s="1" customFormat="1" ht="30" hidden="1">
      <c r="A63" s="2">
        <v>1</v>
      </c>
      <c r="B63" s="1">
        <v>1</v>
      </c>
      <c r="C63" s="1" t="s">
        <v>97</v>
      </c>
      <c r="D63" s="2" t="s">
        <v>234</v>
      </c>
      <c r="E63" s="63" t="s">
        <v>235</v>
      </c>
      <c r="F63" s="2" t="s">
        <v>240</v>
      </c>
      <c r="G63" s="2" t="s">
        <v>241</v>
      </c>
      <c r="H63" s="64">
        <v>1.17418315623</v>
      </c>
      <c r="I63" s="2" t="s">
        <v>104</v>
      </c>
    </row>
    <row r="64" spans="1:9" s="1" customFormat="1" ht="30" hidden="1">
      <c r="A64" s="2">
        <v>1</v>
      </c>
      <c r="B64" s="1">
        <v>1</v>
      </c>
      <c r="C64" s="1" t="s">
        <v>97</v>
      </c>
      <c r="D64" s="2" t="s">
        <v>234</v>
      </c>
      <c r="E64" s="63" t="s">
        <v>235</v>
      </c>
      <c r="F64" s="2" t="s">
        <v>242</v>
      </c>
      <c r="G64" s="2" t="s">
        <v>243</v>
      </c>
      <c r="H64" s="64">
        <v>6.9100749333199998</v>
      </c>
      <c r="I64" s="2" t="s">
        <v>104</v>
      </c>
    </row>
    <row r="65" spans="1:15" s="1" customFormat="1" ht="30" hidden="1">
      <c r="A65" s="2">
        <v>1</v>
      </c>
      <c r="B65" s="1">
        <v>1</v>
      </c>
      <c r="C65" s="1" t="s">
        <v>97</v>
      </c>
      <c r="D65" s="2" t="s">
        <v>234</v>
      </c>
      <c r="E65" s="63" t="s">
        <v>235</v>
      </c>
      <c r="F65" s="2" t="s">
        <v>244</v>
      </c>
      <c r="G65" s="2" t="s">
        <v>245</v>
      </c>
      <c r="H65" s="64">
        <v>10.704591063600001</v>
      </c>
      <c r="I65" s="2" t="s">
        <v>104</v>
      </c>
    </row>
    <row r="66" spans="1:15" s="1" customFormat="1" ht="30" hidden="1">
      <c r="A66" s="2">
        <v>1</v>
      </c>
      <c r="B66" s="1">
        <v>1</v>
      </c>
      <c r="C66" s="1" t="s">
        <v>97</v>
      </c>
      <c r="D66" s="2" t="s">
        <v>234</v>
      </c>
      <c r="E66" s="63" t="s">
        <v>235</v>
      </c>
      <c r="F66" s="2" t="s">
        <v>246</v>
      </c>
      <c r="G66" s="2" t="s">
        <v>247</v>
      </c>
      <c r="H66" s="64">
        <v>3.6607757999700001</v>
      </c>
      <c r="I66" s="2" t="s">
        <v>104</v>
      </c>
    </row>
    <row r="67" spans="1:15" s="1" customFormat="1" ht="30" hidden="1">
      <c r="A67" s="2">
        <v>1</v>
      </c>
      <c r="B67" s="1">
        <v>1</v>
      </c>
      <c r="C67" s="1" t="s">
        <v>97</v>
      </c>
      <c r="D67" s="2" t="s">
        <v>248</v>
      </c>
      <c r="E67" s="63" t="s">
        <v>249</v>
      </c>
      <c r="F67" s="2" t="s">
        <v>250</v>
      </c>
      <c r="G67" s="2" t="s">
        <v>251</v>
      </c>
      <c r="H67" s="64">
        <v>3.6195886233099999</v>
      </c>
      <c r="I67" s="2" t="s">
        <v>104</v>
      </c>
    </row>
    <row r="68" spans="1:15" s="1" customFormat="1" ht="30" hidden="1">
      <c r="A68" s="2">
        <v>1</v>
      </c>
      <c r="B68" s="1">
        <v>1</v>
      </c>
      <c r="C68" s="1" t="s">
        <v>97</v>
      </c>
      <c r="D68" s="2" t="s">
        <v>248</v>
      </c>
      <c r="E68" s="63" t="s">
        <v>249</v>
      </c>
      <c r="F68" s="2" t="s">
        <v>252</v>
      </c>
      <c r="G68" s="2" t="s">
        <v>253</v>
      </c>
      <c r="H68" s="64">
        <v>19.793994194500002</v>
      </c>
      <c r="I68" s="2" t="s">
        <v>104</v>
      </c>
    </row>
    <row r="69" spans="1:15" s="1" customFormat="1" ht="30" hidden="1">
      <c r="A69" s="2">
        <v>1</v>
      </c>
      <c r="B69" s="1">
        <v>1</v>
      </c>
      <c r="C69" s="1" t="s">
        <v>97</v>
      </c>
      <c r="D69" s="2" t="s">
        <v>248</v>
      </c>
      <c r="E69" s="63" t="s">
        <v>249</v>
      </c>
      <c r="F69" s="2" t="s">
        <v>254</v>
      </c>
      <c r="G69" s="2" t="s">
        <v>255</v>
      </c>
      <c r="H69" s="64">
        <v>5.2504937683000001</v>
      </c>
      <c r="I69" s="2" t="s">
        <v>104</v>
      </c>
    </row>
    <row r="70" spans="1:15" s="1" customFormat="1" ht="30" hidden="1">
      <c r="A70" s="2">
        <v>1</v>
      </c>
      <c r="B70" s="1">
        <v>1</v>
      </c>
      <c r="C70" s="1" t="s">
        <v>97</v>
      </c>
      <c r="D70" s="2" t="s">
        <v>248</v>
      </c>
      <c r="E70" s="63" t="s">
        <v>249</v>
      </c>
      <c r="F70" s="2" t="s">
        <v>256</v>
      </c>
      <c r="G70" s="2" t="s">
        <v>257</v>
      </c>
      <c r="H70" s="64">
        <v>9.2231364993699998</v>
      </c>
      <c r="I70" s="2" t="s">
        <v>104</v>
      </c>
    </row>
    <row r="71" spans="1:15" s="1" customFormat="1" ht="30" hidden="1">
      <c r="A71" s="2">
        <v>1</v>
      </c>
      <c r="B71" s="1">
        <v>1</v>
      </c>
      <c r="C71" s="1" t="s">
        <v>97</v>
      </c>
      <c r="D71" s="2" t="s">
        <v>248</v>
      </c>
      <c r="E71" s="63" t="s">
        <v>249</v>
      </c>
      <c r="F71" s="2" t="s">
        <v>258</v>
      </c>
      <c r="G71" s="2" t="s">
        <v>259</v>
      </c>
      <c r="H71" s="64">
        <v>5.2172738370099996</v>
      </c>
      <c r="I71" s="2" t="s">
        <v>104</v>
      </c>
    </row>
    <row r="72" spans="1:15" ht="30">
      <c r="A72" s="89">
        <v>1</v>
      </c>
      <c r="B72" s="1">
        <v>1</v>
      </c>
      <c r="C72" s="1" t="s">
        <v>97</v>
      </c>
      <c r="D72" s="89" t="s">
        <v>40</v>
      </c>
      <c r="E72" s="90" t="s">
        <v>27</v>
      </c>
      <c r="F72" s="89" t="s">
        <v>260</v>
      </c>
      <c r="G72" s="94" t="s">
        <v>261</v>
      </c>
      <c r="H72" s="91">
        <v>1.4887813576</v>
      </c>
      <c r="I72" s="89" t="s">
        <v>92</v>
      </c>
      <c r="J72" s="89" t="s">
        <v>19</v>
      </c>
      <c r="K72" s="89"/>
      <c r="L72" s="89"/>
      <c r="M72" s="89"/>
      <c r="N72" s="89"/>
      <c r="O72" s="89"/>
    </row>
    <row r="73" spans="1:15" ht="30">
      <c r="A73" s="89">
        <v>1</v>
      </c>
      <c r="B73" s="1">
        <v>1</v>
      </c>
      <c r="C73" s="1" t="s">
        <v>97</v>
      </c>
      <c r="D73" s="89" t="s">
        <v>40</v>
      </c>
      <c r="E73" s="90" t="s">
        <v>27</v>
      </c>
      <c r="F73" s="89" t="s">
        <v>61</v>
      </c>
      <c r="G73" s="94" t="s">
        <v>262</v>
      </c>
      <c r="H73" s="91">
        <v>8.6392069104099996</v>
      </c>
      <c r="I73" s="89" t="s">
        <v>92</v>
      </c>
      <c r="J73" s="89" t="s">
        <v>19</v>
      </c>
      <c r="K73" s="89"/>
      <c r="L73" s="89"/>
      <c r="M73" s="89"/>
      <c r="N73" s="89"/>
      <c r="O73" s="89"/>
    </row>
    <row r="74" spans="1:15" ht="30">
      <c r="A74" s="89">
        <v>1</v>
      </c>
      <c r="B74" s="1">
        <v>1</v>
      </c>
      <c r="C74" s="1" t="s">
        <v>97</v>
      </c>
      <c r="D74" s="89" t="s">
        <v>40</v>
      </c>
      <c r="E74" s="90" t="s">
        <v>27</v>
      </c>
      <c r="F74" s="89" t="s">
        <v>62</v>
      </c>
      <c r="G74" s="94" t="s">
        <v>263</v>
      </c>
      <c r="H74" s="91">
        <v>12.570027062399999</v>
      </c>
      <c r="I74" s="89" t="s">
        <v>92</v>
      </c>
      <c r="J74" s="89" t="s">
        <v>19</v>
      </c>
      <c r="K74" s="89"/>
      <c r="L74" s="89"/>
      <c r="M74" s="89"/>
      <c r="N74" s="89"/>
      <c r="O74" s="89"/>
    </row>
    <row r="75" spans="1:15" ht="30">
      <c r="A75" s="89">
        <v>1</v>
      </c>
      <c r="B75" s="1">
        <v>1</v>
      </c>
      <c r="C75" s="1" t="s">
        <v>97</v>
      </c>
      <c r="D75" s="89" t="s">
        <v>41</v>
      </c>
      <c r="E75" s="90" t="s">
        <v>28</v>
      </c>
      <c r="F75" s="89" t="s">
        <v>53</v>
      </c>
      <c r="G75" s="94" t="s">
        <v>264</v>
      </c>
      <c r="H75" s="91">
        <v>25.6739322335</v>
      </c>
      <c r="I75" s="89" t="s">
        <v>92</v>
      </c>
      <c r="J75" s="89" t="s">
        <v>19</v>
      </c>
      <c r="K75" s="89"/>
      <c r="L75" s="89"/>
      <c r="M75" s="89" t="s">
        <v>19</v>
      </c>
      <c r="N75" s="89"/>
      <c r="O75" s="89"/>
    </row>
    <row r="76" spans="1:15" ht="30">
      <c r="A76" s="89">
        <v>1</v>
      </c>
      <c r="B76" s="1">
        <v>1</v>
      </c>
      <c r="C76" s="1" t="s">
        <v>97</v>
      </c>
      <c r="D76" s="89" t="s">
        <v>42</v>
      </c>
      <c r="E76" s="90" t="s">
        <v>29</v>
      </c>
      <c r="F76" s="89" t="s">
        <v>50</v>
      </c>
      <c r="G76" s="94" t="s">
        <v>265</v>
      </c>
      <c r="H76" s="91">
        <v>38.250854647799997</v>
      </c>
      <c r="I76" s="89" t="s">
        <v>92</v>
      </c>
      <c r="J76" s="89" t="s">
        <v>19</v>
      </c>
      <c r="K76" s="89"/>
      <c r="L76" s="89"/>
      <c r="M76" s="89" t="s">
        <v>19</v>
      </c>
      <c r="N76" s="89"/>
      <c r="O76" s="89"/>
    </row>
    <row r="77" spans="1:15" s="1" customFormat="1" hidden="1">
      <c r="A77" s="2">
        <v>1</v>
      </c>
      <c r="B77" s="1">
        <v>1</v>
      </c>
      <c r="C77" s="1" t="s">
        <v>97</v>
      </c>
      <c r="D77" s="2" t="s">
        <v>266</v>
      </c>
      <c r="E77" s="63" t="s">
        <v>267</v>
      </c>
      <c r="F77" s="2" t="s">
        <v>268</v>
      </c>
      <c r="G77" s="2" t="s">
        <v>269</v>
      </c>
      <c r="H77" s="64">
        <v>1.3453044624999999</v>
      </c>
      <c r="I77" s="2" t="s">
        <v>104</v>
      </c>
    </row>
    <row r="78" spans="1:15" s="1" customFormat="1" hidden="1">
      <c r="A78" s="2">
        <v>1</v>
      </c>
      <c r="B78" s="1">
        <v>1</v>
      </c>
      <c r="C78" s="1" t="s">
        <v>97</v>
      </c>
      <c r="D78" s="2" t="s">
        <v>266</v>
      </c>
      <c r="E78" s="63" t="s">
        <v>267</v>
      </c>
      <c r="F78" s="2" t="s">
        <v>270</v>
      </c>
      <c r="G78" s="2" t="s">
        <v>271</v>
      </c>
      <c r="H78" s="64">
        <v>25.1849724954</v>
      </c>
      <c r="I78" s="2" t="s">
        <v>104</v>
      </c>
    </row>
    <row r="79" spans="1:15" s="1" customFormat="1" ht="30" hidden="1">
      <c r="A79" s="2">
        <v>1</v>
      </c>
      <c r="B79" s="1">
        <v>1</v>
      </c>
      <c r="C79" s="1" t="s">
        <v>97</v>
      </c>
      <c r="D79" s="2" t="s">
        <v>272</v>
      </c>
      <c r="E79" s="63" t="s">
        <v>273</v>
      </c>
      <c r="F79" s="2" t="s">
        <v>274</v>
      </c>
      <c r="G79" s="2" t="s">
        <v>275</v>
      </c>
      <c r="H79" s="64">
        <v>1.7025750742100001</v>
      </c>
      <c r="I79" s="2" t="s">
        <v>104</v>
      </c>
    </row>
    <row r="80" spans="1:15" s="1" customFormat="1" ht="30" hidden="1">
      <c r="A80" s="2">
        <v>1</v>
      </c>
      <c r="B80" s="1">
        <v>1</v>
      </c>
      <c r="C80" s="1" t="s">
        <v>97</v>
      </c>
      <c r="D80" s="2" t="s">
        <v>272</v>
      </c>
      <c r="E80" s="63" t="s">
        <v>273</v>
      </c>
      <c r="F80" s="2" t="s">
        <v>276</v>
      </c>
      <c r="G80" s="2" t="s">
        <v>277</v>
      </c>
      <c r="H80" s="64">
        <v>3.5113933610700001</v>
      </c>
      <c r="I80" s="2" t="s">
        <v>104</v>
      </c>
    </row>
    <row r="81" spans="1:15" s="1" customFormat="1" ht="30" hidden="1">
      <c r="A81" s="2">
        <v>1</v>
      </c>
      <c r="B81" s="1">
        <v>1</v>
      </c>
      <c r="C81" s="1" t="s">
        <v>97</v>
      </c>
      <c r="D81" s="2" t="s">
        <v>272</v>
      </c>
      <c r="E81" s="63" t="s">
        <v>273</v>
      </c>
      <c r="F81" s="2" t="s">
        <v>278</v>
      </c>
      <c r="G81" s="2" t="s">
        <v>279</v>
      </c>
      <c r="H81" s="64">
        <v>3.2953064946900001</v>
      </c>
      <c r="I81" s="2" t="s">
        <v>104</v>
      </c>
    </row>
    <row r="82" spans="1:15" s="1" customFormat="1" ht="30" hidden="1">
      <c r="A82" s="2">
        <v>1</v>
      </c>
      <c r="B82" s="1">
        <v>1</v>
      </c>
      <c r="C82" s="1" t="s">
        <v>97</v>
      </c>
      <c r="D82" s="2" t="s">
        <v>272</v>
      </c>
      <c r="E82" s="63" t="s">
        <v>273</v>
      </c>
      <c r="F82" s="2" t="s">
        <v>280</v>
      </c>
      <c r="G82" s="2" t="s">
        <v>281</v>
      </c>
      <c r="H82" s="64">
        <v>8.9366891105399997</v>
      </c>
      <c r="I82" s="2" t="s">
        <v>104</v>
      </c>
    </row>
    <row r="83" spans="1:15" s="1" customFormat="1" ht="30" hidden="1">
      <c r="A83" s="2">
        <v>1</v>
      </c>
      <c r="B83" s="1">
        <v>1</v>
      </c>
      <c r="C83" s="1" t="s">
        <v>97</v>
      </c>
      <c r="D83" s="2" t="s">
        <v>272</v>
      </c>
      <c r="E83" s="63" t="s">
        <v>273</v>
      </c>
      <c r="F83" s="2" t="s">
        <v>282</v>
      </c>
      <c r="G83" s="2" t="s">
        <v>283</v>
      </c>
      <c r="H83" s="64">
        <v>3.3621001742800001</v>
      </c>
      <c r="I83" s="2" t="s">
        <v>104</v>
      </c>
    </row>
    <row r="84" spans="1:15" s="1" customFormat="1" ht="30" hidden="1">
      <c r="A84" s="2">
        <v>1</v>
      </c>
      <c r="B84" s="1">
        <v>1</v>
      </c>
      <c r="C84" s="1" t="s">
        <v>97</v>
      </c>
      <c r="D84" s="2" t="s">
        <v>272</v>
      </c>
      <c r="E84" s="63" t="s">
        <v>273</v>
      </c>
      <c r="F84" s="2" t="s">
        <v>284</v>
      </c>
      <c r="G84" s="2" t="s">
        <v>285</v>
      </c>
      <c r="H84" s="64">
        <v>2.4541499881600002</v>
      </c>
      <c r="I84" s="2" t="s">
        <v>104</v>
      </c>
    </row>
    <row r="85" spans="1:15" s="1" customFormat="1" ht="30" hidden="1">
      <c r="A85" s="2">
        <v>1</v>
      </c>
      <c r="B85" s="1">
        <v>1</v>
      </c>
      <c r="C85" s="1" t="s">
        <v>97</v>
      </c>
      <c r="D85" s="2" t="s">
        <v>272</v>
      </c>
      <c r="E85" s="63" t="s">
        <v>273</v>
      </c>
      <c r="F85" s="2" t="s">
        <v>286</v>
      </c>
      <c r="G85" s="2" t="s">
        <v>287</v>
      </c>
      <c r="H85" s="64">
        <v>2.1853245159000001</v>
      </c>
      <c r="I85" s="2" t="s">
        <v>104</v>
      </c>
    </row>
    <row r="86" spans="1:15" s="1" customFormat="1" ht="30" hidden="1">
      <c r="A86" s="2">
        <v>1</v>
      </c>
      <c r="B86" s="1">
        <v>1</v>
      </c>
      <c r="C86" s="1" t="s">
        <v>97</v>
      </c>
      <c r="D86" s="2" t="s">
        <v>43</v>
      </c>
      <c r="E86" s="63" t="s">
        <v>30</v>
      </c>
      <c r="F86" s="2" t="s">
        <v>288</v>
      </c>
      <c r="G86" s="2" t="s">
        <v>289</v>
      </c>
      <c r="H86" s="64">
        <v>3.8927996447000002</v>
      </c>
      <c r="I86" s="2" t="s">
        <v>104</v>
      </c>
    </row>
    <row r="87" spans="1:15" s="1" customFormat="1" ht="30" hidden="1">
      <c r="A87" s="2">
        <v>1</v>
      </c>
      <c r="B87" s="1">
        <v>1</v>
      </c>
      <c r="C87" s="1" t="s">
        <v>97</v>
      </c>
      <c r="D87" s="2" t="s">
        <v>43</v>
      </c>
      <c r="E87" s="63" t="s">
        <v>30</v>
      </c>
      <c r="F87" s="2" t="s">
        <v>290</v>
      </c>
      <c r="G87" s="2" t="s">
        <v>291</v>
      </c>
      <c r="H87" s="64">
        <v>2.0956863697100001</v>
      </c>
      <c r="I87" s="2" t="s">
        <v>104</v>
      </c>
    </row>
    <row r="88" spans="1:15" s="1" customFormat="1" ht="30" hidden="1">
      <c r="A88" s="2">
        <v>1</v>
      </c>
      <c r="B88" s="1">
        <v>1</v>
      </c>
      <c r="C88" s="1" t="s">
        <v>97</v>
      </c>
      <c r="D88" s="2" t="s">
        <v>43</v>
      </c>
      <c r="E88" s="63" t="s">
        <v>30</v>
      </c>
      <c r="F88" s="2" t="s">
        <v>292</v>
      </c>
      <c r="G88" s="2" t="s">
        <v>293</v>
      </c>
      <c r="H88" s="64">
        <v>6.3170268005999999</v>
      </c>
      <c r="I88" s="2" t="s">
        <v>104</v>
      </c>
    </row>
    <row r="89" spans="1:15">
      <c r="A89" s="89">
        <v>1</v>
      </c>
      <c r="B89" s="1">
        <v>1</v>
      </c>
      <c r="C89" s="1" t="s">
        <v>97</v>
      </c>
      <c r="D89" s="89" t="s">
        <v>43</v>
      </c>
      <c r="E89" s="90" t="s">
        <v>30</v>
      </c>
      <c r="F89" s="89" t="s">
        <v>72</v>
      </c>
      <c r="G89" s="94" t="s">
        <v>294</v>
      </c>
      <c r="H89" s="91">
        <v>14.497344122099999</v>
      </c>
      <c r="I89" s="89" t="s">
        <v>92</v>
      </c>
      <c r="J89" s="89" t="s">
        <v>19</v>
      </c>
      <c r="K89" s="89"/>
      <c r="L89" s="89"/>
      <c r="M89" s="89"/>
      <c r="N89" s="89"/>
      <c r="O89" s="89"/>
    </row>
    <row r="90" spans="1:15" ht="30">
      <c r="A90" s="89">
        <v>1</v>
      </c>
      <c r="B90" s="1">
        <v>1</v>
      </c>
      <c r="C90" s="1" t="s">
        <v>97</v>
      </c>
      <c r="D90" s="89" t="s">
        <v>43</v>
      </c>
      <c r="E90" s="90" t="s">
        <v>30</v>
      </c>
      <c r="F90" s="89" t="s">
        <v>73</v>
      </c>
      <c r="G90" s="94" t="s">
        <v>295</v>
      </c>
      <c r="H90" s="91">
        <v>1.7447457825899999</v>
      </c>
      <c r="I90" s="89" t="s">
        <v>92</v>
      </c>
      <c r="J90" s="89" t="s">
        <v>19</v>
      </c>
      <c r="K90" s="89"/>
      <c r="L90" s="89"/>
      <c r="M90" s="89"/>
      <c r="N90" s="89"/>
      <c r="O90" s="89"/>
    </row>
    <row r="91" spans="1:15" s="1" customFormat="1" ht="30" hidden="1">
      <c r="A91" s="2">
        <v>1</v>
      </c>
      <c r="B91" s="1">
        <v>1</v>
      </c>
      <c r="C91" s="1" t="s">
        <v>97</v>
      </c>
      <c r="D91" s="2" t="s">
        <v>43</v>
      </c>
      <c r="E91" s="63" t="s">
        <v>30</v>
      </c>
      <c r="F91" s="2" t="s">
        <v>147</v>
      </c>
      <c r="G91" s="2" t="s">
        <v>296</v>
      </c>
      <c r="H91" s="64">
        <v>4.5199947960399998</v>
      </c>
      <c r="I91" s="2" t="s">
        <v>104</v>
      </c>
    </row>
    <row r="92" spans="1:15" ht="30">
      <c r="A92" s="89">
        <v>1</v>
      </c>
      <c r="B92" s="1">
        <v>1</v>
      </c>
      <c r="C92" s="1" t="s">
        <v>97</v>
      </c>
      <c r="D92" s="89" t="s">
        <v>44</v>
      </c>
      <c r="E92" s="90" t="s">
        <v>31</v>
      </c>
      <c r="F92" s="89" t="s">
        <v>81</v>
      </c>
      <c r="G92" s="94" t="s">
        <v>297</v>
      </c>
      <c r="H92" s="91">
        <v>14.2746532935</v>
      </c>
      <c r="I92" s="89" t="s">
        <v>92</v>
      </c>
      <c r="J92" s="89" t="s">
        <v>19</v>
      </c>
      <c r="K92" s="89" t="s">
        <v>19</v>
      </c>
      <c r="L92" s="89"/>
      <c r="M92" s="89"/>
      <c r="N92" s="89"/>
      <c r="O92" s="89"/>
    </row>
    <row r="93" spans="1:15" ht="30">
      <c r="A93" s="89">
        <v>1</v>
      </c>
      <c r="B93" s="1">
        <v>1</v>
      </c>
      <c r="C93" s="1" t="s">
        <v>97</v>
      </c>
      <c r="D93" s="89" t="s">
        <v>45</v>
      </c>
      <c r="E93" s="90" t="s">
        <v>32</v>
      </c>
      <c r="F93" s="89" t="s">
        <v>64</v>
      </c>
      <c r="G93" s="94" t="s">
        <v>298</v>
      </c>
      <c r="H93" s="91">
        <v>11.5570720649</v>
      </c>
      <c r="I93" s="89" t="s">
        <v>92</v>
      </c>
      <c r="J93" s="89" t="s">
        <v>19</v>
      </c>
      <c r="K93" s="89"/>
      <c r="L93" s="89"/>
      <c r="M93" s="89" t="s">
        <v>19</v>
      </c>
      <c r="N93" s="89"/>
      <c r="O93" s="89"/>
    </row>
    <row r="94" spans="1:15" ht="30">
      <c r="A94" s="89">
        <v>1</v>
      </c>
      <c r="B94" s="1">
        <v>1</v>
      </c>
      <c r="C94" s="1" t="s">
        <v>97</v>
      </c>
      <c r="D94" s="89" t="s">
        <v>45</v>
      </c>
      <c r="E94" s="90" t="s">
        <v>32</v>
      </c>
      <c r="F94" s="89" t="s">
        <v>63</v>
      </c>
      <c r="G94" s="94" t="s">
        <v>299</v>
      </c>
      <c r="H94" s="91">
        <v>7.6625836381000001</v>
      </c>
      <c r="I94" s="89" t="s">
        <v>92</v>
      </c>
      <c r="J94" s="89" t="s">
        <v>19</v>
      </c>
      <c r="K94" s="89"/>
      <c r="L94" s="89"/>
      <c r="M94" s="89" t="s">
        <v>19</v>
      </c>
      <c r="N94" s="89"/>
      <c r="O94" s="89"/>
    </row>
    <row r="95" spans="1:15" s="1" customFormat="1" ht="30" hidden="1">
      <c r="A95" s="2">
        <v>1</v>
      </c>
      <c r="B95" s="1">
        <v>1</v>
      </c>
      <c r="C95" s="1" t="s">
        <v>97</v>
      </c>
      <c r="D95" s="2" t="s">
        <v>300</v>
      </c>
      <c r="E95" s="63" t="s">
        <v>301</v>
      </c>
      <c r="F95" s="2" t="s">
        <v>302</v>
      </c>
      <c r="G95" s="2" t="s">
        <v>303</v>
      </c>
      <c r="H95" s="64">
        <v>0.72297385526199998</v>
      </c>
      <c r="I95" s="2" t="s">
        <v>100</v>
      </c>
    </row>
    <row r="96" spans="1:15" s="1" customFormat="1" ht="30" hidden="1">
      <c r="A96" s="2">
        <v>1</v>
      </c>
      <c r="B96" s="1">
        <v>1</v>
      </c>
      <c r="C96" s="1" t="s">
        <v>97</v>
      </c>
      <c r="D96" s="2" t="s">
        <v>300</v>
      </c>
      <c r="E96" s="63" t="s">
        <v>301</v>
      </c>
      <c r="F96" s="2" t="s">
        <v>304</v>
      </c>
      <c r="G96" s="2" t="s">
        <v>305</v>
      </c>
      <c r="H96" s="64">
        <v>8.7275217850200004</v>
      </c>
      <c r="I96" s="2" t="s">
        <v>104</v>
      </c>
    </row>
    <row r="97" spans="1:15" s="1" customFormat="1" ht="30" hidden="1">
      <c r="A97" s="2">
        <v>1</v>
      </c>
      <c r="B97" s="1">
        <v>1</v>
      </c>
      <c r="C97" s="1" t="s">
        <v>97</v>
      </c>
      <c r="D97" s="2" t="s">
        <v>306</v>
      </c>
      <c r="E97" s="63" t="s">
        <v>307</v>
      </c>
      <c r="F97" s="2" t="s">
        <v>308</v>
      </c>
      <c r="G97" s="2" t="s">
        <v>309</v>
      </c>
      <c r="H97" s="64">
        <v>6.3326683670400001</v>
      </c>
      <c r="I97" s="2" t="s">
        <v>104</v>
      </c>
    </row>
    <row r="98" spans="1:15" s="1" customFormat="1" ht="30" hidden="1">
      <c r="A98" s="2">
        <v>1</v>
      </c>
      <c r="B98" s="1">
        <v>1</v>
      </c>
      <c r="C98" s="1" t="s">
        <v>97</v>
      </c>
      <c r="D98" s="2" t="s">
        <v>306</v>
      </c>
      <c r="E98" s="63" t="s">
        <v>307</v>
      </c>
      <c r="F98" s="2" t="s">
        <v>310</v>
      </c>
      <c r="G98" s="2" t="s">
        <v>311</v>
      </c>
      <c r="H98" s="64">
        <v>17.4447066663</v>
      </c>
      <c r="I98" s="2" t="s">
        <v>104</v>
      </c>
    </row>
    <row r="99" spans="1:15" s="1" customFormat="1" ht="30" hidden="1">
      <c r="A99" s="2">
        <v>1</v>
      </c>
      <c r="B99" s="1">
        <v>1</v>
      </c>
      <c r="C99" s="1" t="s">
        <v>97</v>
      </c>
      <c r="D99" s="2" t="s">
        <v>306</v>
      </c>
      <c r="E99" s="63" t="s">
        <v>307</v>
      </c>
      <c r="F99" s="2" t="s">
        <v>312</v>
      </c>
      <c r="G99" s="2" t="s">
        <v>313</v>
      </c>
      <c r="H99" s="64">
        <v>2.0654699252499999</v>
      </c>
      <c r="I99" s="2" t="s">
        <v>104</v>
      </c>
    </row>
    <row r="100" spans="1:15" s="1" customFormat="1" ht="30" hidden="1">
      <c r="A100" s="2">
        <v>1</v>
      </c>
      <c r="B100" s="1">
        <v>1</v>
      </c>
      <c r="C100" s="1" t="s">
        <v>97</v>
      </c>
      <c r="D100" s="2" t="s">
        <v>314</v>
      </c>
      <c r="E100" s="63" t="s">
        <v>315</v>
      </c>
      <c r="F100" s="2" t="s">
        <v>316</v>
      </c>
      <c r="G100" s="2" t="s">
        <v>317</v>
      </c>
      <c r="H100" s="64">
        <v>6.0749262718899999</v>
      </c>
      <c r="I100" s="2" t="s">
        <v>104</v>
      </c>
    </row>
    <row r="101" spans="1:15" s="1" customFormat="1" ht="30" hidden="1">
      <c r="A101" s="2">
        <v>1</v>
      </c>
      <c r="B101" s="1">
        <v>1</v>
      </c>
      <c r="C101" s="1" t="s">
        <v>97</v>
      </c>
      <c r="D101" s="2" t="s">
        <v>314</v>
      </c>
      <c r="E101" s="63" t="s">
        <v>315</v>
      </c>
      <c r="F101" s="2" t="s">
        <v>318</v>
      </c>
      <c r="G101" s="2" t="s">
        <v>319</v>
      </c>
      <c r="H101" s="64">
        <v>6.0288383224700004</v>
      </c>
      <c r="I101" s="2" t="s">
        <v>104</v>
      </c>
    </row>
    <row r="102" spans="1:15" ht="30">
      <c r="A102" s="89">
        <v>1</v>
      </c>
      <c r="B102" s="1">
        <v>1</v>
      </c>
      <c r="C102" s="1" t="s">
        <v>97</v>
      </c>
      <c r="D102" s="89" t="s">
        <v>46</v>
      </c>
      <c r="E102" s="90" t="s">
        <v>33</v>
      </c>
      <c r="F102" s="89" t="s">
        <v>320</v>
      </c>
      <c r="G102" s="94" t="s">
        <v>321</v>
      </c>
      <c r="H102" s="91">
        <v>2.64010543268</v>
      </c>
      <c r="I102" s="89" t="s">
        <v>92</v>
      </c>
      <c r="J102" s="89" t="s">
        <v>19</v>
      </c>
      <c r="K102" s="89"/>
      <c r="L102" s="89"/>
      <c r="M102" s="89"/>
      <c r="N102" s="89"/>
      <c r="O102" s="89"/>
    </row>
    <row r="103" spans="1:15" ht="30">
      <c r="A103" s="89">
        <v>1</v>
      </c>
      <c r="B103" s="1">
        <v>1</v>
      </c>
      <c r="C103" s="1" t="s">
        <v>97</v>
      </c>
      <c r="D103" s="89" t="s">
        <v>46</v>
      </c>
      <c r="E103" s="90" t="s">
        <v>33</v>
      </c>
      <c r="F103" s="89" t="s">
        <v>322</v>
      </c>
      <c r="G103" s="94" t="s">
        <v>323</v>
      </c>
      <c r="H103" s="91">
        <v>4.9056458093700002</v>
      </c>
      <c r="I103" s="89" t="s">
        <v>92</v>
      </c>
      <c r="J103" s="89" t="s">
        <v>19</v>
      </c>
      <c r="K103" s="89"/>
      <c r="L103" s="89"/>
      <c r="M103" s="89"/>
      <c r="N103" s="89"/>
      <c r="O103" s="89"/>
    </row>
    <row r="104" spans="1:15" ht="30">
      <c r="A104" s="89">
        <v>1</v>
      </c>
      <c r="B104" s="1">
        <v>1</v>
      </c>
      <c r="C104" s="1" t="s">
        <v>97</v>
      </c>
      <c r="D104" s="89" t="s">
        <v>46</v>
      </c>
      <c r="E104" s="90" t="s">
        <v>33</v>
      </c>
      <c r="F104" s="89" t="s">
        <v>324</v>
      </c>
      <c r="G104" s="94" t="s">
        <v>325</v>
      </c>
      <c r="H104" s="91">
        <v>18.043359699300002</v>
      </c>
      <c r="I104" s="89" t="s">
        <v>92</v>
      </c>
      <c r="J104" s="89" t="s">
        <v>19</v>
      </c>
      <c r="K104" s="89"/>
      <c r="L104" s="89"/>
      <c r="M104" s="89"/>
      <c r="N104" s="89"/>
      <c r="O104" s="89"/>
    </row>
    <row r="105" spans="1:15" ht="30">
      <c r="A105" s="89">
        <v>1</v>
      </c>
      <c r="B105" s="1">
        <v>1</v>
      </c>
      <c r="C105" s="1" t="s">
        <v>97</v>
      </c>
      <c r="D105" s="89" t="s">
        <v>46</v>
      </c>
      <c r="E105" s="90" t="s">
        <v>33</v>
      </c>
      <c r="F105" s="89" t="s">
        <v>326</v>
      </c>
      <c r="G105" s="94" t="s">
        <v>327</v>
      </c>
      <c r="H105" s="91">
        <v>10.3664792796</v>
      </c>
      <c r="I105" s="89" t="s">
        <v>92</v>
      </c>
      <c r="J105" s="89" t="s">
        <v>19</v>
      </c>
      <c r="K105" s="89"/>
      <c r="L105" s="89"/>
      <c r="M105" s="89"/>
      <c r="N105" s="89"/>
      <c r="O105" s="89"/>
    </row>
    <row r="106" spans="1:15" s="1" customFormat="1" ht="30" hidden="1">
      <c r="A106" s="2">
        <v>1</v>
      </c>
      <c r="B106" s="1">
        <v>1</v>
      </c>
      <c r="C106" s="1" t="s">
        <v>97</v>
      </c>
      <c r="D106" s="2" t="s">
        <v>328</v>
      </c>
      <c r="E106" s="63" t="s">
        <v>329</v>
      </c>
      <c r="F106" s="2" t="s">
        <v>330</v>
      </c>
      <c r="G106" s="2" t="s">
        <v>331</v>
      </c>
      <c r="H106" s="64">
        <v>7.6877450416000004</v>
      </c>
      <c r="I106" s="2" t="s">
        <v>104</v>
      </c>
    </row>
    <row r="107" spans="1:15" ht="30">
      <c r="A107" s="89">
        <v>1</v>
      </c>
      <c r="B107" s="1">
        <v>1</v>
      </c>
      <c r="C107" s="1" t="s">
        <v>97</v>
      </c>
      <c r="D107" s="89" t="s">
        <v>47</v>
      </c>
      <c r="E107" s="90" t="s">
        <v>34</v>
      </c>
      <c r="F107" s="89" t="s">
        <v>75</v>
      </c>
      <c r="G107" s="94" t="s">
        <v>332</v>
      </c>
      <c r="H107" s="91">
        <v>18.409328083399998</v>
      </c>
      <c r="I107" s="89" t="s">
        <v>92</v>
      </c>
      <c r="J107" s="89" t="s">
        <v>19</v>
      </c>
      <c r="K107" s="89"/>
      <c r="L107" s="89"/>
      <c r="M107" s="89"/>
      <c r="N107" s="89"/>
      <c r="O107" s="89"/>
    </row>
    <row r="108" spans="1:15" ht="30">
      <c r="A108" s="89">
        <v>1</v>
      </c>
      <c r="B108" s="1">
        <v>1</v>
      </c>
      <c r="C108" s="1" t="s">
        <v>97</v>
      </c>
      <c r="D108" s="89" t="s">
        <v>47</v>
      </c>
      <c r="E108" s="90" t="s">
        <v>34</v>
      </c>
      <c r="F108" s="89" t="s">
        <v>76</v>
      </c>
      <c r="G108" s="94" t="s">
        <v>333</v>
      </c>
      <c r="H108" s="91">
        <v>26.483452889900001</v>
      </c>
      <c r="I108" s="89" t="s">
        <v>92</v>
      </c>
      <c r="J108" s="89" t="s">
        <v>19</v>
      </c>
      <c r="K108" s="89"/>
      <c r="L108" s="89"/>
      <c r="M108" s="89" t="s">
        <v>19</v>
      </c>
      <c r="N108" s="89"/>
      <c r="O108" s="89"/>
    </row>
    <row r="109" spans="1:15" ht="30">
      <c r="A109" s="89">
        <v>1</v>
      </c>
      <c r="B109" s="1">
        <v>1</v>
      </c>
      <c r="C109" s="1" t="s">
        <v>97</v>
      </c>
      <c r="D109" s="89" t="s">
        <v>48</v>
      </c>
      <c r="E109" s="90" t="s">
        <v>35</v>
      </c>
      <c r="F109" s="89" t="s">
        <v>51</v>
      </c>
      <c r="G109" s="94" t="s">
        <v>334</v>
      </c>
      <c r="H109" s="91">
        <v>32.812788573200002</v>
      </c>
      <c r="I109" s="89" t="s">
        <v>92</v>
      </c>
      <c r="J109" s="89" t="s">
        <v>19</v>
      </c>
      <c r="K109" s="89"/>
      <c r="L109" s="89"/>
      <c r="M109" s="89" t="s">
        <v>19</v>
      </c>
      <c r="N109" s="89"/>
      <c r="O109" s="89"/>
    </row>
    <row r="110" spans="1:15" s="1" customFormat="1" ht="30" hidden="1">
      <c r="A110" s="2">
        <v>1</v>
      </c>
      <c r="B110" s="1">
        <v>1</v>
      </c>
      <c r="C110" s="1" t="s">
        <v>97</v>
      </c>
      <c r="D110" s="2" t="s">
        <v>335</v>
      </c>
      <c r="E110" s="63" t="s">
        <v>336</v>
      </c>
      <c r="F110" s="2" t="s">
        <v>337</v>
      </c>
      <c r="G110" s="2" t="s">
        <v>338</v>
      </c>
      <c r="H110" s="64">
        <v>13.9122850812</v>
      </c>
      <c r="I110" s="2" t="s">
        <v>104</v>
      </c>
    </row>
    <row r="111" spans="1:15" s="1" customFormat="1" ht="30" hidden="1">
      <c r="A111" s="2">
        <v>1</v>
      </c>
      <c r="B111" s="1">
        <v>1</v>
      </c>
      <c r="C111" s="1" t="s">
        <v>97</v>
      </c>
      <c r="D111" s="2" t="s">
        <v>335</v>
      </c>
      <c r="E111" s="63" t="s">
        <v>336</v>
      </c>
      <c r="F111" s="2" t="s">
        <v>339</v>
      </c>
      <c r="G111" s="2" t="s">
        <v>340</v>
      </c>
      <c r="H111" s="64">
        <v>11.085450052100001</v>
      </c>
      <c r="I111" s="2" t="s">
        <v>104</v>
      </c>
    </row>
    <row r="112" spans="1:15" s="1" customFormat="1" ht="30" hidden="1">
      <c r="A112" s="2">
        <v>1</v>
      </c>
      <c r="B112" s="1">
        <v>1</v>
      </c>
      <c r="C112" s="1" t="s">
        <v>97</v>
      </c>
      <c r="D112" s="2" t="s">
        <v>341</v>
      </c>
      <c r="E112" s="63" t="s">
        <v>342</v>
      </c>
      <c r="F112" s="2" t="s">
        <v>343</v>
      </c>
      <c r="G112" s="2" t="s">
        <v>344</v>
      </c>
      <c r="H112" s="64">
        <v>2.3264889275699998</v>
      </c>
      <c r="I112" s="2" t="s">
        <v>104</v>
      </c>
    </row>
    <row r="113" spans="1:15" s="1" customFormat="1" ht="30" hidden="1">
      <c r="A113" s="2">
        <v>1</v>
      </c>
      <c r="B113" s="1">
        <v>1</v>
      </c>
      <c r="C113" s="1" t="s">
        <v>97</v>
      </c>
      <c r="D113" s="2" t="s">
        <v>341</v>
      </c>
      <c r="E113" s="63" t="s">
        <v>342</v>
      </c>
      <c r="F113" s="2" t="s">
        <v>345</v>
      </c>
      <c r="G113" s="2" t="s">
        <v>346</v>
      </c>
      <c r="H113" s="64">
        <v>3.9177303346099999</v>
      </c>
      <c r="I113" s="2" t="s">
        <v>104</v>
      </c>
    </row>
    <row r="114" spans="1:15" ht="30">
      <c r="A114" s="89">
        <v>1</v>
      </c>
      <c r="B114" s="1">
        <v>1</v>
      </c>
      <c r="C114" s="1" t="s">
        <v>97</v>
      </c>
      <c r="D114" s="89" t="s">
        <v>49</v>
      </c>
      <c r="E114" s="90" t="s">
        <v>36</v>
      </c>
      <c r="F114" s="89" t="s">
        <v>74</v>
      </c>
      <c r="G114" s="94" t="s">
        <v>347</v>
      </c>
      <c r="H114" s="91">
        <v>12.135700452</v>
      </c>
      <c r="I114" s="89" t="s">
        <v>92</v>
      </c>
      <c r="J114" s="89" t="s">
        <v>19</v>
      </c>
      <c r="K114" s="89"/>
      <c r="L114" s="89"/>
      <c r="M114" s="89" t="s">
        <v>19</v>
      </c>
      <c r="N114" s="89"/>
      <c r="O114" s="89"/>
    </row>
    <row r="115" spans="1:15" s="1" customFormat="1" hidden="1">
      <c r="A115" s="2">
        <v>1</v>
      </c>
      <c r="B115" s="1">
        <v>1</v>
      </c>
      <c r="C115" s="1" t="s">
        <v>97</v>
      </c>
      <c r="D115" s="2" t="s">
        <v>348</v>
      </c>
      <c r="E115" s="63" t="s">
        <v>349</v>
      </c>
      <c r="F115" s="2" t="s">
        <v>350</v>
      </c>
      <c r="G115" s="2" t="s">
        <v>351</v>
      </c>
      <c r="H115" s="64">
        <v>3.7562933373199998</v>
      </c>
      <c r="I115" s="2" t="s">
        <v>104</v>
      </c>
    </row>
    <row r="116" spans="1:15" s="1" customFormat="1" hidden="1">
      <c r="A116" s="2">
        <v>1</v>
      </c>
      <c r="B116" s="1">
        <v>1</v>
      </c>
      <c r="C116" s="1" t="s">
        <v>97</v>
      </c>
      <c r="D116" s="2" t="s">
        <v>348</v>
      </c>
      <c r="E116" s="63" t="s">
        <v>349</v>
      </c>
      <c r="F116" s="2" t="s">
        <v>352</v>
      </c>
      <c r="G116" s="2" t="s">
        <v>353</v>
      </c>
      <c r="H116" s="64">
        <v>4.2669872308099999</v>
      </c>
      <c r="I116" s="2" t="s">
        <v>104</v>
      </c>
    </row>
    <row r="117" spans="1:15">
      <c r="H117" s="67">
        <f>SUBTOTAL(9,H8:H114)</f>
        <v>399.56856025655003</v>
      </c>
      <c r="J117" s="58">
        <f>H117</f>
        <v>399.56856025655003</v>
      </c>
    </row>
    <row r="118" spans="1:15">
      <c r="J118" s="68">
        <f>J117/H117</f>
        <v>1</v>
      </c>
    </row>
  </sheetData>
  <autoFilter ref="A2:I116" xr:uid="{00000000-0009-0000-0000-000000000000}">
    <filterColumn colId="8">
      <filters>
        <filter val="EOP"/>
        <filter val="LEN"/>
      </filters>
    </filterColumn>
  </autoFilter>
  <phoneticPr fontId="1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170"/>
  <sheetViews>
    <sheetView tabSelected="1" view="pageBreakPreview" zoomScale="40" zoomScaleNormal="40" zoomScaleSheetLayoutView="40" workbookViewId="0">
      <selection activeCell="J3" sqref="J3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v>46204</v>
      </c>
      <c r="K1" s="11"/>
      <c r="L1" s="130" t="s">
        <v>4</v>
      </c>
      <c r="M1" s="130"/>
      <c r="N1" s="132" t="s">
        <v>355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2" t="str">
        <f>TT!C4</f>
        <v>RODOVIA TO-010 - TRECHO ANANÁS - ENTR. BR-230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54</v>
      </c>
      <c r="B7" s="21" t="s">
        <v>18</v>
      </c>
      <c r="C7" s="22">
        <v>0</v>
      </c>
      <c r="D7" s="22">
        <v>1</v>
      </c>
      <c r="E7" s="21"/>
      <c r="F7" s="21" t="s">
        <v>19</v>
      </c>
      <c r="G7" s="21"/>
      <c r="H7" s="21"/>
      <c r="I7" s="21"/>
      <c r="J7" s="21"/>
      <c r="K7" s="21" t="s">
        <v>19</v>
      </c>
      <c r="L7" s="116"/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1</v>
      </c>
      <c r="D8" s="22">
        <v>2</v>
      </c>
      <c r="E8" s="21"/>
      <c r="F8" s="21" t="s">
        <v>19</v>
      </c>
      <c r="G8" s="21"/>
      <c r="H8" s="21"/>
      <c r="I8" s="21"/>
      <c r="J8" s="21"/>
      <c r="K8" s="21" t="s">
        <v>19</v>
      </c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ref="C9:C21" si="0">D8</f>
        <v>2</v>
      </c>
      <c r="D9" s="22">
        <v>3</v>
      </c>
      <c r="E9" s="21"/>
      <c r="F9" s="21" t="s">
        <v>19</v>
      </c>
      <c r="G9" s="21"/>
      <c r="H9" s="21"/>
      <c r="I9" s="21"/>
      <c r="J9" s="21"/>
      <c r="K9" s="21" t="s">
        <v>19</v>
      </c>
      <c r="L9" s="116"/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3</v>
      </c>
      <c r="D10" s="22">
        <v>4</v>
      </c>
      <c r="E10" s="21"/>
      <c r="F10" s="21" t="s">
        <v>19</v>
      </c>
      <c r="G10" s="21"/>
      <c r="H10" s="21"/>
      <c r="I10" s="21"/>
      <c r="J10" s="21"/>
      <c r="K10" s="21" t="s">
        <v>19</v>
      </c>
      <c r="L10" s="116"/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4</v>
      </c>
      <c r="D11" s="22">
        <v>5</v>
      </c>
      <c r="E11" s="21"/>
      <c r="F11" s="21" t="s">
        <v>19</v>
      </c>
      <c r="G11" s="21"/>
      <c r="H11" s="21"/>
      <c r="I11" s="21"/>
      <c r="J11" s="21"/>
      <c r="K11" s="21" t="s">
        <v>19</v>
      </c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5</v>
      </c>
      <c r="D12" s="22">
        <v>6</v>
      </c>
      <c r="E12" s="21"/>
      <c r="F12" s="21" t="s">
        <v>19</v>
      </c>
      <c r="G12" s="21"/>
      <c r="H12" s="21"/>
      <c r="I12" s="21"/>
      <c r="J12" s="21"/>
      <c r="K12" s="21" t="s">
        <v>19</v>
      </c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6</v>
      </c>
      <c r="D13" s="22">
        <v>7</v>
      </c>
      <c r="E13" s="21"/>
      <c r="F13" s="21" t="s">
        <v>19</v>
      </c>
      <c r="G13" s="21"/>
      <c r="H13" s="21"/>
      <c r="I13" s="107" t="s">
        <v>19</v>
      </c>
      <c r="J13" s="21"/>
      <c r="K13" s="21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7</v>
      </c>
      <c r="D14" s="22">
        <v>8</v>
      </c>
      <c r="E14" s="21"/>
      <c r="F14" s="21" t="s">
        <v>19</v>
      </c>
      <c r="G14" s="21"/>
      <c r="H14" s="21"/>
      <c r="I14" s="107" t="s">
        <v>19</v>
      </c>
      <c r="J14" s="21"/>
      <c r="K14" s="21"/>
      <c r="L14" s="116"/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8</v>
      </c>
      <c r="D15" s="22">
        <v>9</v>
      </c>
      <c r="E15" s="21"/>
      <c r="F15" s="21" t="s">
        <v>19</v>
      </c>
      <c r="G15" s="21"/>
      <c r="H15" s="21"/>
      <c r="I15" s="107" t="s">
        <v>19</v>
      </c>
      <c r="J15" s="21"/>
      <c r="K15" s="21"/>
      <c r="L15" s="116"/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22">
        <f t="shared" si="0"/>
        <v>9</v>
      </c>
      <c r="D16" s="22">
        <v>10</v>
      </c>
      <c r="E16" s="21"/>
      <c r="F16" s="21" t="s">
        <v>19</v>
      </c>
      <c r="G16" s="21"/>
      <c r="H16" s="21"/>
      <c r="I16" s="107" t="s">
        <v>19</v>
      </c>
      <c r="J16" s="21"/>
      <c r="K16" s="21"/>
      <c r="L16" s="116"/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si="0"/>
        <v>10</v>
      </c>
      <c r="D17" s="22">
        <v>11</v>
      </c>
      <c r="E17" s="21"/>
      <c r="F17" s="21" t="s">
        <v>19</v>
      </c>
      <c r="G17" s="21"/>
      <c r="H17" s="21"/>
      <c r="I17" s="107" t="s">
        <v>19</v>
      </c>
      <c r="J17" s="21"/>
      <c r="K17" s="21"/>
      <c r="L17" s="116"/>
      <c r="M17" s="117"/>
      <c r="N17" s="117"/>
      <c r="O17" s="117"/>
      <c r="P17" s="117"/>
      <c r="Q17" s="117"/>
      <c r="R17" s="118"/>
    </row>
    <row r="18" spans="1:18" ht="41.45" customHeight="1">
      <c r="A18" s="21"/>
      <c r="B18" s="21"/>
      <c r="C18" s="22">
        <f t="shared" si="0"/>
        <v>11</v>
      </c>
      <c r="D18" s="22">
        <v>12</v>
      </c>
      <c r="E18" s="21"/>
      <c r="F18" s="21" t="s">
        <v>19</v>
      </c>
      <c r="G18" s="21"/>
      <c r="H18" s="21"/>
      <c r="I18" s="107" t="s">
        <v>19</v>
      </c>
      <c r="J18" s="21"/>
      <c r="K18" s="21"/>
      <c r="L18" s="116"/>
      <c r="M18" s="117"/>
      <c r="N18" s="117"/>
      <c r="O18" s="117"/>
      <c r="P18" s="117"/>
      <c r="Q18" s="117"/>
      <c r="R18" s="118"/>
    </row>
    <row r="19" spans="1:18" ht="41.45" customHeight="1">
      <c r="A19" s="21"/>
      <c r="B19" s="21"/>
      <c r="C19" s="22">
        <f t="shared" si="0"/>
        <v>12</v>
      </c>
      <c r="D19" s="22">
        <v>13</v>
      </c>
      <c r="E19" s="21"/>
      <c r="F19" s="21" t="s">
        <v>19</v>
      </c>
      <c r="G19" s="21"/>
      <c r="H19" s="21"/>
      <c r="I19" s="107" t="s">
        <v>19</v>
      </c>
      <c r="J19" s="21"/>
      <c r="K19" s="21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21"/>
      <c r="B20" s="21"/>
      <c r="C20" s="22">
        <f t="shared" si="0"/>
        <v>13</v>
      </c>
      <c r="D20" s="22">
        <v>14</v>
      </c>
      <c r="E20" s="21"/>
      <c r="F20" s="21" t="s">
        <v>19</v>
      </c>
      <c r="G20" s="21"/>
      <c r="H20" s="21"/>
      <c r="I20" s="107" t="s">
        <v>19</v>
      </c>
      <c r="J20" s="21"/>
      <c r="K20" s="21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21"/>
      <c r="B21" s="21"/>
      <c r="C21" s="22">
        <f t="shared" si="0"/>
        <v>14</v>
      </c>
      <c r="D21" s="22">
        <v>15</v>
      </c>
      <c r="E21" s="21"/>
      <c r="F21" s="21" t="s">
        <v>19</v>
      </c>
      <c r="G21" s="21"/>
      <c r="H21" s="21"/>
      <c r="I21" s="107" t="s">
        <v>19</v>
      </c>
      <c r="J21" s="21"/>
      <c r="K21" s="21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21"/>
      <c r="B22" s="21"/>
      <c r="C22" s="22">
        <f>D21</f>
        <v>15</v>
      </c>
      <c r="D22" s="22">
        <v>16</v>
      </c>
      <c r="E22" s="21"/>
      <c r="F22" s="21" t="s">
        <v>19</v>
      </c>
      <c r="G22" s="21"/>
      <c r="H22" s="21"/>
      <c r="I22" s="107" t="s">
        <v>19</v>
      </c>
      <c r="J22" s="21"/>
      <c r="K22" s="21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21"/>
      <c r="B23" s="21"/>
      <c r="C23" s="22">
        <f t="shared" ref="C23:C32" si="1">D22</f>
        <v>16</v>
      </c>
      <c r="D23" s="22">
        <v>17</v>
      </c>
      <c r="E23" s="21"/>
      <c r="F23" s="21" t="s">
        <v>19</v>
      </c>
      <c r="G23" s="21"/>
      <c r="H23" s="21"/>
      <c r="I23" s="107" t="s">
        <v>19</v>
      </c>
      <c r="J23" s="21"/>
      <c r="K23" s="21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21"/>
      <c r="B24" s="21"/>
      <c r="C24" s="22">
        <f t="shared" si="1"/>
        <v>17</v>
      </c>
      <c r="D24" s="22">
        <v>18</v>
      </c>
      <c r="E24" s="21"/>
      <c r="F24" s="21" t="s">
        <v>19</v>
      </c>
      <c r="G24" s="21"/>
      <c r="H24" s="21"/>
      <c r="I24" s="107" t="s">
        <v>19</v>
      </c>
      <c r="J24" s="21"/>
      <c r="K24" s="21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21"/>
      <c r="B25" s="21"/>
      <c r="C25" s="22">
        <f t="shared" si="1"/>
        <v>18</v>
      </c>
      <c r="D25" s="22">
        <v>19</v>
      </c>
      <c r="E25" s="21"/>
      <c r="F25" s="21" t="s">
        <v>19</v>
      </c>
      <c r="G25" s="21"/>
      <c r="H25" s="21"/>
      <c r="I25" s="107" t="s">
        <v>19</v>
      </c>
      <c r="J25" s="21"/>
      <c r="K25" s="21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21"/>
      <c r="B26" s="21"/>
      <c r="C26" s="22">
        <f t="shared" si="1"/>
        <v>19</v>
      </c>
      <c r="D26" s="22">
        <v>20</v>
      </c>
      <c r="E26" s="21"/>
      <c r="F26" s="21" t="s">
        <v>19</v>
      </c>
      <c r="G26" s="21"/>
      <c r="H26" s="21"/>
      <c r="I26" s="107" t="s">
        <v>19</v>
      </c>
      <c r="J26" s="21"/>
      <c r="K26" s="21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21"/>
      <c r="B27" s="21"/>
      <c r="C27" s="22">
        <f t="shared" si="1"/>
        <v>20</v>
      </c>
      <c r="D27" s="22">
        <v>21</v>
      </c>
      <c r="E27" s="21"/>
      <c r="F27" s="21" t="s">
        <v>19</v>
      </c>
      <c r="G27" s="21"/>
      <c r="H27" s="21"/>
      <c r="I27" s="107" t="s">
        <v>19</v>
      </c>
      <c r="J27" s="21"/>
      <c r="K27" s="21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21"/>
      <c r="B28" s="21"/>
      <c r="C28" s="22">
        <f t="shared" si="1"/>
        <v>21</v>
      </c>
      <c r="D28" s="22">
        <v>22</v>
      </c>
      <c r="E28" s="21"/>
      <c r="F28" s="21" t="s">
        <v>19</v>
      </c>
      <c r="G28" s="21"/>
      <c r="H28" s="21"/>
      <c r="I28" s="107" t="s">
        <v>19</v>
      </c>
      <c r="J28" s="21"/>
      <c r="K28" s="21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21"/>
      <c r="B29" s="21"/>
      <c r="C29" s="22">
        <f t="shared" si="1"/>
        <v>22</v>
      </c>
      <c r="D29" s="22">
        <v>23</v>
      </c>
      <c r="E29" s="21"/>
      <c r="F29" s="21" t="s">
        <v>19</v>
      </c>
      <c r="G29" s="21"/>
      <c r="H29" s="21"/>
      <c r="I29" s="107" t="s">
        <v>19</v>
      </c>
      <c r="J29" s="21"/>
      <c r="K29" s="21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21"/>
      <c r="B30" s="21"/>
      <c r="C30" s="22">
        <f t="shared" si="1"/>
        <v>23</v>
      </c>
      <c r="D30" s="22">
        <v>24</v>
      </c>
      <c r="E30" s="21"/>
      <c r="F30" s="21" t="s">
        <v>19</v>
      </c>
      <c r="G30" s="21"/>
      <c r="H30" s="21"/>
      <c r="I30" s="107" t="s">
        <v>19</v>
      </c>
      <c r="J30" s="21"/>
      <c r="K30" s="21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21"/>
      <c r="B31" s="21"/>
      <c r="C31" s="22">
        <f t="shared" si="1"/>
        <v>24</v>
      </c>
      <c r="D31" s="22">
        <v>25</v>
      </c>
      <c r="E31" s="21"/>
      <c r="F31" s="21" t="s">
        <v>19</v>
      </c>
      <c r="G31" s="21"/>
      <c r="H31" s="21"/>
      <c r="I31" s="107" t="s">
        <v>19</v>
      </c>
      <c r="J31" s="21"/>
      <c r="K31" s="21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21"/>
      <c r="B32" s="21"/>
      <c r="C32" s="22">
        <f t="shared" si="1"/>
        <v>25</v>
      </c>
      <c r="D32" s="22">
        <v>26</v>
      </c>
      <c r="E32" s="21"/>
      <c r="F32" s="21" t="s">
        <v>19</v>
      </c>
      <c r="G32" s="21"/>
      <c r="H32" s="21"/>
      <c r="I32" s="107" t="s">
        <v>19</v>
      </c>
      <c r="J32" s="21"/>
      <c r="K32" s="21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21"/>
      <c r="B33" s="21"/>
      <c r="C33" s="22">
        <f t="shared" ref="C33:C38" si="2">D32</f>
        <v>26</v>
      </c>
      <c r="D33" s="22">
        <v>27</v>
      </c>
      <c r="E33" s="21"/>
      <c r="F33" s="21" t="s">
        <v>19</v>
      </c>
      <c r="G33" s="21"/>
      <c r="H33" s="21"/>
      <c r="I33" s="107" t="s">
        <v>19</v>
      </c>
      <c r="J33" s="21"/>
      <c r="K33" s="21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21"/>
      <c r="B34" s="21"/>
      <c r="C34" s="22">
        <f t="shared" si="2"/>
        <v>27</v>
      </c>
      <c r="D34" s="22">
        <v>28</v>
      </c>
      <c r="E34" s="21"/>
      <c r="F34" s="21" t="s">
        <v>19</v>
      </c>
      <c r="G34" s="21"/>
      <c r="H34" s="21"/>
      <c r="I34" s="107" t="s">
        <v>19</v>
      </c>
      <c r="J34" s="21"/>
      <c r="K34" s="21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21"/>
      <c r="B35" s="21"/>
      <c r="C35" s="22">
        <f t="shared" si="2"/>
        <v>28</v>
      </c>
      <c r="D35" s="22">
        <v>29</v>
      </c>
      <c r="E35" s="21"/>
      <c r="F35" s="21" t="s">
        <v>19</v>
      </c>
      <c r="G35" s="21"/>
      <c r="H35" s="21"/>
      <c r="I35" s="107" t="s">
        <v>19</v>
      </c>
      <c r="J35" s="21"/>
      <c r="K35" s="21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1"/>
      <c r="B36" s="21"/>
      <c r="C36" s="22">
        <f t="shared" si="2"/>
        <v>29</v>
      </c>
      <c r="D36" s="22">
        <v>30</v>
      </c>
      <c r="E36" s="21"/>
      <c r="F36" s="21" t="s">
        <v>19</v>
      </c>
      <c r="G36" s="21"/>
      <c r="H36" s="21"/>
      <c r="I36" s="107" t="s">
        <v>19</v>
      </c>
      <c r="J36" s="21"/>
      <c r="K36" s="21"/>
      <c r="L36" s="116"/>
      <c r="M36" s="117"/>
      <c r="N36" s="117"/>
      <c r="O36" s="117"/>
      <c r="P36" s="117"/>
      <c r="Q36" s="117"/>
      <c r="R36" s="118"/>
    </row>
    <row r="37" spans="1:18" ht="41.45" customHeight="1">
      <c r="A37" s="21"/>
      <c r="B37" s="21"/>
      <c r="C37" s="22">
        <f t="shared" si="2"/>
        <v>30</v>
      </c>
      <c r="D37" s="22">
        <v>31</v>
      </c>
      <c r="E37" s="21"/>
      <c r="F37" s="21" t="s">
        <v>19</v>
      </c>
      <c r="G37" s="21"/>
      <c r="H37" s="21"/>
      <c r="I37" s="107" t="s">
        <v>19</v>
      </c>
      <c r="J37" s="21"/>
      <c r="K37" s="21"/>
      <c r="L37" s="116"/>
      <c r="M37" s="117"/>
      <c r="N37" s="117"/>
      <c r="O37" s="117"/>
      <c r="P37" s="117"/>
      <c r="Q37" s="117"/>
      <c r="R37" s="118"/>
    </row>
    <row r="38" spans="1:18" ht="41.45" customHeight="1">
      <c r="A38" s="21"/>
      <c r="B38" s="21"/>
      <c r="C38" s="22">
        <f t="shared" si="2"/>
        <v>31</v>
      </c>
      <c r="D38" s="22">
        <v>32.19</v>
      </c>
      <c r="E38" s="21"/>
      <c r="F38" s="21" t="s">
        <v>19</v>
      </c>
      <c r="G38" s="21"/>
      <c r="H38" s="21"/>
      <c r="I38" s="107" t="s">
        <v>19</v>
      </c>
      <c r="J38" s="21"/>
      <c r="K38" s="21"/>
      <c r="L38" s="116"/>
      <c r="M38" s="117"/>
      <c r="N38" s="117"/>
      <c r="O38" s="117"/>
      <c r="P38" s="117"/>
      <c r="Q38" s="117"/>
      <c r="R38" s="118"/>
    </row>
    <row r="39" spans="1:18" ht="41.45" customHeight="1">
      <c r="A39" s="21" t="s">
        <v>55</v>
      </c>
      <c r="B39" s="21" t="s">
        <v>18</v>
      </c>
      <c r="C39" s="22">
        <v>0</v>
      </c>
      <c r="D39" s="22">
        <v>1</v>
      </c>
      <c r="E39" s="107" t="s">
        <v>19</v>
      </c>
      <c r="F39" s="21"/>
      <c r="G39" s="21"/>
      <c r="H39" s="21"/>
      <c r="I39" s="107" t="s">
        <v>19</v>
      </c>
      <c r="J39" s="21"/>
      <c r="K39" s="21"/>
      <c r="L39" s="116"/>
      <c r="M39" s="117"/>
      <c r="N39" s="117"/>
      <c r="O39" s="117"/>
      <c r="P39" s="117"/>
      <c r="Q39" s="117"/>
      <c r="R39" s="118"/>
    </row>
    <row r="40" spans="1:18" ht="41.45" customHeight="1">
      <c r="A40" s="21"/>
      <c r="B40" s="21"/>
      <c r="C40" s="22">
        <f>D39</f>
        <v>1</v>
      </c>
      <c r="D40" s="22">
        <v>2</v>
      </c>
      <c r="E40" s="107" t="s">
        <v>19</v>
      </c>
      <c r="F40" s="21"/>
      <c r="G40" s="21"/>
      <c r="H40" s="21"/>
      <c r="I40" s="107" t="s">
        <v>19</v>
      </c>
      <c r="J40" s="21"/>
      <c r="K40" s="21"/>
      <c r="L40" s="116"/>
      <c r="M40" s="117"/>
      <c r="N40" s="117"/>
      <c r="O40" s="117"/>
      <c r="P40" s="117"/>
      <c r="Q40" s="117"/>
      <c r="R40" s="118"/>
    </row>
    <row r="41" spans="1:18" ht="41.45" customHeight="1">
      <c r="A41" s="21"/>
      <c r="B41" s="21"/>
      <c r="C41" s="22">
        <f t="shared" ref="C41:C44" si="3">D40</f>
        <v>2</v>
      </c>
      <c r="D41" s="22">
        <v>3</v>
      </c>
      <c r="E41" s="107" t="s">
        <v>19</v>
      </c>
      <c r="F41" s="21"/>
      <c r="G41" s="21"/>
      <c r="H41" s="21"/>
      <c r="I41" s="107" t="s">
        <v>19</v>
      </c>
      <c r="J41" s="21"/>
      <c r="K41" s="21"/>
      <c r="L41" s="116"/>
      <c r="M41" s="117"/>
      <c r="N41" s="117"/>
      <c r="O41" s="117"/>
      <c r="P41" s="117"/>
      <c r="Q41" s="117"/>
      <c r="R41" s="118"/>
    </row>
    <row r="42" spans="1:18" ht="41.45" customHeight="1">
      <c r="A42" s="21"/>
      <c r="B42" s="21"/>
      <c r="C42" s="22">
        <f t="shared" si="3"/>
        <v>3</v>
      </c>
      <c r="D42" s="22">
        <v>4</v>
      </c>
      <c r="E42" s="107" t="s">
        <v>19</v>
      </c>
      <c r="F42" s="21"/>
      <c r="G42" s="21"/>
      <c r="H42" s="21"/>
      <c r="I42" s="107" t="s">
        <v>19</v>
      </c>
      <c r="J42" s="21"/>
      <c r="K42" s="21"/>
      <c r="L42" s="116"/>
      <c r="M42" s="117"/>
      <c r="N42" s="117"/>
      <c r="O42" s="117"/>
      <c r="P42" s="117"/>
      <c r="Q42" s="117"/>
      <c r="R42" s="118"/>
    </row>
    <row r="43" spans="1:18" ht="41.45" customHeight="1">
      <c r="A43" s="21"/>
      <c r="B43" s="21"/>
      <c r="C43" s="22">
        <f t="shared" si="3"/>
        <v>4</v>
      </c>
      <c r="D43" s="22">
        <v>5</v>
      </c>
      <c r="E43" s="107" t="s">
        <v>19</v>
      </c>
      <c r="F43" s="21"/>
      <c r="G43" s="21"/>
      <c r="H43" s="21"/>
      <c r="I43" s="107" t="s">
        <v>19</v>
      </c>
      <c r="J43" s="21"/>
      <c r="K43" s="21"/>
      <c r="L43" s="116"/>
      <c r="M43" s="117"/>
      <c r="N43" s="117"/>
      <c r="O43" s="117"/>
      <c r="P43" s="117"/>
      <c r="Q43" s="117"/>
      <c r="R43" s="118"/>
    </row>
    <row r="44" spans="1:18" ht="41.45" customHeight="1">
      <c r="A44" s="21"/>
      <c r="B44" s="21"/>
      <c r="C44" s="22">
        <f t="shared" si="3"/>
        <v>5</v>
      </c>
      <c r="D44" s="22">
        <v>5.38</v>
      </c>
      <c r="E44" s="107" t="s">
        <v>19</v>
      </c>
      <c r="F44" s="21"/>
      <c r="G44" s="21"/>
      <c r="H44" s="21"/>
      <c r="I44" s="107" t="s">
        <v>19</v>
      </c>
      <c r="J44" s="21"/>
      <c r="K44" s="21"/>
      <c r="L44" s="116"/>
      <c r="M44" s="117"/>
      <c r="N44" s="117"/>
      <c r="O44" s="117"/>
      <c r="P44" s="117"/>
      <c r="Q44" s="117"/>
      <c r="R44" s="118"/>
    </row>
    <row r="45" spans="1:18" ht="41.45" customHeight="1">
      <c r="A45" s="21" t="s">
        <v>56</v>
      </c>
      <c r="B45" s="21" t="s">
        <v>18</v>
      </c>
      <c r="C45" s="22">
        <v>0</v>
      </c>
      <c r="D45" s="22">
        <v>1</v>
      </c>
      <c r="E45" s="21"/>
      <c r="F45" s="21" t="s">
        <v>19</v>
      </c>
      <c r="G45" s="21"/>
      <c r="H45" s="21"/>
      <c r="I45" s="107" t="s">
        <v>19</v>
      </c>
      <c r="J45" s="21"/>
      <c r="K45" s="21"/>
      <c r="L45" s="116"/>
      <c r="M45" s="117"/>
      <c r="N45" s="117"/>
      <c r="O45" s="117"/>
      <c r="P45" s="117"/>
      <c r="Q45" s="117"/>
      <c r="R45" s="118"/>
    </row>
    <row r="46" spans="1:18" ht="41.45" customHeight="1">
      <c r="A46" s="21"/>
      <c r="B46" s="21"/>
      <c r="C46" s="22">
        <f>D45</f>
        <v>1</v>
      </c>
      <c r="D46" s="22">
        <v>2</v>
      </c>
      <c r="E46" s="21"/>
      <c r="F46" s="21" t="s">
        <v>19</v>
      </c>
      <c r="G46" s="21"/>
      <c r="H46" s="21"/>
      <c r="I46" s="107" t="s">
        <v>19</v>
      </c>
      <c r="J46" s="21"/>
      <c r="K46" s="21"/>
      <c r="L46" s="116"/>
      <c r="M46" s="117"/>
      <c r="N46" s="117"/>
      <c r="O46" s="117"/>
      <c r="P46" s="117"/>
      <c r="Q46" s="117"/>
      <c r="R46" s="118"/>
    </row>
    <row r="47" spans="1:18" ht="41.45" customHeight="1">
      <c r="A47" s="21"/>
      <c r="B47" s="21"/>
      <c r="C47" s="22">
        <f t="shared" ref="C47:C61" si="4">D46</f>
        <v>2</v>
      </c>
      <c r="D47" s="22">
        <v>3</v>
      </c>
      <c r="E47" s="21"/>
      <c r="F47" s="21" t="s">
        <v>19</v>
      </c>
      <c r="G47" s="21"/>
      <c r="H47" s="21"/>
      <c r="I47" s="107" t="s">
        <v>19</v>
      </c>
      <c r="J47" s="21"/>
      <c r="K47" s="21"/>
      <c r="L47" s="116"/>
      <c r="M47" s="117"/>
      <c r="N47" s="117"/>
      <c r="O47" s="117"/>
      <c r="P47" s="117"/>
      <c r="Q47" s="117"/>
      <c r="R47" s="118"/>
    </row>
    <row r="48" spans="1:18" ht="41.45" customHeight="1">
      <c r="A48" s="21"/>
      <c r="B48" s="21"/>
      <c r="C48" s="22">
        <f t="shared" si="4"/>
        <v>3</v>
      </c>
      <c r="D48" s="22">
        <v>4</v>
      </c>
      <c r="E48" s="21"/>
      <c r="F48" s="21" t="s">
        <v>19</v>
      </c>
      <c r="G48" s="21"/>
      <c r="H48" s="21"/>
      <c r="I48" s="107" t="s">
        <v>19</v>
      </c>
      <c r="J48" s="21"/>
      <c r="K48" s="21"/>
      <c r="L48" s="116"/>
      <c r="M48" s="117"/>
      <c r="N48" s="117"/>
      <c r="O48" s="117"/>
      <c r="P48" s="117"/>
      <c r="Q48" s="117"/>
      <c r="R48" s="118"/>
    </row>
    <row r="49" spans="1:18" ht="41.45" customHeight="1">
      <c r="A49" s="21"/>
      <c r="B49" s="21"/>
      <c r="C49" s="22">
        <f t="shared" si="4"/>
        <v>4</v>
      </c>
      <c r="D49" s="22">
        <v>5</v>
      </c>
      <c r="E49" s="21"/>
      <c r="F49" s="21" t="s">
        <v>19</v>
      </c>
      <c r="G49" s="21"/>
      <c r="H49" s="21"/>
      <c r="I49" s="107" t="s">
        <v>19</v>
      </c>
      <c r="J49" s="21"/>
      <c r="K49" s="21"/>
      <c r="L49" s="116"/>
      <c r="M49" s="117"/>
      <c r="N49" s="117"/>
      <c r="O49" s="117"/>
      <c r="P49" s="117"/>
      <c r="Q49" s="117"/>
      <c r="R49" s="118"/>
    </row>
    <row r="50" spans="1:18" ht="41.45" customHeight="1">
      <c r="A50" s="21"/>
      <c r="B50" s="21"/>
      <c r="C50" s="22">
        <f t="shared" si="4"/>
        <v>5</v>
      </c>
      <c r="D50" s="22">
        <v>6</v>
      </c>
      <c r="E50" s="21"/>
      <c r="F50" s="21" t="s">
        <v>19</v>
      </c>
      <c r="G50" s="21"/>
      <c r="H50" s="21"/>
      <c r="I50" s="107" t="s">
        <v>19</v>
      </c>
      <c r="J50" s="21"/>
      <c r="K50" s="21"/>
      <c r="L50" s="116"/>
      <c r="M50" s="117"/>
      <c r="N50" s="117"/>
      <c r="O50" s="117"/>
      <c r="P50" s="117"/>
      <c r="Q50" s="117"/>
      <c r="R50" s="118"/>
    </row>
    <row r="51" spans="1:18" ht="41.45" customHeight="1">
      <c r="A51" s="21"/>
      <c r="B51" s="21"/>
      <c r="C51" s="22">
        <f t="shared" si="4"/>
        <v>6</v>
      </c>
      <c r="D51" s="22">
        <v>7</v>
      </c>
      <c r="E51" s="21"/>
      <c r="F51" s="21" t="s">
        <v>19</v>
      </c>
      <c r="G51" s="21"/>
      <c r="H51" s="21"/>
      <c r="I51" s="107" t="s">
        <v>19</v>
      </c>
      <c r="J51" s="21"/>
      <c r="K51" s="21"/>
      <c r="L51" s="116"/>
      <c r="M51" s="117"/>
      <c r="N51" s="117"/>
      <c r="O51" s="117"/>
      <c r="P51" s="117"/>
      <c r="Q51" s="117"/>
      <c r="R51" s="118"/>
    </row>
    <row r="52" spans="1:18" ht="41.45" customHeight="1">
      <c r="A52" s="21"/>
      <c r="B52" s="21"/>
      <c r="C52" s="22">
        <f t="shared" si="4"/>
        <v>7</v>
      </c>
      <c r="D52" s="22">
        <v>8</v>
      </c>
      <c r="E52" s="21"/>
      <c r="F52" s="21" t="s">
        <v>19</v>
      </c>
      <c r="G52" s="21"/>
      <c r="H52" s="21"/>
      <c r="I52" s="107" t="s">
        <v>19</v>
      </c>
      <c r="J52" s="21"/>
      <c r="K52" s="21"/>
      <c r="L52" s="116"/>
      <c r="M52" s="117"/>
      <c r="N52" s="117"/>
      <c r="O52" s="117"/>
      <c r="P52" s="117"/>
      <c r="Q52" s="117"/>
      <c r="R52" s="118"/>
    </row>
    <row r="53" spans="1:18" ht="41.45" customHeight="1">
      <c r="A53" s="21"/>
      <c r="B53" s="21"/>
      <c r="C53" s="22">
        <f t="shared" si="4"/>
        <v>8</v>
      </c>
      <c r="D53" s="22">
        <v>9</v>
      </c>
      <c r="E53" s="21"/>
      <c r="F53" s="107" t="s">
        <v>19</v>
      </c>
      <c r="G53" s="21"/>
      <c r="H53" s="21"/>
      <c r="I53" s="107" t="s">
        <v>19</v>
      </c>
      <c r="J53" s="21"/>
      <c r="K53" s="21"/>
      <c r="L53" s="116"/>
      <c r="M53" s="117"/>
      <c r="N53" s="117"/>
      <c r="O53" s="117"/>
      <c r="P53" s="117"/>
      <c r="Q53" s="117"/>
      <c r="R53" s="118"/>
    </row>
    <row r="54" spans="1:18" ht="41.45" customHeight="1">
      <c r="A54" s="21"/>
      <c r="B54" s="21"/>
      <c r="C54" s="22">
        <f t="shared" si="4"/>
        <v>9</v>
      </c>
      <c r="D54" s="22">
        <v>10</v>
      </c>
      <c r="E54" s="21"/>
      <c r="F54" s="21" t="s">
        <v>19</v>
      </c>
      <c r="G54" s="21"/>
      <c r="H54" s="21"/>
      <c r="I54" s="107" t="s">
        <v>19</v>
      </c>
      <c r="J54" s="21"/>
      <c r="K54" s="21"/>
      <c r="L54" s="116"/>
      <c r="M54" s="117"/>
      <c r="N54" s="117"/>
      <c r="O54" s="117"/>
      <c r="P54" s="117"/>
      <c r="Q54" s="117"/>
      <c r="R54" s="118"/>
    </row>
    <row r="55" spans="1:18" ht="41.45" customHeight="1">
      <c r="A55" s="21"/>
      <c r="B55" s="21"/>
      <c r="C55" s="22">
        <f t="shared" si="4"/>
        <v>10</v>
      </c>
      <c r="D55" s="22">
        <v>11</v>
      </c>
      <c r="E55" s="21"/>
      <c r="F55" s="21" t="s">
        <v>19</v>
      </c>
      <c r="G55" s="21"/>
      <c r="H55" s="21"/>
      <c r="I55" s="107" t="s">
        <v>19</v>
      </c>
      <c r="J55" s="21"/>
      <c r="K55" s="21"/>
      <c r="L55" s="116"/>
      <c r="M55" s="117"/>
      <c r="N55" s="117"/>
      <c r="O55" s="117"/>
      <c r="P55" s="117"/>
      <c r="Q55" s="117"/>
      <c r="R55" s="118"/>
    </row>
    <row r="56" spans="1:18" ht="41.45" customHeight="1">
      <c r="A56" s="21"/>
      <c r="B56" s="21"/>
      <c r="C56" s="22">
        <f t="shared" si="4"/>
        <v>11</v>
      </c>
      <c r="D56" s="22">
        <v>12</v>
      </c>
      <c r="E56" s="21"/>
      <c r="F56" s="107" t="s">
        <v>19</v>
      </c>
      <c r="G56" s="21"/>
      <c r="H56" s="21"/>
      <c r="I56" s="107" t="s">
        <v>19</v>
      </c>
      <c r="J56" s="21"/>
      <c r="K56" s="21"/>
      <c r="L56" s="116"/>
      <c r="M56" s="117"/>
      <c r="N56" s="117"/>
      <c r="O56" s="117"/>
      <c r="P56" s="117"/>
      <c r="Q56" s="117"/>
      <c r="R56" s="118"/>
    </row>
    <row r="57" spans="1:18" ht="41.45" customHeight="1">
      <c r="A57" s="21"/>
      <c r="B57" s="21"/>
      <c r="C57" s="22">
        <f t="shared" si="4"/>
        <v>12</v>
      </c>
      <c r="D57" s="22">
        <v>13</v>
      </c>
      <c r="E57" s="21"/>
      <c r="F57" s="21" t="s">
        <v>19</v>
      </c>
      <c r="G57" s="21"/>
      <c r="H57" s="21"/>
      <c r="I57" s="107" t="s">
        <v>19</v>
      </c>
      <c r="J57" s="21"/>
      <c r="K57" s="21"/>
      <c r="L57" s="116"/>
      <c r="M57" s="117"/>
      <c r="N57" s="117"/>
      <c r="O57" s="117"/>
      <c r="P57" s="117"/>
      <c r="Q57" s="117"/>
      <c r="R57" s="118"/>
    </row>
    <row r="58" spans="1:18" ht="41.45" customHeight="1">
      <c r="A58" s="21"/>
      <c r="B58" s="21"/>
      <c r="C58" s="22">
        <f t="shared" si="4"/>
        <v>13</v>
      </c>
      <c r="D58" s="22">
        <v>14</v>
      </c>
      <c r="E58" s="21"/>
      <c r="F58" s="107" t="s">
        <v>19</v>
      </c>
      <c r="G58" s="21"/>
      <c r="H58" s="21"/>
      <c r="I58" s="107" t="s">
        <v>19</v>
      </c>
      <c r="J58" s="21"/>
      <c r="K58" s="21"/>
      <c r="L58" s="116"/>
      <c r="M58" s="117"/>
      <c r="N58" s="117"/>
      <c r="O58" s="117"/>
      <c r="P58" s="117"/>
      <c r="Q58" s="117"/>
      <c r="R58" s="118"/>
    </row>
    <row r="59" spans="1:18" ht="41.45" customHeight="1">
      <c r="A59" s="21"/>
      <c r="B59" s="21"/>
      <c r="C59" s="22">
        <f t="shared" si="4"/>
        <v>14</v>
      </c>
      <c r="D59" s="22">
        <v>15</v>
      </c>
      <c r="E59" s="21"/>
      <c r="F59" s="21" t="s">
        <v>19</v>
      </c>
      <c r="G59" s="21"/>
      <c r="H59" s="21"/>
      <c r="I59" s="107" t="s">
        <v>19</v>
      </c>
      <c r="J59" s="21"/>
      <c r="K59" s="21"/>
      <c r="L59" s="116"/>
      <c r="M59" s="117"/>
      <c r="N59" s="117"/>
      <c r="O59" s="117"/>
      <c r="P59" s="117"/>
      <c r="Q59" s="117"/>
      <c r="R59" s="118"/>
    </row>
    <row r="60" spans="1:18" ht="41.45" customHeight="1">
      <c r="A60" s="21"/>
      <c r="B60" s="21"/>
      <c r="C60" s="22">
        <f t="shared" si="4"/>
        <v>15</v>
      </c>
      <c r="D60" s="22">
        <v>16</v>
      </c>
      <c r="E60" s="21"/>
      <c r="F60" s="21" t="s">
        <v>19</v>
      </c>
      <c r="G60" s="21"/>
      <c r="H60" s="21"/>
      <c r="I60" s="107" t="s">
        <v>19</v>
      </c>
      <c r="J60" s="21"/>
      <c r="K60" s="21"/>
      <c r="L60" s="116"/>
      <c r="M60" s="117"/>
      <c r="N60" s="117"/>
      <c r="O60" s="117"/>
      <c r="P60" s="117"/>
      <c r="Q60" s="117"/>
      <c r="R60" s="118"/>
    </row>
    <row r="61" spans="1:18" ht="41.45" customHeight="1">
      <c r="A61" s="21"/>
      <c r="B61" s="21"/>
      <c r="C61" s="22">
        <f t="shared" si="4"/>
        <v>16</v>
      </c>
      <c r="D61" s="22">
        <v>16.21</v>
      </c>
      <c r="E61" s="21"/>
      <c r="F61" s="21" t="s">
        <v>19</v>
      </c>
      <c r="G61" s="21"/>
      <c r="H61" s="21"/>
      <c r="I61" s="107" t="s">
        <v>19</v>
      </c>
      <c r="J61" s="21"/>
      <c r="K61" s="21"/>
      <c r="L61" s="116"/>
      <c r="M61" s="117"/>
      <c r="N61" s="117"/>
      <c r="O61" s="117"/>
      <c r="P61" s="117"/>
      <c r="Q61" s="117"/>
      <c r="R61" s="118"/>
    </row>
    <row r="62" spans="1:18" ht="41.45" customHeight="1">
      <c r="A62" s="21" t="s">
        <v>57</v>
      </c>
      <c r="B62" s="21" t="s">
        <v>18</v>
      </c>
      <c r="C62" s="22">
        <v>0</v>
      </c>
      <c r="D62" s="22">
        <v>1</v>
      </c>
      <c r="E62" s="107" t="s">
        <v>19</v>
      </c>
      <c r="F62" s="21"/>
      <c r="G62" s="21"/>
      <c r="H62" s="21"/>
      <c r="I62" s="107" t="s">
        <v>19</v>
      </c>
      <c r="J62" s="21"/>
      <c r="K62" s="21"/>
      <c r="L62" s="116"/>
      <c r="M62" s="117"/>
      <c r="N62" s="117"/>
      <c r="O62" s="117"/>
      <c r="P62" s="117"/>
      <c r="Q62" s="117"/>
      <c r="R62" s="118"/>
    </row>
    <row r="63" spans="1:18" ht="41.45" customHeight="1">
      <c r="A63" s="21"/>
      <c r="B63" s="21"/>
      <c r="C63" s="22">
        <f>D62</f>
        <v>1</v>
      </c>
      <c r="D63" s="22">
        <v>1.35</v>
      </c>
      <c r="E63" s="107" t="s">
        <v>19</v>
      </c>
      <c r="F63" s="107"/>
      <c r="G63" s="21"/>
      <c r="H63" s="21"/>
      <c r="I63" s="107" t="s">
        <v>19</v>
      </c>
      <c r="J63" s="21"/>
      <c r="K63" s="21"/>
      <c r="L63" s="116"/>
      <c r="M63" s="117"/>
      <c r="N63" s="117"/>
      <c r="O63" s="117"/>
      <c r="P63" s="117"/>
      <c r="Q63" s="117"/>
      <c r="R63" s="118"/>
    </row>
    <row r="64" spans="1:18" ht="41.45" customHeight="1">
      <c r="A64" s="21" t="s">
        <v>58</v>
      </c>
      <c r="B64" s="21" t="s">
        <v>18</v>
      </c>
      <c r="C64" s="22">
        <v>0</v>
      </c>
      <c r="D64" s="22">
        <v>1</v>
      </c>
      <c r="E64" s="107" t="s">
        <v>19</v>
      </c>
      <c r="F64" s="107"/>
      <c r="G64" s="21"/>
      <c r="H64" s="21"/>
      <c r="I64" s="107" t="s">
        <v>19</v>
      </c>
      <c r="J64" s="21"/>
      <c r="K64" s="21"/>
      <c r="L64" s="116"/>
      <c r="M64" s="117"/>
      <c r="N64" s="117"/>
      <c r="O64" s="117"/>
      <c r="P64" s="117"/>
      <c r="Q64" s="117"/>
      <c r="R64" s="118"/>
    </row>
    <row r="65" spans="1:18" ht="41.45" customHeight="1">
      <c r="A65" s="21"/>
      <c r="B65" s="21"/>
      <c r="C65" s="22">
        <f>D64</f>
        <v>1</v>
      </c>
      <c r="D65" s="22">
        <v>2</v>
      </c>
      <c r="E65" s="107" t="s">
        <v>19</v>
      </c>
      <c r="F65" s="21"/>
      <c r="G65" s="21"/>
      <c r="H65" s="21"/>
      <c r="I65" s="107" t="s">
        <v>19</v>
      </c>
      <c r="J65" s="21"/>
      <c r="K65" s="21"/>
      <c r="L65" s="116"/>
      <c r="M65" s="117"/>
      <c r="N65" s="117"/>
      <c r="O65" s="117"/>
      <c r="P65" s="117"/>
      <c r="Q65" s="117"/>
      <c r="R65" s="118"/>
    </row>
    <row r="66" spans="1:18" ht="41.45" customHeight="1">
      <c r="A66" s="21"/>
      <c r="B66" s="21"/>
      <c r="C66" s="22">
        <f t="shared" ref="C66:C71" si="5">D65</f>
        <v>2</v>
      </c>
      <c r="D66" s="22">
        <v>3</v>
      </c>
      <c r="E66" s="107" t="s">
        <v>19</v>
      </c>
      <c r="F66" s="21"/>
      <c r="G66" s="21"/>
      <c r="H66" s="21"/>
      <c r="I66" s="107" t="s">
        <v>19</v>
      </c>
      <c r="J66" s="21"/>
      <c r="K66" s="21"/>
      <c r="L66" s="116"/>
      <c r="M66" s="117"/>
      <c r="N66" s="117"/>
      <c r="O66" s="117"/>
      <c r="P66" s="117"/>
      <c r="Q66" s="117"/>
      <c r="R66" s="118"/>
    </row>
    <row r="67" spans="1:18" ht="41.45" customHeight="1">
      <c r="A67" s="21"/>
      <c r="B67" s="21"/>
      <c r="C67" s="22">
        <f t="shared" si="5"/>
        <v>3</v>
      </c>
      <c r="D67" s="22">
        <v>4</v>
      </c>
      <c r="E67" s="107" t="s">
        <v>19</v>
      </c>
      <c r="F67" s="21"/>
      <c r="G67" s="21"/>
      <c r="H67" s="21"/>
      <c r="I67" s="107" t="s">
        <v>19</v>
      </c>
      <c r="J67" s="21"/>
      <c r="K67" s="21"/>
      <c r="L67" s="116"/>
      <c r="M67" s="117"/>
      <c r="N67" s="117"/>
      <c r="O67" s="117"/>
      <c r="P67" s="117"/>
      <c r="Q67" s="117"/>
      <c r="R67" s="118"/>
    </row>
    <row r="68" spans="1:18" ht="41.45" customHeight="1">
      <c r="A68" s="21"/>
      <c r="B68" s="21"/>
      <c r="C68" s="22">
        <f t="shared" si="5"/>
        <v>4</v>
      </c>
      <c r="D68" s="22">
        <v>5</v>
      </c>
      <c r="E68" s="107" t="s">
        <v>19</v>
      </c>
      <c r="F68" s="21"/>
      <c r="G68" s="21"/>
      <c r="H68" s="21"/>
      <c r="I68" s="107" t="s">
        <v>19</v>
      </c>
      <c r="J68" s="21"/>
      <c r="K68" s="21"/>
      <c r="L68" s="116"/>
      <c r="M68" s="117"/>
      <c r="N68" s="117"/>
      <c r="O68" s="117"/>
      <c r="P68" s="117"/>
      <c r="Q68" s="117"/>
      <c r="R68" s="118"/>
    </row>
    <row r="69" spans="1:18" ht="41.45" customHeight="1">
      <c r="A69" s="21"/>
      <c r="B69" s="21"/>
      <c r="C69" s="22">
        <f t="shared" si="5"/>
        <v>5</v>
      </c>
      <c r="D69" s="22">
        <v>6</v>
      </c>
      <c r="E69" s="107" t="s">
        <v>19</v>
      </c>
      <c r="F69" s="21"/>
      <c r="G69" s="21"/>
      <c r="H69" s="21"/>
      <c r="I69" s="107" t="s">
        <v>19</v>
      </c>
      <c r="J69" s="21"/>
      <c r="K69" s="21"/>
      <c r="L69" s="116"/>
      <c r="M69" s="117"/>
      <c r="N69" s="117"/>
      <c r="O69" s="117"/>
      <c r="P69" s="117"/>
      <c r="Q69" s="117"/>
      <c r="R69" s="118"/>
    </row>
    <row r="70" spans="1:18" ht="41.45" customHeight="1">
      <c r="A70" s="21"/>
      <c r="B70" s="21"/>
      <c r="C70" s="22">
        <f t="shared" si="5"/>
        <v>6</v>
      </c>
      <c r="D70" s="22">
        <v>7</v>
      </c>
      <c r="E70" s="107" t="s">
        <v>19</v>
      </c>
      <c r="F70" s="21"/>
      <c r="G70" s="21"/>
      <c r="H70" s="21"/>
      <c r="I70" s="107" t="s">
        <v>19</v>
      </c>
      <c r="J70" s="21"/>
      <c r="K70" s="21"/>
      <c r="L70" s="116"/>
      <c r="M70" s="117"/>
      <c r="N70" s="117"/>
      <c r="O70" s="117"/>
      <c r="P70" s="117"/>
      <c r="Q70" s="117"/>
      <c r="R70" s="118"/>
    </row>
    <row r="71" spans="1:18" ht="41.45" customHeight="1">
      <c r="A71" s="21"/>
      <c r="B71" s="21"/>
      <c r="C71" s="22">
        <f t="shared" si="5"/>
        <v>7</v>
      </c>
      <c r="D71" s="22">
        <v>7.29</v>
      </c>
      <c r="E71" s="107" t="s">
        <v>19</v>
      </c>
      <c r="F71" s="21"/>
      <c r="G71" s="21"/>
      <c r="H71" s="21"/>
      <c r="I71" s="107" t="s">
        <v>19</v>
      </c>
      <c r="J71" s="21"/>
      <c r="K71" s="21"/>
      <c r="L71" s="116"/>
      <c r="M71" s="117"/>
      <c r="N71" s="117"/>
      <c r="O71" s="117"/>
      <c r="P71" s="117"/>
      <c r="Q71" s="117"/>
      <c r="R71" s="118"/>
    </row>
    <row r="72" spans="1:18" ht="41.45" customHeight="1">
      <c r="A72" s="21" t="s">
        <v>59</v>
      </c>
      <c r="B72" s="21" t="s">
        <v>18</v>
      </c>
      <c r="C72" s="22">
        <v>0</v>
      </c>
      <c r="D72" s="22">
        <v>1</v>
      </c>
      <c r="E72" s="107" t="s">
        <v>19</v>
      </c>
      <c r="F72" s="21"/>
      <c r="G72" s="21"/>
      <c r="H72" s="21"/>
      <c r="I72" s="107" t="s">
        <v>19</v>
      </c>
      <c r="J72" s="21"/>
      <c r="K72" s="21"/>
      <c r="L72" s="116"/>
      <c r="M72" s="117"/>
      <c r="N72" s="117"/>
      <c r="O72" s="117"/>
      <c r="P72" s="117"/>
      <c r="Q72" s="117"/>
      <c r="R72" s="118"/>
    </row>
    <row r="73" spans="1:18" ht="41.45" customHeight="1">
      <c r="A73" s="21"/>
      <c r="B73" s="21"/>
      <c r="C73" s="22">
        <f>D72</f>
        <v>1</v>
      </c>
      <c r="D73" s="22">
        <v>2</v>
      </c>
      <c r="E73" s="107" t="s">
        <v>19</v>
      </c>
      <c r="F73" s="21"/>
      <c r="G73" s="21"/>
      <c r="H73" s="21"/>
      <c r="I73" s="107" t="s">
        <v>19</v>
      </c>
      <c r="J73" s="21"/>
      <c r="K73" s="21"/>
      <c r="L73" s="116"/>
      <c r="M73" s="117"/>
      <c r="N73" s="117"/>
      <c r="O73" s="117"/>
      <c r="P73" s="117"/>
      <c r="Q73" s="117"/>
      <c r="R73" s="118"/>
    </row>
    <row r="74" spans="1:18" ht="41.45" customHeight="1">
      <c r="A74" s="21"/>
      <c r="B74" s="21"/>
      <c r="C74" s="22">
        <f t="shared" ref="C74:C75" si="6">D73</f>
        <v>2</v>
      </c>
      <c r="D74" s="22">
        <v>3</v>
      </c>
      <c r="E74" s="107" t="s">
        <v>19</v>
      </c>
      <c r="F74" s="21"/>
      <c r="G74" s="21"/>
      <c r="H74" s="21"/>
      <c r="I74" s="107" t="s">
        <v>19</v>
      </c>
      <c r="J74" s="21"/>
      <c r="K74" s="21"/>
      <c r="L74" s="116"/>
      <c r="M74" s="117"/>
      <c r="N74" s="117"/>
      <c r="O74" s="117"/>
      <c r="P74" s="117"/>
      <c r="Q74" s="117"/>
      <c r="R74" s="118"/>
    </row>
    <row r="75" spans="1:18" ht="41.45" customHeight="1">
      <c r="A75" s="21"/>
      <c r="B75" s="21"/>
      <c r="C75" s="22">
        <f t="shared" si="6"/>
        <v>3</v>
      </c>
      <c r="D75" s="22">
        <v>3.86</v>
      </c>
      <c r="E75" s="107" t="s">
        <v>19</v>
      </c>
      <c r="F75" s="21"/>
      <c r="G75" s="21"/>
      <c r="H75" s="21"/>
      <c r="I75" s="107" t="s">
        <v>19</v>
      </c>
      <c r="J75" s="21"/>
      <c r="K75" s="21"/>
      <c r="L75" s="116"/>
      <c r="M75" s="117"/>
      <c r="N75" s="117"/>
      <c r="O75" s="117"/>
      <c r="P75" s="117"/>
      <c r="Q75" s="117"/>
      <c r="R75" s="118"/>
    </row>
    <row r="76" spans="1:18" ht="41.45" customHeight="1">
      <c r="A76" s="21" t="s">
        <v>60</v>
      </c>
      <c r="B76" s="21" t="s">
        <v>18</v>
      </c>
      <c r="C76" s="22">
        <v>0</v>
      </c>
      <c r="D76" s="22">
        <v>1</v>
      </c>
      <c r="E76" s="107" t="s">
        <v>19</v>
      </c>
      <c r="F76" s="21"/>
      <c r="G76" s="21"/>
      <c r="H76" s="21"/>
      <c r="I76" s="107" t="s">
        <v>19</v>
      </c>
      <c r="J76" s="21"/>
      <c r="K76" s="21"/>
      <c r="L76" s="116"/>
      <c r="M76" s="117"/>
      <c r="N76" s="117"/>
      <c r="O76" s="117"/>
      <c r="P76" s="117"/>
      <c r="Q76" s="117"/>
      <c r="R76" s="118"/>
    </row>
    <row r="77" spans="1:18" ht="41.45" customHeight="1">
      <c r="A77" s="21"/>
      <c r="B77" s="21"/>
      <c r="C77" s="22">
        <f>D76</f>
        <v>1</v>
      </c>
      <c r="D77" s="22">
        <v>2</v>
      </c>
      <c r="E77" s="107" t="s">
        <v>19</v>
      </c>
      <c r="F77" s="21"/>
      <c r="G77" s="21"/>
      <c r="H77" s="21"/>
      <c r="I77" s="107" t="s">
        <v>19</v>
      </c>
      <c r="J77" s="21"/>
      <c r="K77" s="21"/>
      <c r="L77" s="116"/>
      <c r="M77" s="117"/>
      <c r="N77" s="117"/>
      <c r="O77" s="117"/>
      <c r="P77" s="117"/>
      <c r="Q77" s="117"/>
      <c r="R77" s="118"/>
    </row>
    <row r="78" spans="1:18" ht="41.45" customHeight="1">
      <c r="A78" s="21"/>
      <c r="B78" s="21"/>
      <c r="C78" s="22">
        <f t="shared" ref="C78:C85" si="7">D77</f>
        <v>2</v>
      </c>
      <c r="D78" s="22">
        <v>3</v>
      </c>
      <c r="E78" s="107" t="s">
        <v>19</v>
      </c>
      <c r="F78" s="21"/>
      <c r="G78" s="21"/>
      <c r="H78" s="21"/>
      <c r="I78" s="107" t="s">
        <v>19</v>
      </c>
      <c r="J78" s="21"/>
      <c r="K78" s="21"/>
      <c r="L78" s="116"/>
      <c r="M78" s="117"/>
      <c r="N78" s="117"/>
      <c r="O78" s="117"/>
      <c r="P78" s="117"/>
      <c r="Q78" s="117"/>
      <c r="R78" s="118"/>
    </row>
    <row r="79" spans="1:18" ht="41.45" customHeight="1">
      <c r="A79" s="21"/>
      <c r="B79" s="21"/>
      <c r="C79" s="22">
        <f t="shared" si="7"/>
        <v>3</v>
      </c>
      <c r="D79" s="22">
        <v>4</v>
      </c>
      <c r="E79" s="107" t="s">
        <v>19</v>
      </c>
      <c r="F79" s="21"/>
      <c r="G79" s="21"/>
      <c r="H79" s="21"/>
      <c r="I79" s="107" t="s">
        <v>19</v>
      </c>
      <c r="J79" s="21"/>
      <c r="K79" s="21"/>
      <c r="L79" s="116"/>
      <c r="M79" s="117"/>
      <c r="N79" s="117"/>
      <c r="O79" s="117"/>
      <c r="P79" s="117"/>
      <c r="Q79" s="117"/>
      <c r="R79" s="118"/>
    </row>
    <row r="80" spans="1:18" ht="41.45" customHeight="1">
      <c r="A80" s="21"/>
      <c r="B80" s="21"/>
      <c r="C80" s="22">
        <f t="shared" si="7"/>
        <v>4</v>
      </c>
      <c r="D80" s="22">
        <v>5</v>
      </c>
      <c r="E80" s="107" t="s">
        <v>19</v>
      </c>
      <c r="F80" s="21"/>
      <c r="G80" s="21"/>
      <c r="H80" s="21"/>
      <c r="I80" s="107" t="s">
        <v>19</v>
      </c>
      <c r="J80" s="21"/>
      <c r="K80" s="21"/>
      <c r="L80" s="116"/>
      <c r="M80" s="117"/>
      <c r="N80" s="117"/>
      <c r="O80" s="117"/>
      <c r="P80" s="117"/>
      <c r="Q80" s="117"/>
      <c r="R80" s="118"/>
    </row>
    <row r="81" spans="1:18" ht="41.45" customHeight="1">
      <c r="A81" s="21"/>
      <c r="B81" s="21"/>
      <c r="C81" s="22">
        <f t="shared" si="7"/>
        <v>5</v>
      </c>
      <c r="D81" s="22">
        <v>6</v>
      </c>
      <c r="E81" s="107" t="s">
        <v>19</v>
      </c>
      <c r="F81" s="21"/>
      <c r="G81" s="21"/>
      <c r="H81" s="21"/>
      <c r="I81" s="107" t="s">
        <v>19</v>
      </c>
      <c r="J81" s="21"/>
      <c r="K81" s="21"/>
      <c r="L81" s="116"/>
      <c r="M81" s="117"/>
      <c r="N81" s="117"/>
      <c r="O81" s="117"/>
      <c r="P81" s="117"/>
      <c r="Q81" s="117"/>
      <c r="R81" s="118"/>
    </row>
    <row r="82" spans="1:18" ht="41.45" customHeight="1">
      <c r="A82" s="21"/>
      <c r="B82" s="21"/>
      <c r="C82" s="22">
        <f t="shared" si="7"/>
        <v>6</v>
      </c>
      <c r="D82" s="22">
        <v>7</v>
      </c>
      <c r="E82" s="107" t="s">
        <v>19</v>
      </c>
      <c r="F82" s="21"/>
      <c r="G82" s="21"/>
      <c r="H82" s="21"/>
      <c r="I82" s="107" t="s">
        <v>19</v>
      </c>
      <c r="J82" s="21"/>
      <c r="K82" s="21"/>
      <c r="L82" s="116"/>
      <c r="M82" s="117"/>
      <c r="N82" s="117"/>
      <c r="O82" s="117"/>
      <c r="P82" s="117"/>
      <c r="Q82" s="117"/>
      <c r="R82" s="118"/>
    </row>
    <row r="83" spans="1:18" ht="41.45" customHeight="1">
      <c r="A83" s="21"/>
      <c r="B83" s="21"/>
      <c r="C83" s="22">
        <f t="shared" si="7"/>
        <v>7</v>
      </c>
      <c r="D83" s="22">
        <v>8</v>
      </c>
      <c r="E83" s="107" t="s">
        <v>19</v>
      </c>
      <c r="F83" s="21"/>
      <c r="G83" s="21"/>
      <c r="H83" s="21"/>
      <c r="I83" s="107" t="s">
        <v>19</v>
      </c>
      <c r="J83" s="21"/>
      <c r="K83" s="21"/>
      <c r="L83" s="116"/>
      <c r="M83" s="117"/>
      <c r="N83" s="117"/>
      <c r="O83" s="117"/>
      <c r="P83" s="117"/>
      <c r="Q83" s="117"/>
      <c r="R83" s="118"/>
    </row>
    <row r="84" spans="1:18" ht="41.45" customHeight="1">
      <c r="A84" s="21"/>
      <c r="B84" s="21"/>
      <c r="C84" s="22">
        <f t="shared" si="7"/>
        <v>8</v>
      </c>
      <c r="D84" s="22">
        <v>9</v>
      </c>
      <c r="E84" s="107" t="s">
        <v>19</v>
      </c>
      <c r="F84" s="21"/>
      <c r="G84" s="21"/>
      <c r="H84" s="21"/>
      <c r="I84" s="107" t="s">
        <v>19</v>
      </c>
      <c r="J84" s="21"/>
      <c r="K84" s="21"/>
      <c r="L84" s="116"/>
      <c r="M84" s="117"/>
      <c r="N84" s="117"/>
      <c r="O84" s="117"/>
      <c r="P84" s="117"/>
      <c r="Q84" s="117"/>
      <c r="R84" s="118"/>
    </row>
    <row r="85" spans="1:18" ht="41.45" customHeight="1">
      <c r="A85" s="21"/>
      <c r="B85" s="21"/>
      <c r="C85" s="22">
        <f t="shared" si="7"/>
        <v>9</v>
      </c>
      <c r="D85" s="22">
        <v>9.36</v>
      </c>
      <c r="E85" s="107" t="s">
        <v>19</v>
      </c>
      <c r="F85" s="21"/>
      <c r="G85" s="21"/>
      <c r="H85" s="21"/>
      <c r="I85" s="107" t="s">
        <v>19</v>
      </c>
      <c r="J85" s="21"/>
      <c r="K85" s="21"/>
      <c r="L85" s="116"/>
      <c r="M85" s="117"/>
      <c r="N85" s="117"/>
      <c r="O85" s="117"/>
      <c r="P85" s="117"/>
      <c r="Q85" s="117"/>
      <c r="R85" s="118"/>
    </row>
    <row r="86" spans="1:18" ht="41.45" customHeight="1">
      <c r="A86" s="21"/>
      <c r="B86" s="21"/>
      <c r="C86" s="22"/>
      <c r="D86" s="22"/>
      <c r="E86" s="21"/>
      <c r="F86" s="21"/>
      <c r="G86" s="21"/>
      <c r="H86" s="21"/>
      <c r="I86" s="21"/>
      <c r="J86" s="21"/>
      <c r="K86" s="21"/>
      <c r="L86" s="116"/>
      <c r="M86" s="117"/>
      <c r="N86" s="117"/>
      <c r="O86" s="117"/>
      <c r="P86" s="117"/>
      <c r="Q86" s="117"/>
      <c r="R86" s="118"/>
    </row>
    <row r="87" spans="1:18" ht="41.45" customHeight="1">
      <c r="A87" s="23"/>
      <c r="B87" s="24"/>
      <c r="C87" s="25"/>
      <c r="D87" s="25"/>
      <c r="E87" s="25" t="str">
        <f>IF(E7="X",(D7-C7),"0")</f>
        <v>0</v>
      </c>
      <c r="F87" s="25">
        <f t="shared" ref="F87" si="8">IF(F7="X",(D7-C7),"0")</f>
        <v>1</v>
      </c>
      <c r="G87" s="25" t="str">
        <f t="shared" ref="G87" si="9">IF(G7="X",(D7-C7),"0")</f>
        <v>0</v>
      </c>
      <c r="H87" s="25" t="str">
        <f t="shared" ref="H87:H115" si="10">IF(H7="X",(D7-C7),"0")</f>
        <v>0</v>
      </c>
      <c r="I87" s="25" t="str">
        <f t="shared" ref="I87" si="11">IF(I7="X",(D7-C7),"0")</f>
        <v>0</v>
      </c>
      <c r="J87" s="25" t="str">
        <f t="shared" ref="J87" si="12">IF(J7="X",(D7-C7),"0")</f>
        <v>0</v>
      </c>
      <c r="K87" s="25">
        <f t="shared" ref="K87" si="13">IF(K7="X",(D7-C7),"0")</f>
        <v>1</v>
      </c>
      <c r="L87" s="116"/>
      <c r="M87" s="117"/>
      <c r="N87" s="117"/>
      <c r="O87" s="117"/>
      <c r="P87" s="117"/>
      <c r="Q87" s="117"/>
      <c r="R87" s="118"/>
    </row>
    <row r="88" spans="1:18" ht="41.45" customHeight="1">
      <c r="A88" s="19"/>
      <c r="B88" s="3"/>
      <c r="C88" s="22"/>
      <c r="D88" s="22"/>
      <c r="E88" s="25" t="str">
        <f t="shared" ref="E88:E115" si="14">IF(E8="X",(D8-C8),"0")</f>
        <v>0</v>
      </c>
      <c r="F88" s="25">
        <f t="shared" ref="F88:F115" si="15">IF(F8="X",(D8-C8),"0")</f>
        <v>1</v>
      </c>
      <c r="G88" s="25" t="str">
        <f t="shared" ref="G88:G115" si="16">IF(G8="X",(D8-C8),"0")</f>
        <v>0</v>
      </c>
      <c r="H88" s="25" t="str">
        <f t="shared" si="10"/>
        <v>0</v>
      </c>
      <c r="I88" s="25" t="str">
        <f t="shared" ref="I88:I115" si="17">IF(I8="X",(D8-C8),"0")</f>
        <v>0</v>
      </c>
      <c r="J88" s="25" t="str">
        <f t="shared" ref="J88:J115" si="18">IF(J8="X",(D8-C8),"0")</f>
        <v>0</v>
      </c>
      <c r="K88" s="25">
        <f t="shared" ref="K88:K115" si="19">IF(K8="X",(D8-C8),"0")</f>
        <v>1</v>
      </c>
      <c r="L88" s="119"/>
      <c r="M88" s="119"/>
      <c r="N88" s="119"/>
      <c r="O88" s="119"/>
      <c r="P88" s="119"/>
      <c r="Q88" s="119"/>
      <c r="R88" s="120"/>
    </row>
    <row r="89" spans="1:18" ht="41.45" customHeight="1">
      <c r="A89" s="19"/>
      <c r="B89" s="3"/>
      <c r="C89" s="22"/>
      <c r="D89" s="22"/>
      <c r="E89" s="25" t="str">
        <f t="shared" si="14"/>
        <v>0</v>
      </c>
      <c r="F89" s="25">
        <f t="shared" si="15"/>
        <v>1</v>
      </c>
      <c r="G89" s="25" t="str">
        <f t="shared" si="16"/>
        <v>0</v>
      </c>
      <c r="H89" s="25" t="str">
        <f t="shared" si="10"/>
        <v>0</v>
      </c>
      <c r="I89" s="25" t="str">
        <f t="shared" si="17"/>
        <v>0</v>
      </c>
      <c r="J89" s="25" t="str">
        <f t="shared" si="18"/>
        <v>0</v>
      </c>
      <c r="K89" s="25">
        <f t="shared" si="19"/>
        <v>1</v>
      </c>
      <c r="L89" s="119"/>
      <c r="M89" s="119"/>
      <c r="N89" s="119"/>
      <c r="O89" s="119"/>
      <c r="P89" s="119"/>
      <c r="Q89" s="119"/>
      <c r="R89" s="120"/>
    </row>
    <row r="90" spans="1:18" ht="41.45" customHeight="1">
      <c r="A90" s="19"/>
      <c r="B90" s="3"/>
      <c r="C90" s="22"/>
      <c r="D90" s="22"/>
      <c r="E90" s="25" t="str">
        <f t="shared" si="14"/>
        <v>0</v>
      </c>
      <c r="F90" s="25">
        <f t="shared" si="15"/>
        <v>1</v>
      </c>
      <c r="G90" s="25" t="str">
        <f t="shared" si="16"/>
        <v>0</v>
      </c>
      <c r="H90" s="25" t="str">
        <f t="shared" si="10"/>
        <v>0</v>
      </c>
      <c r="I90" s="25" t="str">
        <f t="shared" si="17"/>
        <v>0</v>
      </c>
      <c r="J90" s="25" t="str">
        <f t="shared" si="18"/>
        <v>0</v>
      </c>
      <c r="K90" s="25">
        <f t="shared" si="19"/>
        <v>1</v>
      </c>
      <c r="L90" s="119"/>
      <c r="M90" s="119"/>
      <c r="N90" s="119"/>
      <c r="O90" s="119"/>
      <c r="P90" s="119"/>
      <c r="Q90" s="119"/>
      <c r="R90" s="120"/>
    </row>
    <row r="91" spans="1:18" ht="41.45" customHeight="1">
      <c r="A91" s="19"/>
      <c r="B91" s="3"/>
      <c r="C91" s="22"/>
      <c r="D91" s="22"/>
      <c r="E91" s="25" t="str">
        <f t="shared" si="14"/>
        <v>0</v>
      </c>
      <c r="F91" s="25">
        <f t="shared" si="15"/>
        <v>1</v>
      </c>
      <c r="G91" s="25" t="str">
        <f t="shared" si="16"/>
        <v>0</v>
      </c>
      <c r="H91" s="25" t="str">
        <f t="shared" si="10"/>
        <v>0</v>
      </c>
      <c r="I91" s="25" t="str">
        <f t="shared" si="17"/>
        <v>0</v>
      </c>
      <c r="J91" s="25" t="str">
        <f t="shared" si="18"/>
        <v>0</v>
      </c>
      <c r="K91" s="25">
        <f t="shared" si="19"/>
        <v>1</v>
      </c>
      <c r="L91" s="119"/>
      <c r="M91" s="119"/>
      <c r="N91" s="119"/>
      <c r="O91" s="119"/>
      <c r="P91" s="119"/>
      <c r="Q91" s="119"/>
      <c r="R91" s="120"/>
    </row>
    <row r="92" spans="1:18" ht="41.45" customHeight="1">
      <c r="A92" s="19"/>
      <c r="B92" s="3"/>
      <c r="C92" s="22"/>
      <c r="D92" s="22"/>
      <c r="E92" s="25" t="str">
        <f t="shared" si="14"/>
        <v>0</v>
      </c>
      <c r="F92" s="25">
        <f t="shared" si="15"/>
        <v>1</v>
      </c>
      <c r="G92" s="25" t="str">
        <f t="shared" si="16"/>
        <v>0</v>
      </c>
      <c r="H92" s="25" t="str">
        <f t="shared" si="10"/>
        <v>0</v>
      </c>
      <c r="I92" s="25" t="str">
        <f t="shared" si="17"/>
        <v>0</v>
      </c>
      <c r="J92" s="25" t="str">
        <f t="shared" si="18"/>
        <v>0</v>
      </c>
      <c r="K92" s="25">
        <f t="shared" si="19"/>
        <v>1</v>
      </c>
      <c r="L92" s="119"/>
      <c r="M92" s="119"/>
      <c r="N92" s="119"/>
      <c r="O92" s="119"/>
      <c r="P92" s="119"/>
      <c r="Q92" s="119"/>
      <c r="R92" s="120"/>
    </row>
    <row r="93" spans="1:18" ht="41.45" customHeight="1">
      <c r="A93" s="19"/>
      <c r="B93" s="3"/>
      <c r="C93" s="22"/>
      <c r="D93" s="22"/>
      <c r="E93" s="25" t="str">
        <f t="shared" si="14"/>
        <v>0</v>
      </c>
      <c r="F93" s="25">
        <f t="shared" si="15"/>
        <v>1</v>
      </c>
      <c r="G93" s="25" t="str">
        <f t="shared" si="16"/>
        <v>0</v>
      </c>
      <c r="H93" s="25" t="str">
        <f t="shared" si="10"/>
        <v>0</v>
      </c>
      <c r="I93" s="25">
        <f t="shared" si="17"/>
        <v>1</v>
      </c>
      <c r="J93" s="25" t="str">
        <f t="shared" si="18"/>
        <v>0</v>
      </c>
      <c r="K93" s="25" t="str">
        <f t="shared" si="19"/>
        <v>0</v>
      </c>
      <c r="L93" s="119"/>
      <c r="M93" s="119"/>
      <c r="N93" s="119"/>
      <c r="O93" s="119"/>
      <c r="P93" s="119"/>
      <c r="Q93" s="119"/>
      <c r="R93" s="120"/>
    </row>
    <row r="94" spans="1:18" ht="41.45" customHeight="1">
      <c r="A94" s="19"/>
      <c r="B94" s="3"/>
      <c r="C94" s="22"/>
      <c r="D94" s="22"/>
      <c r="E94" s="25" t="str">
        <f t="shared" si="14"/>
        <v>0</v>
      </c>
      <c r="F94" s="25">
        <f t="shared" si="15"/>
        <v>1</v>
      </c>
      <c r="G94" s="25" t="str">
        <f t="shared" si="16"/>
        <v>0</v>
      </c>
      <c r="H94" s="25" t="str">
        <f t="shared" si="10"/>
        <v>0</v>
      </c>
      <c r="I94" s="25">
        <f t="shared" si="17"/>
        <v>1</v>
      </c>
      <c r="J94" s="25" t="str">
        <f t="shared" si="18"/>
        <v>0</v>
      </c>
      <c r="K94" s="25" t="str">
        <f t="shared" si="19"/>
        <v>0</v>
      </c>
      <c r="L94" s="119"/>
      <c r="M94" s="119"/>
      <c r="N94" s="119"/>
      <c r="O94" s="119"/>
      <c r="P94" s="119"/>
      <c r="Q94" s="119"/>
      <c r="R94" s="120"/>
    </row>
    <row r="95" spans="1:18" ht="41.45" customHeight="1">
      <c r="A95" s="19"/>
      <c r="B95" s="3"/>
      <c r="C95" s="22"/>
      <c r="D95" s="22"/>
      <c r="E95" s="25" t="str">
        <f t="shared" si="14"/>
        <v>0</v>
      </c>
      <c r="F95" s="25">
        <f t="shared" si="15"/>
        <v>1</v>
      </c>
      <c r="G95" s="25" t="str">
        <f t="shared" si="16"/>
        <v>0</v>
      </c>
      <c r="H95" s="25" t="str">
        <f t="shared" si="10"/>
        <v>0</v>
      </c>
      <c r="I95" s="25">
        <f t="shared" si="17"/>
        <v>1</v>
      </c>
      <c r="J95" s="25" t="str">
        <f t="shared" si="18"/>
        <v>0</v>
      </c>
      <c r="K95" s="25" t="str">
        <f t="shared" si="19"/>
        <v>0</v>
      </c>
      <c r="L95" s="119"/>
      <c r="M95" s="119"/>
      <c r="N95" s="119"/>
      <c r="O95" s="119"/>
      <c r="P95" s="119"/>
      <c r="Q95" s="119"/>
      <c r="R95" s="120"/>
    </row>
    <row r="96" spans="1:18" ht="41.45" customHeight="1">
      <c r="A96" s="19"/>
      <c r="B96" s="3"/>
      <c r="C96" s="22"/>
      <c r="D96" s="22"/>
      <c r="E96" s="25" t="str">
        <f t="shared" si="14"/>
        <v>0</v>
      </c>
      <c r="F96" s="25">
        <f t="shared" si="15"/>
        <v>1</v>
      </c>
      <c r="G96" s="25" t="str">
        <f t="shared" si="16"/>
        <v>0</v>
      </c>
      <c r="H96" s="25" t="str">
        <f t="shared" si="10"/>
        <v>0</v>
      </c>
      <c r="I96" s="25">
        <f t="shared" si="17"/>
        <v>1</v>
      </c>
      <c r="J96" s="25" t="str">
        <f t="shared" si="18"/>
        <v>0</v>
      </c>
      <c r="K96" s="25" t="str">
        <f t="shared" si="19"/>
        <v>0</v>
      </c>
      <c r="L96" s="119"/>
      <c r="M96" s="119"/>
      <c r="N96" s="119"/>
      <c r="O96" s="119"/>
      <c r="P96" s="119"/>
      <c r="Q96" s="119"/>
      <c r="R96" s="120"/>
    </row>
    <row r="97" spans="1:18" ht="41.45" customHeight="1">
      <c r="A97" s="19"/>
      <c r="B97" s="3"/>
      <c r="C97" s="22"/>
      <c r="D97" s="22"/>
      <c r="E97" s="25" t="str">
        <f t="shared" si="14"/>
        <v>0</v>
      </c>
      <c r="F97" s="25">
        <f t="shared" si="15"/>
        <v>1</v>
      </c>
      <c r="G97" s="25" t="str">
        <f t="shared" si="16"/>
        <v>0</v>
      </c>
      <c r="H97" s="25" t="str">
        <f t="shared" si="10"/>
        <v>0</v>
      </c>
      <c r="I97" s="25">
        <f t="shared" si="17"/>
        <v>1</v>
      </c>
      <c r="J97" s="25" t="str">
        <f t="shared" si="18"/>
        <v>0</v>
      </c>
      <c r="K97" s="25" t="str">
        <f t="shared" si="19"/>
        <v>0</v>
      </c>
      <c r="L97" s="119"/>
      <c r="M97" s="119"/>
      <c r="N97" s="119"/>
      <c r="O97" s="119"/>
      <c r="P97" s="119"/>
      <c r="Q97" s="119"/>
      <c r="R97" s="120"/>
    </row>
    <row r="98" spans="1:18" ht="41.45" customHeight="1">
      <c r="A98" s="19"/>
      <c r="B98" s="3"/>
      <c r="C98" s="22"/>
      <c r="D98" s="22"/>
      <c r="E98" s="25" t="str">
        <f t="shared" si="14"/>
        <v>0</v>
      </c>
      <c r="F98" s="25">
        <f t="shared" si="15"/>
        <v>1</v>
      </c>
      <c r="G98" s="25" t="str">
        <f t="shared" si="16"/>
        <v>0</v>
      </c>
      <c r="H98" s="25" t="str">
        <f t="shared" si="10"/>
        <v>0</v>
      </c>
      <c r="I98" s="25">
        <f t="shared" si="17"/>
        <v>1</v>
      </c>
      <c r="J98" s="25" t="str">
        <f t="shared" si="18"/>
        <v>0</v>
      </c>
      <c r="K98" s="25" t="str">
        <f t="shared" si="19"/>
        <v>0</v>
      </c>
      <c r="L98" s="119"/>
      <c r="M98" s="119"/>
      <c r="N98" s="119"/>
      <c r="O98" s="119"/>
      <c r="P98" s="119"/>
      <c r="Q98" s="119"/>
      <c r="R98" s="120"/>
    </row>
    <row r="99" spans="1:18" ht="41.45" customHeight="1">
      <c r="A99" s="19"/>
      <c r="B99" s="3"/>
      <c r="C99" s="22"/>
      <c r="D99" s="22"/>
      <c r="E99" s="25" t="str">
        <f t="shared" si="14"/>
        <v>0</v>
      </c>
      <c r="F99" s="25">
        <f t="shared" si="15"/>
        <v>1</v>
      </c>
      <c r="G99" s="25" t="str">
        <f t="shared" si="16"/>
        <v>0</v>
      </c>
      <c r="H99" s="25" t="str">
        <f t="shared" si="10"/>
        <v>0</v>
      </c>
      <c r="I99" s="25">
        <f t="shared" si="17"/>
        <v>1</v>
      </c>
      <c r="J99" s="25" t="str">
        <f t="shared" si="18"/>
        <v>0</v>
      </c>
      <c r="K99" s="25" t="str">
        <f t="shared" si="19"/>
        <v>0</v>
      </c>
      <c r="L99" s="119"/>
      <c r="M99" s="119"/>
      <c r="N99" s="119"/>
      <c r="O99" s="119"/>
      <c r="P99" s="119"/>
      <c r="Q99" s="119"/>
      <c r="R99" s="120"/>
    </row>
    <row r="100" spans="1:18" ht="41.45" customHeight="1">
      <c r="A100" s="19"/>
      <c r="B100" s="3"/>
      <c r="C100" s="22"/>
      <c r="D100" s="22"/>
      <c r="E100" s="25" t="str">
        <f t="shared" si="14"/>
        <v>0</v>
      </c>
      <c r="F100" s="25">
        <f t="shared" si="15"/>
        <v>1</v>
      </c>
      <c r="G100" s="25" t="str">
        <f t="shared" si="16"/>
        <v>0</v>
      </c>
      <c r="H100" s="25" t="str">
        <f t="shared" si="10"/>
        <v>0</v>
      </c>
      <c r="I100" s="25">
        <f t="shared" si="17"/>
        <v>1</v>
      </c>
      <c r="J100" s="25" t="str">
        <f t="shared" si="18"/>
        <v>0</v>
      </c>
      <c r="K100" s="25" t="str">
        <f t="shared" si="19"/>
        <v>0</v>
      </c>
      <c r="L100" s="119"/>
      <c r="M100" s="119"/>
      <c r="N100" s="119"/>
      <c r="O100" s="119"/>
      <c r="P100" s="119"/>
      <c r="Q100" s="119"/>
      <c r="R100" s="120"/>
    </row>
    <row r="101" spans="1:18" ht="41.45" customHeight="1">
      <c r="A101" s="19"/>
      <c r="B101" s="3"/>
      <c r="C101" s="22"/>
      <c r="D101" s="22"/>
      <c r="E101" s="25" t="str">
        <f t="shared" si="14"/>
        <v>0</v>
      </c>
      <c r="F101" s="25">
        <f t="shared" si="15"/>
        <v>1</v>
      </c>
      <c r="G101" s="25" t="str">
        <f t="shared" si="16"/>
        <v>0</v>
      </c>
      <c r="H101" s="25" t="str">
        <f t="shared" si="10"/>
        <v>0</v>
      </c>
      <c r="I101" s="25">
        <f t="shared" si="17"/>
        <v>1</v>
      </c>
      <c r="J101" s="25" t="str">
        <f t="shared" si="18"/>
        <v>0</v>
      </c>
      <c r="K101" s="25" t="str">
        <f t="shared" si="19"/>
        <v>0</v>
      </c>
      <c r="L101" s="119"/>
      <c r="M101" s="119"/>
      <c r="N101" s="119"/>
      <c r="O101" s="119"/>
      <c r="P101" s="119"/>
      <c r="Q101" s="119"/>
      <c r="R101" s="120"/>
    </row>
    <row r="102" spans="1:18" ht="41.45" customHeight="1">
      <c r="A102" s="19"/>
      <c r="B102" s="3"/>
      <c r="C102" s="22"/>
      <c r="D102" s="22"/>
      <c r="E102" s="25" t="str">
        <f t="shared" si="14"/>
        <v>0</v>
      </c>
      <c r="F102" s="25">
        <f t="shared" si="15"/>
        <v>1</v>
      </c>
      <c r="G102" s="25" t="str">
        <f t="shared" si="16"/>
        <v>0</v>
      </c>
      <c r="H102" s="25" t="str">
        <f t="shared" si="10"/>
        <v>0</v>
      </c>
      <c r="I102" s="25">
        <f t="shared" si="17"/>
        <v>1</v>
      </c>
      <c r="J102" s="25" t="str">
        <f t="shared" si="18"/>
        <v>0</v>
      </c>
      <c r="K102" s="25" t="str">
        <f t="shared" si="19"/>
        <v>0</v>
      </c>
      <c r="L102" s="119"/>
      <c r="M102" s="119"/>
      <c r="N102" s="119"/>
      <c r="O102" s="119"/>
      <c r="P102" s="119"/>
      <c r="Q102" s="119"/>
      <c r="R102" s="120"/>
    </row>
    <row r="103" spans="1:18" ht="41.45" customHeight="1">
      <c r="A103" s="19"/>
      <c r="B103" s="3"/>
      <c r="C103" s="22"/>
      <c r="D103" s="22"/>
      <c r="E103" s="25" t="str">
        <f t="shared" si="14"/>
        <v>0</v>
      </c>
      <c r="F103" s="25">
        <f t="shared" si="15"/>
        <v>1</v>
      </c>
      <c r="G103" s="25" t="str">
        <f t="shared" si="16"/>
        <v>0</v>
      </c>
      <c r="H103" s="25" t="str">
        <f t="shared" si="10"/>
        <v>0</v>
      </c>
      <c r="I103" s="25">
        <f t="shared" si="17"/>
        <v>1</v>
      </c>
      <c r="J103" s="25" t="str">
        <f t="shared" si="18"/>
        <v>0</v>
      </c>
      <c r="K103" s="25" t="str">
        <f t="shared" si="19"/>
        <v>0</v>
      </c>
      <c r="L103" s="119"/>
      <c r="M103" s="119"/>
      <c r="N103" s="119"/>
      <c r="O103" s="119"/>
      <c r="P103" s="119"/>
      <c r="Q103" s="119"/>
      <c r="R103" s="120"/>
    </row>
    <row r="104" spans="1:18" ht="41.45" customHeight="1">
      <c r="A104" s="19"/>
      <c r="B104" s="3"/>
      <c r="C104" s="22"/>
      <c r="D104" s="22"/>
      <c r="E104" s="25" t="str">
        <f t="shared" si="14"/>
        <v>0</v>
      </c>
      <c r="F104" s="25">
        <f t="shared" si="15"/>
        <v>1</v>
      </c>
      <c r="G104" s="25" t="str">
        <f t="shared" si="16"/>
        <v>0</v>
      </c>
      <c r="H104" s="25" t="str">
        <f t="shared" si="10"/>
        <v>0</v>
      </c>
      <c r="I104" s="25">
        <f t="shared" si="17"/>
        <v>1</v>
      </c>
      <c r="J104" s="25" t="str">
        <f t="shared" si="18"/>
        <v>0</v>
      </c>
      <c r="K104" s="25" t="str">
        <f t="shared" si="19"/>
        <v>0</v>
      </c>
      <c r="L104" s="119"/>
      <c r="M104" s="119"/>
      <c r="N104" s="119"/>
      <c r="O104" s="119"/>
      <c r="P104" s="119"/>
      <c r="Q104" s="119"/>
      <c r="R104" s="120"/>
    </row>
    <row r="105" spans="1:18" ht="41.45" customHeight="1">
      <c r="A105" s="19"/>
      <c r="B105" s="3"/>
      <c r="C105" s="22"/>
      <c r="D105" s="22"/>
      <c r="E105" s="25" t="str">
        <f t="shared" si="14"/>
        <v>0</v>
      </c>
      <c r="F105" s="25">
        <f t="shared" si="15"/>
        <v>1</v>
      </c>
      <c r="G105" s="25" t="str">
        <f t="shared" si="16"/>
        <v>0</v>
      </c>
      <c r="H105" s="25" t="str">
        <f t="shared" si="10"/>
        <v>0</v>
      </c>
      <c r="I105" s="25">
        <f t="shared" si="17"/>
        <v>1</v>
      </c>
      <c r="J105" s="25" t="str">
        <f t="shared" si="18"/>
        <v>0</v>
      </c>
      <c r="K105" s="25" t="str">
        <f t="shared" si="19"/>
        <v>0</v>
      </c>
      <c r="L105" s="119"/>
      <c r="M105" s="119"/>
      <c r="N105" s="119"/>
      <c r="O105" s="119"/>
      <c r="P105" s="119"/>
      <c r="Q105" s="119"/>
      <c r="R105" s="120"/>
    </row>
    <row r="106" spans="1:18" ht="41.45" customHeight="1">
      <c r="A106" s="19"/>
      <c r="B106" s="3"/>
      <c r="C106" s="22"/>
      <c r="D106" s="22"/>
      <c r="E106" s="25" t="str">
        <f t="shared" si="14"/>
        <v>0</v>
      </c>
      <c r="F106" s="25">
        <f t="shared" si="15"/>
        <v>1</v>
      </c>
      <c r="G106" s="25" t="str">
        <f t="shared" si="16"/>
        <v>0</v>
      </c>
      <c r="H106" s="25" t="str">
        <f t="shared" si="10"/>
        <v>0</v>
      </c>
      <c r="I106" s="25">
        <f t="shared" si="17"/>
        <v>1</v>
      </c>
      <c r="J106" s="25" t="str">
        <f t="shared" si="18"/>
        <v>0</v>
      </c>
      <c r="K106" s="25" t="str">
        <f t="shared" si="19"/>
        <v>0</v>
      </c>
      <c r="L106" s="119"/>
      <c r="M106" s="119"/>
      <c r="N106" s="119"/>
      <c r="O106" s="119"/>
      <c r="P106" s="119"/>
      <c r="Q106" s="119"/>
      <c r="R106" s="120"/>
    </row>
    <row r="107" spans="1:18" ht="41.45" customHeight="1">
      <c r="A107" s="19"/>
      <c r="B107" s="3"/>
      <c r="C107" s="22"/>
      <c r="D107" s="22"/>
      <c r="E107" s="25" t="str">
        <f t="shared" si="14"/>
        <v>0</v>
      </c>
      <c r="F107" s="25">
        <f t="shared" si="15"/>
        <v>1</v>
      </c>
      <c r="G107" s="25" t="str">
        <f t="shared" si="16"/>
        <v>0</v>
      </c>
      <c r="H107" s="25" t="str">
        <f t="shared" si="10"/>
        <v>0</v>
      </c>
      <c r="I107" s="25">
        <f t="shared" si="17"/>
        <v>1</v>
      </c>
      <c r="J107" s="25" t="str">
        <f t="shared" si="18"/>
        <v>0</v>
      </c>
      <c r="K107" s="25" t="str">
        <f t="shared" si="19"/>
        <v>0</v>
      </c>
      <c r="L107" s="119"/>
      <c r="M107" s="119"/>
      <c r="N107" s="119"/>
      <c r="O107" s="119"/>
      <c r="P107" s="119"/>
      <c r="Q107" s="119"/>
      <c r="R107" s="120"/>
    </row>
    <row r="108" spans="1:18" ht="41.45" customHeight="1">
      <c r="A108" s="19"/>
      <c r="B108" s="3"/>
      <c r="C108" s="22"/>
      <c r="D108" s="22"/>
      <c r="E108" s="25" t="str">
        <f t="shared" si="14"/>
        <v>0</v>
      </c>
      <c r="F108" s="25">
        <f t="shared" si="15"/>
        <v>1</v>
      </c>
      <c r="G108" s="25" t="str">
        <f t="shared" si="16"/>
        <v>0</v>
      </c>
      <c r="H108" s="25" t="str">
        <f t="shared" si="10"/>
        <v>0</v>
      </c>
      <c r="I108" s="25">
        <f t="shared" si="17"/>
        <v>1</v>
      </c>
      <c r="J108" s="25" t="str">
        <f t="shared" si="18"/>
        <v>0</v>
      </c>
      <c r="K108" s="25" t="str">
        <f t="shared" si="19"/>
        <v>0</v>
      </c>
      <c r="L108" s="119"/>
      <c r="M108" s="119"/>
      <c r="N108" s="119"/>
      <c r="O108" s="119"/>
      <c r="P108" s="119"/>
      <c r="Q108" s="119"/>
      <c r="R108" s="120"/>
    </row>
    <row r="109" spans="1:18" ht="41.45" customHeight="1">
      <c r="A109" s="19"/>
      <c r="B109" s="3"/>
      <c r="C109" s="22"/>
      <c r="D109" s="22"/>
      <c r="E109" s="25" t="str">
        <f t="shared" si="14"/>
        <v>0</v>
      </c>
      <c r="F109" s="25">
        <f t="shared" si="15"/>
        <v>1</v>
      </c>
      <c r="G109" s="25" t="str">
        <f t="shared" si="16"/>
        <v>0</v>
      </c>
      <c r="H109" s="25" t="str">
        <f t="shared" si="10"/>
        <v>0</v>
      </c>
      <c r="I109" s="25">
        <f t="shared" si="17"/>
        <v>1</v>
      </c>
      <c r="J109" s="25" t="str">
        <f t="shared" si="18"/>
        <v>0</v>
      </c>
      <c r="K109" s="25" t="str">
        <f t="shared" si="19"/>
        <v>0</v>
      </c>
      <c r="L109" s="119"/>
      <c r="M109" s="119"/>
      <c r="N109" s="119"/>
      <c r="O109" s="119"/>
      <c r="P109" s="119"/>
      <c r="Q109" s="119"/>
      <c r="R109" s="120"/>
    </row>
    <row r="110" spans="1:18" ht="41.45" customHeight="1">
      <c r="A110" s="19"/>
      <c r="B110" s="3"/>
      <c r="C110" s="22"/>
      <c r="D110" s="22"/>
      <c r="E110" s="25" t="str">
        <f t="shared" si="14"/>
        <v>0</v>
      </c>
      <c r="F110" s="25">
        <f t="shared" si="15"/>
        <v>1</v>
      </c>
      <c r="G110" s="25" t="str">
        <f t="shared" si="16"/>
        <v>0</v>
      </c>
      <c r="H110" s="25" t="str">
        <f t="shared" si="10"/>
        <v>0</v>
      </c>
      <c r="I110" s="25">
        <f t="shared" si="17"/>
        <v>1</v>
      </c>
      <c r="J110" s="25" t="str">
        <f t="shared" si="18"/>
        <v>0</v>
      </c>
      <c r="K110" s="25" t="str">
        <f t="shared" si="19"/>
        <v>0</v>
      </c>
      <c r="L110" s="119"/>
      <c r="M110" s="119"/>
      <c r="N110" s="119"/>
      <c r="O110" s="119"/>
      <c r="P110" s="119"/>
      <c r="Q110" s="119"/>
      <c r="R110" s="120"/>
    </row>
    <row r="111" spans="1:18" ht="41.45" customHeight="1">
      <c r="A111" s="19"/>
      <c r="B111" s="3"/>
      <c r="C111" s="22"/>
      <c r="D111" s="22"/>
      <c r="E111" s="25" t="str">
        <f t="shared" si="14"/>
        <v>0</v>
      </c>
      <c r="F111" s="25">
        <f t="shared" si="15"/>
        <v>1</v>
      </c>
      <c r="G111" s="25" t="str">
        <f t="shared" si="16"/>
        <v>0</v>
      </c>
      <c r="H111" s="25" t="str">
        <f t="shared" si="10"/>
        <v>0</v>
      </c>
      <c r="I111" s="25">
        <f t="shared" si="17"/>
        <v>1</v>
      </c>
      <c r="J111" s="25" t="str">
        <f t="shared" si="18"/>
        <v>0</v>
      </c>
      <c r="K111" s="25" t="str">
        <f t="shared" si="19"/>
        <v>0</v>
      </c>
      <c r="L111" s="119"/>
      <c r="M111" s="119"/>
      <c r="N111" s="119"/>
      <c r="O111" s="119"/>
      <c r="P111" s="119"/>
      <c r="Q111" s="119"/>
      <c r="R111" s="120"/>
    </row>
    <row r="112" spans="1:18" ht="41.45" customHeight="1">
      <c r="A112" s="19"/>
      <c r="B112" s="3"/>
      <c r="C112" s="22"/>
      <c r="D112" s="22"/>
      <c r="E112" s="25" t="str">
        <f t="shared" si="14"/>
        <v>0</v>
      </c>
      <c r="F112" s="25">
        <f t="shared" si="15"/>
        <v>1</v>
      </c>
      <c r="G112" s="25" t="str">
        <f t="shared" si="16"/>
        <v>0</v>
      </c>
      <c r="H112" s="25" t="str">
        <f t="shared" si="10"/>
        <v>0</v>
      </c>
      <c r="I112" s="25">
        <f t="shared" si="17"/>
        <v>1</v>
      </c>
      <c r="J112" s="25" t="str">
        <f t="shared" si="18"/>
        <v>0</v>
      </c>
      <c r="K112" s="25" t="str">
        <f t="shared" si="19"/>
        <v>0</v>
      </c>
      <c r="L112" s="119"/>
      <c r="M112" s="119"/>
      <c r="N112" s="119"/>
      <c r="O112" s="119"/>
      <c r="P112" s="119"/>
      <c r="Q112" s="119"/>
      <c r="R112" s="120"/>
    </row>
    <row r="113" spans="1:18" ht="41.45" customHeight="1">
      <c r="A113" s="19"/>
      <c r="B113" s="3"/>
      <c r="C113" s="22"/>
      <c r="D113" s="22"/>
      <c r="E113" s="25" t="str">
        <f t="shared" si="14"/>
        <v>0</v>
      </c>
      <c r="F113" s="25">
        <f t="shared" si="15"/>
        <v>1</v>
      </c>
      <c r="G113" s="25" t="str">
        <f t="shared" si="16"/>
        <v>0</v>
      </c>
      <c r="H113" s="25" t="str">
        <f t="shared" si="10"/>
        <v>0</v>
      </c>
      <c r="I113" s="25">
        <f t="shared" si="17"/>
        <v>1</v>
      </c>
      <c r="J113" s="25" t="str">
        <f t="shared" si="18"/>
        <v>0</v>
      </c>
      <c r="K113" s="25" t="str">
        <f t="shared" si="19"/>
        <v>0</v>
      </c>
      <c r="L113" s="119"/>
      <c r="M113" s="119"/>
      <c r="N113" s="119"/>
      <c r="O113" s="119"/>
      <c r="P113" s="119"/>
      <c r="Q113" s="119"/>
      <c r="R113" s="120"/>
    </row>
    <row r="114" spans="1:18" ht="41.45" customHeight="1">
      <c r="A114" s="19"/>
      <c r="B114" s="3"/>
      <c r="C114" s="22"/>
      <c r="D114" s="22"/>
      <c r="E114" s="25" t="str">
        <f t="shared" si="14"/>
        <v>0</v>
      </c>
      <c r="F114" s="25">
        <f t="shared" si="15"/>
        <v>1</v>
      </c>
      <c r="G114" s="25" t="str">
        <f t="shared" si="16"/>
        <v>0</v>
      </c>
      <c r="H114" s="25" t="str">
        <f t="shared" si="10"/>
        <v>0</v>
      </c>
      <c r="I114" s="25">
        <f t="shared" si="17"/>
        <v>1</v>
      </c>
      <c r="J114" s="25" t="str">
        <f t="shared" si="18"/>
        <v>0</v>
      </c>
      <c r="K114" s="25" t="str">
        <f t="shared" si="19"/>
        <v>0</v>
      </c>
      <c r="L114" s="119"/>
      <c r="M114" s="119"/>
      <c r="N114" s="119"/>
      <c r="O114" s="119"/>
      <c r="P114" s="119"/>
      <c r="Q114" s="119"/>
      <c r="R114" s="120"/>
    </row>
    <row r="115" spans="1:18" ht="41.45" customHeight="1">
      <c r="A115" s="19"/>
      <c r="B115" s="3"/>
      <c r="C115" s="22"/>
      <c r="D115" s="22"/>
      <c r="E115" s="25" t="str">
        <f t="shared" si="14"/>
        <v>0</v>
      </c>
      <c r="F115" s="25">
        <f t="shared" si="15"/>
        <v>1</v>
      </c>
      <c r="G115" s="25" t="str">
        <f t="shared" si="16"/>
        <v>0</v>
      </c>
      <c r="H115" s="25" t="str">
        <f t="shared" si="10"/>
        <v>0</v>
      </c>
      <c r="I115" s="25">
        <f t="shared" si="17"/>
        <v>1</v>
      </c>
      <c r="J115" s="25" t="str">
        <f t="shared" si="18"/>
        <v>0</v>
      </c>
      <c r="K115" s="25" t="str">
        <f t="shared" si="19"/>
        <v>0</v>
      </c>
      <c r="L115" s="119"/>
      <c r="M115" s="119"/>
      <c r="N115" s="119"/>
      <c r="O115" s="119"/>
      <c r="P115" s="119"/>
      <c r="Q115" s="119"/>
      <c r="R115" s="120"/>
    </row>
    <row r="116" spans="1:18" ht="41.45" customHeight="1">
      <c r="A116" s="19"/>
      <c r="B116" s="3"/>
      <c r="C116" s="22"/>
      <c r="D116" s="22"/>
      <c r="E116" s="25" t="str">
        <f t="shared" ref="E116:E122" si="20">IF(E36="X",(D36-C36),"0")</f>
        <v>0</v>
      </c>
      <c r="F116" s="25">
        <f t="shared" ref="F116:F122" si="21">IF(F36="X",(D36-C36),"0")</f>
        <v>1</v>
      </c>
      <c r="G116" s="25" t="str">
        <f t="shared" ref="G116:G122" si="22">IF(G36="X",(D36-C36),"0")</f>
        <v>0</v>
      </c>
      <c r="H116" s="25" t="str">
        <f t="shared" ref="H116:H122" si="23">IF(H36="X",(D36-C36),"0")</f>
        <v>0</v>
      </c>
      <c r="I116" s="25">
        <f t="shared" ref="I116:I122" si="24">IF(I36="X",(D36-C36),"0")</f>
        <v>1</v>
      </c>
      <c r="J116" s="25" t="str">
        <f t="shared" ref="J116:J122" si="25">IF(J36="X",(D36-C36),"0")</f>
        <v>0</v>
      </c>
      <c r="K116" s="25" t="str">
        <f t="shared" ref="K116:K122" si="26">IF(K36="X",(D36-C36),"0")</f>
        <v>0</v>
      </c>
      <c r="L116" s="119"/>
      <c r="M116" s="119"/>
      <c r="N116" s="119"/>
      <c r="O116" s="119"/>
      <c r="P116" s="119"/>
      <c r="Q116" s="119"/>
      <c r="R116" s="120"/>
    </row>
    <row r="117" spans="1:18" ht="41.45" customHeight="1">
      <c r="A117" s="19"/>
      <c r="B117" s="3"/>
      <c r="C117" s="22"/>
      <c r="D117" s="22"/>
      <c r="E117" s="25" t="str">
        <f t="shared" si="20"/>
        <v>0</v>
      </c>
      <c r="F117" s="25">
        <f t="shared" si="21"/>
        <v>1</v>
      </c>
      <c r="G117" s="25" t="str">
        <f t="shared" si="22"/>
        <v>0</v>
      </c>
      <c r="H117" s="25" t="str">
        <f t="shared" si="23"/>
        <v>0</v>
      </c>
      <c r="I117" s="25">
        <f t="shared" si="24"/>
        <v>1</v>
      </c>
      <c r="J117" s="25" t="str">
        <f t="shared" si="25"/>
        <v>0</v>
      </c>
      <c r="K117" s="25" t="str">
        <f t="shared" si="26"/>
        <v>0</v>
      </c>
      <c r="L117" s="119"/>
      <c r="M117" s="119"/>
      <c r="N117" s="119"/>
      <c r="O117" s="119"/>
      <c r="P117" s="119"/>
      <c r="Q117" s="119"/>
      <c r="R117" s="120"/>
    </row>
    <row r="118" spans="1:18" ht="41.45" customHeight="1">
      <c r="A118" s="19"/>
      <c r="B118" s="3"/>
      <c r="C118" s="22"/>
      <c r="D118" s="22"/>
      <c r="E118" s="25" t="str">
        <f t="shared" si="20"/>
        <v>0</v>
      </c>
      <c r="F118" s="25">
        <f t="shared" si="21"/>
        <v>1.1899999999999977</v>
      </c>
      <c r="G118" s="25" t="str">
        <f t="shared" si="22"/>
        <v>0</v>
      </c>
      <c r="H118" s="25" t="str">
        <f t="shared" si="23"/>
        <v>0</v>
      </c>
      <c r="I118" s="25">
        <f t="shared" si="24"/>
        <v>1.1899999999999977</v>
      </c>
      <c r="J118" s="25" t="str">
        <f t="shared" si="25"/>
        <v>0</v>
      </c>
      <c r="K118" s="25" t="str">
        <f t="shared" si="26"/>
        <v>0</v>
      </c>
      <c r="L118" s="119"/>
      <c r="M118" s="119"/>
      <c r="N118" s="119"/>
      <c r="O118" s="119"/>
      <c r="P118" s="119"/>
      <c r="Q118" s="119"/>
      <c r="R118" s="120"/>
    </row>
    <row r="119" spans="1:18" ht="41.45" customHeight="1">
      <c r="A119" s="19"/>
      <c r="B119" s="3"/>
      <c r="C119" s="22"/>
      <c r="D119" s="22"/>
      <c r="E119" s="25">
        <f t="shared" si="20"/>
        <v>1</v>
      </c>
      <c r="F119" s="25" t="str">
        <f t="shared" si="21"/>
        <v>0</v>
      </c>
      <c r="G119" s="25" t="str">
        <f t="shared" si="22"/>
        <v>0</v>
      </c>
      <c r="H119" s="25" t="str">
        <f t="shared" si="23"/>
        <v>0</v>
      </c>
      <c r="I119" s="25">
        <f t="shared" si="24"/>
        <v>1</v>
      </c>
      <c r="J119" s="25" t="str">
        <f t="shared" si="25"/>
        <v>0</v>
      </c>
      <c r="K119" s="25" t="str">
        <f t="shared" si="26"/>
        <v>0</v>
      </c>
      <c r="L119" s="119"/>
      <c r="M119" s="119"/>
      <c r="N119" s="119"/>
      <c r="O119" s="119"/>
      <c r="P119" s="119"/>
      <c r="Q119" s="119"/>
      <c r="R119" s="120"/>
    </row>
    <row r="120" spans="1:18" ht="41.45" customHeight="1">
      <c r="A120" s="19"/>
      <c r="B120" s="3"/>
      <c r="C120" s="22"/>
      <c r="D120" s="22"/>
      <c r="E120" s="25">
        <f t="shared" si="20"/>
        <v>1</v>
      </c>
      <c r="F120" s="25" t="str">
        <f t="shared" si="21"/>
        <v>0</v>
      </c>
      <c r="G120" s="25" t="str">
        <f t="shared" si="22"/>
        <v>0</v>
      </c>
      <c r="H120" s="25" t="str">
        <f t="shared" si="23"/>
        <v>0</v>
      </c>
      <c r="I120" s="25">
        <f t="shared" si="24"/>
        <v>1</v>
      </c>
      <c r="J120" s="25" t="str">
        <f t="shared" si="25"/>
        <v>0</v>
      </c>
      <c r="K120" s="25" t="str">
        <f t="shared" si="26"/>
        <v>0</v>
      </c>
      <c r="L120" s="119"/>
      <c r="M120" s="119"/>
      <c r="N120" s="119"/>
      <c r="O120" s="119"/>
      <c r="P120" s="119"/>
      <c r="Q120" s="119"/>
      <c r="R120" s="120"/>
    </row>
    <row r="121" spans="1:18" ht="41.45" customHeight="1">
      <c r="A121" s="19"/>
      <c r="B121" s="3"/>
      <c r="C121" s="22"/>
      <c r="D121" s="22"/>
      <c r="E121" s="25">
        <f t="shared" si="20"/>
        <v>1</v>
      </c>
      <c r="F121" s="25" t="str">
        <f t="shared" si="21"/>
        <v>0</v>
      </c>
      <c r="G121" s="25" t="str">
        <f t="shared" si="22"/>
        <v>0</v>
      </c>
      <c r="H121" s="25" t="str">
        <f t="shared" si="23"/>
        <v>0</v>
      </c>
      <c r="I121" s="25">
        <f t="shared" si="24"/>
        <v>1</v>
      </c>
      <c r="J121" s="25" t="str">
        <f t="shared" si="25"/>
        <v>0</v>
      </c>
      <c r="K121" s="25" t="str">
        <f t="shared" si="26"/>
        <v>0</v>
      </c>
      <c r="L121" s="119"/>
      <c r="M121" s="119"/>
      <c r="N121" s="119"/>
      <c r="O121" s="119"/>
      <c r="P121" s="119"/>
      <c r="Q121" s="119"/>
      <c r="R121" s="120"/>
    </row>
    <row r="122" spans="1:18" ht="41.45" customHeight="1">
      <c r="A122" s="19"/>
      <c r="B122" s="3"/>
      <c r="C122" s="22"/>
      <c r="D122" s="22"/>
      <c r="E122" s="25">
        <f t="shared" si="20"/>
        <v>1</v>
      </c>
      <c r="F122" s="25" t="str">
        <f t="shared" si="21"/>
        <v>0</v>
      </c>
      <c r="G122" s="25" t="str">
        <f t="shared" si="22"/>
        <v>0</v>
      </c>
      <c r="H122" s="25" t="str">
        <f t="shared" si="23"/>
        <v>0</v>
      </c>
      <c r="I122" s="25">
        <f t="shared" si="24"/>
        <v>1</v>
      </c>
      <c r="J122" s="25" t="str">
        <f t="shared" si="25"/>
        <v>0</v>
      </c>
      <c r="K122" s="25" t="str">
        <f t="shared" si="26"/>
        <v>0</v>
      </c>
      <c r="L122" s="119"/>
      <c r="M122" s="119"/>
      <c r="N122" s="119"/>
      <c r="O122" s="119"/>
      <c r="P122" s="119"/>
      <c r="Q122" s="119"/>
      <c r="R122" s="120"/>
    </row>
    <row r="123" spans="1:18" ht="41.45" customHeight="1">
      <c r="A123" s="19"/>
      <c r="B123" s="3"/>
      <c r="C123" s="22"/>
      <c r="D123" s="22"/>
      <c r="E123" s="25">
        <f t="shared" ref="E123:E165" si="27">IF(E43="X",(D43-C43),"0")</f>
        <v>1</v>
      </c>
      <c r="F123" s="25" t="str">
        <f t="shared" ref="F123:F165" si="28">IF(F43="X",(D43-C43),"0")</f>
        <v>0</v>
      </c>
      <c r="G123" s="25" t="str">
        <f t="shared" ref="G123:G164" si="29">IF(G43="X",(D43-C43),"0")</f>
        <v>0</v>
      </c>
      <c r="H123" s="25" t="str">
        <f t="shared" ref="H123:H165" si="30">IF(H43="X",(D43-C43),"0")</f>
        <v>0</v>
      </c>
      <c r="I123" s="25">
        <f t="shared" ref="I123:I165" si="31">IF(I43="X",(D43-C43),"0")</f>
        <v>1</v>
      </c>
      <c r="J123" s="25" t="str">
        <f t="shared" ref="J123:J165" si="32">IF(J43="X",(D43-C43),"0")</f>
        <v>0</v>
      </c>
      <c r="K123" s="25" t="str">
        <f t="shared" ref="K123:K165" si="33">IF(K43="X",(D43-C43),"0")</f>
        <v>0</v>
      </c>
      <c r="L123" s="119"/>
      <c r="M123" s="119"/>
      <c r="N123" s="119"/>
      <c r="O123" s="119"/>
      <c r="P123" s="119"/>
      <c r="Q123" s="119"/>
      <c r="R123" s="120"/>
    </row>
    <row r="124" spans="1:18" ht="41.45" customHeight="1">
      <c r="A124" s="19"/>
      <c r="B124" s="3"/>
      <c r="C124" s="22"/>
      <c r="D124" s="22"/>
      <c r="E124" s="25">
        <f t="shared" si="27"/>
        <v>0.37999999999999989</v>
      </c>
      <c r="F124" s="25" t="str">
        <f t="shared" si="28"/>
        <v>0</v>
      </c>
      <c r="G124" s="25" t="str">
        <f t="shared" si="29"/>
        <v>0</v>
      </c>
      <c r="H124" s="25" t="str">
        <f t="shared" si="30"/>
        <v>0</v>
      </c>
      <c r="I124" s="25">
        <f t="shared" si="31"/>
        <v>0.37999999999999989</v>
      </c>
      <c r="J124" s="25" t="str">
        <f t="shared" si="32"/>
        <v>0</v>
      </c>
      <c r="K124" s="25" t="str">
        <f t="shared" si="33"/>
        <v>0</v>
      </c>
      <c r="L124" s="119"/>
      <c r="M124" s="119"/>
      <c r="N124" s="119"/>
      <c r="O124" s="119"/>
      <c r="P124" s="119"/>
      <c r="Q124" s="119"/>
      <c r="R124" s="120"/>
    </row>
    <row r="125" spans="1:18" ht="41.45" customHeight="1">
      <c r="A125" s="19"/>
      <c r="B125" s="3"/>
      <c r="C125" s="22"/>
      <c r="D125" s="22"/>
      <c r="E125" s="25" t="str">
        <f t="shared" si="27"/>
        <v>0</v>
      </c>
      <c r="F125" s="25">
        <f t="shared" si="28"/>
        <v>1</v>
      </c>
      <c r="G125" s="25" t="str">
        <f t="shared" si="29"/>
        <v>0</v>
      </c>
      <c r="H125" s="25" t="str">
        <f t="shared" si="30"/>
        <v>0</v>
      </c>
      <c r="I125" s="25">
        <f t="shared" si="31"/>
        <v>1</v>
      </c>
      <c r="J125" s="25" t="str">
        <f t="shared" si="32"/>
        <v>0</v>
      </c>
      <c r="K125" s="25" t="str">
        <f t="shared" si="33"/>
        <v>0</v>
      </c>
      <c r="L125" s="119"/>
      <c r="M125" s="119"/>
      <c r="N125" s="119"/>
      <c r="O125" s="119"/>
      <c r="P125" s="119"/>
      <c r="Q125" s="119"/>
      <c r="R125" s="120"/>
    </row>
    <row r="126" spans="1:18" ht="41.45" customHeight="1">
      <c r="A126" s="19"/>
      <c r="B126" s="3"/>
      <c r="C126" s="22"/>
      <c r="D126" s="22"/>
      <c r="E126" s="25" t="str">
        <f t="shared" si="27"/>
        <v>0</v>
      </c>
      <c r="F126" s="25">
        <f t="shared" si="28"/>
        <v>1</v>
      </c>
      <c r="G126" s="25" t="str">
        <f t="shared" si="29"/>
        <v>0</v>
      </c>
      <c r="H126" s="25" t="str">
        <f t="shared" si="30"/>
        <v>0</v>
      </c>
      <c r="I126" s="25">
        <f t="shared" si="31"/>
        <v>1</v>
      </c>
      <c r="J126" s="25" t="str">
        <f t="shared" si="32"/>
        <v>0</v>
      </c>
      <c r="K126" s="25" t="str">
        <f t="shared" si="33"/>
        <v>0</v>
      </c>
      <c r="L126" s="119"/>
      <c r="M126" s="119"/>
      <c r="N126" s="119"/>
      <c r="O126" s="119"/>
      <c r="P126" s="119"/>
      <c r="Q126" s="119"/>
      <c r="R126" s="120"/>
    </row>
    <row r="127" spans="1:18" ht="41.45" customHeight="1">
      <c r="A127" s="19"/>
      <c r="B127" s="3"/>
      <c r="C127" s="22"/>
      <c r="D127" s="22"/>
      <c r="E127" s="25" t="str">
        <f t="shared" si="27"/>
        <v>0</v>
      </c>
      <c r="F127" s="25">
        <f t="shared" si="28"/>
        <v>1</v>
      </c>
      <c r="G127" s="25" t="str">
        <f t="shared" si="29"/>
        <v>0</v>
      </c>
      <c r="H127" s="25" t="str">
        <f t="shared" si="30"/>
        <v>0</v>
      </c>
      <c r="I127" s="25">
        <f t="shared" si="31"/>
        <v>1</v>
      </c>
      <c r="J127" s="25" t="str">
        <f t="shared" si="32"/>
        <v>0</v>
      </c>
      <c r="K127" s="25" t="str">
        <f t="shared" si="33"/>
        <v>0</v>
      </c>
      <c r="L127" s="119"/>
      <c r="M127" s="119"/>
      <c r="N127" s="119"/>
      <c r="O127" s="119"/>
      <c r="P127" s="119"/>
      <c r="Q127" s="119"/>
      <c r="R127" s="120"/>
    </row>
    <row r="128" spans="1:18" ht="41.45" customHeight="1">
      <c r="A128" s="19"/>
      <c r="B128" s="3"/>
      <c r="C128" s="22"/>
      <c r="D128" s="22"/>
      <c r="E128" s="25" t="str">
        <f t="shared" si="27"/>
        <v>0</v>
      </c>
      <c r="F128" s="25">
        <f t="shared" si="28"/>
        <v>1</v>
      </c>
      <c r="G128" s="25" t="str">
        <f t="shared" si="29"/>
        <v>0</v>
      </c>
      <c r="H128" s="25" t="str">
        <f t="shared" si="30"/>
        <v>0</v>
      </c>
      <c r="I128" s="25">
        <f t="shared" si="31"/>
        <v>1</v>
      </c>
      <c r="J128" s="25" t="str">
        <f t="shared" si="32"/>
        <v>0</v>
      </c>
      <c r="K128" s="25" t="str">
        <f t="shared" si="33"/>
        <v>0</v>
      </c>
      <c r="L128" s="119"/>
      <c r="M128" s="119"/>
      <c r="N128" s="119"/>
      <c r="O128" s="119"/>
      <c r="P128" s="119"/>
      <c r="Q128" s="119"/>
      <c r="R128" s="120"/>
    </row>
    <row r="129" spans="1:18" ht="41.45" customHeight="1">
      <c r="A129" s="19"/>
      <c r="B129" s="3"/>
      <c r="C129" s="22"/>
      <c r="D129" s="22"/>
      <c r="E129" s="25" t="str">
        <f t="shared" si="27"/>
        <v>0</v>
      </c>
      <c r="F129" s="25">
        <f t="shared" si="28"/>
        <v>1</v>
      </c>
      <c r="G129" s="25" t="str">
        <f t="shared" si="29"/>
        <v>0</v>
      </c>
      <c r="H129" s="25" t="str">
        <f t="shared" si="30"/>
        <v>0</v>
      </c>
      <c r="I129" s="25">
        <f t="shared" si="31"/>
        <v>1</v>
      </c>
      <c r="J129" s="25" t="str">
        <f t="shared" si="32"/>
        <v>0</v>
      </c>
      <c r="K129" s="25" t="str">
        <f t="shared" si="33"/>
        <v>0</v>
      </c>
      <c r="L129" s="119"/>
      <c r="M129" s="119"/>
      <c r="N129" s="119"/>
      <c r="O129" s="119"/>
      <c r="P129" s="119"/>
      <c r="Q129" s="119"/>
      <c r="R129" s="120"/>
    </row>
    <row r="130" spans="1:18" ht="41.45" customHeight="1">
      <c r="A130" s="19"/>
      <c r="B130" s="3"/>
      <c r="C130" s="22"/>
      <c r="D130" s="22"/>
      <c r="E130" s="25" t="str">
        <f t="shared" si="27"/>
        <v>0</v>
      </c>
      <c r="F130" s="25">
        <f t="shared" si="28"/>
        <v>1</v>
      </c>
      <c r="G130" s="25" t="str">
        <f t="shared" si="29"/>
        <v>0</v>
      </c>
      <c r="H130" s="25" t="str">
        <f t="shared" si="30"/>
        <v>0</v>
      </c>
      <c r="I130" s="25">
        <f t="shared" si="31"/>
        <v>1</v>
      </c>
      <c r="J130" s="25" t="str">
        <f t="shared" si="32"/>
        <v>0</v>
      </c>
      <c r="K130" s="25" t="str">
        <f t="shared" si="33"/>
        <v>0</v>
      </c>
      <c r="L130" s="119"/>
      <c r="M130" s="119"/>
      <c r="N130" s="119"/>
      <c r="O130" s="119"/>
      <c r="P130" s="119"/>
      <c r="Q130" s="119"/>
      <c r="R130" s="120"/>
    </row>
    <row r="131" spans="1:18" ht="41.45" customHeight="1">
      <c r="A131" s="19"/>
      <c r="B131" s="3"/>
      <c r="C131" s="22"/>
      <c r="D131" s="22"/>
      <c r="E131" s="25" t="str">
        <f t="shared" si="27"/>
        <v>0</v>
      </c>
      <c r="F131" s="25">
        <f t="shared" si="28"/>
        <v>1</v>
      </c>
      <c r="G131" s="25" t="str">
        <f t="shared" si="29"/>
        <v>0</v>
      </c>
      <c r="H131" s="25" t="str">
        <f t="shared" si="30"/>
        <v>0</v>
      </c>
      <c r="I131" s="25">
        <f t="shared" si="31"/>
        <v>1</v>
      </c>
      <c r="J131" s="25" t="str">
        <f t="shared" si="32"/>
        <v>0</v>
      </c>
      <c r="K131" s="25" t="str">
        <f t="shared" si="33"/>
        <v>0</v>
      </c>
      <c r="L131" s="119"/>
      <c r="M131" s="119"/>
      <c r="N131" s="119"/>
      <c r="O131" s="119"/>
      <c r="P131" s="119"/>
      <c r="Q131" s="119"/>
      <c r="R131" s="120"/>
    </row>
    <row r="132" spans="1:18" ht="41.45" customHeight="1">
      <c r="A132" s="19"/>
      <c r="B132" s="3"/>
      <c r="C132" s="22"/>
      <c r="D132" s="22"/>
      <c r="E132" s="25" t="str">
        <f t="shared" si="27"/>
        <v>0</v>
      </c>
      <c r="F132" s="25">
        <f t="shared" si="28"/>
        <v>1</v>
      </c>
      <c r="G132" s="25" t="str">
        <f t="shared" si="29"/>
        <v>0</v>
      </c>
      <c r="H132" s="25" t="str">
        <f t="shared" si="30"/>
        <v>0</v>
      </c>
      <c r="I132" s="25">
        <f t="shared" si="31"/>
        <v>1</v>
      </c>
      <c r="J132" s="25" t="str">
        <f t="shared" si="32"/>
        <v>0</v>
      </c>
      <c r="K132" s="25" t="str">
        <f t="shared" si="33"/>
        <v>0</v>
      </c>
      <c r="L132" s="119"/>
      <c r="M132" s="119"/>
      <c r="N132" s="119"/>
      <c r="O132" s="119"/>
      <c r="P132" s="119"/>
      <c r="Q132" s="119"/>
      <c r="R132" s="120"/>
    </row>
    <row r="133" spans="1:18" ht="41.45" customHeight="1">
      <c r="A133" s="19"/>
      <c r="B133" s="3"/>
      <c r="C133" s="22"/>
      <c r="D133" s="22"/>
      <c r="E133" s="25" t="str">
        <f t="shared" si="27"/>
        <v>0</v>
      </c>
      <c r="F133" s="25">
        <f t="shared" si="28"/>
        <v>1</v>
      </c>
      <c r="G133" s="25" t="str">
        <f t="shared" si="29"/>
        <v>0</v>
      </c>
      <c r="H133" s="25" t="str">
        <f t="shared" si="30"/>
        <v>0</v>
      </c>
      <c r="I133" s="25">
        <f t="shared" si="31"/>
        <v>1</v>
      </c>
      <c r="J133" s="25" t="str">
        <f t="shared" si="32"/>
        <v>0</v>
      </c>
      <c r="K133" s="25" t="str">
        <f t="shared" si="33"/>
        <v>0</v>
      </c>
      <c r="L133" s="119"/>
      <c r="M133" s="119"/>
      <c r="N133" s="119"/>
      <c r="O133" s="119"/>
      <c r="P133" s="119"/>
      <c r="Q133" s="119"/>
      <c r="R133" s="120"/>
    </row>
    <row r="134" spans="1:18" ht="41.45" customHeight="1">
      <c r="A134" s="19"/>
      <c r="B134" s="3"/>
      <c r="C134" s="22"/>
      <c r="D134" s="22"/>
      <c r="E134" s="25" t="str">
        <f t="shared" si="27"/>
        <v>0</v>
      </c>
      <c r="F134" s="25">
        <f t="shared" si="28"/>
        <v>1</v>
      </c>
      <c r="G134" s="25" t="str">
        <f t="shared" si="29"/>
        <v>0</v>
      </c>
      <c r="H134" s="25" t="str">
        <f t="shared" si="30"/>
        <v>0</v>
      </c>
      <c r="I134" s="25">
        <f t="shared" si="31"/>
        <v>1</v>
      </c>
      <c r="J134" s="25" t="str">
        <f t="shared" si="32"/>
        <v>0</v>
      </c>
      <c r="K134" s="25" t="str">
        <f t="shared" si="33"/>
        <v>0</v>
      </c>
      <c r="L134" s="119"/>
      <c r="M134" s="119"/>
      <c r="N134" s="119"/>
      <c r="O134" s="119"/>
      <c r="P134" s="119"/>
      <c r="Q134" s="119"/>
      <c r="R134" s="120"/>
    </row>
    <row r="135" spans="1:18" ht="41.45" customHeight="1">
      <c r="A135" s="19"/>
      <c r="B135" s="3"/>
      <c r="C135" s="22"/>
      <c r="D135" s="22"/>
      <c r="E135" s="25" t="str">
        <f t="shared" si="27"/>
        <v>0</v>
      </c>
      <c r="F135" s="25">
        <f t="shared" si="28"/>
        <v>1</v>
      </c>
      <c r="G135" s="25" t="str">
        <f t="shared" si="29"/>
        <v>0</v>
      </c>
      <c r="H135" s="25" t="str">
        <f t="shared" si="30"/>
        <v>0</v>
      </c>
      <c r="I135" s="25">
        <f t="shared" si="31"/>
        <v>1</v>
      </c>
      <c r="J135" s="25" t="str">
        <f t="shared" si="32"/>
        <v>0</v>
      </c>
      <c r="K135" s="25" t="str">
        <f t="shared" si="33"/>
        <v>0</v>
      </c>
      <c r="L135" s="119"/>
      <c r="M135" s="119"/>
      <c r="N135" s="119"/>
      <c r="O135" s="119"/>
      <c r="P135" s="119"/>
      <c r="Q135" s="119"/>
      <c r="R135" s="120"/>
    </row>
    <row r="136" spans="1:18" ht="41.45" customHeight="1">
      <c r="A136" s="19"/>
      <c r="B136" s="3"/>
      <c r="C136" s="22"/>
      <c r="D136" s="22"/>
      <c r="E136" s="25" t="str">
        <f t="shared" si="27"/>
        <v>0</v>
      </c>
      <c r="F136" s="25">
        <f t="shared" si="28"/>
        <v>1</v>
      </c>
      <c r="G136" s="25" t="str">
        <f t="shared" si="29"/>
        <v>0</v>
      </c>
      <c r="H136" s="25" t="str">
        <f t="shared" si="30"/>
        <v>0</v>
      </c>
      <c r="I136" s="25">
        <f t="shared" si="31"/>
        <v>1</v>
      </c>
      <c r="J136" s="25" t="str">
        <f t="shared" si="32"/>
        <v>0</v>
      </c>
      <c r="K136" s="25" t="str">
        <f t="shared" si="33"/>
        <v>0</v>
      </c>
      <c r="L136" s="119"/>
      <c r="M136" s="119"/>
      <c r="N136" s="119"/>
      <c r="O136" s="119"/>
      <c r="P136" s="119"/>
      <c r="Q136" s="119"/>
      <c r="R136" s="120"/>
    </row>
    <row r="137" spans="1:18" ht="41.45" customHeight="1">
      <c r="A137" s="19"/>
      <c r="B137" s="3"/>
      <c r="C137" s="22"/>
      <c r="D137" s="22"/>
      <c r="E137" s="25" t="str">
        <f t="shared" si="27"/>
        <v>0</v>
      </c>
      <c r="F137" s="25">
        <f t="shared" si="28"/>
        <v>1</v>
      </c>
      <c r="G137" s="25" t="str">
        <f t="shared" si="29"/>
        <v>0</v>
      </c>
      <c r="H137" s="25" t="str">
        <f t="shared" si="30"/>
        <v>0</v>
      </c>
      <c r="I137" s="25">
        <f t="shared" si="31"/>
        <v>1</v>
      </c>
      <c r="J137" s="25" t="str">
        <f t="shared" si="32"/>
        <v>0</v>
      </c>
      <c r="K137" s="25" t="str">
        <f t="shared" si="33"/>
        <v>0</v>
      </c>
      <c r="L137" s="119"/>
      <c r="M137" s="119"/>
      <c r="N137" s="119"/>
      <c r="O137" s="119"/>
      <c r="P137" s="119"/>
      <c r="Q137" s="119"/>
      <c r="R137" s="120"/>
    </row>
    <row r="138" spans="1:18" ht="41.45" customHeight="1">
      <c r="A138" s="19"/>
      <c r="B138" s="3"/>
      <c r="C138" s="22"/>
      <c r="D138" s="22"/>
      <c r="E138" s="25" t="str">
        <f t="shared" si="27"/>
        <v>0</v>
      </c>
      <c r="F138" s="25">
        <f t="shared" si="28"/>
        <v>1</v>
      </c>
      <c r="G138" s="25" t="str">
        <f t="shared" si="29"/>
        <v>0</v>
      </c>
      <c r="H138" s="25" t="str">
        <f t="shared" si="30"/>
        <v>0</v>
      </c>
      <c r="I138" s="25">
        <f t="shared" si="31"/>
        <v>1</v>
      </c>
      <c r="J138" s="25" t="str">
        <f t="shared" si="32"/>
        <v>0</v>
      </c>
      <c r="K138" s="25" t="str">
        <f t="shared" si="33"/>
        <v>0</v>
      </c>
      <c r="L138" s="119"/>
      <c r="M138" s="119"/>
      <c r="N138" s="119"/>
      <c r="O138" s="119"/>
      <c r="P138" s="119"/>
      <c r="Q138" s="119"/>
      <c r="R138" s="120"/>
    </row>
    <row r="139" spans="1:18" ht="41.45" customHeight="1">
      <c r="A139" s="19"/>
      <c r="B139" s="3"/>
      <c r="C139" s="22"/>
      <c r="D139" s="22"/>
      <c r="E139" s="25" t="str">
        <f t="shared" si="27"/>
        <v>0</v>
      </c>
      <c r="F139" s="25">
        <f t="shared" si="28"/>
        <v>1</v>
      </c>
      <c r="G139" s="25" t="str">
        <f t="shared" si="29"/>
        <v>0</v>
      </c>
      <c r="H139" s="25" t="str">
        <f t="shared" si="30"/>
        <v>0</v>
      </c>
      <c r="I139" s="25">
        <f t="shared" si="31"/>
        <v>1</v>
      </c>
      <c r="J139" s="25" t="str">
        <f t="shared" si="32"/>
        <v>0</v>
      </c>
      <c r="K139" s="25" t="str">
        <f t="shared" si="33"/>
        <v>0</v>
      </c>
      <c r="L139" s="119"/>
      <c r="M139" s="119"/>
      <c r="N139" s="119"/>
      <c r="O139" s="119"/>
      <c r="P139" s="119"/>
      <c r="Q139" s="119"/>
      <c r="R139" s="120"/>
    </row>
    <row r="140" spans="1:18" ht="41.45" customHeight="1">
      <c r="A140" s="19"/>
      <c r="B140" s="3"/>
      <c r="C140" s="22"/>
      <c r="D140" s="22"/>
      <c r="E140" s="25" t="str">
        <f t="shared" si="27"/>
        <v>0</v>
      </c>
      <c r="F140" s="25">
        <f t="shared" si="28"/>
        <v>1</v>
      </c>
      <c r="G140" s="25" t="str">
        <f t="shared" si="29"/>
        <v>0</v>
      </c>
      <c r="H140" s="25" t="str">
        <f t="shared" si="30"/>
        <v>0</v>
      </c>
      <c r="I140" s="25">
        <f t="shared" si="31"/>
        <v>1</v>
      </c>
      <c r="J140" s="25" t="str">
        <f t="shared" si="32"/>
        <v>0</v>
      </c>
      <c r="K140" s="25" t="str">
        <f t="shared" si="33"/>
        <v>0</v>
      </c>
      <c r="L140" s="119"/>
      <c r="M140" s="119"/>
      <c r="N140" s="119"/>
      <c r="O140" s="119"/>
      <c r="P140" s="119"/>
      <c r="Q140" s="119"/>
      <c r="R140" s="120"/>
    </row>
    <row r="141" spans="1:18" ht="41.45" customHeight="1">
      <c r="A141" s="19"/>
      <c r="B141" s="3"/>
      <c r="C141" s="22"/>
      <c r="D141" s="22"/>
      <c r="E141" s="25" t="str">
        <f t="shared" si="27"/>
        <v>0</v>
      </c>
      <c r="F141" s="25">
        <f t="shared" si="28"/>
        <v>0.21000000000000085</v>
      </c>
      <c r="G141" s="25" t="str">
        <f t="shared" si="29"/>
        <v>0</v>
      </c>
      <c r="H141" s="25" t="str">
        <f t="shared" si="30"/>
        <v>0</v>
      </c>
      <c r="I141" s="25">
        <f t="shared" si="31"/>
        <v>0.21000000000000085</v>
      </c>
      <c r="J141" s="25" t="str">
        <f t="shared" si="32"/>
        <v>0</v>
      </c>
      <c r="K141" s="25" t="str">
        <f t="shared" si="33"/>
        <v>0</v>
      </c>
      <c r="L141" s="119"/>
      <c r="M141" s="119"/>
      <c r="N141" s="119"/>
      <c r="O141" s="119"/>
      <c r="P141" s="119"/>
      <c r="Q141" s="119"/>
      <c r="R141" s="120"/>
    </row>
    <row r="142" spans="1:18" ht="41.45" customHeight="1">
      <c r="A142" s="19"/>
      <c r="B142" s="3"/>
      <c r="C142" s="22"/>
      <c r="D142" s="22"/>
      <c r="E142" s="25">
        <f t="shared" si="27"/>
        <v>1</v>
      </c>
      <c r="F142" s="25" t="str">
        <f t="shared" si="28"/>
        <v>0</v>
      </c>
      <c r="G142" s="25" t="str">
        <f t="shared" si="29"/>
        <v>0</v>
      </c>
      <c r="H142" s="25" t="str">
        <f t="shared" si="30"/>
        <v>0</v>
      </c>
      <c r="I142" s="25">
        <f t="shared" si="31"/>
        <v>1</v>
      </c>
      <c r="J142" s="25" t="str">
        <f t="shared" si="32"/>
        <v>0</v>
      </c>
      <c r="K142" s="25" t="str">
        <f t="shared" si="33"/>
        <v>0</v>
      </c>
      <c r="L142" s="119"/>
      <c r="M142" s="119"/>
      <c r="N142" s="119"/>
      <c r="O142" s="119"/>
      <c r="P142" s="119"/>
      <c r="Q142" s="119"/>
      <c r="R142" s="120"/>
    </row>
    <row r="143" spans="1:18" ht="41.45" customHeight="1">
      <c r="A143" s="19"/>
      <c r="B143" s="3"/>
      <c r="C143" s="22"/>
      <c r="D143" s="22"/>
      <c r="E143" s="25">
        <f t="shared" si="27"/>
        <v>0.35000000000000009</v>
      </c>
      <c r="F143" s="25" t="str">
        <f t="shared" si="28"/>
        <v>0</v>
      </c>
      <c r="G143" s="25" t="str">
        <f t="shared" si="29"/>
        <v>0</v>
      </c>
      <c r="H143" s="25" t="str">
        <f t="shared" si="30"/>
        <v>0</v>
      </c>
      <c r="I143" s="25">
        <f t="shared" si="31"/>
        <v>0.35000000000000009</v>
      </c>
      <c r="J143" s="25" t="str">
        <f t="shared" si="32"/>
        <v>0</v>
      </c>
      <c r="K143" s="25" t="str">
        <f t="shared" si="33"/>
        <v>0</v>
      </c>
      <c r="L143" s="119"/>
      <c r="M143" s="119"/>
      <c r="N143" s="119"/>
      <c r="O143" s="119"/>
      <c r="P143" s="119"/>
      <c r="Q143" s="119"/>
      <c r="R143" s="120"/>
    </row>
    <row r="144" spans="1:18" ht="41.45" customHeight="1">
      <c r="A144" s="19"/>
      <c r="B144" s="3"/>
      <c r="C144" s="22"/>
      <c r="D144" s="22"/>
      <c r="E144" s="25">
        <f t="shared" si="27"/>
        <v>1</v>
      </c>
      <c r="F144" s="25" t="str">
        <f t="shared" si="28"/>
        <v>0</v>
      </c>
      <c r="G144" s="25" t="str">
        <f t="shared" si="29"/>
        <v>0</v>
      </c>
      <c r="H144" s="25" t="str">
        <f t="shared" si="30"/>
        <v>0</v>
      </c>
      <c r="I144" s="25">
        <f t="shared" si="31"/>
        <v>1</v>
      </c>
      <c r="J144" s="25" t="str">
        <f t="shared" si="32"/>
        <v>0</v>
      </c>
      <c r="K144" s="25" t="str">
        <f t="shared" si="33"/>
        <v>0</v>
      </c>
      <c r="L144" s="119"/>
      <c r="M144" s="119"/>
      <c r="N144" s="119"/>
      <c r="O144" s="119"/>
      <c r="P144" s="119"/>
      <c r="Q144" s="119"/>
      <c r="R144" s="120"/>
    </row>
    <row r="145" spans="1:18" ht="41.45" customHeight="1">
      <c r="A145" s="19"/>
      <c r="B145" s="3"/>
      <c r="C145" s="22"/>
      <c r="D145" s="22"/>
      <c r="E145" s="25">
        <f t="shared" si="27"/>
        <v>1</v>
      </c>
      <c r="F145" s="25" t="str">
        <f t="shared" si="28"/>
        <v>0</v>
      </c>
      <c r="G145" s="25" t="str">
        <f t="shared" si="29"/>
        <v>0</v>
      </c>
      <c r="H145" s="25" t="str">
        <f t="shared" si="30"/>
        <v>0</v>
      </c>
      <c r="I145" s="25">
        <f t="shared" si="31"/>
        <v>1</v>
      </c>
      <c r="J145" s="25" t="str">
        <f t="shared" si="32"/>
        <v>0</v>
      </c>
      <c r="K145" s="25" t="str">
        <f t="shared" si="33"/>
        <v>0</v>
      </c>
      <c r="L145" s="119"/>
      <c r="M145" s="119"/>
      <c r="N145" s="119"/>
      <c r="O145" s="119"/>
      <c r="P145" s="119"/>
      <c r="Q145" s="119"/>
      <c r="R145" s="120"/>
    </row>
    <row r="146" spans="1:18" ht="41.45" customHeight="1">
      <c r="A146" s="19"/>
      <c r="B146" s="3"/>
      <c r="C146" s="22"/>
      <c r="D146" s="22"/>
      <c r="E146" s="25">
        <f t="shared" si="27"/>
        <v>1</v>
      </c>
      <c r="F146" s="25" t="str">
        <f t="shared" si="28"/>
        <v>0</v>
      </c>
      <c r="G146" s="25" t="str">
        <f t="shared" si="29"/>
        <v>0</v>
      </c>
      <c r="H146" s="25" t="str">
        <f t="shared" si="30"/>
        <v>0</v>
      </c>
      <c r="I146" s="25">
        <f t="shared" si="31"/>
        <v>1</v>
      </c>
      <c r="J146" s="25" t="str">
        <f t="shared" si="32"/>
        <v>0</v>
      </c>
      <c r="K146" s="25" t="str">
        <f t="shared" si="33"/>
        <v>0</v>
      </c>
      <c r="L146" s="119"/>
      <c r="M146" s="119"/>
      <c r="N146" s="119"/>
      <c r="O146" s="119"/>
      <c r="P146" s="119"/>
      <c r="Q146" s="119"/>
      <c r="R146" s="120"/>
    </row>
    <row r="147" spans="1:18" ht="41.45" customHeight="1">
      <c r="A147" s="19"/>
      <c r="B147" s="3"/>
      <c r="C147" s="22"/>
      <c r="D147" s="22"/>
      <c r="E147" s="25">
        <f t="shared" si="27"/>
        <v>1</v>
      </c>
      <c r="F147" s="25" t="str">
        <f t="shared" si="28"/>
        <v>0</v>
      </c>
      <c r="G147" s="25" t="str">
        <f t="shared" si="29"/>
        <v>0</v>
      </c>
      <c r="H147" s="25" t="str">
        <f t="shared" si="30"/>
        <v>0</v>
      </c>
      <c r="I147" s="25">
        <f t="shared" si="31"/>
        <v>1</v>
      </c>
      <c r="J147" s="25" t="str">
        <f t="shared" si="32"/>
        <v>0</v>
      </c>
      <c r="K147" s="25" t="str">
        <f t="shared" si="33"/>
        <v>0</v>
      </c>
      <c r="L147" s="119"/>
      <c r="M147" s="119"/>
      <c r="N147" s="119"/>
      <c r="O147" s="119"/>
      <c r="P147" s="119"/>
      <c r="Q147" s="119"/>
      <c r="R147" s="120"/>
    </row>
    <row r="148" spans="1:18" ht="41.45" customHeight="1">
      <c r="A148" s="19"/>
      <c r="B148" s="3"/>
      <c r="C148" s="22"/>
      <c r="D148" s="22"/>
      <c r="E148" s="25">
        <f t="shared" si="27"/>
        <v>1</v>
      </c>
      <c r="F148" s="25" t="str">
        <f t="shared" si="28"/>
        <v>0</v>
      </c>
      <c r="G148" s="25" t="str">
        <f t="shared" si="29"/>
        <v>0</v>
      </c>
      <c r="H148" s="25" t="str">
        <f t="shared" si="30"/>
        <v>0</v>
      </c>
      <c r="I148" s="25">
        <f t="shared" si="31"/>
        <v>1</v>
      </c>
      <c r="J148" s="25" t="str">
        <f t="shared" si="32"/>
        <v>0</v>
      </c>
      <c r="K148" s="25" t="str">
        <f t="shared" si="33"/>
        <v>0</v>
      </c>
      <c r="L148" s="119"/>
      <c r="M148" s="119"/>
      <c r="N148" s="119"/>
      <c r="O148" s="119"/>
      <c r="P148" s="119"/>
      <c r="Q148" s="119"/>
      <c r="R148" s="120"/>
    </row>
    <row r="149" spans="1:18" ht="41.45" customHeight="1">
      <c r="A149" s="19"/>
      <c r="B149" s="3"/>
      <c r="C149" s="22"/>
      <c r="D149" s="22"/>
      <c r="E149" s="25">
        <f t="shared" si="27"/>
        <v>1</v>
      </c>
      <c r="F149" s="25" t="str">
        <f t="shared" si="28"/>
        <v>0</v>
      </c>
      <c r="G149" s="25" t="str">
        <f t="shared" si="29"/>
        <v>0</v>
      </c>
      <c r="H149" s="25" t="str">
        <f t="shared" si="30"/>
        <v>0</v>
      </c>
      <c r="I149" s="25">
        <f t="shared" si="31"/>
        <v>1</v>
      </c>
      <c r="J149" s="25" t="str">
        <f t="shared" si="32"/>
        <v>0</v>
      </c>
      <c r="K149" s="25" t="str">
        <f t="shared" si="33"/>
        <v>0</v>
      </c>
      <c r="L149" s="119"/>
      <c r="M149" s="119"/>
      <c r="N149" s="119"/>
      <c r="O149" s="119"/>
      <c r="P149" s="119"/>
      <c r="Q149" s="119"/>
      <c r="R149" s="120"/>
    </row>
    <row r="150" spans="1:18" ht="41.45" customHeight="1">
      <c r="A150" s="19"/>
      <c r="B150" s="3"/>
      <c r="C150" s="22"/>
      <c r="D150" s="22"/>
      <c r="E150" s="25">
        <f t="shared" si="27"/>
        <v>1</v>
      </c>
      <c r="F150" s="25" t="str">
        <f t="shared" si="28"/>
        <v>0</v>
      </c>
      <c r="G150" s="25" t="str">
        <f t="shared" si="29"/>
        <v>0</v>
      </c>
      <c r="H150" s="25" t="str">
        <f t="shared" si="30"/>
        <v>0</v>
      </c>
      <c r="I150" s="25">
        <f t="shared" si="31"/>
        <v>1</v>
      </c>
      <c r="J150" s="25" t="str">
        <f t="shared" si="32"/>
        <v>0</v>
      </c>
      <c r="K150" s="25" t="str">
        <f t="shared" si="33"/>
        <v>0</v>
      </c>
      <c r="L150" s="119"/>
      <c r="M150" s="119"/>
      <c r="N150" s="119"/>
      <c r="O150" s="119"/>
      <c r="P150" s="119"/>
      <c r="Q150" s="119"/>
      <c r="R150" s="120"/>
    </row>
    <row r="151" spans="1:18" ht="41.45" customHeight="1">
      <c r="A151" s="19"/>
      <c r="B151" s="3"/>
      <c r="C151" s="22"/>
      <c r="D151" s="22"/>
      <c r="E151" s="25">
        <f t="shared" si="27"/>
        <v>0.29000000000000004</v>
      </c>
      <c r="F151" s="25" t="str">
        <f t="shared" si="28"/>
        <v>0</v>
      </c>
      <c r="G151" s="25" t="str">
        <f t="shared" si="29"/>
        <v>0</v>
      </c>
      <c r="H151" s="25" t="str">
        <f t="shared" si="30"/>
        <v>0</v>
      </c>
      <c r="I151" s="25">
        <f t="shared" si="31"/>
        <v>0.29000000000000004</v>
      </c>
      <c r="J151" s="25" t="str">
        <f t="shared" si="32"/>
        <v>0</v>
      </c>
      <c r="K151" s="25" t="str">
        <f t="shared" si="33"/>
        <v>0</v>
      </c>
      <c r="L151" s="119"/>
      <c r="M151" s="119"/>
      <c r="N151" s="119"/>
      <c r="O151" s="119"/>
      <c r="P151" s="119"/>
      <c r="Q151" s="119"/>
      <c r="R151" s="120"/>
    </row>
    <row r="152" spans="1:18" ht="41.45" customHeight="1">
      <c r="A152" s="19"/>
      <c r="B152" s="3"/>
      <c r="C152" s="22"/>
      <c r="D152" s="22"/>
      <c r="E152" s="25">
        <f t="shared" si="27"/>
        <v>1</v>
      </c>
      <c r="F152" s="25" t="str">
        <f t="shared" si="28"/>
        <v>0</v>
      </c>
      <c r="G152" s="25" t="str">
        <f t="shared" si="29"/>
        <v>0</v>
      </c>
      <c r="H152" s="25" t="str">
        <f t="shared" si="30"/>
        <v>0</v>
      </c>
      <c r="I152" s="25">
        <f t="shared" si="31"/>
        <v>1</v>
      </c>
      <c r="J152" s="25" t="str">
        <f t="shared" si="32"/>
        <v>0</v>
      </c>
      <c r="K152" s="25" t="str">
        <f t="shared" si="33"/>
        <v>0</v>
      </c>
      <c r="L152" s="119"/>
      <c r="M152" s="119"/>
      <c r="N152" s="119"/>
      <c r="O152" s="119"/>
      <c r="P152" s="119"/>
      <c r="Q152" s="119"/>
      <c r="R152" s="120"/>
    </row>
    <row r="153" spans="1:18" ht="41.45" customHeight="1">
      <c r="A153" s="19"/>
      <c r="B153" s="3"/>
      <c r="C153" s="22"/>
      <c r="D153" s="22"/>
      <c r="E153" s="25">
        <f t="shared" si="27"/>
        <v>1</v>
      </c>
      <c r="F153" s="25" t="str">
        <f t="shared" si="28"/>
        <v>0</v>
      </c>
      <c r="G153" s="25" t="str">
        <f t="shared" si="29"/>
        <v>0</v>
      </c>
      <c r="H153" s="25" t="str">
        <f t="shared" si="30"/>
        <v>0</v>
      </c>
      <c r="I153" s="25">
        <f t="shared" si="31"/>
        <v>1</v>
      </c>
      <c r="J153" s="25" t="str">
        <f t="shared" si="32"/>
        <v>0</v>
      </c>
      <c r="K153" s="25" t="str">
        <f t="shared" si="33"/>
        <v>0</v>
      </c>
      <c r="L153" s="119"/>
      <c r="M153" s="119"/>
      <c r="N153" s="119"/>
      <c r="O153" s="119"/>
      <c r="P153" s="119"/>
      <c r="Q153" s="119"/>
      <c r="R153" s="120"/>
    </row>
    <row r="154" spans="1:18" ht="41.45" customHeight="1">
      <c r="A154" s="19"/>
      <c r="B154" s="3"/>
      <c r="C154" s="22"/>
      <c r="D154" s="22"/>
      <c r="E154" s="25">
        <f t="shared" si="27"/>
        <v>1</v>
      </c>
      <c r="F154" s="25" t="str">
        <f t="shared" si="28"/>
        <v>0</v>
      </c>
      <c r="G154" s="25" t="str">
        <f t="shared" si="29"/>
        <v>0</v>
      </c>
      <c r="H154" s="25" t="str">
        <f t="shared" si="30"/>
        <v>0</v>
      </c>
      <c r="I154" s="25">
        <f t="shared" si="31"/>
        <v>1</v>
      </c>
      <c r="J154" s="25" t="str">
        <f t="shared" si="32"/>
        <v>0</v>
      </c>
      <c r="K154" s="25" t="str">
        <f t="shared" si="33"/>
        <v>0</v>
      </c>
      <c r="L154" s="119"/>
      <c r="M154" s="119"/>
      <c r="N154" s="119"/>
      <c r="O154" s="119"/>
      <c r="P154" s="119"/>
      <c r="Q154" s="119"/>
      <c r="R154" s="120"/>
    </row>
    <row r="155" spans="1:18" ht="41.45" customHeight="1">
      <c r="A155" s="19"/>
      <c r="B155" s="3"/>
      <c r="C155" s="22"/>
      <c r="D155" s="22"/>
      <c r="E155" s="25">
        <f t="shared" si="27"/>
        <v>0.85999999999999988</v>
      </c>
      <c r="F155" s="25" t="str">
        <f t="shared" si="28"/>
        <v>0</v>
      </c>
      <c r="G155" s="25" t="str">
        <f t="shared" si="29"/>
        <v>0</v>
      </c>
      <c r="H155" s="25" t="str">
        <f t="shared" si="30"/>
        <v>0</v>
      </c>
      <c r="I155" s="25">
        <f t="shared" si="31"/>
        <v>0.85999999999999988</v>
      </c>
      <c r="J155" s="25" t="str">
        <f t="shared" si="32"/>
        <v>0</v>
      </c>
      <c r="K155" s="25" t="str">
        <f t="shared" si="33"/>
        <v>0</v>
      </c>
      <c r="L155" s="119"/>
      <c r="M155" s="119"/>
      <c r="N155" s="119"/>
      <c r="O155" s="119"/>
      <c r="P155" s="119"/>
      <c r="Q155" s="119"/>
      <c r="R155" s="120"/>
    </row>
    <row r="156" spans="1:18" ht="41.45" customHeight="1">
      <c r="A156" s="19"/>
      <c r="B156" s="3"/>
      <c r="C156" s="22"/>
      <c r="D156" s="22"/>
      <c r="E156" s="25">
        <f t="shared" si="27"/>
        <v>1</v>
      </c>
      <c r="F156" s="25" t="str">
        <f t="shared" si="28"/>
        <v>0</v>
      </c>
      <c r="G156" s="25" t="str">
        <f t="shared" si="29"/>
        <v>0</v>
      </c>
      <c r="H156" s="25" t="str">
        <f t="shared" si="30"/>
        <v>0</v>
      </c>
      <c r="I156" s="25">
        <f t="shared" si="31"/>
        <v>1</v>
      </c>
      <c r="J156" s="25" t="str">
        <f t="shared" si="32"/>
        <v>0</v>
      </c>
      <c r="K156" s="25" t="str">
        <f t="shared" si="33"/>
        <v>0</v>
      </c>
      <c r="L156" s="119"/>
      <c r="M156" s="119"/>
      <c r="N156" s="119"/>
      <c r="O156" s="119"/>
      <c r="P156" s="119"/>
      <c r="Q156" s="119"/>
      <c r="R156" s="120"/>
    </row>
    <row r="157" spans="1:18" ht="41.45" customHeight="1">
      <c r="A157" s="19"/>
      <c r="B157" s="3"/>
      <c r="C157" s="22"/>
      <c r="D157" s="22"/>
      <c r="E157" s="25">
        <f t="shared" si="27"/>
        <v>1</v>
      </c>
      <c r="F157" s="25" t="str">
        <f t="shared" si="28"/>
        <v>0</v>
      </c>
      <c r="G157" s="25" t="str">
        <f t="shared" si="29"/>
        <v>0</v>
      </c>
      <c r="H157" s="25" t="str">
        <f t="shared" si="30"/>
        <v>0</v>
      </c>
      <c r="I157" s="25">
        <f t="shared" si="31"/>
        <v>1</v>
      </c>
      <c r="J157" s="25" t="str">
        <f t="shared" si="32"/>
        <v>0</v>
      </c>
      <c r="K157" s="25" t="str">
        <f t="shared" si="33"/>
        <v>0</v>
      </c>
      <c r="L157" s="119"/>
      <c r="M157" s="119"/>
      <c r="N157" s="119"/>
      <c r="O157" s="119"/>
      <c r="P157" s="119"/>
      <c r="Q157" s="119"/>
      <c r="R157" s="120"/>
    </row>
    <row r="158" spans="1:18" ht="41.45" customHeight="1">
      <c r="A158" s="19"/>
      <c r="B158" s="3"/>
      <c r="C158" s="22"/>
      <c r="D158" s="22"/>
      <c r="E158" s="25">
        <f t="shared" si="27"/>
        <v>1</v>
      </c>
      <c r="F158" s="25" t="str">
        <f t="shared" si="28"/>
        <v>0</v>
      </c>
      <c r="G158" s="25" t="str">
        <f t="shared" si="29"/>
        <v>0</v>
      </c>
      <c r="H158" s="25" t="str">
        <f t="shared" si="30"/>
        <v>0</v>
      </c>
      <c r="I158" s="25">
        <f t="shared" si="31"/>
        <v>1</v>
      </c>
      <c r="J158" s="25" t="str">
        <f t="shared" si="32"/>
        <v>0</v>
      </c>
      <c r="K158" s="25" t="str">
        <f t="shared" si="33"/>
        <v>0</v>
      </c>
      <c r="L158" s="119"/>
      <c r="M158" s="119"/>
      <c r="N158" s="119"/>
      <c r="O158" s="119"/>
      <c r="P158" s="119"/>
      <c r="Q158" s="119"/>
      <c r="R158" s="120"/>
    </row>
    <row r="159" spans="1:18" ht="41.45" customHeight="1">
      <c r="A159" s="19"/>
      <c r="B159" s="3"/>
      <c r="C159" s="22"/>
      <c r="D159" s="22"/>
      <c r="E159" s="25">
        <f t="shared" si="27"/>
        <v>1</v>
      </c>
      <c r="F159" s="25" t="str">
        <f t="shared" si="28"/>
        <v>0</v>
      </c>
      <c r="G159" s="25" t="str">
        <f t="shared" si="29"/>
        <v>0</v>
      </c>
      <c r="H159" s="25" t="str">
        <f t="shared" si="30"/>
        <v>0</v>
      </c>
      <c r="I159" s="25">
        <f t="shared" si="31"/>
        <v>1</v>
      </c>
      <c r="J159" s="25" t="str">
        <f t="shared" si="32"/>
        <v>0</v>
      </c>
      <c r="K159" s="25" t="str">
        <f t="shared" si="33"/>
        <v>0</v>
      </c>
      <c r="L159" s="119"/>
      <c r="M159" s="119"/>
      <c r="N159" s="119"/>
      <c r="O159" s="119"/>
      <c r="P159" s="119"/>
      <c r="Q159" s="119"/>
      <c r="R159" s="120"/>
    </row>
    <row r="160" spans="1:18" ht="41.45" customHeight="1">
      <c r="A160" s="19"/>
      <c r="B160" s="3"/>
      <c r="C160" s="22"/>
      <c r="D160" s="22"/>
      <c r="E160" s="25">
        <f t="shared" si="27"/>
        <v>1</v>
      </c>
      <c r="F160" s="25" t="str">
        <f t="shared" si="28"/>
        <v>0</v>
      </c>
      <c r="G160" s="25" t="str">
        <f t="shared" si="29"/>
        <v>0</v>
      </c>
      <c r="H160" s="25" t="str">
        <f t="shared" si="30"/>
        <v>0</v>
      </c>
      <c r="I160" s="25">
        <f t="shared" si="31"/>
        <v>1</v>
      </c>
      <c r="J160" s="25" t="str">
        <f t="shared" si="32"/>
        <v>0</v>
      </c>
      <c r="K160" s="25" t="str">
        <f t="shared" si="33"/>
        <v>0</v>
      </c>
      <c r="L160" s="119"/>
      <c r="M160" s="119"/>
      <c r="N160" s="119"/>
      <c r="O160" s="119"/>
      <c r="P160" s="119"/>
      <c r="Q160" s="119"/>
      <c r="R160" s="120"/>
    </row>
    <row r="161" spans="1:18" ht="41.45" customHeight="1">
      <c r="A161" s="19"/>
      <c r="B161" s="3"/>
      <c r="C161" s="22"/>
      <c r="D161" s="22"/>
      <c r="E161" s="25">
        <f t="shared" si="27"/>
        <v>1</v>
      </c>
      <c r="F161" s="25" t="str">
        <f t="shared" si="28"/>
        <v>0</v>
      </c>
      <c r="G161" s="25" t="str">
        <f t="shared" si="29"/>
        <v>0</v>
      </c>
      <c r="H161" s="25" t="str">
        <f t="shared" si="30"/>
        <v>0</v>
      </c>
      <c r="I161" s="25">
        <f t="shared" si="31"/>
        <v>1</v>
      </c>
      <c r="J161" s="25" t="str">
        <f t="shared" si="32"/>
        <v>0</v>
      </c>
      <c r="K161" s="25" t="str">
        <f t="shared" si="33"/>
        <v>0</v>
      </c>
      <c r="L161" s="119"/>
      <c r="M161" s="119"/>
      <c r="N161" s="119"/>
      <c r="O161" s="119"/>
      <c r="P161" s="119"/>
      <c r="Q161" s="119"/>
      <c r="R161" s="120"/>
    </row>
    <row r="162" spans="1:18" ht="41.45" customHeight="1">
      <c r="A162" s="19"/>
      <c r="B162" s="3"/>
      <c r="C162" s="22"/>
      <c r="D162" s="22"/>
      <c r="E162" s="25">
        <f t="shared" si="27"/>
        <v>1</v>
      </c>
      <c r="F162" s="25" t="str">
        <f t="shared" si="28"/>
        <v>0</v>
      </c>
      <c r="G162" s="25" t="str">
        <f t="shared" si="29"/>
        <v>0</v>
      </c>
      <c r="H162" s="25" t="str">
        <f t="shared" si="30"/>
        <v>0</v>
      </c>
      <c r="I162" s="25">
        <f t="shared" si="31"/>
        <v>1</v>
      </c>
      <c r="J162" s="25" t="str">
        <f t="shared" si="32"/>
        <v>0</v>
      </c>
      <c r="K162" s="25" t="str">
        <f t="shared" si="33"/>
        <v>0</v>
      </c>
      <c r="L162" s="119"/>
      <c r="M162" s="119"/>
      <c r="N162" s="119"/>
      <c r="O162" s="119"/>
      <c r="P162" s="119"/>
      <c r="Q162" s="119"/>
      <c r="R162" s="120"/>
    </row>
    <row r="163" spans="1:18" ht="41.45" customHeight="1">
      <c r="A163" s="19"/>
      <c r="B163" s="3"/>
      <c r="C163" s="22"/>
      <c r="D163" s="22"/>
      <c r="E163" s="25">
        <f t="shared" si="27"/>
        <v>1</v>
      </c>
      <c r="F163" s="25" t="str">
        <f t="shared" si="28"/>
        <v>0</v>
      </c>
      <c r="G163" s="25" t="str">
        <f t="shared" si="29"/>
        <v>0</v>
      </c>
      <c r="H163" s="25" t="str">
        <f t="shared" si="30"/>
        <v>0</v>
      </c>
      <c r="I163" s="25">
        <f t="shared" si="31"/>
        <v>1</v>
      </c>
      <c r="J163" s="25" t="str">
        <f t="shared" si="32"/>
        <v>0</v>
      </c>
      <c r="K163" s="25" t="str">
        <f t="shared" si="33"/>
        <v>0</v>
      </c>
      <c r="L163" s="119"/>
      <c r="M163" s="119"/>
      <c r="N163" s="119"/>
      <c r="O163" s="119"/>
      <c r="P163" s="119"/>
      <c r="Q163" s="119"/>
      <c r="R163" s="120"/>
    </row>
    <row r="164" spans="1:18" ht="41.45" customHeight="1">
      <c r="A164" s="19"/>
      <c r="B164" s="3"/>
      <c r="C164" s="22"/>
      <c r="D164" s="22"/>
      <c r="E164" s="25">
        <f t="shared" si="27"/>
        <v>1</v>
      </c>
      <c r="F164" s="25" t="str">
        <f t="shared" si="28"/>
        <v>0</v>
      </c>
      <c r="G164" s="25" t="str">
        <f t="shared" si="29"/>
        <v>0</v>
      </c>
      <c r="H164" s="25" t="str">
        <f t="shared" si="30"/>
        <v>0</v>
      </c>
      <c r="I164" s="25">
        <f t="shared" si="31"/>
        <v>1</v>
      </c>
      <c r="J164" s="25" t="str">
        <f t="shared" si="32"/>
        <v>0</v>
      </c>
      <c r="K164" s="25" t="str">
        <f t="shared" si="33"/>
        <v>0</v>
      </c>
      <c r="L164" s="119"/>
      <c r="M164" s="119"/>
      <c r="N164" s="119"/>
      <c r="O164" s="119"/>
      <c r="P164" s="119"/>
      <c r="Q164" s="119"/>
      <c r="R164" s="120"/>
    </row>
    <row r="165" spans="1:18" ht="41.45" customHeight="1">
      <c r="A165" s="19"/>
      <c r="B165" s="3"/>
      <c r="C165" s="22"/>
      <c r="D165" s="22"/>
      <c r="E165" s="25">
        <f t="shared" si="27"/>
        <v>0.35999999999999943</v>
      </c>
      <c r="F165" s="25" t="str">
        <f t="shared" si="28"/>
        <v>0</v>
      </c>
      <c r="G165" s="25" t="str">
        <f>IF(G85="X",(D85-C85),"0")</f>
        <v>0</v>
      </c>
      <c r="H165" s="25" t="str">
        <f t="shared" si="30"/>
        <v>0</v>
      </c>
      <c r="I165" s="25">
        <f t="shared" si="31"/>
        <v>0.35999999999999943</v>
      </c>
      <c r="J165" s="25" t="str">
        <f t="shared" si="32"/>
        <v>0</v>
      </c>
      <c r="K165" s="25" t="str">
        <f t="shared" si="33"/>
        <v>0</v>
      </c>
      <c r="L165" s="119"/>
      <c r="M165" s="119"/>
      <c r="N165" s="119"/>
      <c r="O165" s="119"/>
      <c r="P165" s="119"/>
      <c r="Q165" s="119"/>
      <c r="R165" s="120"/>
    </row>
    <row r="166" spans="1:18" ht="41.45" customHeight="1">
      <c r="A166" s="19"/>
      <c r="B166" s="3"/>
      <c r="C166" s="22"/>
      <c r="D166" s="22"/>
      <c r="E166" s="22"/>
      <c r="F166" s="21"/>
      <c r="G166" s="21"/>
      <c r="H166" s="21"/>
      <c r="I166" s="21"/>
      <c r="J166" s="21"/>
      <c r="K166" s="21"/>
      <c r="L166" s="119"/>
      <c r="M166" s="119"/>
      <c r="N166" s="119"/>
      <c r="O166" s="119"/>
      <c r="P166" s="119"/>
      <c r="Q166" s="119"/>
      <c r="R166" s="120"/>
    </row>
    <row r="167" spans="1:18" ht="41.45" customHeight="1">
      <c r="A167" s="19"/>
      <c r="B167" s="3"/>
      <c r="C167" s="22"/>
      <c r="D167" s="22"/>
      <c r="E167" s="22">
        <f>SUM(E87:E165)</f>
        <v>27.24</v>
      </c>
      <c r="F167" s="22">
        <f t="shared" ref="F167:K167" si="34">SUM(F87:F165)</f>
        <v>48.4</v>
      </c>
      <c r="G167" s="22">
        <f t="shared" si="34"/>
        <v>0</v>
      </c>
      <c r="H167" s="22">
        <f t="shared" si="34"/>
        <v>0</v>
      </c>
      <c r="I167" s="22">
        <f t="shared" si="34"/>
        <v>69.64</v>
      </c>
      <c r="J167" s="22">
        <f t="shared" si="34"/>
        <v>0</v>
      </c>
      <c r="K167" s="22">
        <f t="shared" si="34"/>
        <v>6</v>
      </c>
      <c r="L167" s="119"/>
      <c r="M167" s="119"/>
      <c r="N167" s="119"/>
      <c r="O167" s="119"/>
      <c r="P167" s="119"/>
      <c r="Q167" s="119"/>
      <c r="R167" s="120"/>
    </row>
    <row r="168" spans="1:18" ht="41.45" customHeight="1">
      <c r="A168" s="19"/>
      <c r="B168" s="3"/>
      <c r="C168" s="22"/>
      <c r="D168" s="22"/>
      <c r="E168" s="22"/>
      <c r="F168" s="22"/>
      <c r="G168" s="22"/>
      <c r="H168" s="22"/>
      <c r="I168" s="22"/>
      <c r="J168" s="22"/>
      <c r="K168" s="22"/>
      <c r="L168" s="119"/>
      <c r="M168" s="119"/>
      <c r="N168" s="119"/>
      <c r="O168" s="119"/>
      <c r="P168" s="119"/>
      <c r="Q168" s="119"/>
      <c r="R168" s="120"/>
    </row>
    <row r="169" spans="1:18" ht="41.45" customHeight="1">
      <c r="A169" s="19"/>
      <c r="B169" s="3"/>
      <c r="C169" s="22"/>
      <c r="D169" s="22"/>
      <c r="E169" s="22"/>
      <c r="F169" s="21"/>
      <c r="G169" s="21"/>
      <c r="H169" s="21"/>
      <c r="I169" s="21"/>
      <c r="J169" s="21"/>
      <c r="K169" s="21"/>
      <c r="L169" s="119"/>
      <c r="M169" s="119"/>
      <c r="N169" s="119"/>
      <c r="O169" s="119"/>
      <c r="P169" s="119"/>
      <c r="Q169" s="119"/>
      <c r="R169" s="120"/>
    </row>
    <row r="170" spans="1:18" ht="41.45" customHeight="1" thickBot="1">
      <c r="A170" s="20"/>
      <c r="B170" s="4"/>
      <c r="C170" s="26"/>
      <c r="D170" s="26"/>
      <c r="E170" s="26"/>
      <c r="F170" s="27"/>
      <c r="G170" s="27"/>
      <c r="H170" s="27"/>
      <c r="I170" s="27"/>
      <c r="J170" s="27"/>
      <c r="K170" s="27"/>
      <c r="L170" s="145"/>
      <c r="M170" s="145"/>
      <c r="N170" s="145"/>
      <c r="O170" s="145"/>
      <c r="P170" s="145"/>
      <c r="Q170" s="145"/>
      <c r="R170" s="146"/>
    </row>
  </sheetData>
  <mergeCells count="175">
    <mergeCell ref="L73:R73"/>
    <mergeCell ref="L74:R74"/>
    <mergeCell ref="L75:R75"/>
    <mergeCell ref="L76:R76"/>
    <mergeCell ref="L80:R80"/>
    <mergeCell ref="L81:R81"/>
    <mergeCell ref="L77:R77"/>
    <mergeCell ref="L78:R78"/>
    <mergeCell ref="L98:R98"/>
    <mergeCell ref="L87:R87"/>
    <mergeCell ref="L88:R88"/>
    <mergeCell ref="L89:R89"/>
    <mergeCell ref="L90:R90"/>
    <mergeCell ref="L91:R91"/>
    <mergeCell ref="L92:R92"/>
    <mergeCell ref="L82:R82"/>
    <mergeCell ref="L85:R85"/>
    <mergeCell ref="L93:R93"/>
    <mergeCell ref="L94:R94"/>
    <mergeCell ref="L95:R95"/>
    <mergeCell ref="L96:R96"/>
    <mergeCell ref="L97:R97"/>
    <mergeCell ref="L86:R86"/>
    <mergeCell ref="L110:R110"/>
    <mergeCell ref="L99:R99"/>
    <mergeCell ref="L100:R100"/>
    <mergeCell ref="L101:R101"/>
    <mergeCell ref="L102:R102"/>
    <mergeCell ref="L103:R103"/>
    <mergeCell ref="L104:R104"/>
    <mergeCell ref="L105:R105"/>
    <mergeCell ref="L106:R106"/>
    <mergeCell ref="L107:R107"/>
    <mergeCell ref="L108:R108"/>
    <mergeCell ref="L109:R109"/>
    <mergeCell ref="L168:R168"/>
    <mergeCell ref="L169:R169"/>
    <mergeCell ref="L170:R170"/>
    <mergeCell ref="L111:R111"/>
    <mergeCell ref="L112:R112"/>
    <mergeCell ref="L164:R164"/>
    <mergeCell ref="L165:R165"/>
    <mergeCell ref="L166:R166"/>
    <mergeCell ref="L167:R167"/>
    <mergeCell ref="L113:R113"/>
    <mergeCell ref="L114:R114"/>
    <mergeCell ref="L115:R115"/>
    <mergeCell ref="L116:R116"/>
    <mergeCell ref="L117:R117"/>
    <mergeCell ref="L118:R118"/>
    <mergeCell ref="L119:R119"/>
    <mergeCell ref="L120:R120"/>
    <mergeCell ref="L121:R121"/>
    <mergeCell ref="L122:R122"/>
    <mergeCell ref="L123:R123"/>
    <mergeCell ref="L124:R124"/>
    <mergeCell ref="L125:R125"/>
    <mergeCell ref="L126:R126"/>
    <mergeCell ref="L127:R127"/>
    <mergeCell ref="L24:R24"/>
    <mergeCell ref="L25:R25"/>
    <mergeCell ref="L26:R26"/>
    <mergeCell ref="L27:R27"/>
    <mergeCell ref="L35:R35"/>
    <mergeCell ref="L36:R36"/>
    <mergeCell ref="L37:R37"/>
    <mergeCell ref="L38:R38"/>
    <mergeCell ref="L49:R49"/>
    <mergeCell ref="L50:R50"/>
    <mergeCell ref="L51:R51"/>
    <mergeCell ref="L47:R47"/>
    <mergeCell ref="L28:R28"/>
    <mergeCell ref="L29:R29"/>
    <mergeCell ref="L30:R30"/>
    <mergeCell ref="L31:R31"/>
    <mergeCell ref="L32:R32"/>
    <mergeCell ref="L33:R33"/>
    <mergeCell ref="L34:R34"/>
    <mergeCell ref="L39:R39"/>
    <mergeCell ref="L45:R45"/>
    <mergeCell ref="L46:R46"/>
    <mergeCell ref="L48:R48"/>
    <mergeCell ref="L40:R40"/>
    <mergeCell ref="L41:R41"/>
    <mergeCell ref="L42:R42"/>
    <mergeCell ref="L43:R43"/>
    <mergeCell ref="L44:R4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128:R128"/>
    <mergeCell ref="L129:R129"/>
    <mergeCell ref="L130:R130"/>
    <mergeCell ref="L131:R131"/>
    <mergeCell ref="L132:R132"/>
    <mergeCell ref="L133:R133"/>
    <mergeCell ref="L134:R134"/>
    <mergeCell ref="L135:R135"/>
    <mergeCell ref="L136:R136"/>
    <mergeCell ref="L137:R137"/>
    <mergeCell ref="L138:R138"/>
    <mergeCell ref="L139:R139"/>
    <mergeCell ref="L140:R140"/>
    <mergeCell ref="L141:R141"/>
    <mergeCell ref="L142:R142"/>
    <mergeCell ref="L143:R143"/>
    <mergeCell ref="L144:R144"/>
    <mergeCell ref="L145:R145"/>
    <mergeCell ref="L146:R146"/>
    <mergeCell ref="L147:R147"/>
    <mergeCell ref="L148:R148"/>
    <mergeCell ref="L149:R149"/>
    <mergeCell ref="L150:R150"/>
    <mergeCell ref="L151:R151"/>
    <mergeCell ref="L152:R152"/>
    <mergeCell ref="L153:R153"/>
    <mergeCell ref="L154:R154"/>
    <mergeCell ref="L155:R155"/>
    <mergeCell ref="L156:R156"/>
    <mergeCell ref="L157:R157"/>
    <mergeCell ref="L158:R158"/>
    <mergeCell ref="L159:R159"/>
    <mergeCell ref="L160:R160"/>
    <mergeCell ref="L161:R161"/>
    <mergeCell ref="L162:R162"/>
    <mergeCell ref="L163:R163"/>
    <mergeCell ref="L61:R61"/>
    <mergeCell ref="L62:R62"/>
    <mergeCell ref="L63:R63"/>
    <mergeCell ref="L83:R83"/>
    <mergeCell ref="L84:R84"/>
    <mergeCell ref="L52:R52"/>
    <mergeCell ref="L53:R53"/>
    <mergeCell ref="L54:R54"/>
    <mergeCell ref="L55:R55"/>
    <mergeCell ref="L56:R56"/>
    <mergeCell ref="L57:R57"/>
    <mergeCell ref="L58:R58"/>
    <mergeCell ref="L59:R59"/>
    <mergeCell ref="L60:R60"/>
    <mergeCell ref="L64:R64"/>
    <mergeCell ref="L65:R65"/>
    <mergeCell ref="L66:R66"/>
    <mergeCell ref="L67:R67"/>
    <mergeCell ref="L68:R68"/>
    <mergeCell ref="L69:R69"/>
    <mergeCell ref="L70:R70"/>
    <mergeCell ref="L71:R71"/>
    <mergeCell ref="L72:R72"/>
    <mergeCell ref="L79:R79"/>
  </mergeCells>
  <pageMargins left="0.511811024" right="0.511811024" top="0.78740157499999996" bottom="0.78740157499999996" header="0.31496062000000002" footer="0.31496062000000002"/>
  <pageSetup paperSize="9" scale="2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R68"/>
  <sheetViews>
    <sheetView view="pageBreakPreview" zoomScale="51" zoomScaleNormal="70" zoomScaleSheetLayoutView="51" workbookViewId="0">
      <selection activeCell="F31" sqref="F31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tr">
        <f>'1'!N1</f>
        <v>ENG. VINÍCIUS RODRIGUES FERREIRA DE OLIVEIRA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2" t="str">
        <f>TT!C5</f>
        <v>RODOVIA TO-126 - TRECHO MAURILÂNDIA - TOCANTINÓPOLIS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77</v>
      </c>
      <c r="B7" s="21" t="s">
        <v>18</v>
      </c>
      <c r="C7" s="22">
        <v>0</v>
      </c>
      <c r="D7" s="22">
        <v>2</v>
      </c>
      <c r="E7" s="21"/>
      <c r="F7" s="21" t="s">
        <v>19</v>
      </c>
      <c r="G7" s="21"/>
      <c r="H7" s="21"/>
      <c r="I7" s="21"/>
      <c r="J7" s="21"/>
      <c r="K7" s="21" t="s">
        <v>19</v>
      </c>
      <c r="L7" s="116"/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2</v>
      </c>
      <c r="D8" s="22">
        <v>4</v>
      </c>
      <c r="E8" s="21"/>
      <c r="F8" s="21" t="s">
        <v>19</v>
      </c>
      <c r="G8" s="21"/>
      <c r="H8" s="21"/>
      <c r="I8" s="21"/>
      <c r="J8" s="21"/>
      <c r="K8" s="21" t="s">
        <v>19</v>
      </c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ref="C9:C23" si="0">D8</f>
        <v>4</v>
      </c>
      <c r="D9" s="22">
        <v>6</v>
      </c>
      <c r="E9" s="21"/>
      <c r="F9" s="21" t="s">
        <v>19</v>
      </c>
      <c r="G9" s="21"/>
      <c r="H9" s="21"/>
      <c r="I9" s="21" t="s">
        <v>19</v>
      </c>
      <c r="J9" s="21"/>
      <c r="K9" s="21"/>
      <c r="L9" s="116" t="s">
        <v>78</v>
      </c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6</v>
      </c>
      <c r="D10" s="22">
        <v>8</v>
      </c>
      <c r="E10" s="21"/>
      <c r="F10" s="21" t="s">
        <v>19</v>
      </c>
      <c r="G10" s="21"/>
      <c r="H10" s="21"/>
      <c r="I10" s="21" t="s">
        <v>19</v>
      </c>
      <c r="J10" s="21"/>
      <c r="K10" s="21"/>
      <c r="L10" s="116" t="s">
        <v>78</v>
      </c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8</v>
      </c>
      <c r="D11" s="22">
        <v>10</v>
      </c>
      <c r="E11" s="21" t="s">
        <v>19</v>
      </c>
      <c r="F11" s="21"/>
      <c r="G11" s="21"/>
      <c r="H11" s="21"/>
      <c r="I11" s="21"/>
      <c r="J11" s="21"/>
      <c r="K11" s="21" t="s">
        <v>19</v>
      </c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10</v>
      </c>
      <c r="D12" s="22">
        <v>12</v>
      </c>
      <c r="E12" s="21" t="s">
        <v>19</v>
      </c>
      <c r="F12" s="21"/>
      <c r="G12" s="21"/>
      <c r="H12" s="21"/>
      <c r="I12" s="21" t="s">
        <v>19</v>
      </c>
      <c r="J12" s="21"/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12</v>
      </c>
      <c r="D13" s="22">
        <v>14</v>
      </c>
      <c r="E13" s="21" t="s">
        <v>19</v>
      </c>
      <c r="F13" s="21"/>
      <c r="G13" s="21"/>
      <c r="H13" s="21"/>
      <c r="I13" s="21" t="s">
        <v>19</v>
      </c>
      <c r="J13" s="21"/>
      <c r="K13" s="21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14</v>
      </c>
      <c r="D14" s="22">
        <v>16</v>
      </c>
      <c r="E14" s="21" t="s">
        <v>19</v>
      </c>
      <c r="F14" s="21"/>
      <c r="G14" s="21"/>
      <c r="H14" s="21"/>
      <c r="I14" s="21" t="s">
        <v>19</v>
      </c>
      <c r="J14" s="21"/>
      <c r="K14" s="21"/>
      <c r="L14" s="116"/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16</v>
      </c>
      <c r="D15" s="22">
        <v>18</v>
      </c>
      <c r="E15" s="21" t="s">
        <v>19</v>
      </c>
      <c r="F15" s="21"/>
      <c r="G15" s="21"/>
      <c r="H15" s="21"/>
      <c r="I15" s="21" t="s">
        <v>19</v>
      </c>
      <c r="J15" s="21"/>
      <c r="K15" s="21"/>
      <c r="L15" s="116" t="s">
        <v>79</v>
      </c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22">
        <f t="shared" si="0"/>
        <v>18</v>
      </c>
      <c r="D16" s="22">
        <v>20</v>
      </c>
      <c r="E16" s="21" t="s">
        <v>19</v>
      </c>
      <c r="F16" s="21"/>
      <c r="G16" s="21"/>
      <c r="H16" s="21"/>
      <c r="I16" s="21" t="s">
        <v>19</v>
      </c>
      <c r="J16" s="21"/>
      <c r="K16" s="21"/>
      <c r="L16" s="116" t="s">
        <v>79</v>
      </c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si="0"/>
        <v>20</v>
      </c>
      <c r="D17" s="22">
        <v>22</v>
      </c>
      <c r="E17" s="21" t="s">
        <v>19</v>
      </c>
      <c r="F17" s="21"/>
      <c r="G17" s="21"/>
      <c r="H17" s="21"/>
      <c r="I17" s="21" t="s">
        <v>19</v>
      </c>
      <c r="J17" s="21"/>
      <c r="K17" s="21"/>
      <c r="L17" s="116" t="s">
        <v>79</v>
      </c>
      <c r="M17" s="117"/>
      <c r="N17" s="117"/>
      <c r="O17" s="117"/>
      <c r="P17" s="117"/>
      <c r="Q17" s="117"/>
      <c r="R17" s="118"/>
    </row>
    <row r="18" spans="1:18" ht="41.45" customHeight="1">
      <c r="A18" s="19"/>
      <c r="B18" s="3"/>
      <c r="C18" s="22">
        <f t="shared" si="0"/>
        <v>22</v>
      </c>
      <c r="D18" s="22">
        <v>24</v>
      </c>
      <c r="E18" s="21" t="s">
        <v>19</v>
      </c>
      <c r="F18" s="21"/>
      <c r="G18" s="21"/>
      <c r="H18" s="21"/>
      <c r="I18" s="21" t="s">
        <v>19</v>
      </c>
      <c r="J18" s="21"/>
      <c r="K18" s="21"/>
      <c r="L18" s="116" t="s">
        <v>79</v>
      </c>
      <c r="M18" s="117"/>
      <c r="N18" s="117"/>
      <c r="O18" s="117"/>
      <c r="P18" s="117"/>
      <c r="Q18" s="117"/>
      <c r="R18" s="118"/>
    </row>
    <row r="19" spans="1:18" ht="41.45" customHeight="1">
      <c r="A19" s="19"/>
      <c r="B19" s="3"/>
      <c r="C19" s="22">
        <f t="shared" si="0"/>
        <v>24</v>
      </c>
      <c r="D19" s="22">
        <v>26</v>
      </c>
      <c r="E19" s="21" t="s">
        <v>19</v>
      </c>
      <c r="F19" s="21"/>
      <c r="G19" s="21"/>
      <c r="H19" s="21"/>
      <c r="I19" s="21" t="s">
        <v>19</v>
      </c>
      <c r="J19" s="21"/>
      <c r="K19" s="21"/>
      <c r="L19" s="116" t="s">
        <v>79</v>
      </c>
      <c r="M19" s="117"/>
      <c r="N19" s="117"/>
      <c r="O19" s="117"/>
      <c r="P19" s="117"/>
      <c r="Q19" s="117"/>
      <c r="R19" s="118"/>
    </row>
    <row r="20" spans="1:18" ht="41.45" customHeight="1">
      <c r="A20" s="19"/>
      <c r="B20" s="3"/>
      <c r="C20" s="22">
        <f t="shared" si="0"/>
        <v>26</v>
      </c>
      <c r="D20" s="22">
        <v>28</v>
      </c>
      <c r="E20" s="21" t="s">
        <v>19</v>
      </c>
      <c r="F20" s="21"/>
      <c r="G20" s="21"/>
      <c r="H20" s="21"/>
      <c r="I20" s="21" t="s">
        <v>19</v>
      </c>
      <c r="J20" s="21"/>
      <c r="K20" s="21"/>
      <c r="L20" s="116" t="s">
        <v>79</v>
      </c>
      <c r="M20" s="117"/>
      <c r="N20" s="117"/>
      <c r="O20" s="117"/>
      <c r="P20" s="117"/>
      <c r="Q20" s="117"/>
      <c r="R20" s="118"/>
    </row>
    <row r="21" spans="1:18" ht="41.45" customHeight="1">
      <c r="A21" s="19"/>
      <c r="B21" s="3"/>
      <c r="C21" s="22">
        <f t="shared" si="0"/>
        <v>28</v>
      </c>
      <c r="D21" s="22">
        <v>30</v>
      </c>
      <c r="E21" s="21" t="s">
        <v>19</v>
      </c>
      <c r="F21" s="21"/>
      <c r="G21" s="21"/>
      <c r="H21" s="21"/>
      <c r="I21" s="21" t="s">
        <v>19</v>
      </c>
      <c r="J21" s="21"/>
      <c r="K21" s="21"/>
      <c r="L21" s="116" t="s">
        <v>79</v>
      </c>
      <c r="M21" s="117"/>
      <c r="N21" s="117"/>
      <c r="O21" s="117"/>
      <c r="P21" s="117"/>
      <c r="Q21" s="117"/>
      <c r="R21" s="118"/>
    </row>
    <row r="22" spans="1:18" ht="41.45" customHeight="1">
      <c r="A22" s="19"/>
      <c r="B22" s="3"/>
      <c r="C22" s="22">
        <f t="shared" si="0"/>
        <v>30</v>
      </c>
      <c r="D22" s="22">
        <v>32</v>
      </c>
      <c r="E22" s="21"/>
      <c r="F22" s="21" t="s">
        <v>19</v>
      </c>
      <c r="G22" s="21"/>
      <c r="H22" s="21"/>
      <c r="I22" s="21" t="s">
        <v>19</v>
      </c>
      <c r="J22" s="21"/>
      <c r="K22" s="21"/>
      <c r="L22" s="116" t="s">
        <v>79</v>
      </c>
      <c r="M22" s="117"/>
      <c r="N22" s="117"/>
      <c r="O22" s="117"/>
      <c r="P22" s="117"/>
      <c r="Q22" s="117"/>
      <c r="R22" s="118"/>
    </row>
    <row r="23" spans="1:18" ht="41.45" customHeight="1">
      <c r="A23" s="19"/>
      <c r="B23" s="3"/>
      <c r="C23" s="22">
        <f t="shared" si="0"/>
        <v>32</v>
      </c>
      <c r="D23" s="22">
        <f>Trechos!H27</f>
        <v>35.479668777500002</v>
      </c>
      <c r="E23" s="21"/>
      <c r="F23" s="21" t="s">
        <v>19</v>
      </c>
      <c r="G23" s="21"/>
      <c r="H23" s="21"/>
      <c r="I23" s="21" t="s">
        <v>19</v>
      </c>
      <c r="J23" s="21"/>
      <c r="K23" s="21"/>
      <c r="L23" s="116" t="s">
        <v>79</v>
      </c>
      <c r="M23" s="117"/>
      <c r="N23" s="117"/>
      <c r="O23" s="117"/>
      <c r="P23" s="117"/>
      <c r="Q23" s="117"/>
      <c r="R23" s="118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3"/>
      <c r="B36" s="24"/>
      <c r="C36" s="25"/>
      <c r="D36" s="25"/>
      <c r="E36" s="25" t="str">
        <f>IF(E7="X",(D7-C7),"0")</f>
        <v>0</v>
      </c>
      <c r="F36" s="25">
        <f>IF(F7="X",(D7-C7),"0")</f>
        <v>2</v>
      </c>
      <c r="G36" s="25" t="str">
        <f>IF(G7="X",(D7-C7),"0")</f>
        <v>0</v>
      </c>
      <c r="H36" s="25" t="str">
        <f>IF(H7="X",(D7-C7),"0")</f>
        <v>0</v>
      </c>
      <c r="I36" s="25" t="str">
        <f>IF(I7="X",(D7-C7),"0")</f>
        <v>0</v>
      </c>
      <c r="J36" s="25" t="str">
        <f>IF(J7="X",(D7-C7),"0")</f>
        <v>0</v>
      </c>
      <c r="K36" s="25">
        <f>IF(K7="X",(D7-C7),"0")</f>
        <v>2</v>
      </c>
      <c r="L36" s="147"/>
      <c r="M36" s="148"/>
      <c r="N36" s="148"/>
      <c r="O36" s="148"/>
      <c r="P36" s="148"/>
      <c r="Q36" s="148"/>
      <c r="R36" s="149"/>
    </row>
    <row r="37" spans="1:18" ht="41.45" customHeight="1">
      <c r="A37" s="19"/>
      <c r="B37" s="3"/>
      <c r="C37" s="22"/>
      <c r="D37" s="22"/>
      <c r="E37" s="25" t="str">
        <f t="shared" ref="E37:E50" si="1">IF(E8="X",(D8-C8),"0")</f>
        <v>0</v>
      </c>
      <c r="F37" s="25">
        <f t="shared" ref="F37:F50" si="2">IF(F8="X",(D8-C8),"0")</f>
        <v>2</v>
      </c>
      <c r="G37" s="25" t="str">
        <f t="shared" ref="G37:G50" si="3">IF(G8="X",(D8-C8),"0")</f>
        <v>0</v>
      </c>
      <c r="H37" s="25" t="str">
        <f t="shared" ref="H37:H50" si="4">IF(H8="X",(D8-C8),"0")</f>
        <v>0</v>
      </c>
      <c r="I37" s="25" t="str">
        <f t="shared" ref="I37:I50" si="5">IF(I8="X",(D8-C8),"0")</f>
        <v>0</v>
      </c>
      <c r="J37" s="25" t="str">
        <f t="shared" ref="J37:J50" si="6">IF(J8="X",(D8-C8),"0")</f>
        <v>0</v>
      </c>
      <c r="K37" s="25">
        <f t="shared" ref="K37:K50" si="7">IF(K8="X",(D8-C8),"0")</f>
        <v>2</v>
      </c>
      <c r="L37" s="119"/>
      <c r="M37" s="119"/>
      <c r="N37" s="119"/>
      <c r="O37" s="119"/>
      <c r="P37" s="119"/>
      <c r="Q37" s="119"/>
      <c r="R37" s="120"/>
    </row>
    <row r="38" spans="1:18" ht="41.45" customHeight="1">
      <c r="A38" s="19"/>
      <c r="B38" s="3"/>
      <c r="C38" s="22"/>
      <c r="D38" s="22"/>
      <c r="E38" s="25" t="str">
        <f t="shared" si="1"/>
        <v>0</v>
      </c>
      <c r="F38" s="25">
        <f t="shared" si="2"/>
        <v>2</v>
      </c>
      <c r="G38" s="25" t="str">
        <f t="shared" si="3"/>
        <v>0</v>
      </c>
      <c r="H38" s="25" t="str">
        <f t="shared" si="4"/>
        <v>0</v>
      </c>
      <c r="I38" s="25">
        <f t="shared" si="5"/>
        <v>2</v>
      </c>
      <c r="J38" s="25" t="str">
        <f t="shared" si="6"/>
        <v>0</v>
      </c>
      <c r="K38" s="25" t="str">
        <f t="shared" si="7"/>
        <v>0</v>
      </c>
      <c r="L38" s="119"/>
      <c r="M38" s="119"/>
      <c r="N38" s="119"/>
      <c r="O38" s="119"/>
      <c r="P38" s="119"/>
      <c r="Q38" s="119"/>
      <c r="R38" s="120"/>
    </row>
    <row r="39" spans="1:18" ht="41.45" customHeight="1">
      <c r="A39" s="19"/>
      <c r="B39" s="3"/>
      <c r="C39" s="22"/>
      <c r="D39" s="22"/>
      <c r="E39" s="25" t="str">
        <f t="shared" si="1"/>
        <v>0</v>
      </c>
      <c r="F39" s="25">
        <f t="shared" si="2"/>
        <v>2</v>
      </c>
      <c r="G39" s="25" t="str">
        <f t="shared" si="3"/>
        <v>0</v>
      </c>
      <c r="H39" s="25" t="str">
        <f t="shared" si="4"/>
        <v>0</v>
      </c>
      <c r="I39" s="25">
        <f t="shared" si="5"/>
        <v>2</v>
      </c>
      <c r="J39" s="25" t="str">
        <f t="shared" si="6"/>
        <v>0</v>
      </c>
      <c r="K39" s="25" t="str">
        <f t="shared" si="7"/>
        <v>0</v>
      </c>
      <c r="L39" s="119"/>
      <c r="M39" s="119"/>
      <c r="N39" s="119"/>
      <c r="O39" s="119"/>
      <c r="P39" s="119"/>
      <c r="Q39" s="119"/>
      <c r="R39" s="120"/>
    </row>
    <row r="40" spans="1:18" ht="41.45" customHeight="1">
      <c r="A40" s="19"/>
      <c r="B40" s="3"/>
      <c r="C40" s="22"/>
      <c r="D40" s="22"/>
      <c r="E40" s="25">
        <f t="shared" si="1"/>
        <v>2</v>
      </c>
      <c r="F40" s="25" t="str">
        <f t="shared" si="2"/>
        <v>0</v>
      </c>
      <c r="G40" s="25" t="str">
        <f t="shared" si="3"/>
        <v>0</v>
      </c>
      <c r="H40" s="25" t="str">
        <f t="shared" si="4"/>
        <v>0</v>
      </c>
      <c r="I40" s="25" t="str">
        <f t="shared" si="5"/>
        <v>0</v>
      </c>
      <c r="J40" s="25" t="str">
        <f t="shared" si="6"/>
        <v>0</v>
      </c>
      <c r="K40" s="25">
        <f t="shared" si="7"/>
        <v>2</v>
      </c>
      <c r="L40" s="119"/>
      <c r="M40" s="119"/>
      <c r="N40" s="119"/>
      <c r="O40" s="119"/>
      <c r="P40" s="119"/>
      <c r="Q40" s="119"/>
      <c r="R40" s="120"/>
    </row>
    <row r="41" spans="1:18" ht="41.45" customHeight="1">
      <c r="A41" s="19"/>
      <c r="B41" s="3"/>
      <c r="C41" s="22"/>
      <c r="D41" s="22"/>
      <c r="E41" s="25">
        <f t="shared" si="1"/>
        <v>2</v>
      </c>
      <c r="F41" s="25" t="str">
        <f t="shared" si="2"/>
        <v>0</v>
      </c>
      <c r="G41" s="25" t="str">
        <f t="shared" si="3"/>
        <v>0</v>
      </c>
      <c r="H41" s="25" t="str">
        <f t="shared" si="4"/>
        <v>0</v>
      </c>
      <c r="I41" s="25">
        <f t="shared" si="5"/>
        <v>2</v>
      </c>
      <c r="J41" s="25" t="str">
        <f t="shared" si="6"/>
        <v>0</v>
      </c>
      <c r="K41" s="25" t="str">
        <f t="shared" si="7"/>
        <v>0</v>
      </c>
      <c r="L41" s="119"/>
      <c r="M41" s="119"/>
      <c r="N41" s="119"/>
      <c r="O41" s="119"/>
      <c r="P41" s="119"/>
      <c r="Q41" s="119"/>
      <c r="R41" s="120"/>
    </row>
    <row r="42" spans="1:18" ht="41.45" customHeight="1">
      <c r="A42" s="19"/>
      <c r="B42" s="3"/>
      <c r="C42" s="22"/>
      <c r="D42" s="22"/>
      <c r="E42" s="25">
        <f t="shared" si="1"/>
        <v>2</v>
      </c>
      <c r="F42" s="25" t="str">
        <f t="shared" si="2"/>
        <v>0</v>
      </c>
      <c r="G42" s="25" t="str">
        <f t="shared" si="3"/>
        <v>0</v>
      </c>
      <c r="H42" s="25" t="str">
        <f t="shared" si="4"/>
        <v>0</v>
      </c>
      <c r="I42" s="25">
        <f t="shared" si="5"/>
        <v>2</v>
      </c>
      <c r="J42" s="25" t="str">
        <f t="shared" si="6"/>
        <v>0</v>
      </c>
      <c r="K42" s="25" t="str">
        <f t="shared" si="7"/>
        <v>0</v>
      </c>
      <c r="L42" s="119"/>
      <c r="M42" s="119"/>
      <c r="N42" s="119"/>
      <c r="O42" s="119"/>
      <c r="P42" s="119"/>
      <c r="Q42" s="119"/>
      <c r="R42" s="120"/>
    </row>
    <row r="43" spans="1:18" ht="41.45" customHeight="1">
      <c r="A43" s="19"/>
      <c r="B43" s="3"/>
      <c r="C43" s="22"/>
      <c r="D43" s="22"/>
      <c r="E43" s="25">
        <f t="shared" si="1"/>
        <v>2</v>
      </c>
      <c r="F43" s="25" t="str">
        <f t="shared" si="2"/>
        <v>0</v>
      </c>
      <c r="G43" s="25" t="str">
        <f t="shared" si="3"/>
        <v>0</v>
      </c>
      <c r="H43" s="25" t="str">
        <f t="shared" si="4"/>
        <v>0</v>
      </c>
      <c r="I43" s="25">
        <f t="shared" si="5"/>
        <v>2</v>
      </c>
      <c r="J43" s="25" t="str">
        <f t="shared" si="6"/>
        <v>0</v>
      </c>
      <c r="K43" s="25" t="str">
        <f t="shared" si="7"/>
        <v>0</v>
      </c>
      <c r="L43" s="119"/>
      <c r="M43" s="119"/>
      <c r="N43" s="119"/>
      <c r="O43" s="119"/>
      <c r="P43" s="119"/>
      <c r="Q43" s="119"/>
      <c r="R43" s="120"/>
    </row>
    <row r="44" spans="1:18" ht="41.45" customHeight="1">
      <c r="A44" s="19"/>
      <c r="B44" s="3"/>
      <c r="C44" s="22"/>
      <c r="D44" s="22"/>
      <c r="E44" s="25">
        <f t="shared" si="1"/>
        <v>2</v>
      </c>
      <c r="F44" s="25" t="str">
        <f t="shared" si="2"/>
        <v>0</v>
      </c>
      <c r="G44" s="25" t="str">
        <f t="shared" si="3"/>
        <v>0</v>
      </c>
      <c r="H44" s="25" t="str">
        <f t="shared" si="4"/>
        <v>0</v>
      </c>
      <c r="I44" s="25">
        <f t="shared" si="5"/>
        <v>2</v>
      </c>
      <c r="J44" s="25" t="str">
        <f t="shared" si="6"/>
        <v>0</v>
      </c>
      <c r="K44" s="25" t="str">
        <f t="shared" si="7"/>
        <v>0</v>
      </c>
      <c r="L44" s="119"/>
      <c r="M44" s="119"/>
      <c r="N44" s="119"/>
      <c r="O44" s="119"/>
      <c r="P44" s="119"/>
      <c r="Q44" s="119"/>
      <c r="R44" s="120"/>
    </row>
    <row r="45" spans="1:18" ht="41.45" customHeight="1">
      <c r="A45" s="19"/>
      <c r="B45" s="3"/>
      <c r="C45" s="22"/>
      <c r="D45" s="22"/>
      <c r="E45" s="25">
        <f t="shared" si="1"/>
        <v>2</v>
      </c>
      <c r="F45" s="25" t="str">
        <f t="shared" si="2"/>
        <v>0</v>
      </c>
      <c r="G45" s="25" t="str">
        <f t="shared" si="3"/>
        <v>0</v>
      </c>
      <c r="H45" s="25" t="str">
        <f t="shared" si="4"/>
        <v>0</v>
      </c>
      <c r="I45" s="25">
        <f t="shared" si="5"/>
        <v>2</v>
      </c>
      <c r="J45" s="25" t="str">
        <f t="shared" si="6"/>
        <v>0</v>
      </c>
      <c r="K45" s="25" t="str">
        <f t="shared" si="7"/>
        <v>0</v>
      </c>
      <c r="L45" s="119"/>
      <c r="M45" s="119"/>
      <c r="N45" s="119"/>
      <c r="O45" s="119"/>
      <c r="P45" s="119"/>
      <c r="Q45" s="119"/>
      <c r="R45" s="120"/>
    </row>
    <row r="46" spans="1:18" ht="41.45" customHeight="1">
      <c r="A46" s="19"/>
      <c r="B46" s="3"/>
      <c r="C46" s="22"/>
      <c r="D46" s="22"/>
      <c r="E46" s="25">
        <f t="shared" si="1"/>
        <v>2</v>
      </c>
      <c r="F46" s="25" t="str">
        <f t="shared" si="2"/>
        <v>0</v>
      </c>
      <c r="G46" s="25" t="str">
        <f t="shared" si="3"/>
        <v>0</v>
      </c>
      <c r="H46" s="25" t="str">
        <f t="shared" si="4"/>
        <v>0</v>
      </c>
      <c r="I46" s="25">
        <f t="shared" si="5"/>
        <v>2</v>
      </c>
      <c r="J46" s="25" t="str">
        <f t="shared" si="6"/>
        <v>0</v>
      </c>
      <c r="K46" s="25" t="str">
        <f t="shared" si="7"/>
        <v>0</v>
      </c>
      <c r="L46" s="119"/>
      <c r="M46" s="119"/>
      <c r="N46" s="119"/>
      <c r="O46" s="119"/>
      <c r="P46" s="119"/>
      <c r="Q46" s="119"/>
      <c r="R46" s="120"/>
    </row>
    <row r="47" spans="1:18" ht="41.45" customHeight="1">
      <c r="A47" s="19"/>
      <c r="B47" s="3"/>
      <c r="C47" s="22"/>
      <c r="D47" s="22"/>
      <c r="E47" s="25">
        <f t="shared" si="1"/>
        <v>2</v>
      </c>
      <c r="F47" s="25" t="str">
        <f t="shared" si="2"/>
        <v>0</v>
      </c>
      <c r="G47" s="25" t="str">
        <f t="shared" si="3"/>
        <v>0</v>
      </c>
      <c r="H47" s="25" t="str">
        <f t="shared" si="4"/>
        <v>0</v>
      </c>
      <c r="I47" s="25">
        <f t="shared" si="5"/>
        <v>2</v>
      </c>
      <c r="J47" s="25" t="str">
        <f t="shared" si="6"/>
        <v>0</v>
      </c>
      <c r="K47" s="25" t="str">
        <f t="shared" si="7"/>
        <v>0</v>
      </c>
      <c r="L47" s="119"/>
      <c r="M47" s="119"/>
      <c r="N47" s="119"/>
      <c r="O47" s="119"/>
      <c r="P47" s="119"/>
      <c r="Q47" s="119"/>
      <c r="R47" s="120"/>
    </row>
    <row r="48" spans="1:18" ht="41.45" customHeight="1">
      <c r="A48" s="19"/>
      <c r="B48" s="3"/>
      <c r="C48" s="22"/>
      <c r="D48" s="22"/>
      <c r="E48" s="25">
        <f t="shared" si="1"/>
        <v>2</v>
      </c>
      <c r="F48" s="25" t="str">
        <f t="shared" si="2"/>
        <v>0</v>
      </c>
      <c r="G48" s="25" t="str">
        <f t="shared" si="3"/>
        <v>0</v>
      </c>
      <c r="H48" s="25" t="str">
        <f t="shared" si="4"/>
        <v>0</v>
      </c>
      <c r="I48" s="25">
        <f t="shared" si="5"/>
        <v>2</v>
      </c>
      <c r="J48" s="25" t="str">
        <f t="shared" si="6"/>
        <v>0</v>
      </c>
      <c r="K48" s="25" t="str">
        <f t="shared" si="7"/>
        <v>0</v>
      </c>
      <c r="L48" s="119"/>
      <c r="M48" s="119"/>
      <c r="N48" s="119"/>
      <c r="O48" s="119"/>
      <c r="P48" s="119"/>
      <c r="Q48" s="119"/>
      <c r="R48" s="120"/>
    </row>
    <row r="49" spans="1:18" ht="41.45" customHeight="1">
      <c r="A49" s="19"/>
      <c r="B49" s="3"/>
      <c r="C49" s="22"/>
      <c r="D49" s="22"/>
      <c r="E49" s="25">
        <f t="shared" si="1"/>
        <v>2</v>
      </c>
      <c r="F49" s="25" t="str">
        <f t="shared" si="2"/>
        <v>0</v>
      </c>
      <c r="G49" s="25" t="str">
        <f t="shared" si="3"/>
        <v>0</v>
      </c>
      <c r="H49" s="25" t="str">
        <f t="shared" si="4"/>
        <v>0</v>
      </c>
      <c r="I49" s="25">
        <f t="shared" si="5"/>
        <v>2</v>
      </c>
      <c r="J49" s="25" t="str">
        <f t="shared" si="6"/>
        <v>0</v>
      </c>
      <c r="K49" s="25" t="str">
        <f t="shared" si="7"/>
        <v>0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19"/>
      <c r="B50" s="3"/>
      <c r="C50" s="22"/>
      <c r="D50" s="22"/>
      <c r="E50" s="25">
        <f t="shared" si="1"/>
        <v>2</v>
      </c>
      <c r="F50" s="25" t="str">
        <f t="shared" si="2"/>
        <v>0</v>
      </c>
      <c r="G50" s="25" t="str">
        <f t="shared" si="3"/>
        <v>0</v>
      </c>
      <c r="H50" s="25" t="str">
        <f t="shared" si="4"/>
        <v>0</v>
      </c>
      <c r="I50" s="25">
        <f t="shared" si="5"/>
        <v>2</v>
      </c>
      <c r="J50" s="25" t="str">
        <f t="shared" si="6"/>
        <v>0</v>
      </c>
      <c r="K50" s="25" t="str">
        <f t="shared" si="7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19"/>
      <c r="B51" s="3"/>
      <c r="C51" s="22"/>
      <c r="D51" s="22"/>
      <c r="E51" s="25" t="str">
        <f t="shared" ref="E51:E61" si="8">IF(E22="X",(D22-C22),"0")</f>
        <v>0</v>
      </c>
      <c r="F51" s="25">
        <f t="shared" ref="F51:F61" si="9">IF(F22="X",(D22-C22),"0")</f>
        <v>2</v>
      </c>
      <c r="G51" s="25" t="str">
        <f t="shared" ref="G51:G61" si="10">IF(G22="X",(D22-C22),"0")</f>
        <v>0</v>
      </c>
      <c r="H51" s="25" t="str">
        <f t="shared" ref="H51:H61" si="11">IF(H22="X",(D22-C22),"0")</f>
        <v>0</v>
      </c>
      <c r="I51" s="25">
        <f t="shared" ref="I51:I61" si="12">IF(I22="X",(D22-C22),"0")</f>
        <v>2</v>
      </c>
      <c r="J51" s="25" t="str">
        <f t="shared" ref="J51:J61" si="13">IF(J22="X",(D22-C22),"0")</f>
        <v>0</v>
      </c>
      <c r="K51" s="25" t="str">
        <f t="shared" ref="K51:K61" si="14">IF(K22="X",(D22-C22),"0")</f>
        <v>0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19"/>
      <c r="B52" s="3"/>
      <c r="C52" s="22"/>
      <c r="D52" s="22"/>
      <c r="E52" s="25" t="str">
        <f t="shared" si="8"/>
        <v>0</v>
      </c>
      <c r="F52" s="25">
        <f>IF(F23="X",(D23-C23),"0")</f>
        <v>3.4796687775000024</v>
      </c>
      <c r="G52" s="25" t="str">
        <f t="shared" si="10"/>
        <v>0</v>
      </c>
      <c r="H52" s="25" t="str">
        <f t="shared" si="11"/>
        <v>0</v>
      </c>
      <c r="I52" s="25">
        <f t="shared" si="12"/>
        <v>3.4796687775000024</v>
      </c>
      <c r="J52" s="25" t="str">
        <f t="shared" si="13"/>
        <v>0</v>
      </c>
      <c r="K52" s="25" t="str">
        <f t="shared" si="14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 t="str">
        <f t="shared" si="8"/>
        <v>0</v>
      </c>
      <c r="F53" s="25" t="str">
        <f t="shared" si="9"/>
        <v>0</v>
      </c>
      <c r="G53" s="25" t="str">
        <f t="shared" si="10"/>
        <v>0</v>
      </c>
      <c r="H53" s="25" t="str">
        <f t="shared" si="11"/>
        <v>0</v>
      </c>
      <c r="I53" s="25" t="str">
        <f t="shared" si="12"/>
        <v>0</v>
      </c>
      <c r="J53" s="25" t="str">
        <f t="shared" si="13"/>
        <v>0</v>
      </c>
      <c r="K53" s="25" t="str">
        <f t="shared" si="14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5" t="str">
        <f t="shared" si="8"/>
        <v>0</v>
      </c>
      <c r="F54" s="25" t="str">
        <f t="shared" si="9"/>
        <v>0</v>
      </c>
      <c r="G54" s="25" t="str">
        <f t="shared" si="10"/>
        <v>0</v>
      </c>
      <c r="H54" s="25" t="str">
        <f t="shared" si="11"/>
        <v>0</v>
      </c>
      <c r="I54" s="25" t="str">
        <f t="shared" si="12"/>
        <v>0</v>
      </c>
      <c r="J54" s="25" t="str">
        <f t="shared" si="13"/>
        <v>0</v>
      </c>
      <c r="K54" s="25" t="str">
        <f t="shared" si="14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5" t="str">
        <f t="shared" si="8"/>
        <v>0</v>
      </c>
      <c r="F55" s="25" t="str">
        <f t="shared" si="9"/>
        <v>0</v>
      </c>
      <c r="G55" s="25" t="str">
        <f t="shared" si="10"/>
        <v>0</v>
      </c>
      <c r="H55" s="25" t="str">
        <f t="shared" si="11"/>
        <v>0</v>
      </c>
      <c r="I55" s="25" t="str">
        <f t="shared" si="12"/>
        <v>0</v>
      </c>
      <c r="J55" s="25" t="str">
        <f t="shared" si="13"/>
        <v>0</v>
      </c>
      <c r="K55" s="25" t="str">
        <f t="shared" si="14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5" t="str">
        <f t="shared" si="8"/>
        <v>0</v>
      </c>
      <c r="F56" s="25" t="str">
        <f t="shared" si="9"/>
        <v>0</v>
      </c>
      <c r="G56" s="25" t="str">
        <f t="shared" si="10"/>
        <v>0</v>
      </c>
      <c r="H56" s="25" t="str">
        <f t="shared" si="11"/>
        <v>0</v>
      </c>
      <c r="I56" s="25" t="str">
        <f t="shared" si="12"/>
        <v>0</v>
      </c>
      <c r="J56" s="25" t="str">
        <f t="shared" si="13"/>
        <v>0</v>
      </c>
      <c r="K56" s="25" t="str">
        <f t="shared" si="14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5" t="str">
        <f t="shared" si="8"/>
        <v>0</v>
      </c>
      <c r="F57" s="25" t="str">
        <f t="shared" si="9"/>
        <v>0</v>
      </c>
      <c r="G57" s="25" t="str">
        <f t="shared" si="10"/>
        <v>0</v>
      </c>
      <c r="H57" s="25" t="str">
        <f t="shared" si="11"/>
        <v>0</v>
      </c>
      <c r="I57" s="25" t="str">
        <f t="shared" si="12"/>
        <v>0</v>
      </c>
      <c r="J57" s="25" t="str">
        <f t="shared" si="13"/>
        <v>0</v>
      </c>
      <c r="K57" s="25" t="str">
        <f t="shared" si="14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5" t="str">
        <f t="shared" si="8"/>
        <v>0</v>
      </c>
      <c r="F58" s="25" t="str">
        <f t="shared" si="9"/>
        <v>0</v>
      </c>
      <c r="G58" s="25" t="str">
        <f t="shared" si="10"/>
        <v>0</v>
      </c>
      <c r="H58" s="25" t="str">
        <f t="shared" si="11"/>
        <v>0</v>
      </c>
      <c r="I58" s="25" t="str">
        <f t="shared" si="12"/>
        <v>0</v>
      </c>
      <c r="J58" s="25" t="str">
        <f t="shared" si="13"/>
        <v>0</v>
      </c>
      <c r="K58" s="25" t="str">
        <f t="shared" si="14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5" t="str">
        <f t="shared" si="8"/>
        <v>0</v>
      </c>
      <c r="F59" s="25" t="str">
        <f t="shared" si="9"/>
        <v>0</v>
      </c>
      <c r="G59" s="25" t="str">
        <f t="shared" si="10"/>
        <v>0</v>
      </c>
      <c r="H59" s="25" t="str">
        <f t="shared" si="11"/>
        <v>0</v>
      </c>
      <c r="I59" s="25" t="str">
        <f t="shared" si="12"/>
        <v>0</v>
      </c>
      <c r="J59" s="25" t="str">
        <f t="shared" si="13"/>
        <v>0</v>
      </c>
      <c r="K59" s="25" t="str">
        <f t="shared" si="14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 t="str">
        <f t="shared" si="8"/>
        <v>0</v>
      </c>
      <c r="F60" s="25" t="str">
        <f t="shared" si="9"/>
        <v>0</v>
      </c>
      <c r="G60" s="25" t="str">
        <f t="shared" si="10"/>
        <v>0</v>
      </c>
      <c r="H60" s="25" t="str">
        <f t="shared" si="11"/>
        <v>0</v>
      </c>
      <c r="I60" s="25" t="str">
        <f t="shared" si="12"/>
        <v>0</v>
      </c>
      <c r="J60" s="25" t="str">
        <f t="shared" si="13"/>
        <v>0</v>
      </c>
      <c r="K60" s="25" t="str">
        <f t="shared" si="14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 t="str">
        <f t="shared" si="8"/>
        <v>0</v>
      </c>
      <c r="F61" s="25" t="str">
        <f t="shared" si="9"/>
        <v>0</v>
      </c>
      <c r="G61" s="25" t="str">
        <f t="shared" si="10"/>
        <v>0</v>
      </c>
      <c r="H61" s="25" t="str">
        <f t="shared" si="11"/>
        <v>0</v>
      </c>
      <c r="I61" s="25" t="str">
        <f t="shared" si="12"/>
        <v>0</v>
      </c>
      <c r="J61" s="25" t="str">
        <f t="shared" si="13"/>
        <v>0</v>
      </c>
      <c r="K61" s="25" t="str">
        <f t="shared" si="14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2">
        <f>SUM(E36:E61)</f>
        <v>22</v>
      </c>
      <c r="F62" s="22">
        <f t="shared" ref="F62:K62" si="15">SUM(F36:F61)</f>
        <v>13.479668777500002</v>
      </c>
      <c r="G62" s="22">
        <f t="shared" si="15"/>
        <v>0</v>
      </c>
      <c r="H62" s="22">
        <f t="shared" si="15"/>
        <v>0</v>
      </c>
      <c r="I62" s="22">
        <f t="shared" si="15"/>
        <v>29.479668777500002</v>
      </c>
      <c r="J62" s="22">
        <f t="shared" si="15"/>
        <v>0</v>
      </c>
      <c r="K62" s="22">
        <f t="shared" si="15"/>
        <v>6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19"/>
      <c r="M67" s="119"/>
      <c r="N67" s="119"/>
      <c r="O67" s="119"/>
      <c r="P67" s="119"/>
      <c r="Q67" s="119"/>
      <c r="R67" s="120"/>
    </row>
    <row r="68" spans="1:18" ht="41.45" customHeight="1" thickBot="1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45"/>
      <c r="M68" s="145"/>
      <c r="N68" s="145"/>
      <c r="O68" s="145"/>
      <c r="P68" s="145"/>
      <c r="Q68" s="145"/>
      <c r="R68" s="146"/>
    </row>
  </sheetData>
  <mergeCells count="73">
    <mergeCell ref="J1:J2"/>
    <mergeCell ref="I1:I2"/>
    <mergeCell ref="L1:M2"/>
    <mergeCell ref="N1:R2"/>
    <mergeCell ref="L14:R14"/>
    <mergeCell ref="L9:R9"/>
    <mergeCell ref="L15:R15"/>
    <mergeCell ref="L16:R16"/>
    <mergeCell ref="L17:R17"/>
    <mergeCell ref="L18:R18"/>
    <mergeCell ref="L10:R10"/>
    <mergeCell ref="L11:R11"/>
    <mergeCell ref="L12:R12"/>
    <mergeCell ref="L13:R13"/>
    <mergeCell ref="A5:A6"/>
    <mergeCell ref="E5:H5"/>
    <mergeCell ref="I5:K5"/>
    <mergeCell ref="L7:R7"/>
    <mergeCell ref="L8:R8"/>
    <mergeCell ref="C5:C6"/>
    <mergeCell ref="D5:D6"/>
    <mergeCell ref="L5:R6"/>
    <mergeCell ref="B5:B6"/>
    <mergeCell ref="L19:R19"/>
    <mergeCell ref="L20:R20"/>
    <mergeCell ref="L21:R21"/>
    <mergeCell ref="L30:R30"/>
    <mergeCell ref="L27:R27"/>
    <mergeCell ref="L28:R28"/>
    <mergeCell ref="L29:R29"/>
    <mergeCell ref="L22:R22"/>
    <mergeCell ref="L23:R23"/>
    <mergeCell ref="L24:R24"/>
    <mergeCell ref="L25:R25"/>
    <mergeCell ref="L26:R26"/>
    <mergeCell ref="L31:R31"/>
    <mergeCell ref="L32:R32"/>
    <mergeCell ref="L33:R33"/>
    <mergeCell ref="L34:R34"/>
    <mergeCell ref="L35:R35"/>
    <mergeCell ref="L37:R37"/>
    <mergeCell ref="L38:R38"/>
    <mergeCell ref="L39:R39"/>
    <mergeCell ref="L40:R40"/>
    <mergeCell ref="L36:R36"/>
    <mergeCell ref="L41:R41"/>
    <mergeCell ref="L42:R42"/>
    <mergeCell ref="L43:R43"/>
    <mergeCell ref="L44:R44"/>
    <mergeCell ref="L45:R45"/>
    <mergeCell ref="L46:R46"/>
    <mergeCell ref="L47:R47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0:R60"/>
    <mergeCell ref="L66:R66"/>
    <mergeCell ref="L67:R67"/>
    <mergeCell ref="L68:R68"/>
    <mergeCell ref="L61:R61"/>
    <mergeCell ref="L62:R62"/>
    <mergeCell ref="L63:R63"/>
    <mergeCell ref="L64:R64"/>
    <mergeCell ref="L65:R65"/>
  </mergeCells>
  <pageMargins left="0.59055118110236227" right="0.51181102362204722" top="0.59055118110236227" bottom="0.59055118110236227" header="0.31496062992125984" footer="0.31496062992125984"/>
  <pageSetup paperSize="9" scale="30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R68"/>
  <sheetViews>
    <sheetView view="pageBreakPreview" zoomScale="55" zoomScaleNormal="40" zoomScaleSheetLayoutView="55" workbookViewId="0">
      <selection activeCell="E20" sqref="E20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354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TT!C6</f>
        <v>RODOVIA TO-134 - TRECHO RIO TOCANTINS (JATOBAL) - AXIXÁ DO TOCANTINS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69</v>
      </c>
      <c r="B7" s="21" t="s">
        <v>52</v>
      </c>
      <c r="C7" s="22">
        <v>0</v>
      </c>
      <c r="D7" s="22">
        <v>2</v>
      </c>
      <c r="E7" s="21"/>
      <c r="F7" s="21"/>
      <c r="G7" s="21" t="s">
        <v>19</v>
      </c>
      <c r="H7" s="21"/>
      <c r="I7" s="21"/>
      <c r="J7" s="21" t="s">
        <v>19</v>
      </c>
      <c r="K7" s="21"/>
      <c r="L7" s="116" t="s">
        <v>82</v>
      </c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2</v>
      </c>
      <c r="D8" s="22">
        <v>4</v>
      </c>
      <c r="E8" s="21"/>
      <c r="F8" s="21"/>
      <c r="G8" s="21" t="s">
        <v>19</v>
      </c>
      <c r="H8" s="21"/>
      <c r="I8" s="21"/>
      <c r="J8" s="21" t="s">
        <v>19</v>
      </c>
      <c r="K8" s="21"/>
      <c r="L8" s="116" t="s">
        <v>82</v>
      </c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ref="C9:C19" si="0">D8</f>
        <v>4</v>
      </c>
      <c r="D9" s="22">
        <v>6</v>
      </c>
      <c r="E9" s="21"/>
      <c r="F9" s="21"/>
      <c r="G9" s="21" t="s">
        <v>19</v>
      </c>
      <c r="H9" s="21"/>
      <c r="I9" s="21"/>
      <c r="J9" s="21" t="s">
        <v>19</v>
      </c>
      <c r="K9" s="21"/>
      <c r="L9" s="116" t="s">
        <v>82</v>
      </c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6</v>
      </c>
      <c r="D10" s="22">
        <v>8</v>
      </c>
      <c r="E10" s="21"/>
      <c r="F10" s="21"/>
      <c r="G10" s="21" t="s">
        <v>19</v>
      </c>
      <c r="H10" s="21"/>
      <c r="I10" s="21"/>
      <c r="J10" s="21" t="s">
        <v>19</v>
      </c>
      <c r="K10" s="21"/>
      <c r="L10" s="116" t="s">
        <v>82</v>
      </c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8</v>
      </c>
      <c r="D11" s="22">
        <v>10</v>
      </c>
      <c r="E11" s="21"/>
      <c r="F11" s="21"/>
      <c r="G11" s="21" t="s">
        <v>19</v>
      </c>
      <c r="H11" s="21"/>
      <c r="I11" s="21"/>
      <c r="J11" s="21" t="s">
        <v>19</v>
      </c>
      <c r="K11" s="21"/>
      <c r="L11" s="116" t="s">
        <v>82</v>
      </c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10</v>
      </c>
      <c r="D12" s="22">
        <v>12</v>
      </c>
      <c r="E12" s="21"/>
      <c r="F12" s="21"/>
      <c r="G12" s="21" t="s">
        <v>19</v>
      </c>
      <c r="H12" s="21"/>
      <c r="I12" s="21"/>
      <c r="J12" s="21" t="s">
        <v>19</v>
      </c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12</v>
      </c>
      <c r="D13" s="22">
        <v>14</v>
      </c>
      <c r="E13" s="21"/>
      <c r="F13" s="21"/>
      <c r="G13" s="21" t="s">
        <v>19</v>
      </c>
      <c r="H13" s="21"/>
      <c r="I13" s="21"/>
      <c r="J13" s="21" t="s">
        <v>19</v>
      </c>
      <c r="K13" s="21"/>
      <c r="L13" s="116" t="s">
        <v>70</v>
      </c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14</v>
      </c>
      <c r="D14" s="22">
        <v>16</v>
      </c>
      <c r="E14" s="21"/>
      <c r="F14" s="21"/>
      <c r="G14" s="21" t="s">
        <v>19</v>
      </c>
      <c r="H14" s="21"/>
      <c r="I14" s="21"/>
      <c r="J14" s="21" t="s">
        <v>19</v>
      </c>
      <c r="K14" s="21"/>
      <c r="L14" s="116" t="s">
        <v>71</v>
      </c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16</v>
      </c>
      <c r="D15" s="22">
        <v>18</v>
      </c>
      <c r="E15" s="21"/>
      <c r="F15" s="21"/>
      <c r="G15" s="21" t="s">
        <v>19</v>
      </c>
      <c r="H15" s="21"/>
      <c r="I15" s="21"/>
      <c r="J15" s="21" t="s">
        <v>19</v>
      </c>
      <c r="K15" s="21"/>
      <c r="L15" s="116" t="s">
        <v>71</v>
      </c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22">
        <f t="shared" si="0"/>
        <v>18</v>
      </c>
      <c r="D16" s="22">
        <v>20</v>
      </c>
      <c r="E16" s="21"/>
      <c r="F16" s="21"/>
      <c r="G16" s="21" t="s">
        <v>19</v>
      </c>
      <c r="H16" s="21"/>
      <c r="I16" s="21"/>
      <c r="J16" s="21" t="s">
        <v>19</v>
      </c>
      <c r="K16" s="21"/>
      <c r="L16" s="116" t="s">
        <v>71</v>
      </c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si="0"/>
        <v>20</v>
      </c>
      <c r="D17" s="22">
        <v>22</v>
      </c>
      <c r="E17" s="21"/>
      <c r="F17" s="21"/>
      <c r="G17" s="21" t="s">
        <v>19</v>
      </c>
      <c r="H17" s="21"/>
      <c r="I17" s="21"/>
      <c r="J17" s="21" t="s">
        <v>19</v>
      </c>
      <c r="K17" s="21"/>
      <c r="L17" s="116" t="s">
        <v>71</v>
      </c>
      <c r="M17" s="117"/>
      <c r="N17" s="117"/>
      <c r="O17" s="117"/>
      <c r="P17" s="117"/>
      <c r="Q17" s="117"/>
      <c r="R17" s="118"/>
    </row>
    <row r="18" spans="1:18" ht="41.45" customHeight="1">
      <c r="A18" s="19"/>
      <c r="B18" s="3"/>
      <c r="C18" s="22">
        <f t="shared" si="0"/>
        <v>22</v>
      </c>
      <c r="D18" s="22">
        <v>24</v>
      </c>
      <c r="E18" s="21"/>
      <c r="F18" s="21"/>
      <c r="G18" s="21" t="s">
        <v>19</v>
      </c>
      <c r="H18" s="21"/>
      <c r="I18" s="21"/>
      <c r="J18" s="21" t="s">
        <v>19</v>
      </c>
      <c r="K18" s="21"/>
      <c r="L18" s="116"/>
      <c r="M18" s="117"/>
      <c r="N18" s="117"/>
      <c r="O18" s="117"/>
      <c r="P18" s="117"/>
      <c r="Q18" s="117"/>
      <c r="R18" s="118"/>
    </row>
    <row r="19" spans="1:18" ht="41.45" customHeight="1">
      <c r="A19" s="19"/>
      <c r="B19" s="3"/>
      <c r="C19" s="22">
        <f t="shared" si="0"/>
        <v>24</v>
      </c>
      <c r="D19" s="22">
        <v>26.3</v>
      </c>
      <c r="E19" s="21"/>
      <c r="F19" s="21"/>
      <c r="G19" s="21" t="s">
        <v>19</v>
      </c>
      <c r="H19" s="21"/>
      <c r="I19" s="21"/>
      <c r="J19" s="21" t="s">
        <v>19</v>
      </c>
      <c r="K19" s="21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3"/>
      <c r="B36" s="24"/>
      <c r="C36" s="25"/>
      <c r="D36" s="25"/>
      <c r="E36" s="25" t="str">
        <f>IF(E7="X",(D7-C7),"0")</f>
        <v>0</v>
      </c>
      <c r="F36" s="25" t="str">
        <f>IF(F7="X",(D7-C7),"0")</f>
        <v>0</v>
      </c>
      <c r="G36" s="25">
        <f>IF(G7="X",(D7-C7),"0")</f>
        <v>2</v>
      </c>
      <c r="H36" s="25" t="str">
        <f>IF(H7="X",(D7-C7),"0")</f>
        <v>0</v>
      </c>
      <c r="I36" s="25" t="str">
        <f>IF(I7="X",(D7-C7),"0")</f>
        <v>0</v>
      </c>
      <c r="J36" s="25">
        <f>IF(J7="X",(D7-C7),"0")</f>
        <v>2</v>
      </c>
      <c r="K36" s="25" t="str">
        <f>IF(K7="X",(D7-C7),"0")</f>
        <v>0</v>
      </c>
      <c r="L36" s="147"/>
      <c r="M36" s="148"/>
      <c r="N36" s="148"/>
      <c r="O36" s="148"/>
      <c r="P36" s="148"/>
      <c r="Q36" s="148"/>
      <c r="R36" s="149"/>
    </row>
    <row r="37" spans="1:18" ht="41.45" customHeight="1">
      <c r="A37" s="19"/>
      <c r="B37" s="3"/>
      <c r="C37" s="22"/>
      <c r="D37" s="22"/>
      <c r="E37" s="25" t="str">
        <f t="shared" ref="E37:E61" si="1">IF(E8="X",(D8-C8),"0")</f>
        <v>0</v>
      </c>
      <c r="F37" s="25" t="str">
        <f t="shared" ref="F37:F61" si="2">IF(F8="X",(D8-C8),"0")</f>
        <v>0</v>
      </c>
      <c r="G37" s="25">
        <f t="shared" ref="G37:G61" si="3">IF(G8="X",(D8-C8),"0")</f>
        <v>2</v>
      </c>
      <c r="H37" s="25" t="str">
        <f t="shared" ref="H37:H61" si="4">IF(H8="X",(D8-C8),"0")</f>
        <v>0</v>
      </c>
      <c r="I37" s="25" t="str">
        <f t="shared" ref="I37:I61" si="5">IF(I8="X",(D8-C8),"0")</f>
        <v>0</v>
      </c>
      <c r="J37" s="25">
        <f t="shared" ref="J37:J61" si="6">IF(J8="X",(D8-C8),"0")</f>
        <v>2</v>
      </c>
      <c r="K37" s="25" t="str">
        <f t="shared" ref="K37:K61" si="7">IF(K8="X",(D8-C8),"0")</f>
        <v>0</v>
      </c>
      <c r="L37" s="119"/>
      <c r="M37" s="119"/>
      <c r="N37" s="119"/>
      <c r="O37" s="119"/>
      <c r="P37" s="119"/>
      <c r="Q37" s="119"/>
      <c r="R37" s="120"/>
    </row>
    <row r="38" spans="1:18" ht="41.45" customHeight="1">
      <c r="A38" s="19"/>
      <c r="B38" s="3"/>
      <c r="C38" s="22"/>
      <c r="D38" s="22"/>
      <c r="E38" s="25" t="str">
        <f t="shared" si="1"/>
        <v>0</v>
      </c>
      <c r="F38" s="25" t="str">
        <f t="shared" si="2"/>
        <v>0</v>
      </c>
      <c r="G38" s="25">
        <f t="shared" si="3"/>
        <v>2</v>
      </c>
      <c r="H38" s="25" t="str">
        <f t="shared" si="4"/>
        <v>0</v>
      </c>
      <c r="I38" s="25" t="str">
        <f t="shared" si="5"/>
        <v>0</v>
      </c>
      <c r="J38" s="25">
        <f t="shared" si="6"/>
        <v>2</v>
      </c>
      <c r="K38" s="25" t="str">
        <f t="shared" si="7"/>
        <v>0</v>
      </c>
      <c r="L38" s="119"/>
      <c r="M38" s="119"/>
      <c r="N38" s="119"/>
      <c r="O38" s="119"/>
      <c r="P38" s="119"/>
      <c r="Q38" s="119"/>
      <c r="R38" s="120"/>
    </row>
    <row r="39" spans="1:18" ht="41.45" customHeight="1">
      <c r="A39" s="19"/>
      <c r="B39" s="3"/>
      <c r="C39" s="22"/>
      <c r="D39" s="22"/>
      <c r="E39" s="25" t="str">
        <f t="shared" si="1"/>
        <v>0</v>
      </c>
      <c r="F39" s="25" t="str">
        <f t="shared" si="2"/>
        <v>0</v>
      </c>
      <c r="G39" s="25">
        <f t="shared" si="3"/>
        <v>2</v>
      </c>
      <c r="H39" s="25" t="str">
        <f t="shared" si="4"/>
        <v>0</v>
      </c>
      <c r="I39" s="25" t="str">
        <f t="shared" si="5"/>
        <v>0</v>
      </c>
      <c r="J39" s="25">
        <f t="shared" si="6"/>
        <v>2</v>
      </c>
      <c r="K39" s="25" t="str">
        <f t="shared" si="7"/>
        <v>0</v>
      </c>
      <c r="L39" s="119"/>
      <c r="M39" s="119"/>
      <c r="N39" s="119"/>
      <c r="O39" s="119"/>
      <c r="P39" s="119"/>
      <c r="Q39" s="119"/>
      <c r="R39" s="120"/>
    </row>
    <row r="40" spans="1:18" ht="41.45" customHeight="1">
      <c r="A40" s="19"/>
      <c r="B40" s="3"/>
      <c r="C40" s="22"/>
      <c r="D40" s="22"/>
      <c r="E40" s="25" t="str">
        <f t="shared" si="1"/>
        <v>0</v>
      </c>
      <c r="F40" s="25" t="str">
        <f t="shared" si="2"/>
        <v>0</v>
      </c>
      <c r="G40" s="25">
        <f t="shared" si="3"/>
        <v>2</v>
      </c>
      <c r="H40" s="25" t="str">
        <f t="shared" si="4"/>
        <v>0</v>
      </c>
      <c r="I40" s="25" t="str">
        <f t="shared" si="5"/>
        <v>0</v>
      </c>
      <c r="J40" s="25">
        <f t="shared" si="6"/>
        <v>2</v>
      </c>
      <c r="K40" s="25" t="str">
        <f t="shared" si="7"/>
        <v>0</v>
      </c>
      <c r="L40" s="119"/>
      <c r="M40" s="119"/>
      <c r="N40" s="119"/>
      <c r="O40" s="119"/>
      <c r="P40" s="119"/>
      <c r="Q40" s="119"/>
      <c r="R40" s="120"/>
    </row>
    <row r="41" spans="1:18" ht="41.45" customHeight="1">
      <c r="A41" s="19"/>
      <c r="B41" s="3"/>
      <c r="C41" s="22"/>
      <c r="D41" s="22"/>
      <c r="E41" s="25" t="str">
        <f t="shared" si="1"/>
        <v>0</v>
      </c>
      <c r="F41" s="25" t="str">
        <f t="shared" si="2"/>
        <v>0</v>
      </c>
      <c r="G41" s="25">
        <f t="shared" si="3"/>
        <v>2</v>
      </c>
      <c r="H41" s="25" t="str">
        <f t="shared" si="4"/>
        <v>0</v>
      </c>
      <c r="I41" s="25" t="str">
        <f t="shared" si="5"/>
        <v>0</v>
      </c>
      <c r="J41" s="25">
        <f t="shared" si="6"/>
        <v>2</v>
      </c>
      <c r="K41" s="25" t="str">
        <f t="shared" si="7"/>
        <v>0</v>
      </c>
      <c r="L41" s="119"/>
      <c r="M41" s="119"/>
      <c r="N41" s="119"/>
      <c r="O41" s="119"/>
      <c r="P41" s="119"/>
      <c r="Q41" s="119"/>
      <c r="R41" s="120"/>
    </row>
    <row r="42" spans="1:18" ht="41.45" customHeight="1">
      <c r="A42" s="19"/>
      <c r="B42" s="3"/>
      <c r="C42" s="22"/>
      <c r="D42" s="22"/>
      <c r="E42" s="25" t="str">
        <f t="shared" si="1"/>
        <v>0</v>
      </c>
      <c r="F42" s="25" t="str">
        <f t="shared" si="2"/>
        <v>0</v>
      </c>
      <c r="G42" s="25">
        <f t="shared" si="3"/>
        <v>2</v>
      </c>
      <c r="H42" s="25" t="str">
        <f t="shared" si="4"/>
        <v>0</v>
      </c>
      <c r="I42" s="25" t="str">
        <f t="shared" si="5"/>
        <v>0</v>
      </c>
      <c r="J42" s="25">
        <f t="shared" si="6"/>
        <v>2</v>
      </c>
      <c r="K42" s="25" t="str">
        <f t="shared" si="7"/>
        <v>0</v>
      </c>
      <c r="L42" s="119"/>
      <c r="M42" s="119"/>
      <c r="N42" s="119"/>
      <c r="O42" s="119"/>
      <c r="P42" s="119"/>
      <c r="Q42" s="119"/>
      <c r="R42" s="120"/>
    </row>
    <row r="43" spans="1:18" ht="41.45" customHeight="1">
      <c r="A43" s="19"/>
      <c r="B43" s="3"/>
      <c r="C43" s="22"/>
      <c r="D43" s="22"/>
      <c r="E43" s="25" t="str">
        <f t="shared" si="1"/>
        <v>0</v>
      </c>
      <c r="F43" s="25" t="str">
        <f t="shared" si="2"/>
        <v>0</v>
      </c>
      <c r="G43" s="25">
        <f t="shared" si="3"/>
        <v>2</v>
      </c>
      <c r="H43" s="25" t="str">
        <f t="shared" si="4"/>
        <v>0</v>
      </c>
      <c r="I43" s="25" t="str">
        <f t="shared" si="5"/>
        <v>0</v>
      </c>
      <c r="J43" s="25">
        <f t="shared" si="6"/>
        <v>2</v>
      </c>
      <c r="K43" s="25" t="str">
        <f t="shared" si="7"/>
        <v>0</v>
      </c>
      <c r="L43" s="119"/>
      <c r="M43" s="119"/>
      <c r="N43" s="119"/>
      <c r="O43" s="119"/>
      <c r="P43" s="119"/>
      <c r="Q43" s="119"/>
      <c r="R43" s="120"/>
    </row>
    <row r="44" spans="1:18" ht="41.45" customHeight="1">
      <c r="A44" s="19"/>
      <c r="B44" s="3"/>
      <c r="C44" s="22"/>
      <c r="D44" s="22"/>
      <c r="E44" s="25" t="str">
        <f t="shared" si="1"/>
        <v>0</v>
      </c>
      <c r="F44" s="25" t="str">
        <f t="shared" si="2"/>
        <v>0</v>
      </c>
      <c r="G44" s="25">
        <f t="shared" si="3"/>
        <v>2</v>
      </c>
      <c r="H44" s="25" t="str">
        <f t="shared" si="4"/>
        <v>0</v>
      </c>
      <c r="I44" s="25" t="str">
        <f t="shared" si="5"/>
        <v>0</v>
      </c>
      <c r="J44" s="25">
        <f t="shared" si="6"/>
        <v>2</v>
      </c>
      <c r="K44" s="25" t="str">
        <f t="shared" si="7"/>
        <v>0</v>
      </c>
      <c r="L44" s="119"/>
      <c r="M44" s="119"/>
      <c r="N44" s="119"/>
      <c r="O44" s="119"/>
      <c r="P44" s="119"/>
      <c r="Q44" s="119"/>
      <c r="R44" s="120"/>
    </row>
    <row r="45" spans="1:18" ht="41.45" customHeight="1">
      <c r="A45" s="19"/>
      <c r="B45" s="3"/>
      <c r="C45" s="22"/>
      <c r="D45" s="22"/>
      <c r="E45" s="25" t="str">
        <f t="shared" si="1"/>
        <v>0</v>
      </c>
      <c r="F45" s="25" t="str">
        <f t="shared" si="2"/>
        <v>0</v>
      </c>
      <c r="G45" s="25">
        <f t="shared" si="3"/>
        <v>2</v>
      </c>
      <c r="H45" s="25" t="str">
        <f t="shared" si="4"/>
        <v>0</v>
      </c>
      <c r="I45" s="25" t="str">
        <f t="shared" si="5"/>
        <v>0</v>
      </c>
      <c r="J45" s="25">
        <f t="shared" si="6"/>
        <v>2</v>
      </c>
      <c r="K45" s="25" t="str">
        <f t="shared" si="7"/>
        <v>0</v>
      </c>
      <c r="L45" s="119"/>
      <c r="M45" s="119"/>
      <c r="N45" s="119"/>
      <c r="O45" s="119"/>
      <c r="P45" s="119"/>
      <c r="Q45" s="119"/>
      <c r="R45" s="120"/>
    </row>
    <row r="46" spans="1:18" ht="41.45" customHeight="1">
      <c r="A46" s="19"/>
      <c r="B46" s="3"/>
      <c r="C46" s="22"/>
      <c r="D46" s="22"/>
      <c r="E46" s="25" t="str">
        <f t="shared" si="1"/>
        <v>0</v>
      </c>
      <c r="F46" s="25" t="str">
        <f t="shared" si="2"/>
        <v>0</v>
      </c>
      <c r="G46" s="25">
        <f t="shared" si="3"/>
        <v>2</v>
      </c>
      <c r="H46" s="25" t="str">
        <f t="shared" si="4"/>
        <v>0</v>
      </c>
      <c r="I46" s="25" t="str">
        <f t="shared" si="5"/>
        <v>0</v>
      </c>
      <c r="J46" s="25">
        <f t="shared" si="6"/>
        <v>2</v>
      </c>
      <c r="K46" s="25" t="str">
        <f t="shared" si="7"/>
        <v>0</v>
      </c>
      <c r="L46" s="119"/>
      <c r="M46" s="119"/>
      <c r="N46" s="119"/>
      <c r="O46" s="119"/>
      <c r="P46" s="119"/>
      <c r="Q46" s="119"/>
      <c r="R46" s="120"/>
    </row>
    <row r="47" spans="1:18" ht="41.45" customHeight="1">
      <c r="A47" s="19"/>
      <c r="B47" s="3"/>
      <c r="C47" s="22"/>
      <c r="D47" s="22"/>
      <c r="E47" s="25" t="str">
        <f t="shared" si="1"/>
        <v>0</v>
      </c>
      <c r="F47" s="25" t="str">
        <f t="shared" si="2"/>
        <v>0</v>
      </c>
      <c r="G47" s="25">
        <f t="shared" si="3"/>
        <v>2</v>
      </c>
      <c r="H47" s="25" t="str">
        <f t="shared" si="4"/>
        <v>0</v>
      </c>
      <c r="I47" s="25" t="str">
        <f t="shared" si="5"/>
        <v>0</v>
      </c>
      <c r="J47" s="25">
        <f t="shared" si="6"/>
        <v>2</v>
      </c>
      <c r="K47" s="25" t="str">
        <f t="shared" si="7"/>
        <v>0</v>
      </c>
      <c r="L47" s="119"/>
      <c r="M47" s="119"/>
      <c r="N47" s="119"/>
      <c r="O47" s="119"/>
      <c r="P47" s="119"/>
      <c r="Q47" s="119"/>
      <c r="R47" s="120"/>
    </row>
    <row r="48" spans="1:18" ht="41.45" customHeight="1">
      <c r="A48" s="19"/>
      <c r="B48" s="3"/>
      <c r="C48" s="22"/>
      <c r="D48" s="22"/>
      <c r="E48" s="25" t="str">
        <f t="shared" si="1"/>
        <v>0</v>
      </c>
      <c r="F48" s="25" t="str">
        <f>IF(F19="X",(D19-C19),"0")</f>
        <v>0</v>
      </c>
      <c r="G48" s="25">
        <f t="shared" si="3"/>
        <v>2.3000000000000007</v>
      </c>
      <c r="H48" s="25" t="str">
        <f t="shared" si="4"/>
        <v>0</v>
      </c>
      <c r="I48" s="25" t="str">
        <f t="shared" si="5"/>
        <v>0</v>
      </c>
      <c r="J48" s="25">
        <f t="shared" si="6"/>
        <v>2.3000000000000007</v>
      </c>
      <c r="K48" s="25" t="str">
        <f t="shared" si="7"/>
        <v>0</v>
      </c>
      <c r="L48" s="119"/>
      <c r="M48" s="119"/>
      <c r="N48" s="119"/>
      <c r="O48" s="119"/>
      <c r="P48" s="119"/>
      <c r="Q48" s="119"/>
      <c r="R48" s="120"/>
    </row>
    <row r="49" spans="1:18" ht="41.45" customHeight="1">
      <c r="A49" s="19"/>
      <c r="B49" s="3"/>
      <c r="C49" s="22"/>
      <c r="D49" s="22"/>
      <c r="E49" s="25" t="str">
        <f t="shared" si="1"/>
        <v>0</v>
      </c>
      <c r="F49" s="25" t="str">
        <f t="shared" si="2"/>
        <v>0</v>
      </c>
      <c r="G49" s="25" t="str">
        <f t="shared" si="3"/>
        <v>0</v>
      </c>
      <c r="H49" s="25" t="str">
        <f t="shared" si="4"/>
        <v>0</v>
      </c>
      <c r="I49" s="25" t="str">
        <f t="shared" si="5"/>
        <v>0</v>
      </c>
      <c r="J49" s="25" t="str">
        <f t="shared" si="6"/>
        <v>0</v>
      </c>
      <c r="K49" s="25" t="str">
        <f t="shared" si="7"/>
        <v>0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19"/>
      <c r="B50" s="3"/>
      <c r="C50" s="22"/>
      <c r="D50" s="22"/>
      <c r="E50" s="25" t="str">
        <f t="shared" si="1"/>
        <v>0</v>
      </c>
      <c r="F50" s="25" t="str">
        <f t="shared" si="2"/>
        <v>0</v>
      </c>
      <c r="G50" s="25" t="str">
        <f t="shared" si="3"/>
        <v>0</v>
      </c>
      <c r="H50" s="25" t="str">
        <f t="shared" si="4"/>
        <v>0</v>
      </c>
      <c r="I50" s="25" t="str">
        <f t="shared" si="5"/>
        <v>0</v>
      </c>
      <c r="J50" s="25" t="str">
        <f t="shared" si="6"/>
        <v>0</v>
      </c>
      <c r="K50" s="25" t="str">
        <f t="shared" si="7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19"/>
      <c r="B51" s="3"/>
      <c r="C51" s="22"/>
      <c r="D51" s="22"/>
      <c r="E51" s="25" t="str">
        <f t="shared" si="1"/>
        <v>0</v>
      </c>
      <c r="F51" s="25" t="str">
        <f t="shared" si="2"/>
        <v>0</v>
      </c>
      <c r="G51" s="25" t="str">
        <f t="shared" si="3"/>
        <v>0</v>
      </c>
      <c r="H51" s="25" t="str">
        <f t="shared" si="4"/>
        <v>0</v>
      </c>
      <c r="I51" s="25" t="str">
        <f t="shared" si="5"/>
        <v>0</v>
      </c>
      <c r="J51" s="25" t="str">
        <f t="shared" si="6"/>
        <v>0</v>
      </c>
      <c r="K51" s="25" t="str">
        <f t="shared" si="7"/>
        <v>0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19"/>
      <c r="B52" s="3"/>
      <c r="C52" s="22"/>
      <c r="D52" s="22"/>
      <c r="E52" s="25" t="str">
        <f t="shared" si="1"/>
        <v>0</v>
      </c>
      <c r="F52" s="25" t="str">
        <f t="shared" si="2"/>
        <v>0</v>
      </c>
      <c r="G52" s="25" t="str">
        <f t="shared" si="3"/>
        <v>0</v>
      </c>
      <c r="H52" s="25" t="str">
        <f t="shared" si="4"/>
        <v>0</v>
      </c>
      <c r="I52" s="25" t="str">
        <f t="shared" si="5"/>
        <v>0</v>
      </c>
      <c r="J52" s="25" t="str">
        <f t="shared" si="6"/>
        <v>0</v>
      </c>
      <c r="K52" s="25" t="str">
        <f t="shared" si="7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 t="str">
        <f t="shared" si="1"/>
        <v>0</v>
      </c>
      <c r="F53" s="25" t="str">
        <f t="shared" si="2"/>
        <v>0</v>
      </c>
      <c r="G53" s="25" t="str">
        <f t="shared" si="3"/>
        <v>0</v>
      </c>
      <c r="H53" s="25" t="str">
        <f t="shared" si="4"/>
        <v>0</v>
      </c>
      <c r="I53" s="25" t="str">
        <f t="shared" si="5"/>
        <v>0</v>
      </c>
      <c r="J53" s="25" t="str">
        <f t="shared" si="6"/>
        <v>0</v>
      </c>
      <c r="K53" s="25" t="str">
        <f t="shared" si="7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5" t="str">
        <f t="shared" si="1"/>
        <v>0</v>
      </c>
      <c r="F54" s="25" t="str">
        <f t="shared" si="2"/>
        <v>0</v>
      </c>
      <c r="G54" s="25" t="str">
        <f t="shared" si="3"/>
        <v>0</v>
      </c>
      <c r="H54" s="25" t="str">
        <f t="shared" si="4"/>
        <v>0</v>
      </c>
      <c r="I54" s="25" t="str">
        <f t="shared" si="5"/>
        <v>0</v>
      </c>
      <c r="J54" s="25" t="str">
        <f t="shared" si="6"/>
        <v>0</v>
      </c>
      <c r="K54" s="25" t="str">
        <f t="shared" si="7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5" t="str">
        <f t="shared" si="1"/>
        <v>0</v>
      </c>
      <c r="F55" s="25" t="str">
        <f t="shared" si="2"/>
        <v>0</v>
      </c>
      <c r="G55" s="25" t="str">
        <f t="shared" si="3"/>
        <v>0</v>
      </c>
      <c r="H55" s="25" t="str">
        <f t="shared" si="4"/>
        <v>0</v>
      </c>
      <c r="I55" s="25" t="str">
        <f t="shared" si="5"/>
        <v>0</v>
      </c>
      <c r="J55" s="25" t="str">
        <f t="shared" si="6"/>
        <v>0</v>
      </c>
      <c r="K55" s="25" t="str">
        <f t="shared" si="7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5" t="str">
        <f t="shared" si="1"/>
        <v>0</v>
      </c>
      <c r="F56" s="25" t="str">
        <f t="shared" si="2"/>
        <v>0</v>
      </c>
      <c r="G56" s="25" t="str">
        <f t="shared" si="3"/>
        <v>0</v>
      </c>
      <c r="H56" s="25" t="str">
        <f t="shared" si="4"/>
        <v>0</v>
      </c>
      <c r="I56" s="25" t="str">
        <f t="shared" si="5"/>
        <v>0</v>
      </c>
      <c r="J56" s="25" t="str">
        <f t="shared" si="6"/>
        <v>0</v>
      </c>
      <c r="K56" s="25" t="str">
        <f t="shared" si="7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5" t="str">
        <f t="shared" si="1"/>
        <v>0</v>
      </c>
      <c r="F57" s="25" t="str">
        <f t="shared" si="2"/>
        <v>0</v>
      </c>
      <c r="G57" s="25" t="str">
        <f t="shared" si="3"/>
        <v>0</v>
      </c>
      <c r="H57" s="25" t="str">
        <f t="shared" si="4"/>
        <v>0</v>
      </c>
      <c r="I57" s="25" t="str">
        <f t="shared" si="5"/>
        <v>0</v>
      </c>
      <c r="J57" s="25" t="str">
        <f t="shared" si="6"/>
        <v>0</v>
      </c>
      <c r="K57" s="25" t="str">
        <f t="shared" si="7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5" t="str">
        <f t="shared" si="1"/>
        <v>0</v>
      </c>
      <c r="F58" s="25" t="str">
        <f t="shared" si="2"/>
        <v>0</v>
      </c>
      <c r="G58" s="25" t="str">
        <f t="shared" si="3"/>
        <v>0</v>
      </c>
      <c r="H58" s="25" t="str">
        <f t="shared" si="4"/>
        <v>0</v>
      </c>
      <c r="I58" s="25" t="str">
        <f t="shared" si="5"/>
        <v>0</v>
      </c>
      <c r="J58" s="25" t="str">
        <f t="shared" si="6"/>
        <v>0</v>
      </c>
      <c r="K58" s="25" t="str">
        <f t="shared" si="7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5" t="str">
        <f t="shared" si="1"/>
        <v>0</v>
      </c>
      <c r="F59" s="25" t="str">
        <f t="shared" si="2"/>
        <v>0</v>
      </c>
      <c r="G59" s="25" t="str">
        <f t="shared" si="3"/>
        <v>0</v>
      </c>
      <c r="H59" s="25" t="str">
        <f t="shared" si="4"/>
        <v>0</v>
      </c>
      <c r="I59" s="25" t="str">
        <f t="shared" si="5"/>
        <v>0</v>
      </c>
      <c r="J59" s="25" t="str">
        <f t="shared" si="6"/>
        <v>0</v>
      </c>
      <c r="K59" s="25" t="str">
        <f t="shared" si="7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 t="str">
        <f t="shared" si="1"/>
        <v>0</v>
      </c>
      <c r="F60" s="25" t="str">
        <f t="shared" si="2"/>
        <v>0</v>
      </c>
      <c r="G60" s="25" t="str">
        <f t="shared" si="3"/>
        <v>0</v>
      </c>
      <c r="H60" s="25" t="str">
        <f t="shared" si="4"/>
        <v>0</v>
      </c>
      <c r="I60" s="25" t="str">
        <f t="shared" si="5"/>
        <v>0</v>
      </c>
      <c r="J60" s="25" t="str">
        <f t="shared" si="6"/>
        <v>0</v>
      </c>
      <c r="K60" s="25" t="str">
        <f t="shared" si="7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 t="str">
        <f t="shared" si="1"/>
        <v>0</v>
      </c>
      <c r="F61" s="25" t="str">
        <f t="shared" si="2"/>
        <v>0</v>
      </c>
      <c r="G61" s="25" t="str">
        <f t="shared" si="3"/>
        <v>0</v>
      </c>
      <c r="H61" s="25" t="str">
        <f t="shared" si="4"/>
        <v>0</v>
      </c>
      <c r="I61" s="25" t="str">
        <f t="shared" si="5"/>
        <v>0</v>
      </c>
      <c r="J61" s="25" t="str">
        <f t="shared" si="6"/>
        <v>0</v>
      </c>
      <c r="K61" s="25" t="str">
        <f t="shared" si="7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2">
        <f>SUM(E36:E61)</f>
        <v>0</v>
      </c>
      <c r="F62" s="22">
        <f t="shared" ref="F62:K62" si="8">SUM(F36:F61)</f>
        <v>0</v>
      </c>
      <c r="G62" s="22">
        <f t="shared" si="8"/>
        <v>26.3</v>
      </c>
      <c r="H62" s="22">
        <f t="shared" si="8"/>
        <v>0</v>
      </c>
      <c r="I62" s="22">
        <f t="shared" si="8"/>
        <v>0</v>
      </c>
      <c r="J62" s="22">
        <f t="shared" si="8"/>
        <v>26.3</v>
      </c>
      <c r="K62" s="22">
        <f t="shared" si="8"/>
        <v>0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19"/>
      <c r="M67" s="119"/>
      <c r="N67" s="119"/>
      <c r="O67" s="119"/>
      <c r="P67" s="119"/>
      <c r="Q67" s="119"/>
      <c r="R67" s="120"/>
    </row>
    <row r="68" spans="1:18" ht="41.45" customHeight="1" thickBot="1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45"/>
      <c r="M68" s="145"/>
      <c r="N68" s="145"/>
      <c r="O68" s="145"/>
      <c r="P68" s="145"/>
      <c r="Q68" s="145"/>
      <c r="R68" s="146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1" orientation="portrait" r:id="rId1"/>
  <colBreaks count="1" manualBreakCount="1">
    <brk id="1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R68"/>
  <sheetViews>
    <sheetView view="pageBreakPreview" zoomScale="59" zoomScaleNormal="55" zoomScaleSheetLayoutView="59" workbookViewId="0">
      <selection activeCell="D28" activeCellId="1" sqref="D15 D28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354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TT!C7</f>
        <v>RODOVIA TO-201 - TRECHO ESPERANTINA - DIVISA TO-MA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61</v>
      </c>
      <c r="B7" s="21"/>
      <c r="C7" s="22">
        <f t="shared" ref="C7:C15" si="0">D6</f>
        <v>0</v>
      </c>
      <c r="D7" s="22">
        <v>1</v>
      </c>
      <c r="E7" s="21" t="s">
        <v>19</v>
      </c>
      <c r="F7" s="21"/>
      <c r="G7" s="21"/>
      <c r="H7" s="21"/>
      <c r="I7" s="21" t="s">
        <v>19</v>
      </c>
      <c r="J7" s="21"/>
      <c r="K7" s="21"/>
      <c r="L7" s="116"/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 t="shared" si="0"/>
        <v>1</v>
      </c>
      <c r="D8" s="22">
        <v>2</v>
      </c>
      <c r="E8" s="21" t="s">
        <v>19</v>
      </c>
      <c r="F8" s="21"/>
      <c r="G8" s="21"/>
      <c r="H8" s="21"/>
      <c r="I8" s="21" t="s">
        <v>19</v>
      </c>
      <c r="J8" s="21"/>
      <c r="K8" s="21"/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si="0"/>
        <v>2</v>
      </c>
      <c r="D9" s="22">
        <v>3</v>
      </c>
      <c r="E9" s="21"/>
      <c r="F9" s="21" t="s">
        <v>19</v>
      </c>
      <c r="G9" s="21"/>
      <c r="H9" s="21"/>
      <c r="I9" s="21" t="s">
        <v>19</v>
      </c>
      <c r="J9" s="21"/>
      <c r="K9" s="21"/>
      <c r="L9" s="116"/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3</v>
      </c>
      <c r="D10" s="22">
        <v>4</v>
      </c>
      <c r="E10" s="21"/>
      <c r="F10" s="21" t="s">
        <v>19</v>
      </c>
      <c r="G10" s="21"/>
      <c r="H10" s="21"/>
      <c r="I10" s="21"/>
      <c r="J10" s="21" t="s">
        <v>19</v>
      </c>
      <c r="K10" s="21"/>
      <c r="L10" s="116"/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4</v>
      </c>
      <c r="D11" s="22">
        <v>5</v>
      </c>
      <c r="E11" s="21"/>
      <c r="F11" s="21" t="s">
        <v>19</v>
      </c>
      <c r="G11" s="21"/>
      <c r="H11" s="21"/>
      <c r="I11" s="21"/>
      <c r="J11" s="21" t="s">
        <v>19</v>
      </c>
      <c r="K11" s="21"/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5</v>
      </c>
      <c r="D12" s="22">
        <v>6</v>
      </c>
      <c r="E12" s="21"/>
      <c r="F12" s="21" t="s">
        <v>19</v>
      </c>
      <c r="G12" s="21"/>
      <c r="H12" s="21"/>
      <c r="I12" s="21"/>
      <c r="J12" s="21" t="s">
        <v>19</v>
      </c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6</v>
      </c>
      <c r="D13" s="22">
        <v>7</v>
      </c>
      <c r="E13" s="21"/>
      <c r="F13" s="21" t="s">
        <v>19</v>
      </c>
      <c r="G13" s="21"/>
      <c r="H13" s="21"/>
      <c r="I13" s="21"/>
      <c r="J13" s="21" t="s">
        <v>19</v>
      </c>
      <c r="K13" s="21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7</v>
      </c>
      <c r="D14" s="22">
        <v>8</v>
      </c>
      <c r="E14" s="21"/>
      <c r="F14" s="21" t="s">
        <v>19</v>
      </c>
      <c r="G14" s="21"/>
      <c r="H14" s="21"/>
      <c r="I14" s="21"/>
      <c r="J14" s="21" t="s">
        <v>19</v>
      </c>
      <c r="K14" s="21"/>
      <c r="L14" s="116"/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8</v>
      </c>
      <c r="D15" s="22">
        <v>8.64</v>
      </c>
      <c r="E15" s="21"/>
      <c r="F15" s="21" t="s">
        <v>19</v>
      </c>
      <c r="G15" s="21"/>
      <c r="H15" s="21"/>
      <c r="I15" s="21" t="s">
        <v>19</v>
      </c>
      <c r="J15" s="21"/>
      <c r="K15" s="21"/>
      <c r="L15" s="116"/>
      <c r="M15" s="117"/>
      <c r="N15" s="117"/>
      <c r="O15" s="117"/>
      <c r="P15" s="117"/>
      <c r="Q15" s="117"/>
      <c r="R15" s="118"/>
    </row>
    <row r="16" spans="1:18" ht="41.45" customHeight="1">
      <c r="A16" s="21" t="s">
        <v>62</v>
      </c>
      <c r="B16" s="21"/>
      <c r="C16" s="22">
        <v>0</v>
      </c>
      <c r="D16" s="22">
        <v>1</v>
      </c>
      <c r="E16" s="21"/>
      <c r="F16" s="21" t="s">
        <v>19</v>
      </c>
      <c r="G16" s="21"/>
      <c r="H16" s="21"/>
      <c r="I16" s="21"/>
      <c r="J16" s="21" t="s">
        <v>19</v>
      </c>
      <c r="K16" s="21"/>
      <c r="L16" s="116"/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ref="C17:C28" si="1">D16</f>
        <v>1</v>
      </c>
      <c r="D17" s="22">
        <v>2</v>
      </c>
      <c r="E17" s="21"/>
      <c r="F17" s="21" t="s">
        <v>19</v>
      </c>
      <c r="G17" s="21"/>
      <c r="H17" s="21"/>
      <c r="I17" s="21"/>
      <c r="J17" s="21" t="s">
        <v>19</v>
      </c>
      <c r="K17" s="21"/>
      <c r="L17" s="116"/>
      <c r="M17" s="117"/>
      <c r="N17" s="117"/>
      <c r="O17" s="117"/>
      <c r="P17" s="117"/>
      <c r="Q17" s="117"/>
      <c r="R17" s="118"/>
    </row>
    <row r="18" spans="1:18" ht="41.45" customHeight="1">
      <c r="A18" s="21"/>
      <c r="B18" s="21"/>
      <c r="C18" s="22">
        <f t="shared" si="1"/>
        <v>2</v>
      </c>
      <c r="D18" s="22">
        <v>3</v>
      </c>
      <c r="E18" s="21"/>
      <c r="F18" s="21" t="s">
        <v>19</v>
      </c>
      <c r="G18" s="21"/>
      <c r="H18" s="21"/>
      <c r="I18" s="21"/>
      <c r="J18" s="21" t="s">
        <v>19</v>
      </c>
      <c r="K18" s="21"/>
      <c r="L18" s="116"/>
      <c r="M18" s="117"/>
      <c r="N18" s="117"/>
      <c r="O18" s="117"/>
      <c r="P18" s="117"/>
      <c r="Q18" s="117"/>
      <c r="R18" s="118"/>
    </row>
    <row r="19" spans="1:18" ht="41.45" customHeight="1">
      <c r="A19" s="21"/>
      <c r="B19" s="21"/>
      <c r="C19" s="22">
        <f t="shared" si="1"/>
        <v>3</v>
      </c>
      <c r="D19" s="22">
        <v>4</v>
      </c>
      <c r="E19" s="21"/>
      <c r="F19" s="21" t="s">
        <v>19</v>
      </c>
      <c r="G19" s="21"/>
      <c r="H19" s="21"/>
      <c r="I19" s="21"/>
      <c r="J19" s="21" t="s">
        <v>19</v>
      </c>
      <c r="K19" s="21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21"/>
      <c r="B20" s="21"/>
      <c r="C20" s="22">
        <f t="shared" si="1"/>
        <v>4</v>
      </c>
      <c r="D20" s="22">
        <v>5</v>
      </c>
      <c r="E20" s="21" t="s">
        <v>19</v>
      </c>
      <c r="F20" s="21"/>
      <c r="G20" s="21"/>
      <c r="H20" s="21"/>
      <c r="I20" s="21"/>
      <c r="J20" s="21" t="s">
        <v>19</v>
      </c>
      <c r="K20" s="21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21"/>
      <c r="B21" s="21"/>
      <c r="C21" s="22">
        <f t="shared" si="1"/>
        <v>5</v>
      </c>
      <c r="D21" s="22">
        <v>6</v>
      </c>
      <c r="E21" s="21" t="s">
        <v>19</v>
      </c>
      <c r="F21" s="21"/>
      <c r="G21" s="21"/>
      <c r="H21" s="21"/>
      <c r="I21" s="21"/>
      <c r="J21" s="21" t="s">
        <v>19</v>
      </c>
      <c r="K21" s="21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19"/>
      <c r="B22" s="3"/>
      <c r="C22" s="22">
        <f t="shared" si="1"/>
        <v>6</v>
      </c>
      <c r="D22" s="22">
        <v>7</v>
      </c>
      <c r="E22" s="21" t="s">
        <v>19</v>
      </c>
      <c r="F22" s="21"/>
      <c r="G22" s="21"/>
      <c r="H22" s="21"/>
      <c r="I22" s="21"/>
      <c r="J22" s="21" t="s">
        <v>19</v>
      </c>
      <c r="K22" s="21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19"/>
      <c r="B23" s="3"/>
      <c r="C23" s="22">
        <f t="shared" si="1"/>
        <v>7</v>
      </c>
      <c r="D23" s="22">
        <v>8</v>
      </c>
      <c r="E23" s="21" t="s">
        <v>19</v>
      </c>
      <c r="F23" s="21"/>
      <c r="G23" s="21"/>
      <c r="H23" s="21"/>
      <c r="I23" s="21"/>
      <c r="J23" s="21" t="s">
        <v>19</v>
      </c>
      <c r="K23" s="21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19"/>
      <c r="B24" s="3"/>
      <c r="C24" s="22">
        <f t="shared" si="1"/>
        <v>8</v>
      </c>
      <c r="D24" s="22">
        <v>9</v>
      </c>
      <c r="E24" s="21" t="s">
        <v>19</v>
      </c>
      <c r="F24" s="21"/>
      <c r="G24" s="21"/>
      <c r="H24" s="21"/>
      <c r="I24" s="21"/>
      <c r="J24" s="21" t="s">
        <v>19</v>
      </c>
      <c r="K24" s="21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3"/>
      <c r="C25" s="22">
        <f t="shared" si="1"/>
        <v>9</v>
      </c>
      <c r="D25" s="22">
        <v>10</v>
      </c>
      <c r="E25" s="21" t="s">
        <v>19</v>
      </c>
      <c r="F25" s="21"/>
      <c r="G25" s="21"/>
      <c r="H25" s="21"/>
      <c r="I25" s="21"/>
      <c r="J25" s="21" t="s">
        <v>19</v>
      </c>
      <c r="K25" s="21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3"/>
      <c r="C26" s="22">
        <f t="shared" si="1"/>
        <v>10</v>
      </c>
      <c r="D26" s="22">
        <v>11</v>
      </c>
      <c r="E26" s="21"/>
      <c r="F26" s="21" t="s">
        <v>19</v>
      </c>
      <c r="G26" s="21"/>
      <c r="H26" s="21"/>
      <c r="I26" s="21"/>
      <c r="J26" s="21" t="s">
        <v>19</v>
      </c>
      <c r="K26" s="21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22">
        <f t="shared" si="1"/>
        <v>11</v>
      </c>
      <c r="D27" s="22">
        <v>12</v>
      </c>
      <c r="E27" s="21"/>
      <c r="F27" s="21" t="s">
        <v>19</v>
      </c>
      <c r="G27" s="21"/>
      <c r="H27" s="21"/>
      <c r="I27" s="21"/>
      <c r="J27" s="21" t="s">
        <v>19</v>
      </c>
      <c r="K27" s="21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22">
        <f t="shared" si="1"/>
        <v>12</v>
      </c>
      <c r="D28" s="22">
        <v>12.57</v>
      </c>
      <c r="E28" s="21"/>
      <c r="F28" s="21" t="s">
        <v>19</v>
      </c>
      <c r="G28" s="21"/>
      <c r="H28" s="21"/>
      <c r="I28" s="21"/>
      <c r="J28" s="21" t="s">
        <v>19</v>
      </c>
      <c r="K28" s="21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3"/>
      <c r="B36" s="24"/>
      <c r="C36" s="25"/>
      <c r="D36" s="25"/>
      <c r="E36" s="25">
        <f>IF(E7="X",(D7-C7),"0")</f>
        <v>1</v>
      </c>
      <c r="F36" s="25" t="str">
        <f>IF(F7="X",(D7-C7),"0")</f>
        <v>0</v>
      </c>
      <c r="G36" s="25" t="str">
        <f>IF(G7="X",(D7-C7),"0")</f>
        <v>0</v>
      </c>
      <c r="H36" s="25" t="str">
        <f>IF(H7="X",(D7-C7),"0")</f>
        <v>0</v>
      </c>
      <c r="I36" s="25">
        <f>IF(I7="X",(D7-C7),"0")</f>
        <v>1</v>
      </c>
      <c r="J36" s="25" t="str">
        <f>IF(J7="X",(D7-C7),"0")</f>
        <v>0</v>
      </c>
      <c r="K36" s="25" t="str">
        <f>IF(K7="X",(D7-C7),"0")</f>
        <v>0</v>
      </c>
      <c r="L36" s="147"/>
      <c r="M36" s="148"/>
      <c r="N36" s="148"/>
      <c r="O36" s="148"/>
      <c r="P36" s="148"/>
      <c r="Q36" s="148"/>
      <c r="R36" s="149"/>
    </row>
    <row r="37" spans="1:18" ht="41.45" customHeight="1">
      <c r="A37" s="19"/>
      <c r="B37" s="3"/>
      <c r="C37" s="22"/>
      <c r="D37" s="22"/>
      <c r="E37" s="25">
        <f t="shared" ref="E37:E61" si="2">IF(E8="X",(D8-C8),"0")</f>
        <v>1</v>
      </c>
      <c r="F37" s="25" t="str">
        <f t="shared" ref="F37:F61" si="3">IF(F8="X",(D8-C8),"0")</f>
        <v>0</v>
      </c>
      <c r="G37" s="25" t="str">
        <f t="shared" ref="G37:G61" si="4">IF(G8="X",(D8-C8),"0")</f>
        <v>0</v>
      </c>
      <c r="H37" s="25" t="str">
        <f t="shared" ref="H37:H61" si="5">IF(H8="X",(D8-C8),"0")</f>
        <v>0</v>
      </c>
      <c r="I37" s="25">
        <f t="shared" ref="I37:I61" si="6">IF(I8="X",(D8-C8),"0")</f>
        <v>1</v>
      </c>
      <c r="J37" s="25" t="str">
        <f t="shared" ref="J37:J61" si="7">IF(J8="X",(D8-C8),"0")</f>
        <v>0</v>
      </c>
      <c r="K37" s="25" t="str">
        <f t="shared" ref="K37:K61" si="8">IF(K8="X",(D8-C8),"0")</f>
        <v>0</v>
      </c>
      <c r="L37" s="119"/>
      <c r="M37" s="119"/>
      <c r="N37" s="119"/>
      <c r="O37" s="119"/>
      <c r="P37" s="119"/>
      <c r="Q37" s="119"/>
      <c r="R37" s="120"/>
    </row>
    <row r="38" spans="1:18" ht="41.45" customHeight="1">
      <c r="A38" s="19"/>
      <c r="B38" s="3"/>
      <c r="C38" s="22"/>
      <c r="D38" s="22"/>
      <c r="E38" s="25" t="str">
        <f t="shared" si="2"/>
        <v>0</v>
      </c>
      <c r="F38" s="25">
        <f t="shared" si="3"/>
        <v>1</v>
      </c>
      <c r="G38" s="25" t="str">
        <f t="shared" si="4"/>
        <v>0</v>
      </c>
      <c r="H38" s="25" t="str">
        <f t="shared" si="5"/>
        <v>0</v>
      </c>
      <c r="I38" s="25">
        <f t="shared" si="6"/>
        <v>1</v>
      </c>
      <c r="J38" s="25" t="str">
        <f t="shared" si="7"/>
        <v>0</v>
      </c>
      <c r="K38" s="25" t="str">
        <f t="shared" si="8"/>
        <v>0</v>
      </c>
      <c r="L38" s="119"/>
      <c r="M38" s="119"/>
      <c r="N38" s="119"/>
      <c r="O38" s="119"/>
      <c r="P38" s="119"/>
      <c r="Q38" s="119"/>
      <c r="R38" s="120"/>
    </row>
    <row r="39" spans="1:18" ht="41.45" customHeight="1">
      <c r="A39" s="19"/>
      <c r="B39" s="3"/>
      <c r="C39" s="22"/>
      <c r="D39" s="22"/>
      <c r="E39" s="25" t="str">
        <f t="shared" si="2"/>
        <v>0</v>
      </c>
      <c r="F39" s="25">
        <f t="shared" si="3"/>
        <v>1</v>
      </c>
      <c r="G39" s="25" t="str">
        <f t="shared" si="4"/>
        <v>0</v>
      </c>
      <c r="H39" s="25" t="str">
        <f t="shared" si="5"/>
        <v>0</v>
      </c>
      <c r="I39" s="25" t="str">
        <f t="shared" si="6"/>
        <v>0</v>
      </c>
      <c r="J39" s="25">
        <f t="shared" si="7"/>
        <v>1</v>
      </c>
      <c r="K39" s="25" t="str">
        <f t="shared" si="8"/>
        <v>0</v>
      </c>
      <c r="L39" s="119"/>
      <c r="M39" s="119"/>
      <c r="N39" s="119"/>
      <c r="O39" s="119"/>
      <c r="P39" s="119"/>
      <c r="Q39" s="119"/>
      <c r="R39" s="120"/>
    </row>
    <row r="40" spans="1:18" ht="41.45" customHeight="1">
      <c r="A40" s="19"/>
      <c r="B40" s="3"/>
      <c r="C40" s="22"/>
      <c r="D40" s="22"/>
      <c r="E40" s="25" t="str">
        <f t="shared" si="2"/>
        <v>0</v>
      </c>
      <c r="F40" s="25">
        <f t="shared" si="3"/>
        <v>1</v>
      </c>
      <c r="G40" s="25" t="str">
        <f t="shared" si="4"/>
        <v>0</v>
      </c>
      <c r="H40" s="25" t="str">
        <f t="shared" si="5"/>
        <v>0</v>
      </c>
      <c r="I40" s="25" t="str">
        <f t="shared" si="6"/>
        <v>0</v>
      </c>
      <c r="J40" s="25">
        <f t="shared" si="7"/>
        <v>1</v>
      </c>
      <c r="K40" s="25" t="str">
        <f t="shared" si="8"/>
        <v>0</v>
      </c>
      <c r="L40" s="119"/>
      <c r="M40" s="119"/>
      <c r="N40" s="119"/>
      <c r="O40" s="119"/>
      <c r="P40" s="119"/>
      <c r="Q40" s="119"/>
      <c r="R40" s="120"/>
    </row>
    <row r="41" spans="1:18" ht="41.45" customHeight="1">
      <c r="A41" s="19"/>
      <c r="B41" s="3"/>
      <c r="C41" s="22"/>
      <c r="D41" s="22"/>
      <c r="E41" s="25" t="str">
        <f t="shared" si="2"/>
        <v>0</v>
      </c>
      <c r="F41" s="25">
        <f t="shared" si="3"/>
        <v>1</v>
      </c>
      <c r="G41" s="25" t="str">
        <f t="shared" si="4"/>
        <v>0</v>
      </c>
      <c r="H41" s="25" t="str">
        <f t="shared" si="5"/>
        <v>0</v>
      </c>
      <c r="I41" s="25" t="str">
        <f t="shared" si="6"/>
        <v>0</v>
      </c>
      <c r="J41" s="25">
        <f t="shared" si="7"/>
        <v>1</v>
      </c>
      <c r="K41" s="25" t="str">
        <f t="shared" si="8"/>
        <v>0</v>
      </c>
      <c r="L41" s="119"/>
      <c r="M41" s="119"/>
      <c r="N41" s="119"/>
      <c r="O41" s="119"/>
      <c r="P41" s="119"/>
      <c r="Q41" s="119"/>
      <c r="R41" s="120"/>
    </row>
    <row r="42" spans="1:18" ht="41.45" customHeight="1">
      <c r="A42" s="19"/>
      <c r="B42" s="3"/>
      <c r="C42" s="22"/>
      <c r="D42" s="22"/>
      <c r="E42" s="25" t="str">
        <f t="shared" si="2"/>
        <v>0</v>
      </c>
      <c r="F42" s="25">
        <f t="shared" si="3"/>
        <v>1</v>
      </c>
      <c r="G42" s="25" t="str">
        <f t="shared" si="4"/>
        <v>0</v>
      </c>
      <c r="H42" s="25" t="str">
        <f t="shared" si="5"/>
        <v>0</v>
      </c>
      <c r="I42" s="25" t="str">
        <f t="shared" si="6"/>
        <v>0</v>
      </c>
      <c r="J42" s="25">
        <f t="shared" si="7"/>
        <v>1</v>
      </c>
      <c r="K42" s="25" t="str">
        <f t="shared" si="8"/>
        <v>0</v>
      </c>
      <c r="L42" s="119"/>
      <c r="M42" s="119"/>
      <c r="N42" s="119"/>
      <c r="O42" s="119"/>
      <c r="P42" s="119"/>
      <c r="Q42" s="119"/>
      <c r="R42" s="120"/>
    </row>
    <row r="43" spans="1:18" ht="41.45" customHeight="1">
      <c r="A43" s="19"/>
      <c r="B43" s="3"/>
      <c r="C43" s="22"/>
      <c r="D43" s="22"/>
      <c r="E43" s="25" t="str">
        <f t="shared" si="2"/>
        <v>0</v>
      </c>
      <c r="F43" s="25">
        <f t="shared" si="3"/>
        <v>1</v>
      </c>
      <c r="G43" s="25" t="str">
        <f t="shared" si="4"/>
        <v>0</v>
      </c>
      <c r="H43" s="25" t="str">
        <f t="shared" si="5"/>
        <v>0</v>
      </c>
      <c r="I43" s="25" t="str">
        <f t="shared" si="6"/>
        <v>0</v>
      </c>
      <c r="J43" s="25">
        <f t="shared" si="7"/>
        <v>1</v>
      </c>
      <c r="K43" s="25" t="str">
        <f t="shared" si="8"/>
        <v>0</v>
      </c>
      <c r="L43" s="119"/>
      <c r="M43" s="119"/>
      <c r="N43" s="119"/>
      <c r="O43" s="119"/>
      <c r="P43" s="119"/>
      <c r="Q43" s="119"/>
      <c r="R43" s="120"/>
    </row>
    <row r="44" spans="1:18" ht="41.45" customHeight="1">
      <c r="A44" s="19"/>
      <c r="B44" s="3"/>
      <c r="C44" s="22"/>
      <c r="D44" s="22"/>
      <c r="E44" s="25" t="str">
        <f t="shared" si="2"/>
        <v>0</v>
      </c>
      <c r="F44" s="25">
        <f t="shared" si="3"/>
        <v>0.64000000000000057</v>
      </c>
      <c r="G44" s="25" t="str">
        <f t="shared" si="4"/>
        <v>0</v>
      </c>
      <c r="H44" s="25" t="str">
        <f t="shared" si="5"/>
        <v>0</v>
      </c>
      <c r="I44" s="25">
        <f t="shared" si="6"/>
        <v>0.64000000000000057</v>
      </c>
      <c r="J44" s="25" t="str">
        <f t="shared" si="7"/>
        <v>0</v>
      </c>
      <c r="K44" s="25" t="str">
        <f t="shared" si="8"/>
        <v>0</v>
      </c>
      <c r="L44" s="119"/>
      <c r="M44" s="119"/>
      <c r="N44" s="119"/>
      <c r="O44" s="119"/>
      <c r="P44" s="119"/>
      <c r="Q44" s="119"/>
      <c r="R44" s="120"/>
    </row>
    <row r="45" spans="1:18" ht="41.45" customHeight="1">
      <c r="A45" s="19"/>
      <c r="B45" s="3"/>
      <c r="C45" s="22"/>
      <c r="D45" s="22"/>
      <c r="E45" s="25" t="str">
        <f t="shared" si="2"/>
        <v>0</v>
      </c>
      <c r="F45" s="25">
        <f t="shared" si="3"/>
        <v>1</v>
      </c>
      <c r="G45" s="25" t="str">
        <f t="shared" si="4"/>
        <v>0</v>
      </c>
      <c r="H45" s="25" t="str">
        <f t="shared" si="5"/>
        <v>0</v>
      </c>
      <c r="I45" s="25" t="str">
        <f t="shared" si="6"/>
        <v>0</v>
      </c>
      <c r="J45" s="25">
        <f t="shared" si="7"/>
        <v>1</v>
      </c>
      <c r="K45" s="25" t="str">
        <f t="shared" si="8"/>
        <v>0</v>
      </c>
      <c r="L45" s="119"/>
      <c r="M45" s="119"/>
      <c r="N45" s="119"/>
      <c r="O45" s="119"/>
      <c r="P45" s="119"/>
      <c r="Q45" s="119"/>
      <c r="R45" s="120"/>
    </row>
    <row r="46" spans="1:18" ht="41.45" customHeight="1">
      <c r="A46" s="19"/>
      <c r="B46" s="3"/>
      <c r="C46" s="22"/>
      <c r="D46" s="22"/>
      <c r="E46" s="25" t="str">
        <f t="shared" si="2"/>
        <v>0</v>
      </c>
      <c r="F46" s="25">
        <f t="shared" si="3"/>
        <v>1</v>
      </c>
      <c r="G46" s="25" t="str">
        <f t="shared" si="4"/>
        <v>0</v>
      </c>
      <c r="H46" s="25" t="str">
        <f t="shared" si="5"/>
        <v>0</v>
      </c>
      <c r="I46" s="25" t="str">
        <f t="shared" si="6"/>
        <v>0</v>
      </c>
      <c r="J46" s="25">
        <f t="shared" si="7"/>
        <v>1</v>
      </c>
      <c r="K46" s="25" t="str">
        <f t="shared" si="8"/>
        <v>0</v>
      </c>
      <c r="L46" s="119"/>
      <c r="M46" s="119"/>
      <c r="N46" s="119"/>
      <c r="O46" s="119"/>
      <c r="P46" s="119"/>
      <c r="Q46" s="119"/>
      <c r="R46" s="120"/>
    </row>
    <row r="47" spans="1:18" ht="41.45" customHeight="1">
      <c r="A47" s="19"/>
      <c r="B47" s="3"/>
      <c r="C47" s="22"/>
      <c r="D47" s="22"/>
      <c r="E47" s="25" t="str">
        <f t="shared" si="2"/>
        <v>0</v>
      </c>
      <c r="F47" s="25">
        <f t="shared" si="3"/>
        <v>1</v>
      </c>
      <c r="G47" s="25" t="str">
        <f t="shared" si="4"/>
        <v>0</v>
      </c>
      <c r="H47" s="25" t="str">
        <f t="shared" si="5"/>
        <v>0</v>
      </c>
      <c r="I47" s="25" t="str">
        <f t="shared" si="6"/>
        <v>0</v>
      </c>
      <c r="J47" s="25">
        <f t="shared" si="7"/>
        <v>1</v>
      </c>
      <c r="K47" s="25" t="str">
        <f t="shared" si="8"/>
        <v>0</v>
      </c>
      <c r="L47" s="119"/>
      <c r="M47" s="119"/>
      <c r="N47" s="119"/>
      <c r="O47" s="119"/>
      <c r="P47" s="119"/>
      <c r="Q47" s="119"/>
      <c r="R47" s="120"/>
    </row>
    <row r="48" spans="1:18" ht="41.45" customHeight="1">
      <c r="A48" s="19"/>
      <c r="B48" s="3"/>
      <c r="C48" s="22"/>
      <c r="D48" s="22"/>
      <c r="E48" s="25" t="str">
        <f t="shared" si="2"/>
        <v>0</v>
      </c>
      <c r="F48" s="25">
        <f t="shared" si="3"/>
        <v>1</v>
      </c>
      <c r="G48" s="25" t="str">
        <f t="shared" si="4"/>
        <v>0</v>
      </c>
      <c r="H48" s="25" t="str">
        <f t="shared" si="5"/>
        <v>0</v>
      </c>
      <c r="I48" s="25" t="str">
        <f t="shared" si="6"/>
        <v>0</v>
      </c>
      <c r="J48" s="25">
        <f t="shared" si="7"/>
        <v>1</v>
      </c>
      <c r="K48" s="25" t="str">
        <f t="shared" si="8"/>
        <v>0</v>
      </c>
      <c r="L48" s="119"/>
      <c r="M48" s="119"/>
      <c r="N48" s="119"/>
      <c r="O48" s="119"/>
      <c r="P48" s="119"/>
      <c r="Q48" s="119"/>
      <c r="R48" s="120"/>
    </row>
    <row r="49" spans="1:18" ht="41.45" customHeight="1">
      <c r="A49" s="19"/>
      <c r="B49" s="3"/>
      <c r="C49" s="22"/>
      <c r="D49" s="22"/>
      <c r="E49" s="25">
        <f t="shared" si="2"/>
        <v>1</v>
      </c>
      <c r="F49" s="25" t="str">
        <f t="shared" si="3"/>
        <v>0</v>
      </c>
      <c r="G49" s="25" t="str">
        <f t="shared" si="4"/>
        <v>0</v>
      </c>
      <c r="H49" s="25" t="str">
        <f t="shared" si="5"/>
        <v>0</v>
      </c>
      <c r="I49" s="25" t="str">
        <f t="shared" si="6"/>
        <v>0</v>
      </c>
      <c r="J49" s="25">
        <f t="shared" si="7"/>
        <v>1</v>
      </c>
      <c r="K49" s="25" t="str">
        <f t="shared" si="8"/>
        <v>0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19"/>
      <c r="B50" s="3"/>
      <c r="C50" s="22"/>
      <c r="D50" s="22"/>
      <c r="E50" s="25">
        <f t="shared" si="2"/>
        <v>1</v>
      </c>
      <c r="F50" s="25" t="str">
        <f t="shared" si="3"/>
        <v>0</v>
      </c>
      <c r="G50" s="25" t="str">
        <f t="shared" si="4"/>
        <v>0</v>
      </c>
      <c r="H50" s="25" t="str">
        <f t="shared" si="5"/>
        <v>0</v>
      </c>
      <c r="I50" s="25" t="str">
        <f t="shared" si="6"/>
        <v>0</v>
      </c>
      <c r="J50" s="25">
        <f t="shared" si="7"/>
        <v>1</v>
      </c>
      <c r="K50" s="25" t="str">
        <f t="shared" si="8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19"/>
      <c r="B51" s="3"/>
      <c r="C51" s="22"/>
      <c r="D51" s="22"/>
      <c r="E51" s="25">
        <f t="shared" si="2"/>
        <v>1</v>
      </c>
      <c r="F51" s="25" t="str">
        <f t="shared" si="3"/>
        <v>0</v>
      </c>
      <c r="G51" s="25" t="str">
        <f t="shared" si="4"/>
        <v>0</v>
      </c>
      <c r="H51" s="25" t="str">
        <f t="shared" si="5"/>
        <v>0</v>
      </c>
      <c r="I51" s="25" t="str">
        <f t="shared" si="6"/>
        <v>0</v>
      </c>
      <c r="J51" s="25">
        <f t="shared" si="7"/>
        <v>1</v>
      </c>
      <c r="K51" s="25" t="str">
        <f t="shared" si="8"/>
        <v>0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19"/>
      <c r="B52" s="3"/>
      <c r="C52" s="22"/>
      <c r="D52" s="22"/>
      <c r="E52" s="25">
        <f t="shared" si="2"/>
        <v>1</v>
      </c>
      <c r="F52" s="25" t="str">
        <f t="shared" si="3"/>
        <v>0</v>
      </c>
      <c r="G52" s="25" t="str">
        <f t="shared" si="4"/>
        <v>0</v>
      </c>
      <c r="H52" s="25" t="str">
        <f t="shared" si="5"/>
        <v>0</v>
      </c>
      <c r="I52" s="25" t="str">
        <f t="shared" si="6"/>
        <v>0</v>
      </c>
      <c r="J52" s="25">
        <f t="shared" si="7"/>
        <v>1</v>
      </c>
      <c r="K52" s="25" t="str">
        <f t="shared" si="8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>
        <f t="shared" si="2"/>
        <v>1</v>
      </c>
      <c r="F53" s="25" t="str">
        <f t="shared" si="3"/>
        <v>0</v>
      </c>
      <c r="G53" s="25" t="str">
        <f t="shared" si="4"/>
        <v>0</v>
      </c>
      <c r="H53" s="25" t="str">
        <f t="shared" si="5"/>
        <v>0</v>
      </c>
      <c r="I53" s="25" t="str">
        <f t="shared" si="6"/>
        <v>0</v>
      </c>
      <c r="J53" s="25">
        <f t="shared" si="7"/>
        <v>1</v>
      </c>
      <c r="K53" s="25" t="str">
        <f t="shared" si="8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5">
        <f t="shared" si="2"/>
        <v>1</v>
      </c>
      <c r="F54" s="25" t="str">
        <f t="shared" si="3"/>
        <v>0</v>
      </c>
      <c r="G54" s="25" t="str">
        <f t="shared" si="4"/>
        <v>0</v>
      </c>
      <c r="H54" s="25" t="str">
        <f t="shared" si="5"/>
        <v>0</v>
      </c>
      <c r="I54" s="25" t="str">
        <f t="shared" si="6"/>
        <v>0</v>
      </c>
      <c r="J54" s="25">
        <f t="shared" si="7"/>
        <v>1</v>
      </c>
      <c r="K54" s="25" t="str">
        <f t="shared" si="8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5" t="str">
        <f t="shared" si="2"/>
        <v>0</v>
      </c>
      <c r="F55" s="25">
        <f t="shared" si="3"/>
        <v>1</v>
      </c>
      <c r="G55" s="25" t="str">
        <f t="shared" si="4"/>
        <v>0</v>
      </c>
      <c r="H55" s="25" t="str">
        <f t="shared" si="5"/>
        <v>0</v>
      </c>
      <c r="I55" s="25" t="str">
        <f t="shared" si="6"/>
        <v>0</v>
      </c>
      <c r="J55" s="25">
        <f t="shared" si="7"/>
        <v>1</v>
      </c>
      <c r="K55" s="25" t="str">
        <f t="shared" si="8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5" t="str">
        <f t="shared" si="2"/>
        <v>0</v>
      </c>
      <c r="F56" s="25">
        <f t="shared" si="3"/>
        <v>1</v>
      </c>
      <c r="G56" s="25" t="str">
        <f t="shared" si="4"/>
        <v>0</v>
      </c>
      <c r="H56" s="25" t="str">
        <f t="shared" si="5"/>
        <v>0</v>
      </c>
      <c r="I56" s="25" t="str">
        <f t="shared" si="6"/>
        <v>0</v>
      </c>
      <c r="J56" s="25">
        <f t="shared" si="7"/>
        <v>1</v>
      </c>
      <c r="K56" s="25" t="str">
        <f t="shared" si="8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5" t="str">
        <f>IF(E28="X",(D28-C28),"0")</f>
        <v>0</v>
      </c>
      <c r="F57" s="25">
        <f t="shared" si="3"/>
        <v>0.57000000000000028</v>
      </c>
      <c r="G57" s="25" t="str">
        <f t="shared" si="4"/>
        <v>0</v>
      </c>
      <c r="H57" s="25" t="str">
        <f t="shared" si="5"/>
        <v>0</v>
      </c>
      <c r="I57" s="25" t="str">
        <f t="shared" si="6"/>
        <v>0</v>
      </c>
      <c r="J57" s="25">
        <f t="shared" si="7"/>
        <v>0.57000000000000028</v>
      </c>
      <c r="K57" s="25" t="str">
        <f t="shared" si="8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5" t="str">
        <f t="shared" si="2"/>
        <v>0</v>
      </c>
      <c r="F58" s="25" t="str">
        <f t="shared" si="3"/>
        <v>0</v>
      </c>
      <c r="G58" s="25" t="str">
        <f t="shared" si="4"/>
        <v>0</v>
      </c>
      <c r="H58" s="25" t="str">
        <f t="shared" si="5"/>
        <v>0</v>
      </c>
      <c r="I58" s="25" t="str">
        <f t="shared" si="6"/>
        <v>0</v>
      </c>
      <c r="J58" s="25" t="str">
        <f t="shared" si="7"/>
        <v>0</v>
      </c>
      <c r="K58" s="25" t="str">
        <f t="shared" si="8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5" t="str">
        <f t="shared" si="2"/>
        <v>0</v>
      </c>
      <c r="F59" s="25" t="str">
        <f t="shared" si="3"/>
        <v>0</v>
      </c>
      <c r="G59" s="25" t="str">
        <f t="shared" si="4"/>
        <v>0</v>
      </c>
      <c r="H59" s="25" t="str">
        <f t="shared" si="5"/>
        <v>0</v>
      </c>
      <c r="I59" s="25" t="str">
        <f t="shared" si="6"/>
        <v>0</v>
      </c>
      <c r="J59" s="25" t="str">
        <f t="shared" si="7"/>
        <v>0</v>
      </c>
      <c r="K59" s="25" t="str">
        <f t="shared" si="8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 t="str">
        <f t="shared" si="2"/>
        <v>0</v>
      </c>
      <c r="F60" s="25" t="str">
        <f t="shared" si="3"/>
        <v>0</v>
      </c>
      <c r="G60" s="25" t="str">
        <f t="shared" si="4"/>
        <v>0</v>
      </c>
      <c r="H60" s="25" t="str">
        <f t="shared" si="5"/>
        <v>0</v>
      </c>
      <c r="I60" s="25" t="str">
        <f t="shared" si="6"/>
        <v>0</v>
      </c>
      <c r="J60" s="25" t="str">
        <f t="shared" si="7"/>
        <v>0</v>
      </c>
      <c r="K60" s="25" t="str">
        <f t="shared" si="8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 t="str">
        <f t="shared" si="2"/>
        <v>0</v>
      </c>
      <c r="F61" s="25" t="str">
        <f t="shared" si="3"/>
        <v>0</v>
      </c>
      <c r="G61" s="25" t="str">
        <f t="shared" si="4"/>
        <v>0</v>
      </c>
      <c r="H61" s="25" t="str">
        <f t="shared" si="5"/>
        <v>0</v>
      </c>
      <c r="I61" s="25" t="str">
        <f t="shared" si="6"/>
        <v>0</v>
      </c>
      <c r="J61" s="25" t="str">
        <f t="shared" si="7"/>
        <v>0</v>
      </c>
      <c r="K61" s="25" t="str">
        <f t="shared" si="8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2">
        <f>SUM(E36:E61)</f>
        <v>8</v>
      </c>
      <c r="F62" s="22">
        <f t="shared" ref="F62:K62" si="9">SUM(F36:F61)</f>
        <v>13.21</v>
      </c>
      <c r="G62" s="22">
        <f t="shared" si="9"/>
        <v>0</v>
      </c>
      <c r="H62" s="22">
        <f t="shared" si="9"/>
        <v>0</v>
      </c>
      <c r="I62" s="22">
        <f t="shared" si="9"/>
        <v>3.6400000000000006</v>
      </c>
      <c r="J62" s="22">
        <f t="shared" si="9"/>
        <v>17.57</v>
      </c>
      <c r="K62" s="22">
        <f t="shared" si="9"/>
        <v>0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19"/>
      <c r="M67" s="119"/>
      <c r="N67" s="119"/>
      <c r="O67" s="119"/>
      <c r="P67" s="119"/>
      <c r="Q67" s="119"/>
      <c r="R67" s="120"/>
    </row>
    <row r="68" spans="1:18" ht="41.45" customHeight="1" thickBot="1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45"/>
      <c r="M68" s="145"/>
      <c r="N68" s="145"/>
      <c r="O68" s="145"/>
      <c r="P68" s="145"/>
      <c r="Q68" s="145"/>
      <c r="R68" s="146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R68"/>
  <sheetViews>
    <sheetView view="pageBreakPreview" zoomScale="55" zoomScaleNormal="55" zoomScaleSheetLayoutView="55" workbookViewId="0">
      <selection activeCell="E62" sqref="E62:H62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354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TT!C8</f>
        <v>RODOVIA TO-205 - TRECHO SÃO BENTO DO TOCANTINS - ENTR. TO-010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53</v>
      </c>
      <c r="B7" s="21" t="s">
        <v>52</v>
      </c>
      <c r="C7" s="22">
        <v>0</v>
      </c>
      <c r="D7" s="22">
        <v>1</v>
      </c>
      <c r="E7" s="21" t="s">
        <v>19</v>
      </c>
      <c r="F7" s="21"/>
      <c r="G7" s="21"/>
      <c r="H7" s="21"/>
      <c r="I7" s="21"/>
      <c r="J7" s="21" t="s">
        <v>19</v>
      </c>
      <c r="K7" s="21"/>
      <c r="L7" s="116"/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1</v>
      </c>
      <c r="D8" s="22">
        <v>2</v>
      </c>
      <c r="E8" s="21" t="s">
        <v>19</v>
      </c>
      <c r="F8" s="21"/>
      <c r="G8" s="21"/>
      <c r="H8" s="21"/>
      <c r="I8" s="21"/>
      <c r="J8" s="21" t="s">
        <v>19</v>
      </c>
      <c r="K8" s="21"/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ref="C9:C32" si="0">D8</f>
        <v>2</v>
      </c>
      <c r="D9" s="22">
        <v>3</v>
      </c>
      <c r="E9" s="21" t="s">
        <v>19</v>
      </c>
      <c r="F9" s="21"/>
      <c r="G9" s="21"/>
      <c r="H9" s="21"/>
      <c r="I9" s="21"/>
      <c r="J9" s="21" t="s">
        <v>19</v>
      </c>
      <c r="K9" s="21"/>
      <c r="L9" s="116"/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3</v>
      </c>
      <c r="D10" s="22">
        <v>4</v>
      </c>
      <c r="E10" s="21" t="s">
        <v>19</v>
      </c>
      <c r="F10" s="21"/>
      <c r="G10" s="21"/>
      <c r="H10" s="21"/>
      <c r="I10" s="21"/>
      <c r="J10" s="21" t="s">
        <v>19</v>
      </c>
      <c r="K10" s="21"/>
      <c r="L10" s="116" t="s">
        <v>80</v>
      </c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4</v>
      </c>
      <c r="D11" s="22">
        <v>5</v>
      </c>
      <c r="E11" s="21"/>
      <c r="F11" s="21" t="s">
        <v>19</v>
      </c>
      <c r="G11" s="21"/>
      <c r="H11" s="21"/>
      <c r="I11" s="21"/>
      <c r="J11" s="21" t="s">
        <v>19</v>
      </c>
      <c r="K11" s="21"/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5</v>
      </c>
      <c r="D12" s="22">
        <v>6</v>
      </c>
      <c r="E12" s="21" t="s">
        <v>19</v>
      </c>
      <c r="F12" s="21"/>
      <c r="G12" s="21"/>
      <c r="H12" s="21"/>
      <c r="I12" s="21"/>
      <c r="J12" s="21" t="s">
        <v>19</v>
      </c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6</v>
      </c>
      <c r="D13" s="22">
        <v>7</v>
      </c>
      <c r="E13" s="21"/>
      <c r="F13" s="21" t="s">
        <v>19</v>
      </c>
      <c r="G13" s="21"/>
      <c r="H13" s="21"/>
      <c r="I13" s="21" t="s">
        <v>19</v>
      </c>
      <c r="J13" s="21"/>
      <c r="K13" s="21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7</v>
      </c>
      <c r="D14" s="22">
        <v>8</v>
      </c>
      <c r="E14" s="21"/>
      <c r="F14" s="21" t="s">
        <v>19</v>
      </c>
      <c r="G14" s="21"/>
      <c r="H14" s="21"/>
      <c r="I14" s="21" t="s">
        <v>19</v>
      </c>
      <c r="J14" s="21"/>
      <c r="K14" s="21"/>
      <c r="L14" s="116" t="s">
        <v>79</v>
      </c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8</v>
      </c>
      <c r="D15" s="22">
        <v>9</v>
      </c>
      <c r="E15" s="21" t="s">
        <v>19</v>
      </c>
      <c r="F15" s="21"/>
      <c r="G15" s="21"/>
      <c r="H15" s="21"/>
      <c r="I15" s="21" t="s">
        <v>19</v>
      </c>
      <c r="J15" s="21"/>
      <c r="K15" s="21"/>
      <c r="L15" s="116" t="s">
        <v>79</v>
      </c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22">
        <f t="shared" si="0"/>
        <v>9</v>
      </c>
      <c r="D16" s="22">
        <v>10</v>
      </c>
      <c r="E16" s="21" t="s">
        <v>19</v>
      </c>
      <c r="F16" s="21"/>
      <c r="G16" s="21"/>
      <c r="H16" s="21"/>
      <c r="I16" s="21" t="s">
        <v>19</v>
      </c>
      <c r="J16" s="21"/>
      <c r="K16" s="21"/>
      <c r="L16" s="116"/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si="0"/>
        <v>10</v>
      </c>
      <c r="D17" s="22">
        <v>11</v>
      </c>
      <c r="E17" s="21" t="s">
        <v>19</v>
      </c>
      <c r="F17" s="21"/>
      <c r="G17" s="21"/>
      <c r="H17" s="21"/>
      <c r="I17" s="21"/>
      <c r="J17" s="21" t="s">
        <v>19</v>
      </c>
      <c r="K17" s="21"/>
      <c r="L17" s="116"/>
      <c r="M17" s="117"/>
      <c r="N17" s="117"/>
      <c r="O17" s="117"/>
      <c r="P17" s="117"/>
      <c r="Q17" s="117"/>
      <c r="R17" s="118"/>
    </row>
    <row r="18" spans="1:18" ht="41.45" customHeight="1">
      <c r="A18" s="19"/>
      <c r="B18" s="3"/>
      <c r="C18" s="22">
        <f t="shared" si="0"/>
        <v>11</v>
      </c>
      <c r="D18" s="22">
        <v>12</v>
      </c>
      <c r="E18" s="21" t="s">
        <v>19</v>
      </c>
      <c r="F18" s="21"/>
      <c r="G18" s="21"/>
      <c r="H18" s="21"/>
      <c r="I18" s="21"/>
      <c r="J18" s="21" t="s">
        <v>19</v>
      </c>
      <c r="K18" s="21"/>
      <c r="L18" s="116"/>
      <c r="M18" s="117"/>
      <c r="N18" s="117"/>
      <c r="O18" s="117"/>
      <c r="P18" s="117"/>
      <c r="Q18" s="117"/>
      <c r="R18" s="118"/>
    </row>
    <row r="19" spans="1:18" ht="41.45" customHeight="1">
      <c r="A19" s="19"/>
      <c r="B19" s="3"/>
      <c r="C19" s="22">
        <f t="shared" si="0"/>
        <v>12</v>
      </c>
      <c r="D19" s="22">
        <v>13</v>
      </c>
      <c r="E19" s="21"/>
      <c r="F19" s="21" t="s">
        <v>19</v>
      </c>
      <c r="G19" s="21"/>
      <c r="H19" s="21"/>
      <c r="I19" s="21"/>
      <c r="J19" s="21" t="s">
        <v>19</v>
      </c>
      <c r="K19" s="21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19"/>
      <c r="B20" s="3"/>
      <c r="C20" s="22">
        <f t="shared" si="0"/>
        <v>13</v>
      </c>
      <c r="D20" s="22">
        <v>14</v>
      </c>
      <c r="E20" s="21"/>
      <c r="F20" s="21" t="s">
        <v>19</v>
      </c>
      <c r="G20" s="21"/>
      <c r="H20" s="21"/>
      <c r="I20" s="21" t="s">
        <v>19</v>
      </c>
      <c r="J20" s="21"/>
      <c r="K20" s="21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19"/>
      <c r="B21" s="3"/>
      <c r="C21" s="22">
        <f t="shared" si="0"/>
        <v>14</v>
      </c>
      <c r="D21" s="22">
        <v>15</v>
      </c>
      <c r="E21" s="21"/>
      <c r="F21" s="21" t="s">
        <v>19</v>
      </c>
      <c r="G21" s="21"/>
      <c r="H21" s="21"/>
      <c r="I21" s="21" t="s">
        <v>19</v>
      </c>
      <c r="J21" s="21"/>
      <c r="K21" s="21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19"/>
      <c r="B22" s="3"/>
      <c r="C22" s="22">
        <f t="shared" si="0"/>
        <v>15</v>
      </c>
      <c r="D22" s="22">
        <v>16</v>
      </c>
      <c r="E22" s="21"/>
      <c r="F22" s="21" t="s">
        <v>19</v>
      </c>
      <c r="G22" s="21"/>
      <c r="H22" s="21"/>
      <c r="I22" s="21" t="s">
        <v>19</v>
      </c>
      <c r="J22" s="21"/>
      <c r="K22" s="21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19"/>
      <c r="B23" s="3"/>
      <c r="C23" s="22">
        <f t="shared" si="0"/>
        <v>16</v>
      </c>
      <c r="D23" s="22">
        <v>17</v>
      </c>
      <c r="E23" s="21"/>
      <c r="F23" s="21" t="s">
        <v>19</v>
      </c>
      <c r="G23" s="21"/>
      <c r="H23" s="21"/>
      <c r="I23" s="21"/>
      <c r="J23" s="21" t="s">
        <v>19</v>
      </c>
      <c r="K23" s="21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19"/>
      <c r="B24" s="3"/>
      <c r="C24" s="22">
        <f t="shared" si="0"/>
        <v>17</v>
      </c>
      <c r="D24" s="22">
        <v>18</v>
      </c>
      <c r="E24" s="21"/>
      <c r="F24" s="21" t="s">
        <v>19</v>
      </c>
      <c r="G24" s="21"/>
      <c r="H24" s="21"/>
      <c r="I24" s="21" t="s">
        <v>19</v>
      </c>
      <c r="J24" s="21"/>
      <c r="K24" s="21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3"/>
      <c r="C25" s="22">
        <f t="shared" si="0"/>
        <v>18</v>
      </c>
      <c r="D25" s="22">
        <v>19</v>
      </c>
      <c r="E25" s="21" t="s">
        <v>19</v>
      </c>
      <c r="F25" s="21"/>
      <c r="G25" s="21"/>
      <c r="H25" s="21"/>
      <c r="I25" s="21" t="s">
        <v>19</v>
      </c>
      <c r="J25" s="21"/>
      <c r="K25" s="21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3"/>
      <c r="C26" s="22">
        <f t="shared" si="0"/>
        <v>19</v>
      </c>
      <c r="D26" s="22">
        <v>20</v>
      </c>
      <c r="E26" s="21" t="s">
        <v>19</v>
      </c>
      <c r="F26" s="21"/>
      <c r="G26" s="21"/>
      <c r="H26" s="21"/>
      <c r="I26" s="21" t="s">
        <v>19</v>
      </c>
      <c r="J26" s="21"/>
      <c r="K26" s="21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22">
        <f t="shared" si="0"/>
        <v>20</v>
      </c>
      <c r="D27" s="22">
        <v>21</v>
      </c>
      <c r="E27" s="21" t="s">
        <v>19</v>
      </c>
      <c r="F27" s="21"/>
      <c r="G27" s="21"/>
      <c r="H27" s="21"/>
      <c r="I27" s="21" t="s">
        <v>19</v>
      </c>
      <c r="J27" s="21"/>
      <c r="K27" s="21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22">
        <f t="shared" si="0"/>
        <v>21</v>
      </c>
      <c r="D28" s="22">
        <v>22</v>
      </c>
      <c r="E28" s="21" t="s">
        <v>19</v>
      </c>
      <c r="F28" s="21"/>
      <c r="G28" s="21"/>
      <c r="H28" s="21"/>
      <c r="I28" s="21"/>
      <c r="J28" s="21" t="s">
        <v>19</v>
      </c>
      <c r="K28" s="21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22">
        <f t="shared" si="0"/>
        <v>22</v>
      </c>
      <c r="D29" s="22">
        <v>23</v>
      </c>
      <c r="E29" s="21" t="s">
        <v>19</v>
      </c>
      <c r="F29" s="21"/>
      <c r="G29" s="21"/>
      <c r="H29" s="21"/>
      <c r="I29" s="21" t="s">
        <v>19</v>
      </c>
      <c r="J29" s="21"/>
      <c r="K29" s="21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22">
        <f t="shared" si="0"/>
        <v>23</v>
      </c>
      <c r="D30" s="22">
        <v>24</v>
      </c>
      <c r="E30" s="21" t="s">
        <v>19</v>
      </c>
      <c r="F30" s="21"/>
      <c r="G30" s="21"/>
      <c r="H30" s="21"/>
      <c r="I30" s="21" t="s">
        <v>19</v>
      </c>
      <c r="J30" s="21"/>
      <c r="K30" s="21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22">
        <f t="shared" si="0"/>
        <v>24</v>
      </c>
      <c r="D31" s="22">
        <v>25</v>
      </c>
      <c r="E31" s="21" t="s">
        <v>19</v>
      </c>
      <c r="F31" s="21"/>
      <c r="G31" s="21"/>
      <c r="H31" s="21"/>
      <c r="I31" s="21" t="s">
        <v>19</v>
      </c>
      <c r="J31" s="21"/>
      <c r="K31" s="21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22">
        <f t="shared" si="0"/>
        <v>25</v>
      </c>
      <c r="D32" s="22">
        <v>25.67</v>
      </c>
      <c r="E32" s="21" t="s">
        <v>19</v>
      </c>
      <c r="F32" s="21"/>
      <c r="G32" s="21"/>
      <c r="H32" s="21"/>
      <c r="I32" s="21" t="s">
        <v>19</v>
      </c>
      <c r="J32" s="21"/>
      <c r="K32" s="21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3"/>
      <c r="B36" s="24"/>
      <c r="C36" s="25"/>
      <c r="D36" s="25"/>
      <c r="E36" s="25">
        <f>IF(E7="X",(D7-C7),"0")</f>
        <v>1</v>
      </c>
      <c r="F36" s="25" t="str">
        <f>IF(F7="X",(D7-C7),"0")</f>
        <v>0</v>
      </c>
      <c r="G36" s="25" t="str">
        <f>IF(G7="X",(D7-C7),"0")</f>
        <v>0</v>
      </c>
      <c r="H36" s="25" t="str">
        <f>IF(H7="X",(D7-C7),"0")</f>
        <v>0</v>
      </c>
      <c r="I36" s="25" t="str">
        <f>IF(I7="X",(D7-C7),"0")</f>
        <v>0</v>
      </c>
      <c r="J36" s="25">
        <f>IF(J7="X",(D7-C7),"0")</f>
        <v>1</v>
      </c>
      <c r="K36" s="25" t="str">
        <f>IF(K7="X",(D7-C7),"0")</f>
        <v>0</v>
      </c>
      <c r="L36" s="147"/>
      <c r="M36" s="148"/>
      <c r="N36" s="148"/>
      <c r="O36" s="148"/>
      <c r="P36" s="148"/>
      <c r="Q36" s="148"/>
      <c r="R36" s="149"/>
    </row>
    <row r="37" spans="1:18" ht="41.45" customHeight="1">
      <c r="A37" s="19"/>
      <c r="B37" s="3"/>
      <c r="C37" s="22"/>
      <c r="D37" s="22"/>
      <c r="E37" s="25">
        <f t="shared" ref="E37:E60" si="1">IF(E8="X",(D8-C8),"0")</f>
        <v>1</v>
      </c>
      <c r="F37" s="25" t="str">
        <f t="shared" ref="F37:F61" si="2">IF(F8="X",(D8-C8),"0")</f>
        <v>0</v>
      </c>
      <c r="G37" s="25" t="str">
        <f t="shared" ref="G37:G61" si="3">IF(G8="X",(D8-C8),"0")</f>
        <v>0</v>
      </c>
      <c r="H37" s="25" t="str">
        <f t="shared" ref="H37:H61" si="4">IF(H8="X",(D8-C8),"0")</f>
        <v>0</v>
      </c>
      <c r="I37" s="25" t="str">
        <f t="shared" ref="I37:I61" si="5">IF(I8="X",(D8-C8),"0")</f>
        <v>0</v>
      </c>
      <c r="J37" s="25">
        <f t="shared" ref="J37:J61" si="6">IF(J8="X",(D8-C8),"0")</f>
        <v>1</v>
      </c>
      <c r="K37" s="25" t="str">
        <f t="shared" ref="K37:K61" si="7">IF(K8="X",(D8-C8),"0")</f>
        <v>0</v>
      </c>
      <c r="L37" s="119"/>
      <c r="M37" s="119"/>
      <c r="N37" s="119"/>
      <c r="O37" s="119"/>
      <c r="P37" s="119"/>
      <c r="Q37" s="119"/>
      <c r="R37" s="120"/>
    </row>
    <row r="38" spans="1:18" ht="41.45" customHeight="1">
      <c r="A38" s="19"/>
      <c r="B38" s="3"/>
      <c r="C38" s="22"/>
      <c r="D38" s="22"/>
      <c r="E38" s="25">
        <f t="shared" si="1"/>
        <v>1</v>
      </c>
      <c r="F38" s="25" t="str">
        <f t="shared" si="2"/>
        <v>0</v>
      </c>
      <c r="G38" s="25" t="str">
        <f t="shared" si="3"/>
        <v>0</v>
      </c>
      <c r="H38" s="25" t="str">
        <f t="shared" si="4"/>
        <v>0</v>
      </c>
      <c r="I38" s="25" t="str">
        <f t="shared" si="5"/>
        <v>0</v>
      </c>
      <c r="J38" s="25">
        <f t="shared" si="6"/>
        <v>1</v>
      </c>
      <c r="K38" s="25" t="str">
        <f t="shared" si="7"/>
        <v>0</v>
      </c>
      <c r="L38" s="119"/>
      <c r="M38" s="119"/>
      <c r="N38" s="119"/>
      <c r="O38" s="119"/>
      <c r="P38" s="119"/>
      <c r="Q38" s="119"/>
      <c r="R38" s="120"/>
    </row>
    <row r="39" spans="1:18" ht="41.45" customHeight="1">
      <c r="A39" s="19"/>
      <c r="B39" s="3"/>
      <c r="C39" s="22"/>
      <c r="D39" s="22"/>
      <c r="E39" s="25">
        <f t="shared" si="1"/>
        <v>1</v>
      </c>
      <c r="F39" s="25" t="str">
        <f t="shared" si="2"/>
        <v>0</v>
      </c>
      <c r="G39" s="25" t="str">
        <f t="shared" si="3"/>
        <v>0</v>
      </c>
      <c r="H39" s="25" t="str">
        <f t="shared" si="4"/>
        <v>0</v>
      </c>
      <c r="I39" s="25" t="str">
        <f t="shared" si="5"/>
        <v>0</v>
      </c>
      <c r="J39" s="25">
        <f t="shared" si="6"/>
        <v>1</v>
      </c>
      <c r="K39" s="25" t="str">
        <f t="shared" si="7"/>
        <v>0</v>
      </c>
      <c r="L39" s="119"/>
      <c r="M39" s="119"/>
      <c r="N39" s="119"/>
      <c r="O39" s="119"/>
      <c r="P39" s="119"/>
      <c r="Q39" s="119"/>
      <c r="R39" s="120"/>
    </row>
    <row r="40" spans="1:18" ht="41.45" customHeight="1">
      <c r="A40" s="19"/>
      <c r="B40" s="3"/>
      <c r="C40" s="22"/>
      <c r="D40" s="22"/>
      <c r="E40" s="25" t="str">
        <f t="shared" si="1"/>
        <v>0</v>
      </c>
      <c r="F40" s="25">
        <f t="shared" si="2"/>
        <v>1</v>
      </c>
      <c r="G40" s="25" t="str">
        <f t="shared" si="3"/>
        <v>0</v>
      </c>
      <c r="H40" s="25" t="str">
        <f t="shared" si="4"/>
        <v>0</v>
      </c>
      <c r="I40" s="25" t="str">
        <f t="shared" si="5"/>
        <v>0</v>
      </c>
      <c r="J40" s="25">
        <f t="shared" si="6"/>
        <v>1</v>
      </c>
      <c r="K40" s="25" t="str">
        <f t="shared" si="7"/>
        <v>0</v>
      </c>
      <c r="L40" s="119"/>
      <c r="M40" s="119"/>
      <c r="N40" s="119"/>
      <c r="O40" s="119"/>
      <c r="P40" s="119"/>
      <c r="Q40" s="119"/>
      <c r="R40" s="120"/>
    </row>
    <row r="41" spans="1:18" ht="41.45" customHeight="1">
      <c r="A41" s="19"/>
      <c r="B41" s="3"/>
      <c r="C41" s="22"/>
      <c r="D41" s="22"/>
      <c r="E41" s="25">
        <f t="shared" si="1"/>
        <v>1</v>
      </c>
      <c r="F41" s="25" t="str">
        <f t="shared" si="2"/>
        <v>0</v>
      </c>
      <c r="G41" s="25" t="str">
        <f t="shared" si="3"/>
        <v>0</v>
      </c>
      <c r="H41" s="25" t="str">
        <f t="shared" si="4"/>
        <v>0</v>
      </c>
      <c r="I41" s="25" t="str">
        <f t="shared" si="5"/>
        <v>0</v>
      </c>
      <c r="J41" s="25">
        <f t="shared" si="6"/>
        <v>1</v>
      </c>
      <c r="K41" s="25" t="str">
        <f t="shared" si="7"/>
        <v>0</v>
      </c>
      <c r="L41" s="119"/>
      <c r="M41" s="119"/>
      <c r="N41" s="119"/>
      <c r="O41" s="119"/>
      <c r="P41" s="119"/>
      <c r="Q41" s="119"/>
      <c r="R41" s="120"/>
    </row>
    <row r="42" spans="1:18" ht="41.45" customHeight="1">
      <c r="A42" s="19"/>
      <c r="B42" s="3"/>
      <c r="C42" s="22"/>
      <c r="D42" s="22"/>
      <c r="E42" s="25" t="str">
        <f t="shared" si="1"/>
        <v>0</v>
      </c>
      <c r="F42" s="25">
        <f t="shared" si="2"/>
        <v>1</v>
      </c>
      <c r="G42" s="25" t="str">
        <f t="shared" si="3"/>
        <v>0</v>
      </c>
      <c r="H42" s="25" t="str">
        <f t="shared" si="4"/>
        <v>0</v>
      </c>
      <c r="I42" s="25">
        <f t="shared" si="5"/>
        <v>1</v>
      </c>
      <c r="J42" s="25" t="str">
        <f t="shared" si="6"/>
        <v>0</v>
      </c>
      <c r="K42" s="25" t="str">
        <f t="shared" si="7"/>
        <v>0</v>
      </c>
      <c r="L42" s="119"/>
      <c r="M42" s="119"/>
      <c r="N42" s="119"/>
      <c r="O42" s="119"/>
      <c r="P42" s="119"/>
      <c r="Q42" s="119"/>
      <c r="R42" s="120"/>
    </row>
    <row r="43" spans="1:18" ht="41.45" customHeight="1">
      <c r="A43" s="19"/>
      <c r="B43" s="3"/>
      <c r="C43" s="22"/>
      <c r="D43" s="22"/>
      <c r="E43" s="25" t="str">
        <f t="shared" si="1"/>
        <v>0</v>
      </c>
      <c r="F43" s="25">
        <f t="shared" si="2"/>
        <v>1</v>
      </c>
      <c r="G43" s="25" t="str">
        <f t="shared" si="3"/>
        <v>0</v>
      </c>
      <c r="H43" s="25" t="str">
        <f t="shared" si="4"/>
        <v>0</v>
      </c>
      <c r="I43" s="25">
        <f t="shared" si="5"/>
        <v>1</v>
      </c>
      <c r="J43" s="25" t="str">
        <f t="shared" si="6"/>
        <v>0</v>
      </c>
      <c r="K43" s="25" t="str">
        <f t="shared" si="7"/>
        <v>0</v>
      </c>
      <c r="L43" s="119"/>
      <c r="M43" s="119"/>
      <c r="N43" s="119"/>
      <c r="O43" s="119"/>
      <c r="P43" s="119"/>
      <c r="Q43" s="119"/>
      <c r="R43" s="120"/>
    </row>
    <row r="44" spans="1:18" ht="41.45" customHeight="1">
      <c r="A44" s="19"/>
      <c r="B44" s="3"/>
      <c r="C44" s="22"/>
      <c r="D44" s="22"/>
      <c r="E44" s="25">
        <f t="shared" si="1"/>
        <v>1</v>
      </c>
      <c r="F44" s="25" t="str">
        <f t="shared" si="2"/>
        <v>0</v>
      </c>
      <c r="G44" s="25" t="str">
        <f t="shared" si="3"/>
        <v>0</v>
      </c>
      <c r="H44" s="25" t="str">
        <f t="shared" si="4"/>
        <v>0</v>
      </c>
      <c r="I44" s="25">
        <f t="shared" si="5"/>
        <v>1</v>
      </c>
      <c r="J44" s="25" t="str">
        <f t="shared" si="6"/>
        <v>0</v>
      </c>
      <c r="K44" s="25" t="str">
        <f t="shared" si="7"/>
        <v>0</v>
      </c>
      <c r="L44" s="119"/>
      <c r="M44" s="119"/>
      <c r="N44" s="119"/>
      <c r="O44" s="119"/>
      <c r="P44" s="119"/>
      <c r="Q44" s="119"/>
      <c r="R44" s="120"/>
    </row>
    <row r="45" spans="1:18" ht="41.45" customHeight="1">
      <c r="A45" s="19"/>
      <c r="B45" s="3"/>
      <c r="C45" s="22"/>
      <c r="D45" s="22"/>
      <c r="E45" s="25">
        <f t="shared" si="1"/>
        <v>1</v>
      </c>
      <c r="F45" s="25" t="str">
        <f t="shared" si="2"/>
        <v>0</v>
      </c>
      <c r="G45" s="25" t="str">
        <f t="shared" si="3"/>
        <v>0</v>
      </c>
      <c r="H45" s="25" t="str">
        <f t="shared" si="4"/>
        <v>0</v>
      </c>
      <c r="I45" s="25">
        <f t="shared" si="5"/>
        <v>1</v>
      </c>
      <c r="J45" s="25" t="str">
        <f t="shared" si="6"/>
        <v>0</v>
      </c>
      <c r="K45" s="25" t="str">
        <f t="shared" si="7"/>
        <v>0</v>
      </c>
      <c r="L45" s="119"/>
      <c r="M45" s="119"/>
      <c r="N45" s="119"/>
      <c r="O45" s="119"/>
      <c r="P45" s="119"/>
      <c r="Q45" s="119"/>
      <c r="R45" s="120"/>
    </row>
    <row r="46" spans="1:18" ht="41.45" customHeight="1">
      <c r="A46" s="19"/>
      <c r="B46" s="3"/>
      <c r="C46" s="22"/>
      <c r="D46" s="22"/>
      <c r="E46" s="25">
        <f t="shared" si="1"/>
        <v>1</v>
      </c>
      <c r="F46" s="25" t="str">
        <f t="shared" si="2"/>
        <v>0</v>
      </c>
      <c r="G46" s="25" t="str">
        <f t="shared" si="3"/>
        <v>0</v>
      </c>
      <c r="H46" s="25" t="str">
        <f t="shared" si="4"/>
        <v>0</v>
      </c>
      <c r="I46" s="25" t="str">
        <f t="shared" si="5"/>
        <v>0</v>
      </c>
      <c r="J46" s="25">
        <f t="shared" si="6"/>
        <v>1</v>
      </c>
      <c r="K46" s="25" t="str">
        <f t="shared" si="7"/>
        <v>0</v>
      </c>
      <c r="L46" s="119"/>
      <c r="M46" s="119"/>
      <c r="N46" s="119"/>
      <c r="O46" s="119"/>
      <c r="P46" s="119"/>
      <c r="Q46" s="119"/>
      <c r="R46" s="120"/>
    </row>
    <row r="47" spans="1:18" ht="41.45" customHeight="1">
      <c r="A47" s="19"/>
      <c r="B47" s="3"/>
      <c r="C47" s="22"/>
      <c r="D47" s="22"/>
      <c r="E47" s="25">
        <f t="shared" si="1"/>
        <v>1</v>
      </c>
      <c r="F47" s="25" t="str">
        <f t="shared" si="2"/>
        <v>0</v>
      </c>
      <c r="G47" s="25" t="str">
        <f t="shared" si="3"/>
        <v>0</v>
      </c>
      <c r="H47" s="25" t="str">
        <f t="shared" si="4"/>
        <v>0</v>
      </c>
      <c r="I47" s="25" t="str">
        <f t="shared" si="5"/>
        <v>0</v>
      </c>
      <c r="J47" s="25">
        <f t="shared" si="6"/>
        <v>1</v>
      </c>
      <c r="K47" s="25" t="str">
        <f t="shared" si="7"/>
        <v>0</v>
      </c>
      <c r="L47" s="119"/>
      <c r="M47" s="119"/>
      <c r="N47" s="119"/>
      <c r="O47" s="119"/>
      <c r="P47" s="119"/>
      <c r="Q47" s="119"/>
      <c r="R47" s="120"/>
    </row>
    <row r="48" spans="1:18" ht="41.45" customHeight="1">
      <c r="A48" s="19"/>
      <c r="B48" s="3"/>
      <c r="C48" s="22"/>
      <c r="D48" s="22"/>
      <c r="E48" s="25" t="str">
        <f t="shared" si="1"/>
        <v>0</v>
      </c>
      <c r="F48" s="25">
        <f t="shared" si="2"/>
        <v>1</v>
      </c>
      <c r="G48" s="25" t="str">
        <f t="shared" si="3"/>
        <v>0</v>
      </c>
      <c r="H48" s="25" t="str">
        <f t="shared" si="4"/>
        <v>0</v>
      </c>
      <c r="I48" s="25" t="str">
        <f t="shared" si="5"/>
        <v>0</v>
      </c>
      <c r="J48" s="25">
        <f t="shared" si="6"/>
        <v>1</v>
      </c>
      <c r="K48" s="25" t="str">
        <f t="shared" si="7"/>
        <v>0</v>
      </c>
      <c r="L48" s="119"/>
      <c r="M48" s="119"/>
      <c r="N48" s="119"/>
      <c r="O48" s="119"/>
      <c r="P48" s="119"/>
      <c r="Q48" s="119"/>
      <c r="R48" s="120"/>
    </row>
    <row r="49" spans="1:18" ht="41.45" customHeight="1">
      <c r="A49" s="19"/>
      <c r="B49" s="3"/>
      <c r="C49" s="22"/>
      <c r="D49" s="22"/>
      <c r="E49" s="25" t="str">
        <f t="shared" si="1"/>
        <v>0</v>
      </c>
      <c r="F49" s="25">
        <f t="shared" si="2"/>
        <v>1</v>
      </c>
      <c r="G49" s="25" t="str">
        <f t="shared" si="3"/>
        <v>0</v>
      </c>
      <c r="H49" s="25" t="str">
        <f t="shared" si="4"/>
        <v>0</v>
      </c>
      <c r="I49" s="25">
        <f t="shared" si="5"/>
        <v>1</v>
      </c>
      <c r="J49" s="25" t="str">
        <f t="shared" si="6"/>
        <v>0</v>
      </c>
      <c r="K49" s="25" t="str">
        <f t="shared" si="7"/>
        <v>0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19"/>
      <c r="B50" s="3"/>
      <c r="C50" s="22"/>
      <c r="D50" s="22"/>
      <c r="E50" s="25" t="str">
        <f t="shared" si="1"/>
        <v>0</v>
      </c>
      <c r="F50" s="25">
        <f t="shared" si="2"/>
        <v>1</v>
      </c>
      <c r="G50" s="25" t="str">
        <f t="shared" si="3"/>
        <v>0</v>
      </c>
      <c r="H50" s="25" t="str">
        <f t="shared" si="4"/>
        <v>0</v>
      </c>
      <c r="I50" s="25">
        <f t="shared" si="5"/>
        <v>1</v>
      </c>
      <c r="J50" s="25" t="str">
        <f t="shared" si="6"/>
        <v>0</v>
      </c>
      <c r="K50" s="25" t="str">
        <f t="shared" si="7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19"/>
      <c r="B51" s="3"/>
      <c r="C51" s="22"/>
      <c r="D51" s="22"/>
      <c r="E51" s="25" t="str">
        <f t="shared" si="1"/>
        <v>0</v>
      </c>
      <c r="F51" s="25">
        <f t="shared" si="2"/>
        <v>1</v>
      </c>
      <c r="G51" s="25" t="str">
        <f t="shared" si="3"/>
        <v>0</v>
      </c>
      <c r="H51" s="25" t="str">
        <f t="shared" si="4"/>
        <v>0</v>
      </c>
      <c r="I51" s="25">
        <f t="shared" si="5"/>
        <v>1</v>
      </c>
      <c r="J51" s="25" t="str">
        <f t="shared" si="6"/>
        <v>0</v>
      </c>
      <c r="K51" s="25" t="str">
        <f t="shared" si="7"/>
        <v>0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19"/>
      <c r="B52" s="3"/>
      <c r="C52" s="22"/>
      <c r="D52" s="22"/>
      <c r="E52" s="25" t="str">
        <f t="shared" si="1"/>
        <v>0</v>
      </c>
      <c r="F52" s="25">
        <f t="shared" si="2"/>
        <v>1</v>
      </c>
      <c r="G52" s="25" t="str">
        <f t="shared" si="3"/>
        <v>0</v>
      </c>
      <c r="H52" s="25" t="str">
        <f t="shared" si="4"/>
        <v>0</v>
      </c>
      <c r="I52" s="25" t="str">
        <f t="shared" si="5"/>
        <v>0</v>
      </c>
      <c r="J52" s="25">
        <f t="shared" si="6"/>
        <v>1</v>
      </c>
      <c r="K52" s="25" t="str">
        <f t="shared" si="7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 t="str">
        <f t="shared" si="1"/>
        <v>0</v>
      </c>
      <c r="F53" s="25">
        <f t="shared" si="2"/>
        <v>1</v>
      </c>
      <c r="G53" s="25" t="str">
        <f t="shared" si="3"/>
        <v>0</v>
      </c>
      <c r="H53" s="25" t="str">
        <f t="shared" si="4"/>
        <v>0</v>
      </c>
      <c r="I53" s="25">
        <f t="shared" si="5"/>
        <v>1</v>
      </c>
      <c r="J53" s="25" t="str">
        <f t="shared" si="6"/>
        <v>0</v>
      </c>
      <c r="K53" s="25" t="str">
        <f t="shared" si="7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5">
        <f t="shared" si="1"/>
        <v>1</v>
      </c>
      <c r="F54" s="25" t="str">
        <f t="shared" si="2"/>
        <v>0</v>
      </c>
      <c r="G54" s="25" t="str">
        <f t="shared" si="3"/>
        <v>0</v>
      </c>
      <c r="H54" s="25" t="str">
        <f t="shared" si="4"/>
        <v>0</v>
      </c>
      <c r="I54" s="25">
        <f t="shared" si="5"/>
        <v>1</v>
      </c>
      <c r="J54" s="25" t="str">
        <f t="shared" si="6"/>
        <v>0</v>
      </c>
      <c r="K54" s="25" t="str">
        <f t="shared" si="7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5">
        <f t="shared" si="1"/>
        <v>1</v>
      </c>
      <c r="F55" s="25" t="str">
        <f t="shared" si="2"/>
        <v>0</v>
      </c>
      <c r="G55" s="25" t="str">
        <f t="shared" si="3"/>
        <v>0</v>
      </c>
      <c r="H55" s="25" t="str">
        <f t="shared" si="4"/>
        <v>0</v>
      </c>
      <c r="I55" s="25">
        <f t="shared" si="5"/>
        <v>1</v>
      </c>
      <c r="J55" s="25" t="str">
        <f t="shared" si="6"/>
        <v>0</v>
      </c>
      <c r="K55" s="25" t="str">
        <f t="shared" si="7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5">
        <f t="shared" si="1"/>
        <v>1</v>
      </c>
      <c r="F56" s="25" t="str">
        <f t="shared" si="2"/>
        <v>0</v>
      </c>
      <c r="G56" s="25" t="str">
        <f t="shared" si="3"/>
        <v>0</v>
      </c>
      <c r="H56" s="25" t="str">
        <f t="shared" si="4"/>
        <v>0</v>
      </c>
      <c r="I56" s="25">
        <f t="shared" si="5"/>
        <v>1</v>
      </c>
      <c r="J56" s="25" t="str">
        <f t="shared" si="6"/>
        <v>0</v>
      </c>
      <c r="K56" s="25" t="str">
        <f t="shared" si="7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5">
        <f t="shared" si="1"/>
        <v>1</v>
      </c>
      <c r="F57" s="25" t="str">
        <f t="shared" si="2"/>
        <v>0</v>
      </c>
      <c r="G57" s="25" t="str">
        <f t="shared" si="3"/>
        <v>0</v>
      </c>
      <c r="H57" s="25" t="str">
        <f t="shared" si="4"/>
        <v>0</v>
      </c>
      <c r="I57" s="25" t="str">
        <f t="shared" si="5"/>
        <v>0</v>
      </c>
      <c r="J57" s="25">
        <f t="shared" si="6"/>
        <v>1</v>
      </c>
      <c r="K57" s="25" t="str">
        <f t="shared" si="7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5">
        <f t="shared" si="1"/>
        <v>1</v>
      </c>
      <c r="F58" s="25" t="str">
        <f t="shared" si="2"/>
        <v>0</v>
      </c>
      <c r="G58" s="25" t="str">
        <f t="shared" si="3"/>
        <v>0</v>
      </c>
      <c r="H58" s="25" t="str">
        <f t="shared" si="4"/>
        <v>0</v>
      </c>
      <c r="I58" s="25">
        <f t="shared" si="5"/>
        <v>1</v>
      </c>
      <c r="J58" s="25" t="str">
        <f t="shared" si="6"/>
        <v>0</v>
      </c>
      <c r="K58" s="25" t="str">
        <f t="shared" si="7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5">
        <f t="shared" si="1"/>
        <v>1</v>
      </c>
      <c r="F59" s="25" t="str">
        <f t="shared" si="2"/>
        <v>0</v>
      </c>
      <c r="G59" s="25" t="str">
        <f t="shared" si="3"/>
        <v>0</v>
      </c>
      <c r="H59" s="25" t="str">
        <f t="shared" si="4"/>
        <v>0</v>
      </c>
      <c r="I59" s="25">
        <f t="shared" si="5"/>
        <v>1</v>
      </c>
      <c r="J59" s="25" t="str">
        <f t="shared" si="6"/>
        <v>0</v>
      </c>
      <c r="K59" s="25" t="str">
        <f t="shared" si="7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>
        <f t="shared" si="1"/>
        <v>1</v>
      </c>
      <c r="F60" s="25" t="str">
        <f t="shared" si="2"/>
        <v>0</v>
      </c>
      <c r="G60" s="25" t="str">
        <f t="shared" si="3"/>
        <v>0</v>
      </c>
      <c r="H60" s="25" t="str">
        <f t="shared" si="4"/>
        <v>0</v>
      </c>
      <c r="I60" s="25">
        <f t="shared" si="5"/>
        <v>1</v>
      </c>
      <c r="J60" s="25" t="str">
        <f t="shared" si="6"/>
        <v>0</v>
      </c>
      <c r="K60" s="25" t="str">
        <f t="shared" si="7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>
        <f>IF(E32="X",(D32-C32),"0")</f>
        <v>0.67000000000000171</v>
      </c>
      <c r="F61" s="25" t="str">
        <f t="shared" si="2"/>
        <v>0</v>
      </c>
      <c r="G61" s="25" t="str">
        <f t="shared" si="3"/>
        <v>0</v>
      </c>
      <c r="H61" s="25" t="str">
        <f t="shared" si="4"/>
        <v>0</v>
      </c>
      <c r="I61" s="25">
        <f t="shared" si="5"/>
        <v>0.67000000000000171</v>
      </c>
      <c r="J61" s="25" t="str">
        <f t="shared" si="6"/>
        <v>0</v>
      </c>
      <c r="K61" s="25" t="str">
        <f t="shared" si="7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2">
        <f>SUM(E36:E61)</f>
        <v>16.670000000000002</v>
      </c>
      <c r="F62" s="22">
        <f t="shared" ref="F62:K62" si="8">SUM(F36:F61)</f>
        <v>9</v>
      </c>
      <c r="G62" s="22">
        <f t="shared" si="8"/>
        <v>0</v>
      </c>
      <c r="H62" s="22">
        <f t="shared" si="8"/>
        <v>0</v>
      </c>
      <c r="I62" s="22">
        <f t="shared" si="8"/>
        <v>14.670000000000002</v>
      </c>
      <c r="J62" s="22">
        <f t="shared" si="8"/>
        <v>11</v>
      </c>
      <c r="K62" s="22">
        <f t="shared" si="8"/>
        <v>0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19"/>
      <c r="M67" s="119"/>
      <c r="N67" s="119"/>
      <c r="O67" s="119"/>
      <c r="P67" s="119"/>
      <c r="Q67" s="119"/>
      <c r="R67" s="120"/>
    </row>
    <row r="68" spans="1:18" ht="41.45" customHeight="1" thickBot="1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45"/>
      <c r="M68" s="145"/>
      <c r="N68" s="145"/>
      <c r="O68" s="145"/>
      <c r="P68" s="145"/>
      <c r="Q68" s="145"/>
      <c r="R68" s="146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R94"/>
  <sheetViews>
    <sheetView view="pageBreakPreview" zoomScale="55" zoomScaleNormal="40" zoomScaleSheetLayoutView="55" workbookViewId="0">
      <selection activeCell="E88" sqref="E88:H88"/>
    </sheetView>
  </sheetViews>
  <sheetFormatPr defaultColWidth="8.875" defaultRowHeight="15"/>
  <cols>
    <col min="1" max="1" width="33.25" style="46" customWidth="1"/>
    <col min="2" max="2" width="17.125" style="46" customWidth="1"/>
    <col min="3" max="4" width="13.25" style="46" customWidth="1"/>
    <col min="5" max="5" width="26.75" style="47" customWidth="1"/>
    <col min="6" max="6" width="30.125" style="47" customWidth="1"/>
    <col min="7" max="7" width="26.75" style="47" customWidth="1"/>
    <col min="8" max="8" width="33.125" style="47" customWidth="1"/>
    <col min="9" max="11" width="32" style="47" customWidth="1"/>
    <col min="12" max="14" width="14.25" style="46" customWidth="1"/>
    <col min="15" max="17" width="14.75" style="46" customWidth="1"/>
    <col min="18" max="18" width="37.25" style="46" customWidth="1"/>
    <col min="19" max="16384" width="8.875" style="46"/>
  </cols>
  <sheetData>
    <row r="1" spans="1:18" ht="19.5">
      <c r="A1" s="69" t="s">
        <v>0</v>
      </c>
      <c r="B1" s="70"/>
      <c r="C1" s="70"/>
      <c r="D1" s="70"/>
      <c r="E1" s="71"/>
      <c r="F1" s="50"/>
      <c r="G1" s="71"/>
      <c r="H1" s="71"/>
      <c r="I1" s="126" t="s">
        <v>3</v>
      </c>
      <c r="J1" s="128">
        <f>'1'!J1</f>
        <v>46204</v>
      </c>
      <c r="K1" s="71"/>
      <c r="L1" s="130" t="s">
        <v>4</v>
      </c>
      <c r="M1" s="130"/>
      <c r="N1" s="132" t="s">
        <v>356</v>
      </c>
      <c r="O1" s="132"/>
      <c r="P1" s="132"/>
      <c r="Q1" s="132"/>
      <c r="R1" s="133"/>
    </row>
    <row r="2" spans="1:18" ht="20.25" thickBot="1">
      <c r="A2" s="72"/>
      <c r="B2" s="73"/>
      <c r="C2" s="73"/>
      <c r="D2" s="73"/>
      <c r="E2" s="74"/>
      <c r="F2" s="75" t="s">
        <v>9</v>
      </c>
      <c r="G2" s="74"/>
      <c r="H2" s="74"/>
      <c r="I2" s="127"/>
      <c r="J2" s="129"/>
      <c r="K2" s="75"/>
      <c r="L2" s="131"/>
      <c r="M2" s="131"/>
      <c r="N2" s="134"/>
      <c r="O2" s="134"/>
      <c r="P2" s="134"/>
      <c r="Q2" s="134"/>
      <c r="R2" s="135"/>
    </row>
    <row r="3" spans="1:18" ht="19.5">
      <c r="A3" s="72" t="s">
        <v>23</v>
      </c>
      <c r="B3" s="76" t="str">
        <f>TT!C9</f>
        <v>RODOVIA TO-210 - TRECHO ENTR. TO-010 - DIVISA TO-PA (VILA ANTONINA)</v>
      </c>
      <c r="C3" s="73"/>
      <c r="D3" s="73"/>
      <c r="E3" s="74"/>
      <c r="F3" s="74"/>
      <c r="G3" s="74"/>
      <c r="H3" s="74"/>
      <c r="I3" s="74"/>
      <c r="J3" s="74"/>
      <c r="K3" s="74"/>
      <c r="L3" s="73"/>
      <c r="M3" s="73"/>
      <c r="N3" s="73"/>
      <c r="O3" s="73"/>
      <c r="P3" s="73"/>
      <c r="Q3" s="73"/>
      <c r="R3" s="77"/>
    </row>
    <row r="4" spans="1:18" ht="20.25" thickBot="1">
      <c r="A4" s="78"/>
      <c r="B4" s="73"/>
      <c r="C4" s="73"/>
      <c r="D4" s="73"/>
      <c r="E4" s="74"/>
      <c r="F4" s="74"/>
      <c r="G4" s="74"/>
      <c r="H4" s="74"/>
      <c r="I4" s="74"/>
      <c r="J4" s="74"/>
      <c r="K4" s="74"/>
      <c r="L4" s="73"/>
      <c r="M4" s="73"/>
      <c r="N4" s="73"/>
      <c r="O4" s="73"/>
      <c r="P4" s="73"/>
      <c r="Q4" s="73"/>
      <c r="R4" s="7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50</v>
      </c>
      <c r="B7" s="21" t="s">
        <v>18</v>
      </c>
      <c r="C7" s="22">
        <v>0</v>
      </c>
      <c r="D7" s="22">
        <v>2</v>
      </c>
      <c r="E7" s="21" t="s">
        <v>19</v>
      </c>
      <c r="F7" s="21"/>
      <c r="G7" s="21"/>
      <c r="H7" s="21"/>
      <c r="I7" s="21" t="s">
        <v>19</v>
      </c>
      <c r="J7" s="21"/>
      <c r="K7" s="21"/>
      <c r="L7" s="116" t="s">
        <v>375</v>
      </c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2</v>
      </c>
      <c r="D8" s="22">
        <v>4</v>
      </c>
      <c r="E8" s="21"/>
      <c r="F8" s="21" t="s">
        <v>19</v>
      </c>
      <c r="G8" s="21"/>
      <c r="H8" s="21"/>
      <c r="I8" s="21"/>
      <c r="J8" s="21"/>
      <c r="K8" s="21" t="s">
        <v>19</v>
      </c>
      <c r="L8" s="116" t="s">
        <v>378</v>
      </c>
      <c r="M8" s="117"/>
      <c r="N8" s="117"/>
      <c r="O8" s="117"/>
      <c r="P8" s="117"/>
      <c r="Q8" s="117"/>
      <c r="R8" s="118"/>
    </row>
    <row r="9" spans="1:18" ht="41.45" customHeight="1">
      <c r="A9" s="38"/>
      <c r="B9" s="21"/>
      <c r="C9" s="22">
        <f t="shared" ref="C9:C26" si="0">D8</f>
        <v>4</v>
      </c>
      <c r="D9" s="22">
        <v>6</v>
      </c>
      <c r="E9" s="21"/>
      <c r="F9" s="21" t="s">
        <v>19</v>
      </c>
      <c r="G9" s="21"/>
      <c r="H9" s="21"/>
      <c r="I9" s="21" t="s">
        <v>19</v>
      </c>
      <c r="J9" s="21"/>
      <c r="K9" s="21"/>
      <c r="L9" s="116" t="s">
        <v>376</v>
      </c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6</v>
      </c>
      <c r="D10" s="22">
        <v>8</v>
      </c>
      <c r="E10" s="21"/>
      <c r="F10" s="21" t="s">
        <v>19</v>
      </c>
      <c r="G10" s="21"/>
      <c r="H10" s="21"/>
      <c r="I10" s="21" t="s">
        <v>19</v>
      </c>
      <c r="J10" s="21"/>
      <c r="K10" s="21"/>
      <c r="L10" s="116" t="s">
        <v>377</v>
      </c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8</v>
      </c>
      <c r="D11" s="22">
        <v>10</v>
      </c>
      <c r="E11" s="21" t="s">
        <v>19</v>
      </c>
      <c r="F11" s="21"/>
      <c r="G11" s="21"/>
      <c r="H11" s="21"/>
      <c r="I11" s="21" t="s">
        <v>19</v>
      </c>
      <c r="J11" s="21"/>
      <c r="K11" s="21"/>
      <c r="L11" s="116" t="s">
        <v>379</v>
      </c>
      <c r="M11" s="117"/>
      <c r="N11" s="117"/>
      <c r="O11" s="117"/>
      <c r="P11" s="117"/>
      <c r="Q11" s="117"/>
      <c r="R11" s="118"/>
    </row>
    <row r="12" spans="1:18" ht="41.45" customHeight="1">
      <c r="A12" s="38"/>
      <c r="B12" s="21"/>
      <c r="C12" s="22">
        <f t="shared" si="0"/>
        <v>10</v>
      </c>
      <c r="D12" s="22">
        <v>12</v>
      </c>
      <c r="E12" s="21"/>
      <c r="F12" s="21" t="s">
        <v>19</v>
      </c>
      <c r="G12" s="21"/>
      <c r="H12" s="21"/>
      <c r="I12" s="21" t="s">
        <v>19</v>
      </c>
      <c r="J12" s="21"/>
      <c r="K12" s="21"/>
      <c r="L12" s="116" t="s">
        <v>384</v>
      </c>
      <c r="M12" s="117"/>
      <c r="N12" s="117"/>
      <c r="O12" s="117"/>
      <c r="P12" s="117"/>
      <c r="Q12" s="117"/>
      <c r="R12" s="118"/>
    </row>
    <row r="13" spans="1:18" ht="41.45" customHeight="1">
      <c r="A13" s="21"/>
      <c r="B13" s="39"/>
      <c r="C13" s="22">
        <f t="shared" si="0"/>
        <v>12</v>
      </c>
      <c r="D13" s="22">
        <v>14</v>
      </c>
      <c r="E13" s="21"/>
      <c r="F13" s="21" t="s">
        <v>19</v>
      </c>
      <c r="G13" s="21"/>
      <c r="H13" s="21"/>
      <c r="I13" s="21" t="s">
        <v>19</v>
      </c>
      <c r="J13" s="21"/>
      <c r="K13" s="51"/>
      <c r="L13" s="116" t="s">
        <v>380</v>
      </c>
      <c r="M13" s="117"/>
      <c r="N13" s="117"/>
      <c r="O13" s="117"/>
      <c r="P13" s="117"/>
      <c r="Q13" s="117"/>
      <c r="R13" s="118"/>
    </row>
    <row r="14" spans="1:18" ht="41.45" customHeight="1">
      <c r="A14" s="40"/>
      <c r="B14" s="41"/>
      <c r="C14" s="22">
        <f t="shared" si="0"/>
        <v>14</v>
      </c>
      <c r="D14" s="22">
        <v>16</v>
      </c>
      <c r="E14" s="21"/>
      <c r="F14" s="21" t="s">
        <v>19</v>
      </c>
      <c r="G14" s="21"/>
      <c r="H14" s="21"/>
      <c r="I14" s="21" t="s">
        <v>19</v>
      </c>
      <c r="J14" s="21"/>
      <c r="K14" s="51"/>
      <c r="L14" s="116" t="s">
        <v>381</v>
      </c>
      <c r="M14" s="117"/>
      <c r="N14" s="117"/>
      <c r="O14" s="117"/>
      <c r="P14" s="117"/>
      <c r="Q14" s="117"/>
      <c r="R14" s="150"/>
    </row>
    <row r="15" spans="1:18" ht="41.45" customHeight="1">
      <c r="A15" s="21"/>
      <c r="B15" s="21"/>
      <c r="C15" s="22">
        <f t="shared" si="0"/>
        <v>16</v>
      </c>
      <c r="D15" s="22">
        <v>18</v>
      </c>
      <c r="E15" s="21" t="s">
        <v>19</v>
      </c>
      <c r="F15" s="21"/>
      <c r="G15" s="21"/>
      <c r="H15" s="21"/>
      <c r="I15" s="21"/>
      <c r="J15" s="21" t="s">
        <v>19</v>
      </c>
      <c r="K15" s="51"/>
      <c r="L15" s="116" t="s">
        <v>382</v>
      </c>
      <c r="M15" s="117"/>
      <c r="N15" s="117"/>
      <c r="O15" s="117"/>
      <c r="P15" s="117"/>
      <c r="Q15" s="117"/>
      <c r="R15" s="150"/>
    </row>
    <row r="16" spans="1:18" ht="41.45" customHeight="1">
      <c r="A16" s="79"/>
      <c r="B16" s="79"/>
      <c r="C16" s="22">
        <f t="shared" si="0"/>
        <v>18</v>
      </c>
      <c r="D16" s="22">
        <v>20</v>
      </c>
      <c r="E16" s="21"/>
      <c r="F16" s="21" t="s">
        <v>19</v>
      </c>
      <c r="G16" s="21"/>
      <c r="H16" s="21"/>
      <c r="I16" s="21" t="s">
        <v>19</v>
      </c>
      <c r="J16" s="51"/>
      <c r="K16" s="51"/>
      <c r="L16" s="116" t="s">
        <v>383</v>
      </c>
      <c r="M16" s="117"/>
      <c r="N16" s="117"/>
      <c r="O16" s="117"/>
      <c r="P16" s="117"/>
      <c r="Q16" s="117"/>
      <c r="R16" s="118"/>
    </row>
    <row r="17" spans="1:18" ht="41.45" customHeight="1">
      <c r="A17" s="79"/>
      <c r="B17" s="79"/>
      <c r="C17" s="22">
        <f t="shared" si="0"/>
        <v>20</v>
      </c>
      <c r="D17" s="22">
        <v>22</v>
      </c>
      <c r="E17" s="21"/>
      <c r="F17" s="21" t="s">
        <v>19</v>
      </c>
      <c r="G17" s="21"/>
      <c r="H17" s="21"/>
      <c r="I17" s="21" t="s">
        <v>19</v>
      </c>
      <c r="J17" s="21"/>
      <c r="K17" s="51"/>
      <c r="L17" s="116" t="s">
        <v>385</v>
      </c>
      <c r="M17" s="117"/>
      <c r="N17" s="117"/>
      <c r="O17" s="117"/>
      <c r="P17" s="117"/>
      <c r="Q17" s="117"/>
      <c r="R17" s="118"/>
    </row>
    <row r="18" spans="1:18" ht="41.45" customHeight="1">
      <c r="A18" s="79"/>
      <c r="B18" s="79"/>
      <c r="C18" s="22">
        <f t="shared" si="0"/>
        <v>22</v>
      </c>
      <c r="D18" s="22">
        <v>24</v>
      </c>
      <c r="E18" s="21"/>
      <c r="F18" s="21" t="s">
        <v>19</v>
      </c>
      <c r="G18" s="21"/>
      <c r="H18" s="21"/>
      <c r="I18" s="21" t="s">
        <v>19</v>
      </c>
      <c r="J18" s="21"/>
      <c r="K18" s="51"/>
      <c r="L18" s="116" t="s">
        <v>386</v>
      </c>
      <c r="M18" s="117"/>
      <c r="N18" s="117"/>
      <c r="O18" s="117"/>
      <c r="P18" s="117"/>
      <c r="Q18" s="117"/>
      <c r="R18" s="118"/>
    </row>
    <row r="19" spans="1:18" ht="41.45" customHeight="1">
      <c r="A19" s="79"/>
      <c r="B19" s="79"/>
      <c r="C19" s="22">
        <f t="shared" si="0"/>
        <v>24</v>
      </c>
      <c r="D19" s="22">
        <v>26</v>
      </c>
      <c r="E19" s="21"/>
      <c r="F19" s="21" t="s">
        <v>19</v>
      </c>
      <c r="G19" s="21"/>
      <c r="H19" s="21"/>
      <c r="I19" s="21" t="s">
        <v>19</v>
      </c>
      <c r="J19" s="51"/>
      <c r="K19" s="51"/>
      <c r="L19" s="116" t="s">
        <v>387</v>
      </c>
      <c r="M19" s="117"/>
      <c r="N19" s="117"/>
      <c r="O19" s="117"/>
      <c r="P19" s="117"/>
      <c r="Q19" s="117"/>
      <c r="R19" s="118"/>
    </row>
    <row r="20" spans="1:18" ht="41.45" customHeight="1">
      <c r="A20" s="79"/>
      <c r="B20" s="79"/>
      <c r="C20" s="22">
        <f t="shared" si="0"/>
        <v>26</v>
      </c>
      <c r="D20" s="22">
        <v>28</v>
      </c>
      <c r="E20" s="21"/>
      <c r="F20" s="21" t="s">
        <v>19</v>
      </c>
      <c r="G20" s="21"/>
      <c r="H20" s="21"/>
      <c r="I20" s="21" t="s">
        <v>19</v>
      </c>
      <c r="J20" s="21"/>
      <c r="K20" s="51"/>
      <c r="L20" s="116" t="s">
        <v>388</v>
      </c>
      <c r="M20" s="117"/>
      <c r="N20" s="117"/>
      <c r="O20" s="117"/>
      <c r="P20" s="117"/>
      <c r="Q20" s="117"/>
      <c r="R20" s="118"/>
    </row>
    <row r="21" spans="1:18" ht="41.45" customHeight="1">
      <c r="A21" s="79"/>
      <c r="B21" s="79"/>
      <c r="C21" s="22">
        <f t="shared" si="0"/>
        <v>28</v>
      </c>
      <c r="D21" s="22">
        <v>30</v>
      </c>
      <c r="E21" s="21"/>
      <c r="F21" s="21" t="s">
        <v>19</v>
      </c>
      <c r="G21" s="21"/>
      <c r="H21" s="21"/>
      <c r="I21" s="21" t="s">
        <v>19</v>
      </c>
      <c r="J21" s="21"/>
      <c r="K21" s="51"/>
      <c r="L21" s="116" t="s">
        <v>389</v>
      </c>
      <c r="M21" s="117"/>
      <c r="N21" s="117"/>
      <c r="O21" s="117"/>
      <c r="P21" s="117"/>
      <c r="Q21" s="117"/>
      <c r="R21" s="118"/>
    </row>
    <row r="22" spans="1:18" ht="41.45" customHeight="1">
      <c r="A22" s="79"/>
      <c r="B22" s="79"/>
      <c r="C22" s="22">
        <f t="shared" si="0"/>
        <v>30</v>
      </c>
      <c r="D22" s="22">
        <v>32</v>
      </c>
      <c r="E22" s="21"/>
      <c r="F22" s="21" t="s">
        <v>19</v>
      </c>
      <c r="G22" s="21"/>
      <c r="H22" s="21"/>
      <c r="I22" s="21" t="s">
        <v>19</v>
      </c>
      <c r="J22" s="21"/>
      <c r="K22" s="51"/>
      <c r="L22" s="116" t="s">
        <v>390</v>
      </c>
      <c r="M22" s="117"/>
      <c r="N22" s="117"/>
      <c r="O22" s="117"/>
      <c r="P22" s="117"/>
      <c r="Q22" s="117"/>
      <c r="R22" s="118"/>
    </row>
    <row r="23" spans="1:18" ht="41.45" customHeight="1">
      <c r="A23" s="79"/>
      <c r="B23" s="79"/>
      <c r="C23" s="22">
        <f t="shared" si="0"/>
        <v>32</v>
      </c>
      <c r="D23" s="22">
        <v>34</v>
      </c>
      <c r="E23" s="21" t="s">
        <v>19</v>
      </c>
      <c r="F23" s="21"/>
      <c r="G23" s="21"/>
      <c r="H23" s="21"/>
      <c r="I23" s="21" t="s">
        <v>19</v>
      </c>
      <c r="J23" s="21"/>
      <c r="K23" s="51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79"/>
      <c r="B24" s="79"/>
      <c r="C24" s="22">
        <f t="shared" si="0"/>
        <v>34</v>
      </c>
      <c r="D24" s="22">
        <v>36</v>
      </c>
      <c r="E24" s="21"/>
      <c r="F24" s="21" t="s">
        <v>19</v>
      </c>
      <c r="G24" s="21"/>
      <c r="H24" s="21"/>
      <c r="I24" s="21" t="s">
        <v>19</v>
      </c>
      <c r="J24" s="21"/>
      <c r="K24" s="21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79"/>
      <c r="B25" s="79"/>
      <c r="C25" s="22">
        <f t="shared" si="0"/>
        <v>36</v>
      </c>
      <c r="D25" s="22">
        <v>37.200000000000003</v>
      </c>
      <c r="E25" s="21" t="s">
        <v>19</v>
      </c>
      <c r="F25" s="21"/>
      <c r="G25" s="21"/>
      <c r="H25" s="21"/>
      <c r="I25" s="21" t="s">
        <v>19</v>
      </c>
      <c r="J25" s="21"/>
      <c r="K25" s="21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80"/>
      <c r="B26" s="81"/>
      <c r="C26" s="111">
        <f t="shared" si="0"/>
        <v>37.200000000000003</v>
      </c>
      <c r="D26" s="111">
        <v>38.25</v>
      </c>
      <c r="E26" s="112" t="s">
        <v>19</v>
      </c>
      <c r="F26" s="109"/>
      <c r="G26" s="109"/>
      <c r="H26" s="109"/>
      <c r="I26" s="109"/>
      <c r="J26" s="112" t="s">
        <v>19</v>
      </c>
      <c r="K26" s="38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80"/>
      <c r="B27" s="81"/>
      <c r="C27" s="108"/>
      <c r="D27" s="108"/>
      <c r="E27" s="109"/>
      <c r="F27" s="109"/>
      <c r="G27" s="109"/>
      <c r="H27" s="109"/>
      <c r="I27" s="109"/>
      <c r="J27" s="109"/>
      <c r="K27" s="38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80"/>
      <c r="B28" s="81"/>
      <c r="C28" s="108"/>
      <c r="D28" s="108"/>
      <c r="E28" s="109"/>
      <c r="F28" s="109"/>
      <c r="G28" s="109"/>
      <c r="H28" s="109"/>
      <c r="I28" s="109"/>
      <c r="J28" s="109"/>
      <c r="K28" s="38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80"/>
      <c r="B29" s="81"/>
      <c r="C29" s="108"/>
      <c r="D29" s="108"/>
      <c r="E29" s="109"/>
      <c r="F29" s="109"/>
      <c r="G29" s="109"/>
      <c r="H29" s="109"/>
      <c r="I29" s="109"/>
      <c r="J29" s="109"/>
      <c r="K29" s="38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80"/>
      <c r="B30" s="81"/>
      <c r="C30" s="108"/>
      <c r="D30" s="108"/>
      <c r="E30" s="109"/>
      <c r="F30" s="109"/>
      <c r="G30" s="109"/>
      <c r="H30" s="109"/>
      <c r="I30" s="109"/>
      <c r="J30" s="109"/>
      <c r="K30" s="38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80"/>
      <c r="B31" s="81"/>
      <c r="C31" s="108"/>
      <c r="D31" s="108"/>
      <c r="E31" s="109"/>
      <c r="F31" s="109"/>
      <c r="G31" s="109"/>
      <c r="H31" s="109"/>
      <c r="I31" s="109"/>
      <c r="J31" s="109"/>
      <c r="K31" s="38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80"/>
      <c r="B32" s="81"/>
      <c r="C32" s="108"/>
      <c r="D32" s="108"/>
      <c r="E32" s="109"/>
      <c r="F32" s="109"/>
      <c r="G32" s="109"/>
      <c r="H32" s="109"/>
      <c r="I32" s="109"/>
      <c r="J32" s="109"/>
      <c r="K32" s="38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80"/>
      <c r="B33" s="81"/>
      <c r="C33" s="108"/>
      <c r="D33" s="108"/>
      <c r="E33" s="109"/>
      <c r="F33" s="109"/>
      <c r="G33" s="109"/>
      <c r="H33" s="109"/>
      <c r="I33" s="109"/>
      <c r="J33" s="109"/>
      <c r="K33" s="38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80"/>
      <c r="B34" s="81"/>
      <c r="C34" s="108"/>
      <c r="D34" s="108"/>
      <c r="E34" s="109"/>
      <c r="F34" s="109"/>
      <c r="G34" s="109"/>
      <c r="H34" s="109"/>
      <c r="I34" s="109"/>
      <c r="J34" s="109"/>
      <c r="K34" s="38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80"/>
      <c r="B35" s="81"/>
      <c r="C35" s="108"/>
      <c r="D35" s="108"/>
      <c r="E35" s="109"/>
      <c r="F35" s="109"/>
      <c r="G35" s="109"/>
      <c r="H35" s="109"/>
      <c r="I35" s="109"/>
      <c r="J35" s="109"/>
      <c r="K35" s="38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80"/>
      <c r="B36" s="81"/>
      <c r="C36" s="108"/>
      <c r="D36" s="108"/>
      <c r="E36" s="109"/>
      <c r="F36" s="109"/>
      <c r="G36" s="109"/>
      <c r="H36" s="109"/>
      <c r="I36" s="109"/>
      <c r="J36" s="109"/>
      <c r="K36" s="38"/>
      <c r="L36" s="116"/>
      <c r="M36" s="117"/>
      <c r="N36" s="117"/>
      <c r="O36" s="117"/>
      <c r="P36" s="117"/>
      <c r="Q36" s="117"/>
      <c r="R36" s="118"/>
    </row>
    <row r="37" spans="1:18" ht="41.45" customHeight="1">
      <c r="A37" s="80"/>
      <c r="B37" s="81"/>
      <c r="C37" s="108"/>
      <c r="D37" s="108"/>
      <c r="E37" s="109"/>
      <c r="F37" s="109"/>
      <c r="G37" s="109"/>
      <c r="H37" s="109"/>
      <c r="I37" s="109"/>
      <c r="J37" s="109"/>
      <c r="K37" s="38"/>
      <c r="L37" s="116"/>
      <c r="M37" s="117"/>
      <c r="N37" s="117"/>
      <c r="O37" s="117"/>
      <c r="P37" s="117"/>
      <c r="Q37" s="117"/>
      <c r="R37" s="118"/>
    </row>
    <row r="38" spans="1:18" ht="41.45" customHeight="1">
      <c r="A38" s="80"/>
      <c r="B38" s="81"/>
      <c r="C38" s="108"/>
      <c r="D38" s="108"/>
      <c r="E38" s="109"/>
      <c r="F38" s="109"/>
      <c r="G38" s="109"/>
      <c r="H38" s="109"/>
      <c r="I38" s="109"/>
      <c r="J38" s="109"/>
      <c r="K38" s="38"/>
      <c r="L38" s="116"/>
      <c r="M38" s="117"/>
      <c r="N38" s="117"/>
      <c r="O38" s="117"/>
      <c r="P38" s="117"/>
      <c r="Q38" s="117"/>
      <c r="R38" s="118"/>
    </row>
    <row r="39" spans="1:18" ht="41.45" customHeight="1">
      <c r="A39" s="80"/>
      <c r="B39" s="81"/>
      <c r="C39" s="108"/>
      <c r="D39" s="108"/>
      <c r="E39" s="109"/>
      <c r="F39" s="109"/>
      <c r="G39" s="109"/>
      <c r="H39" s="109"/>
      <c r="I39" s="109"/>
      <c r="J39" s="109"/>
      <c r="K39" s="38"/>
      <c r="L39" s="116"/>
      <c r="M39" s="117"/>
      <c r="N39" s="117"/>
      <c r="O39" s="117"/>
      <c r="P39" s="117"/>
      <c r="Q39" s="117"/>
      <c r="R39" s="118"/>
    </row>
    <row r="40" spans="1:18" ht="41.45" customHeight="1">
      <c r="A40" s="80"/>
      <c r="B40" s="81"/>
      <c r="C40" s="108"/>
      <c r="D40" s="108"/>
      <c r="E40" s="109"/>
      <c r="F40" s="109"/>
      <c r="G40" s="109"/>
      <c r="H40" s="109"/>
      <c r="I40" s="109"/>
      <c r="J40" s="109"/>
      <c r="K40" s="38"/>
      <c r="L40" s="116"/>
      <c r="M40" s="117"/>
      <c r="N40" s="117"/>
      <c r="O40" s="117"/>
      <c r="P40" s="117"/>
      <c r="Q40" s="117"/>
      <c r="R40" s="118"/>
    </row>
    <row r="41" spans="1:18" ht="41.45" customHeight="1">
      <c r="A41" s="80"/>
      <c r="B41" s="81"/>
      <c r="C41" s="108"/>
      <c r="D41" s="108"/>
      <c r="E41" s="109"/>
      <c r="F41" s="109"/>
      <c r="G41" s="109"/>
      <c r="H41" s="109"/>
      <c r="I41" s="109"/>
      <c r="J41" s="109"/>
      <c r="K41" s="38"/>
      <c r="L41" s="116"/>
      <c r="M41" s="117"/>
      <c r="N41" s="117"/>
      <c r="O41" s="117"/>
      <c r="P41" s="117"/>
      <c r="Q41" s="117"/>
      <c r="R41" s="118"/>
    </row>
    <row r="42" spans="1:18" ht="41.45" customHeight="1">
      <c r="A42" s="80"/>
      <c r="B42" s="81"/>
      <c r="C42" s="108"/>
      <c r="D42" s="108"/>
      <c r="E42" s="109"/>
      <c r="F42" s="109"/>
      <c r="G42" s="109"/>
      <c r="H42" s="109"/>
      <c r="I42" s="109"/>
      <c r="J42" s="109"/>
      <c r="K42" s="38"/>
      <c r="L42" s="116"/>
      <c r="M42" s="117"/>
      <c r="N42" s="117"/>
      <c r="O42" s="117"/>
      <c r="P42" s="117"/>
      <c r="Q42" s="117"/>
      <c r="R42" s="118"/>
    </row>
    <row r="43" spans="1:18" ht="41.45" customHeight="1">
      <c r="A43" s="80"/>
      <c r="B43" s="81"/>
      <c r="C43" s="108"/>
      <c r="D43" s="108"/>
      <c r="E43" s="109"/>
      <c r="F43" s="109"/>
      <c r="G43" s="109"/>
      <c r="H43" s="109"/>
      <c r="I43" s="109"/>
      <c r="J43" s="109"/>
      <c r="K43" s="38"/>
      <c r="L43" s="116"/>
      <c r="M43" s="117"/>
      <c r="N43" s="117"/>
      <c r="O43" s="117"/>
      <c r="P43" s="117"/>
      <c r="Q43" s="117"/>
      <c r="R43" s="118"/>
    </row>
    <row r="44" spans="1:18" ht="41.45" customHeight="1">
      <c r="A44" s="80"/>
      <c r="B44" s="81"/>
      <c r="C44" s="108"/>
      <c r="D44" s="108"/>
      <c r="E44" s="109"/>
      <c r="F44" s="109"/>
      <c r="G44" s="109"/>
      <c r="H44" s="109"/>
      <c r="I44" s="109"/>
      <c r="J44" s="109"/>
      <c r="K44" s="38"/>
      <c r="L44" s="116"/>
      <c r="M44" s="117"/>
      <c r="N44" s="117"/>
      <c r="O44" s="117"/>
      <c r="P44" s="117"/>
      <c r="Q44" s="117"/>
      <c r="R44" s="118"/>
    </row>
    <row r="45" spans="1:18" ht="41.45" customHeight="1">
      <c r="A45" s="80"/>
      <c r="B45" s="81"/>
      <c r="C45" s="108"/>
      <c r="D45" s="108"/>
      <c r="E45" s="109"/>
      <c r="F45" s="109"/>
      <c r="G45" s="109"/>
      <c r="H45" s="109"/>
      <c r="I45" s="109"/>
      <c r="J45" s="109"/>
      <c r="K45" s="38"/>
      <c r="L45" s="116"/>
      <c r="M45" s="117"/>
      <c r="N45" s="117"/>
      <c r="O45" s="117"/>
      <c r="P45" s="117"/>
      <c r="Q45" s="117"/>
      <c r="R45" s="118"/>
    </row>
    <row r="46" spans="1:18" ht="41.45" customHeight="1">
      <c r="A46" s="80"/>
      <c r="B46" s="81"/>
      <c r="C46" s="110"/>
      <c r="D46" s="110"/>
      <c r="E46" s="38"/>
      <c r="F46" s="38"/>
      <c r="G46" s="38"/>
      <c r="H46" s="38"/>
      <c r="I46" s="38"/>
      <c r="J46" s="38"/>
      <c r="K46" s="38"/>
      <c r="L46" s="116"/>
      <c r="M46" s="117"/>
      <c r="N46" s="117"/>
      <c r="O46" s="117"/>
      <c r="P46" s="117"/>
      <c r="Q46" s="117"/>
      <c r="R46" s="118"/>
    </row>
    <row r="47" spans="1:18" ht="41.45" customHeight="1">
      <c r="A47" s="80"/>
      <c r="B47" s="81"/>
      <c r="C47" s="110"/>
      <c r="D47" s="110"/>
      <c r="E47" s="38"/>
      <c r="F47" s="38"/>
      <c r="G47" s="38"/>
      <c r="H47" s="38"/>
      <c r="I47" s="38"/>
      <c r="J47" s="38"/>
      <c r="K47" s="38"/>
      <c r="L47" s="116"/>
      <c r="M47" s="117"/>
      <c r="N47" s="117"/>
      <c r="O47" s="117"/>
      <c r="P47" s="117"/>
      <c r="Q47" s="117"/>
      <c r="R47" s="118"/>
    </row>
    <row r="48" spans="1:18" ht="41.45" customHeight="1">
      <c r="A48" s="82"/>
      <c r="B48" s="83"/>
      <c r="C48" s="25"/>
      <c r="D48" s="25"/>
      <c r="E48" s="25">
        <f>IF(E7="X",(D7-C7),"0")</f>
        <v>2</v>
      </c>
      <c r="F48" s="25" t="str">
        <f>IF(F7="X",(D7-C7),"0")</f>
        <v>0</v>
      </c>
      <c r="G48" s="25" t="str">
        <f>IF(G7="X",(D7-C7),"0")</f>
        <v>0</v>
      </c>
      <c r="H48" s="25" t="str">
        <f>IF(H7="X",(D7-C7),"0")</f>
        <v>0</v>
      </c>
      <c r="I48" s="25">
        <f>IF(I7="X",(D7-C7),"0")</f>
        <v>2</v>
      </c>
      <c r="J48" s="25" t="str">
        <f>IF(J7="X",(D7-C7),"0")</f>
        <v>0</v>
      </c>
      <c r="K48" s="25" t="str">
        <f>IF(K7="X",(D7-C7),"0")</f>
        <v>0</v>
      </c>
      <c r="L48" s="147"/>
      <c r="M48" s="148"/>
      <c r="N48" s="148"/>
      <c r="O48" s="148"/>
      <c r="P48" s="148"/>
      <c r="Q48" s="148"/>
      <c r="R48" s="149"/>
    </row>
    <row r="49" spans="1:18" ht="41.45" customHeight="1">
      <c r="A49" s="80"/>
      <c r="B49" s="81"/>
      <c r="C49" s="22"/>
      <c r="D49" s="22"/>
      <c r="E49" s="25" t="str">
        <f t="shared" ref="E49:E81" si="1">IF(E8="X",(D8-C8),"0")</f>
        <v>0</v>
      </c>
      <c r="F49" s="25">
        <f t="shared" ref="F49:F81" si="2">IF(F8="X",(D8-C8),"0")</f>
        <v>2</v>
      </c>
      <c r="G49" s="25" t="str">
        <f t="shared" ref="G49:G81" si="3">IF(G8="X",(D8-C8),"0")</f>
        <v>0</v>
      </c>
      <c r="H49" s="25" t="str">
        <f t="shared" ref="H49:H81" si="4">IF(H8="X",(D8-C8),"0")</f>
        <v>0</v>
      </c>
      <c r="I49" s="25" t="str">
        <f t="shared" ref="I49:I81" si="5">IF(I8="X",(D8-C8),"0")</f>
        <v>0</v>
      </c>
      <c r="J49" s="25" t="str">
        <f t="shared" ref="J49:J81" si="6">IF(J8="X",(D8-C8),"0")</f>
        <v>0</v>
      </c>
      <c r="K49" s="25">
        <f t="shared" ref="K49:K81" si="7">IF(K8="X",(D8-C8),"0")</f>
        <v>2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80"/>
      <c r="B50" s="81"/>
      <c r="C50" s="22"/>
      <c r="D50" s="22"/>
      <c r="E50" s="25" t="str">
        <f t="shared" si="1"/>
        <v>0</v>
      </c>
      <c r="F50" s="25">
        <f t="shared" si="2"/>
        <v>2</v>
      </c>
      <c r="G50" s="25" t="str">
        <f t="shared" si="3"/>
        <v>0</v>
      </c>
      <c r="H50" s="25" t="str">
        <f t="shared" si="4"/>
        <v>0</v>
      </c>
      <c r="I50" s="25">
        <f t="shared" si="5"/>
        <v>2</v>
      </c>
      <c r="J50" s="25" t="str">
        <f t="shared" si="6"/>
        <v>0</v>
      </c>
      <c r="K50" s="25" t="str">
        <f t="shared" si="7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80"/>
      <c r="B51" s="81"/>
      <c r="C51" s="22"/>
      <c r="D51" s="22"/>
      <c r="E51" s="25" t="str">
        <f t="shared" si="1"/>
        <v>0</v>
      </c>
      <c r="F51" s="25">
        <f t="shared" si="2"/>
        <v>2</v>
      </c>
      <c r="G51" s="25" t="str">
        <f t="shared" si="3"/>
        <v>0</v>
      </c>
      <c r="H51" s="25" t="str">
        <f t="shared" si="4"/>
        <v>0</v>
      </c>
      <c r="I51" s="25">
        <f t="shared" si="5"/>
        <v>2</v>
      </c>
      <c r="J51" s="25" t="str">
        <f t="shared" si="6"/>
        <v>0</v>
      </c>
      <c r="K51" s="25" t="str">
        <f t="shared" si="7"/>
        <v>0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80"/>
      <c r="B52" s="81"/>
      <c r="C52" s="22"/>
      <c r="D52" s="22"/>
      <c r="E52" s="25">
        <f t="shared" si="1"/>
        <v>2</v>
      </c>
      <c r="F52" s="25" t="str">
        <f t="shared" si="2"/>
        <v>0</v>
      </c>
      <c r="G52" s="25" t="str">
        <f t="shared" si="3"/>
        <v>0</v>
      </c>
      <c r="H52" s="25" t="str">
        <f t="shared" si="4"/>
        <v>0</v>
      </c>
      <c r="I52" s="25">
        <f t="shared" si="5"/>
        <v>2</v>
      </c>
      <c r="J52" s="25" t="str">
        <f t="shared" si="6"/>
        <v>0</v>
      </c>
      <c r="K52" s="25" t="str">
        <f t="shared" si="7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80"/>
      <c r="B53" s="81"/>
      <c r="C53" s="22"/>
      <c r="D53" s="22"/>
      <c r="E53" s="25" t="str">
        <f t="shared" si="1"/>
        <v>0</v>
      </c>
      <c r="F53" s="25">
        <f t="shared" si="2"/>
        <v>2</v>
      </c>
      <c r="G53" s="25" t="str">
        <f t="shared" si="3"/>
        <v>0</v>
      </c>
      <c r="H53" s="25" t="str">
        <f t="shared" si="4"/>
        <v>0</v>
      </c>
      <c r="I53" s="25">
        <f t="shared" si="5"/>
        <v>2</v>
      </c>
      <c r="J53" s="25" t="str">
        <f t="shared" si="6"/>
        <v>0</v>
      </c>
      <c r="K53" s="25" t="str">
        <f t="shared" si="7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80"/>
      <c r="B54" s="81"/>
      <c r="C54" s="22"/>
      <c r="D54" s="22"/>
      <c r="E54" s="25" t="str">
        <f t="shared" si="1"/>
        <v>0</v>
      </c>
      <c r="F54" s="25">
        <f t="shared" si="2"/>
        <v>2</v>
      </c>
      <c r="G54" s="25" t="str">
        <f t="shared" si="3"/>
        <v>0</v>
      </c>
      <c r="H54" s="25" t="str">
        <f t="shared" si="4"/>
        <v>0</v>
      </c>
      <c r="I54" s="25">
        <f t="shared" si="5"/>
        <v>2</v>
      </c>
      <c r="J54" s="25" t="str">
        <f t="shared" si="6"/>
        <v>0</v>
      </c>
      <c r="K54" s="25" t="str">
        <f t="shared" si="7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80"/>
      <c r="B55" s="81"/>
      <c r="C55" s="22"/>
      <c r="D55" s="22"/>
      <c r="E55" s="25" t="str">
        <f t="shared" si="1"/>
        <v>0</v>
      </c>
      <c r="F55" s="25">
        <f t="shared" si="2"/>
        <v>2</v>
      </c>
      <c r="G55" s="25" t="str">
        <f t="shared" si="3"/>
        <v>0</v>
      </c>
      <c r="H55" s="25" t="str">
        <f t="shared" si="4"/>
        <v>0</v>
      </c>
      <c r="I55" s="25">
        <f t="shared" si="5"/>
        <v>2</v>
      </c>
      <c r="J55" s="25" t="str">
        <f t="shared" si="6"/>
        <v>0</v>
      </c>
      <c r="K55" s="25" t="str">
        <f t="shared" si="7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80"/>
      <c r="B56" s="81"/>
      <c r="C56" s="22"/>
      <c r="D56" s="22"/>
      <c r="E56" s="25">
        <f t="shared" si="1"/>
        <v>2</v>
      </c>
      <c r="F56" s="25" t="str">
        <f t="shared" si="2"/>
        <v>0</v>
      </c>
      <c r="G56" s="25" t="str">
        <f t="shared" si="3"/>
        <v>0</v>
      </c>
      <c r="H56" s="25" t="str">
        <f t="shared" si="4"/>
        <v>0</v>
      </c>
      <c r="I56" s="25" t="str">
        <f t="shared" si="5"/>
        <v>0</v>
      </c>
      <c r="J56" s="25">
        <f t="shared" si="6"/>
        <v>2</v>
      </c>
      <c r="K56" s="25" t="str">
        <f t="shared" si="7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80"/>
      <c r="B57" s="81"/>
      <c r="C57" s="22"/>
      <c r="D57" s="22"/>
      <c r="E57" s="25" t="str">
        <f t="shared" si="1"/>
        <v>0</v>
      </c>
      <c r="F57" s="25">
        <f t="shared" si="2"/>
        <v>2</v>
      </c>
      <c r="G57" s="25" t="str">
        <f t="shared" si="3"/>
        <v>0</v>
      </c>
      <c r="H57" s="25" t="str">
        <f t="shared" si="4"/>
        <v>0</v>
      </c>
      <c r="I57" s="25">
        <f t="shared" si="5"/>
        <v>2</v>
      </c>
      <c r="J57" s="25" t="str">
        <f t="shared" si="6"/>
        <v>0</v>
      </c>
      <c r="K57" s="25" t="str">
        <f t="shared" si="7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80"/>
      <c r="B58" s="81"/>
      <c r="C58" s="22"/>
      <c r="D58" s="22"/>
      <c r="E58" s="25" t="str">
        <f t="shared" si="1"/>
        <v>0</v>
      </c>
      <c r="F58" s="25">
        <f t="shared" si="2"/>
        <v>2</v>
      </c>
      <c r="G58" s="25" t="str">
        <f t="shared" si="3"/>
        <v>0</v>
      </c>
      <c r="H58" s="25" t="str">
        <f t="shared" si="4"/>
        <v>0</v>
      </c>
      <c r="I58" s="25">
        <f t="shared" si="5"/>
        <v>2</v>
      </c>
      <c r="J58" s="25" t="str">
        <f t="shared" si="6"/>
        <v>0</v>
      </c>
      <c r="K58" s="25" t="str">
        <f t="shared" si="7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80"/>
      <c r="B59" s="81"/>
      <c r="C59" s="22"/>
      <c r="D59" s="22"/>
      <c r="E59" s="25" t="str">
        <f t="shared" si="1"/>
        <v>0</v>
      </c>
      <c r="F59" s="25">
        <f t="shared" si="2"/>
        <v>2</v>
      </c>
      <c r="G59" s="25" t="str">
        <f t="shared" si="3"/>
        <v>0</v>
      </c>
      <c r="H59" s="25" t="str">
        <f t="shared" si="4"/>
        <v>0</v>
      </c>
      <c r="I59" s="25">
        <f t="shared" si="5"/>
        <v>2</v>
      </c>
      <c r="J59" s="25" t="str">
        <f t="shared" si="6"/>
        <v>0</v>
      </c>
      <c r="K59" s="25" t="str">
        <f t="shared" si="7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80"/>
      <c r="B60" s="81"/>
      <c r="C60" s="22"/>
      <c r="D60" s="22"/>
      <c r="E60" s="25" t="str">
        <f t="shared" si="1"/>
        <v>0</v>
      </c>
      <c r="F60" s="25">
        <f t="shared" si="2"/>
        <v>2</v>
      </c>
      <c r="G60" s="25" t="str">
        <f t="shared" si="3"/>
        <v>0</v>
      </c>
      <c r="H60" s="25" t="str">
        <f t="shared" si="4"/>
        <v>0</v>
      </c>
      <c r="I60" s="25">
        <f t="shared" si="5"/>
        <v>2</v>
      </c>
      <c r="J60" s="25" t="str">
        <f t="shared" si="6"/>
        <v>0</v>
      </c>
      <c r="K60" s="25" t="str">
        <f t="shared" si="7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80"/>
      <c r="B61" s="81"/>
      <c r="C61" s="22"/>
      <c r="D61" s="22"/>
      <c r="E61" s="25" t="str">
        <f t="shared" si="1"/>
        <v>0</v>
      </c>
      <c r="F61" s="25">
        <f t="shared" si="2"/>
        <v>2</v>
      </c>
      <c r="G61" s="25" t="str">
        <f t="shared" si="3"/>
        <v>0</v>
      </c>
      <c r="H61" s="25" t="str">
        <f t="shared" si="4"/>
        <v>0</v>
      </c>
      <c r="I61" s="25">
        <f t="shared" si="5"/>
        <v>2</v>
      </c>
      <c r="J61" s="25" t="str">
        <f t="shared" si="6"/>
        <v>0</v>
      </c>
      <c r="K61" s="25" t="str">
        <f t="shared" si="7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80"/>
      <c r="B62" s="81"/>
      <c r="C62" s="22"/>
      <c r="D62" s="22"/>
      <c r="E62" s="25" t="str">
        <f t="shared" si="1"/>
        <v>0</v>
      </c>
      <c r="F62" s="25">
        <f t="shared" si="2"/>
        <v>2</v>
      </c>
      <c r="G62" s="25" t="str">
        <f t="shared" si="3"/>
        <v>0</v>
      </c>
      <c r="H62" s="25" t="str">
        <f t="shared" si="4"/>
        <v>0</v>
      </c>
      <c r="I62" s="25">
        <f t="shared" si="5"/>
        <v>2</v>
      </c>
      <c r="J62" s="25" t="str">
        <f t="shared" si="6"/>
        <v>0</v>
      </c>
      <c r="K62" s="25" t="str">
        <f t="shared" si="7"/>
        <v>0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80"/>
      <c r="B63" s="81"/>
      <c r="C63" s="22"/>
      <c r="D63" s="22"/>
      <c r="E63" s="25" t="str">
        <f t="shared" si="1"/>
        <v>0</v>
      </c>
      <c r="F63" s="25">
        <f t="shared" si="2"/>
        <v>2</v>
      </c>
      <c r="G63" s="25" t="str">
        <f t="shared" si="3"/>
        <v>0</v>
      </c>
      <c r="H63" s="25" t="str">
        <f t="shared" si="4"/>
        <v>0</v>
      </c>
      <c r="I63" s="25">
        <f t="shared" si="5"/>
        <v>2</v>
      </c>
      <c r="J63" s="25" t="str">
        <f t="shared" si="6"/>
        <v>0</v>
      </c>
      <c r="K63" s="25" t="str">
        <f t="shared" si="7"/>
        <v>0</v>
      </c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80"/>
      <c r="B64" s="81"/>
      <c r="C64" s="22"/>
      <c r="D64" s="22"/>
      <c r="E64" s="25">
        <f t="shared" si="1"/>
        <v>2</v>
      </c>
      <c r="F64" s="25" t="str">
        <f t="shared" si="2"/>
        <v>0</v>
      </c>
      <c r="G64" s="25" t="str">
        <f t="shared" si="3"/>
        <v>0</v>
      </c>
      <c r="H64" s="25" t="str">
        <f t="shared" si="4"/>
        <v>0</v>
      </c>
      <c r="I64" s="25">
        <f t="shared" si="5"/>
        <v>2</v>
      </c>
      <c r="J64" s="25" t="str">
        <f t="shared" si="6"/>
        <v>0</v>
      </c>
      <c r="K64" s="25" t="str">
        <f t="shared" si="7"/>
        <v>0</v>
      </c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80"/>
      <c r="B65" s="81"/>
      <c r="C65" s="22"/>
      <c r="D65" s="22"/>
      <c r="E65" s="25" t="str">
        <f t="shared" si="1"/>
        <v>0</v>
      </c>
      <c r="F65" s="25">
        <f t="shared" si="2"/>
        <v>2</v>
      </c>
      <c r="G65" s="25" t="str">
        <f t="shared" si="3"/>
        <v>0</v>
      </c>
      <c r="H65" s="25" t="str">
        <f t="shared" si="4"/>
        <v>0</v>
      </c>
      <c r="I65" s="25">
        <f t="shared" si="5"/>
        <v>2</v>
      </c>
      <c r="J65" s="25" t="str">
        <f t="shared" si="6"/>
        <v>0</v>
      </c>
      <c r="K65" s="25" t="str">
        <f t="shared" si="7"/>
        <v>0</v>
      </c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80"/>
      <c r="B66" s="81"/>
      <c r="C66" s="22"/>
      <c r="D66" s="22"/>
      <c r="E66" s="25">
        <f t="shared" si="1"/>
        <v>1.2000000000000028</v>
      </c>
      <c r="F66" s="25" t="str">
        <f t="shared" si="2"/>
        <v>0</v>
      </c>
      <c r="G66" s="25" t="str">
        <f t="shared" si="3"/>
        <v>0</v>
      </c>
      <c r="H66" s="25" t="str">
        <f t="shared" si="4"/>
        <v>0</v>
      </c>
      <c r="I66" s="25">
        <f t="shared" si="5"/>
        <v>1.2000000000000028</v>
      </c>
      <c r="J66" s="25" t="str">
        <f t="shared" si="6"/>
        <v>0</v>
      </c>
      <c r="K66" s="25" t="str">
        <f t="shared" si="7"/>
        <v>0</v>
      </c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80"/>
      <c r="B67" s="81"/>
      <c r="C67" s="22"/>
      <c r="D67" s="22"/>
      <c r="E67" s="25">
        <f t="shared" si="1"/>
        <v>1.0499999999999972</v>
      </c>
      <c r="F67" s="25" t="str">
        <f t="shared" si="2"/>
        <v>0</v>
      </c>
      <c r="G67" s="25" t="str">
        <f t="shared" si="3"/>
        <v>0</v>
      </c>
      <c r="H67" s="25" t="str">
        <f t="shared" si="4"/>
        <v>0</v>
      </c>
      <c r="I67" s="25" t="str">
        <f t="shared" si="5"/>
        <v>0</v>
      </c>
      <c r="J67" s="25">
        <f t="shared" si="6"/>
        <v>1.0499999999999972</v>
      </c>
      <c r="K67" s="25" t="str">
        <f t="shared" si="7"/>
        <v>0</v>
      </c>
      <c r="L67" s="119"/>
      <c r="M67" s="119"/>
      <c r="N67" s="119"/>
      <c r="O67" s="119"/>
      <c r="P67" s="119"/>
      <c r="Q67" s="119"/>
      <c r="R67" s="120"/>
    </row>
    <row r="68" spans="1:18" ht="41.45" customHeight="1">
      <c r="A68" s="80"/>
      <c r="B68" s="81"/>
      <c r="C68" s="22"/>
      <c r="D68" s="22"/>
      <c r="E68" s="25" t="str">
        <f t="shared" si="1"/>
        <v>0</v>
      </c>
      <c r="F68" s="25" t="str">
        <f t="shared" si="2"/>
        <v>0</v>
      </c>
      <c r="G68" s="25" t="str">
        <f t="shared" si="3"/>
        <v>0</v>
      </c>
      <c r="H68" s="25" t="str">
        <f t="shared" si="4"/>
        <v>0</v>
      </c>
      <c r="I68" s="25" t="str">
        <f t="shared" si="5"/>
        <v>0</v>
      </c>
      <c r="J68" s="25" t="str">
        <f t="shared" si="6"/>
        <v>0</v>
      </c>
      <c r="K68" s="25" t="str">
        <f t="shared" si="7"/>
        <v>0</v>
      </c>
      <c r="L68" s="119"/>
      <c r="M68" s="119"/>
      <c r="N68" s="119"/>
      <c r="O68" s="119"/>
      <c r="P68" s="119"/>
      <c r="Q68" s="119"/>
      <c r="R68" s="120"/>
    </row>
    <row r="69" spans="1:18" ht="41.45" customHeight="1">
      <c r="A69" s="80"/>
      <c r="B69" s="81"/>
      <c r="C69" s="22"/>
      <c r="D69" s="22"/>
      <c r="E69" s="25" t="str">
        <f t="shared" si="1"/>
        <v>0</v>
      </c>
      <c r="F69" s="25" t="str">
        <f t="shared" si="2"/>
        <v>0</v>
      </c>
      <c r="G69" s="25" t="str">
        <f t="shared" si="3"/>
        <v>0</v>
      </c>
      <c r="H69" s="25" t="str">
        <f t="shared" si="4"/>
        <v>0</v>
      </c>
      <c r="I69" s="25" t="str">
        <f t="shared" si="5"/>
        <v>0</v>
      </c>
      <c r="J69" s="25" t="str">
        <f t="shared" si="6"/>
        <v>0</v>
      </c>
      <c r="K69" s="25" t="str">
        <f t="shared" si="7"/>
        <v>0</v>
      </c>
      <c r="L69" s="119"/>
      <c r="M69" s="119"/>
      <c r="N69" s="119"/>
      <c r="O69" s="119"/>
      <c r="P69" s="119"/>
      <c r="Q69" s="119"/>
      <c r="R69" s="120"/>
    </row>
    <row r="70" spans="1:18" ht="41.45" customHeight="1">
      <c r="A70" s="80"/>
      <c r="B70" s="81"/>
      <c r="C70" s="22"/>
      <c r="D70" s="22"/>
      <c r="E70" s="25" t="str">
        <f t="shared" si="1"/>
        <v>0</v>
      </c>
      <c r="F70" s="25" t="str">
        <f t="shared" si="2"/>
        <v>0</v>
      </c>
      <c r="G70" s="25" t="str">
        <f t="shared" si="3"/>
        <v>0</v>
      </c>
      <c r="H70" s="25" t="str">
        <f t="shared" si="4"/>
        <v>0</v>
      </c>
      <c r="I70" s="25" t="str">
        <f t="shared" si="5"/>
        <v>0</v>
      </c>
      <c r="J70" s="25" t="str">
        <f t="shared" si="6"/>
        <v>0</v>
      </c>
      <c r="K70" s="25" t="str">
        <f t="shared" si="7"/>
        <v>0</v>
      </c>
      <c r="L70" s="119"/>
      <c r="M70" s="119"/>
      <c r="N70" s="119"/>
      <c r="O70" s="119"/>
      <c r="P70" s="119"/>
      <c r="Q70" s="119"/>
      <c r="R70" s="120"/>
    </row>
    <row r="71" spans="1:18" ht="41.45" customHeight="1">
      <c r="A71" s="80"/>
      <c r="B71" s="81"/>
      <c r="C71" s="22"/>
      <c r="D71" s="22"/>
      <c r="E71" s="25" t="str">
        <f t="shared" si="1"/>
        <v>0</v>
      </c>
      <c r="F71" s="25" t="str">
        <f t="shared" si="2"/>
        <v>0</v>
      </c>
      <c r="G71" s="25" t="str">
        <f t="shared" si="3"/>
        <v>0</v>
      </c>
      <c r="H71" s="25" t="str">
        <f t="shared" si="4"/>
        <v>0</v>
      </c>
      <c r="I71" s="25" t="str">
        <f t="shared" si="5"/>
        <v>0</v>
      </c>
      <c r="J71" s="25" t="str">
        <f t="shared" si="6"/>
        <v>0</v>
      </c>
      <c r="K71" s="25" t="str">
        <f t="shared" si="7"/>
        <v>0</v>
      </c>
      <c r="L71" s="119"/>
      <c r="M71" s="119"/>
      <c r="N71" s="119"/>
      <c r="O71" s="119"/>
      <c r="P71" s="119"/>
      <c r="Q71" s="119"/>
      <c r="R71" s="120"/>
    </row>
    <row r="72" spans="1:18" ht="41.45" customHeight="1">
      <c r="A72" s="80"/>
      <c r="B72" s="81"/>
      <c r="C72" s="22"/>
      <c r="D72" s="22"/>
      <c r="E72" s="25" t="str">
        <f t="shared" si="1"/>
        <v>0</v>
      </c>
      <c r="F72" s="25" t="str">
        <f t="shared" si="2"/>
        <v>0</v>
      </c>
      <c r="G72" s="25" t="str">
        <f t="shared" si="3"/>
        <v>0</v>
      </c>
      <c r="H72" s="25" t="str">
        <f t="shared" si="4"/>
        <v>0</v>
      </c>
      <c r="I72" s="25" t="str">
        <f t="shared" si="5"/>
        <v>0</v>
      </c>
      <c r="J72" s="25" t="str">
        <f t="shared" si="6"/>
        <v>0</v>
      </c>
      <c r="K72" s="25" t="str">
        <f t="shared" si="7"/>
        <v>0</v>
      </c>
      <c r="L72" s="119"/>
      <c r="M72" s="119"/>
      <c r="N72" s="119"/>
      <c r="O72" s="119"/>
      <c r="P72" s="119"/>
      <c r="Q72" s="119"/>
      <c r="R72" s="120"/>
    </row>
    <row r="73" spans="1:18" ht="41.45" customHeight="1">
      <c r="A73" s="80"/>
      <c r="B73" s="81"/>
      <c r="C73" s="22"/>
      <c r="D73" s="22"/>
      <c r="E73" s="25" t="str">
        <f t="shared" si="1"/>
        <v>0</v>
      </c>
      <c r="F73" s="25" t="str">
        <f t="shared" si="2"/>
        <v>0</v>
      </c>
      <c r="G73" s="25" t="str">
        <f t="shared" si="3"/>
        <v>0</v>
      </c>
      <c r="H73" s="25" t="str">
        <f t="shared" si="4"/>
        <v>0</v>
      </c>
      <c r="I73" s="25" t="str">
        <f t="shared" si="5"/>
        <v>0</v>
      </c>
      <c r="J73" s="25" t="str">
        <f t="shared" si="6"/>
        <v>0</v>
      </c>
      <c r="K73" s="25" t="str">
        <f t="shared" si="7"/>
        <v>0</v>
      </c>
      <c r="L73" s="119"/>
      <c r="M73" s="119"/>
      <c r="N73" s="119"/>
      <c r="O73" s="119"/>
      <c r="P73" s="119"/>
      <c r="Q73" s="119"/>
      <c r="R73" s="120"/>
    </row>
    <row r="74" spans="1:18" ht="41.45" customHeight="1">
      <c r="A74" s="80"/>
      <c r="B74" s="81"/>
      <c r="C74" s="22"/>
      <c r="D74" s="22"/>
      <c r="E74" s="25" t="str">
        <f t="shared" si="1"/>
        <v>0</v>
      </c>
      <c r="F74" s="25" t="str">
        <f t="shared" si="2"/>
        <v>0</v>
      </c>
      <c r="G74" s="25" t="str">
        <f t="shared" si="3"/>
        <v>0</v>
      </c>
      <c r="H74" s="25" t="str">
        <f t="shared" si="4"/>
        <v>0</v>
      </c>
      <c r="I74" s="25" t="str">
        <f t="shared" si="5"/>
        <v>0</v>
      </c>
      <c r="J74" s="25" t="str">
        <f t="shared" si="6"/>
        <v>0</v>
      </c>
      <c r="K74" s="25" t="str">
        <f t="shared" si="7"/>
        <v>0</v>
      </c>
      <c r="L74" s="119"/>
      <c r="M74" s="119"/>
      <c r="N74" s="119"/>
      <c r="O74" s="119"/>
      <c r="P74" s="119"/>
      <c r="Q74" s="119"/>
      <c r="R74" s="120"/>
    </row>
    <row r="75" spans="1:18" ht="41.45" customHeight="1">
      <c r="A75" s="80"/>
      <c r="B75" s="81"/>
      <c r="C75" s="22"/>
      <c r="D75" s="22"/>
      <c r="E75" s="25" t="str">
        <f t="shared" si="1"/>
        <v>0</v>
      </c>
      <c r="F75" s="25" t="str">
        <f t="shared" si="2"/>
        <v>0</v>
      </c>
      <c r="G75" s="25" t="str">
        <f t="shared" si="3"/>
        <v>0</v>
      </c>
      <c r="H75" s="25" t="str">
        <f t="shared" si="4"/>
        <v>0</v>
      </c>
      <c r="I75" s="25" t="str">
        <f t="shared" si="5"/>
        <v>0</v>
      </c>
      <c r="J75" s="25" t="str">
        <f t="shared" si="6"/>
        <v>0</v>
      </c>
      <c r="K75" s="25" t="str">
        <f t="shared" si="7"/>
        <v>0</v>
      </c>
      <c r="L75" s="119"/>
      <c r="M75" s="119"/>
      <c r="N75" s="119"/>
      <c r="O75" s="119"/>
      <c r="P75" s="119"/>
      <c r="Q75" s="119"/>
      <c r="R75" s="120"/>
    </row>
    <row r="76" spans="1:18" ht="41.45" customHeight="1">
      <c r="A76" s="80"/>
      <c r="B76" s="81"/>
      <c r="C76" s="22"/>
      <c r="D76" s="22"/>
      <c r="E76" s="25" t="str">
        <f t="shared" si="1"/>
        <v>0</v>
      </c>
      <c r="F76" s="25" t="str">
        <f t="shared" si="2"/>
        <v>0</v>
      </c>
      <c r="G76" s="25" t="str">
        <f t="shared" si="3"/>
        <v>0</v>
      </c>
      <c r="H76" s="25" t="str">
        <f t="shared" si="4"/>
        <v>0</v>
      </c>
      <c r="I76" s="25" t="str">
        <f t="shared" si="5"/>
        <v>0</v>
      </c>
      <c r="J76" s="25" t="str">
        <f t="shared" si="6"/>
        <v>0</v>
      </c>
      <c r="K76" s="25" t="str">
        <f t="shared" si="7"/>
        <v>0</v>
      </c>
      <c r="L76" s="119"/>
      <c r="M76" s="119"/>
      <c r="N76" s="119"/>
      <c r="O76" s="119"/>
      <c r="P76" s="119"/>
      <c r="Q76" s="119"/>
      <c r="R76" s="120"/>
    </row>
    <row r="77" spans="1:18" ht="41.45" customHeight="1">
      <c r="A77" s="80"/>
      <c r="B77" s="81"/>
      <c r="C77" s="22"/>
      <c r="D77" s="22"/>
      <c r="E77" s="25" t="str">
        <f t="shared" si="1"/>
        <v>0</v>
      </c>
      <c r="F77" s="25" t="str">
        <f t="shared" si="2"/>
        <v>0</v>
      </c>
      <c r="G77" s="25" t="str">
        <f t="shared" si="3"/>
        <v>0</v>
      </c>
      <c r="H77" s="25" t="str">
        <f t="shared" si="4"/>
        <v>0</v>
      </c>
      <c r="I77" s="25" t="str">
        <f t="shared" si="5"/>
        <v>0</v>
      </c>
      <c r="J77" s="25" t="str">
        <f t="shared" si="6"/>
        <v>0</v>
      </c>
      <c r="K77" s="25" t="str">
        <f t="shared" si="7"/>
        <v>0</v>
      </c>
      <c r="L77" s="119"/>
      <c r="M77" s="119"/>
      <c r="N77" s="119"/>
      <c r="O77" s="119"/>
      <c r="P77" s="119"/>
      <c r="Q77" s="119"/>
      <c r="R77" s="120"/>
    </row>
    <row r="78" spans="1:18" ht="41.45" customHeight="1">
      <c r="A78" s="80"/>
      <c r="B78" s="81"/>
      <c r="C78" s="22"/>
      <c r="D78" s="22"/>
      <c r="E78" s="25" t="str">
        <f t="shared" si="1"/>
        <v>0</v>
      </c>
      <c r="F78" s="25" t="str">
        <f t="shared" si="2"/>
        <v>0</v>
      </c>
      <c r="G78" s="25" t="str">
        <f t="shared" si="3"/>
        <v>0</v>
      </c>
      <c r="H78" s="25" t="str">
        <f t="shared" si="4"/>
        <v>0</v>
      </c>
      <c r="I78" s="25" t="str">
        <f t="shared" si="5"/>
        <v>0</v>
      </c>
      <c r="J78" s="25" t="str">
        <f t="shared" si="6"/>
        <v>0</v>
      </c>
      <c r="K78" s="25" t="str">
        <f t="shared" si="7"/>
        <v>0</v>
      </c>
      <c r="L78" s="119"/>
      <c r="M78" s="119"/>
      <c r="N78" s="119"/>
      <c r="O78" s="119"/>
      <c r="P78" s="119"/>
      <c r="Q78" s="119"/>
      <c r="R78" s="120"/>
    </row>
    <row r="79" spans="1:18" ht="41.45" customHeight="1">
      <c r="A79" s="80"/>
      <c r="B79" s="81"/>
      <c r="C79" s="22"/>
      <c r="D79" s="22"/>
      <c r="E79" s="25" t="str">
        <f t="shared" si="1"/>
        <v>0</v>
      </c>
      <c r="F79" s="25" t="str">
        <f t="shared" si="2"/>
        <v>0</v>
      </c>
      <c r="G79" s="25" t="str">
        <f t="shared" si="3"/>
        <v>0</v>
      </c>
      <c r="H79" s="25" t="str">
        <f t="shared" si="4"/>
        <v>0</v>
      </c>
      <c r="I79" s="25" t="str">
        <f t="shared" si="5"/>
        <v>0</v>
      </c>
      <c r="J79" s="25" t="str">
        <f t="shared" si="6"/>
        <v>0</v>
      </c>
      <c r="K79" s="25" t="str">
        <f t="shared" si="7"/>
        <v>0</v>
      </c>
      <c r="L79" s="119"/>
      <c r="M79" s="119"/>
      <c r="N79" s="119"/>
      <c r="O79" s="119"/>
      <c r="P79" s="119"/>
      <c r="Q79" s="119"/>
      <c r="R79" s="120"/>
    </row>
    <row r="80" spans="1:18" ht="41.45" customHeight="1">
      <c r="A80" s="80"/>
      <c r="B80" s="81"/>
      <c r="C80" s="22"/>
      <c r="D80" s="22"/>
      <c r="E80" s="25" t="str">
        <f t="shared" si="1"/>
        <v>0</v>
      </c>
      <c r="F80" s="25" t="str">
        <f t="shared" si="2"/>
        <v>0</v>
      </c>
      <c r="G80" s="25" t="str">
        <f t="shared" si="3"/>
        <v>0</v>
      </c>
      <c r="H80" s="25" t="str">
        <f t="shared" si="4"/>
        <v>0</v>
      </c>
      <c r="I80" s="25" t="str">
        <f t="shared" si="5"/>
        <v>0</v>
      </c>
      <c r="J80" s="25" t="str">
        <f t="shared" si="6"/>
        <v>0</v>
      </c>
      <c r="K80" s="25" t="str">
        <f t="shared" si="7"/>
        <v>0</v>
      </c>
      <c r="L80" s="119"/>
      <c r="M80" s="119"/>
      <c r="N80" s="119"/>
      <c r="O80" s="119"/>
      <c r="P80" s="119"/>
      <c r="Q80" s="119"/>
      <c r="R80" s="120"/>
    </row>
    <row r="81" spans="1:18" ht="41.45" customHeight="1">
      <c r="A81" s="80"/>
      <c r="B81" s="81"/>
      <c r="C81" s="22"/>
      <c r="D81" s="22"/>
      <c r="E81" s="25" t="str">
        <f t="shared" si="1"/>
        <v>0</v>
      </c>
      <c r="F81" s="25" t="str">
        <f t="shared" si="2"/>
        <v>0</v>
      </c>
      <c r="G81" s="25" t="str">
        <f t="shared" si="3"/>
        <v>0</v>
      </c>
      <c r="H81" s="25" t="str">
        <f t="shared" si="4"/>
        <v>0</v>
      </c>
      <c r="I81" s="25" t="str">
        <f t="shared" si="5"/>
        <v>0</v>
      </c>
      <c r="J81" s="25" t="str">
        <f t="shared" si="6"/>
        <v>0</v>
      </c>
      <c r="K81" s="25" t="str">
        <f t="shared" si="7"/>
        <v>0</v>
      </c>
      <c r="L81" s="119"/>
      <c r="M81" s="119"/>
      <c r="N81" s="119"/>
      <c r="O81" s="119"/>
      <c r="P81" s="119"/>
      <c r="Q81" s="119"/>
      <c r="R81" s="120"/>
    </row>
    <row r="82" spans="1:18" ht="41.45" customHeight="1">
      <c r="A82" s="80"/>
      <c r="B82" s="81"/>
      <c r="C82" s="22"/>
      <c r="D82" s="22"/>
      <c r="E82" s="25" t="str">
        <f t="shared" ref="E82:E87" si="8">IF(E41="X",(D41-C41),"0")</f>
        <v>0</v>
      </c>
      <c r="F82" s="25" t="str">
        <f t="shared" ref="F82:F87" si="9">IF(F41="X",(D41-C41),"0")</f>
        <v>0</v>
      </c>
      <c r="G82" s="25" t="str">
        <f t="shared" ref="G82:G87" si="10">IF(G41="X",(D41-C41),"0")</f>
        <v>0</v>
      </c>
      <c r="H82" s="25" t="str">
        <f t="shared" ref="H82:H87" si="11">IF(H41="X",(D41-C41),"0")</f>
        <v>0</v>
      </c>
      <c r="I82" s="25" t="str">
        <f t="shared" ref="I82:I87" si="12">IF(I41="X",(D41-C41),"0")</f>
        <v>0</v>
      </c>
      <c r="J82" s="25" t="str">
        <f t="shared" ref="J82:J87" si="13">IF(J41="X",(D41-C41),"0")</f>
        <v>0</v>
      </c>
      <c r="K82" s="25" t="str">
        <f t="shared" ref="K82:K87" si="14">IF(K41="X",(D41-C41),"0")</f>
        <v>0</v>
      </c>
      <c r="L82" s="119"/>
      <c r="M82" s="119"/>
      <c r="N82" s="119"/>
      <c r="O82" s="119"/>
      <c r="P82" s="119"/>
      <c r="Q82" s="119"/>
      <c r="R82" s="120"/>
    </row>
    <row r="83" spans="1:18" ht="41.45" customHeight="1">
      <c r="A83" s="80"/>
      <c r="B83" s="81"/>
      <c r="C83" s="22"/>
      <c r="D83" s="22"/>
      <c r="E83" s="25" t="str">
        <f t="shared" si="8"/>
        <v>0</v>
      </c>
      <c r="F83" s="25" t="str">
        <f t="shared" si="9"/>
        <v>0</v>
      </c>
      <c r="G83" s="25" t="str">
        <f t="shared" si="10"/>
        <v>0</v>
      </c>
      <c r="H83" s="25" t="str">
        <f t="shared" si="11"/>
        <v>0</v>
      </c>
      <c r="I83" s="25" t="str">
        <f t="shared" si="12"/>
        <v>0</v>
      </c>
      <c r="J83" s="25" t="str">
        <f t="shared" si="13"/>
        <v>0</v>
      </c>
      <c r="K83" s="25" t="str">
        <f t="shared" si="14"/>
        <v>0</v>
      </c>
      <c r="L83" s="119"/>
      <c r="M83" s="119"/>
      <c r="N83" s="119"/>
      <c r="O83" s="119"/>
      <c r="P83" s="119"/>
      <c r="Q83" s="119"/>
      <c r="R83" s="120"/>
    </row>
    <row r="84" spans="1:18" ht="41.45" customHeight="1">
      <c r="A84" s="80"/>
      <c r="B84" s="81"/>
      <c r="C84" s="22"/>
      <c r="D84" s="22"/>
      <c r="E84" s="25" t="str">
        <f t="shared" si="8"/>
        <v>0</v>
      </c>
      <c r="F84" s="25" t="str">
        <f t="shared" si="9"/>
        <v>0</v>
      </c>
      <c r="G84" s="25" t="str">
        <f t="shared" si="10"/>
        <v>0</v>
      </c>
      <c r="H84" s="25" t="str">
        <f t="shared" si="11"/>
        <v>0</v>
      </c>
      <c r="I84" s="25" t="str">
        <f t="shared" si="12"/>
        <v>0</v>
      </c>
      <c r="J84" s="25" t="str">
        <f t="shared" si="13"/>
        <v>0</v>
      </c>
      <c r="K84" s="25" t="str">
        <f t="shared" si="14"/>
        <v>0</v>
      </c>
      <c r="L84" s="119"/>
      <c r="M84" s="119"/>
      <c r="N84" s="119"/>
      <c r="O84" s="119"/>
      <c r="P84" s="119"/>
      <c r="Q84" s="119"/>
      <c r="R84" s="120"/>
    </row>
    <row r="85" spans="1:18" ht="41.45" customHeight="1">
      <c r="A85" s="80"/>
      <c r="B85" s="81"/>
      <c r="C85" s="22"/>
      <c r="D85" s="22"/>
      <c r="E85" s="25" t="str">
        <f t="shared" si="8"/>
        <v>0</v>
      </c>
      <c r="F85" s="25" t="str">
        <f t="shared" si="9"/>
        <v>0</v>
      </c>
      <c r="G85" s="25" t="str">
        <f t="shared" si="10"/>
        <v>0</v>
      </c>
      <c r="H85" s="25" t="str">
        <f t="shared" si="11"/>
        <v>0</v>
      </c>
      <c r="I85" s="25" t="str">
        <f t="shared" si="12"/>
        <v>0</v>
      </c>
      <c r="J85" s="25" t="str">
        <f t="shared" si="13"/>
        <v>0</v>
      </c>
      <c r="K85" s="25" t="str">
        <f t="shared" si="14"/>
        <v>0</v>
      </c>
      <c r="L85" s="119"/>
      <c r="M85" s="119"/>
      <c r="N85" s="119"/>
      <c r="O85" s="119"/>
      <c r="P85" s="119"/>
      <c r="Q85" s="119"/>
      <c r="R85" s="120"/>
    </row>
    <row r="86" spans="1:18" ht="41.45" customHeight="1">
      <c r="A86" s="80"/>
      <c r="B86" s="81"/>
      <c r="C86" s="22"/>
      <c r="D86" s="22"/>
      <c r="E86" s="25" t="str">
        <f>IF(E45="X",(D45-C45),"0")</f>
        <v>0</v>
      </c>
      <c r="F86" s="25" t="str">
        <f t="shared" si="9"/>
        <v>0</v>
      </c>
      <c r="G86" s="25" t="str">
        <f t="shared" si="10"/>
        <v>0</v>
      </c>
      <c r="H86" s="25" t="str">
        <f t="shared" si="11"/>
        <v>0</v>
      </c>
      <c r="I86" s="25" t="str">
        <f t="shared" si="12"/>
        <v>0</v>
      </c>
      <c r="J86" s="25" t="str">
        <f t="shared" si="13"/>
        <v>0</v>
      </c>
      <c r="K86" s="25" t="str">
        <f t="shared" si="14"/>
        <v>0</v>
      </c>
      <c r="L86" s="119"/>
      <c r="M86" s="119"/>
      <c r="N86" s="119"/>
      <c r="O86" s="119"/>
      <c r="P86" s="119"/>
      <c r="Q86" s="119"/>
      <c r="R86" s="120"/>
    </row>
    <row r="87" spans="1:18" ht="41.45" customHeight="1">
      <c r="A87" s="80"/>
      <c r="B87" s="81"/>
      <c r="C87" s="22"/>
      <c r="D87" s="22"/>
      <c r="E87" s="25" t="str">
        <f t="shared" si="8"/>
        <v>0</v>
      </c>
      <c r="F87" s="25" t="str">
        <f t="shared" si="9"/>
        <v>0</v>
      </c>
      <c r="G87" s="25" t="str">
        <f t="shared" si="10"/>
        <v>0</v>
      </c>
      <c r="H87" s="25" t="str">
        <f t="shared" si="11"/>
        <v>0</v>
      </c>
      <c r="I87" s="25" t="str">
        <f t="shared" si="12"/>
        <v>0</v>
      </c>
      <c r="J87" s="25" t="str">
        <f t="shared" si="13"/>
        <v>0</v>
      </c>
      <c r="K87" s="25" t="str">
        <f t="shared" si="14"/>
        <v>0</v>
      </c>
      <c r="L87" s="119"/>
      <c r="M87" s="119"/>
      <c r="N87" s="119"/>
      <c r="O87" s="119"/>
      <c r="P87" s="119"/>
      <c r="Q87" s="119"/>
      <c r="R87" s="120"/>
    </row>
    <row r="88" spans="1:18" ht="41.45" customHeight="1">
      <c r="A88" s="80"/>
      <c r="B88" s="81"/>
      <c r="C88" s="22"/>
      <c r="D88" s="22"/>
      <c r="E88" s="22">
        <f>SUM(E48:E87)</f>
        <v>10.25</v>
      </c>
      <c r="F88" s="22">
        <f t="shared" ref="F88:K88" si="15">SUM(F48:F87)</f>
        <v>28</v>
      </c>
      <c r="G88" s="22">
        <f t="shared" si="15"/>
        <v>0</v>
      </c>
      <c r="H88" s="22">
        <f t="shared" si="15"/>
        <v>0</v>
      </c>
      <c r="I88" s="22">
        <f t="shared" si="15"/>
        <v>33.200000000000003</v>
      </c>
      <c r="J88" s="22">
        <f t="shared" si="15"/>
        <v>3.0499999999999972</v>
      </c>
      <c r="K88" s="22">
        <f t="shared" si="15"/>
        <v>2</v>
      </c>
      <c r="L88" s="119"/>
      <c r="M88" s="119"/>
      <c r="N88" s="119"/>
      <c r="O88" s="119"/>
      <c r="P88" s="119"/>
      <c r="Q88" s="119"/>
      <c r="R88" s="120"/>
    </row>
    <row r="89" spans="1:18" ht="41.45" customHeight="1">
      <c r="A89" s="80"/>
      <c r="B89" s="81"/>
      <c r="C89" s="22"/>
      <c r="D89" s="22"/>
      <c r="E89" s="22"/>
      <c r="F89" s="21"/>
      <c r="G89" s="21"/>
      <c r="H89" s="21"/>
      <c r="I89" s="21"/>
      <c r="J89" s="21"/>
      <c r="K89" s="21"/>
      <c r="L89" s="119"/>
      <c r="M89" s="119"/>
      <c r="N89" s="119"/>
      <c r="O89" s="119"/>
      <c r="P89" s="119"/>
      <c r="Q89" s="119"/>
      <c r="R89" s="120"/>
    </row>
    <row r="90" spans="1:18" ht="41.45" customHeight="1">
      <c r="A90" s="80"/>
      <c r="B90" s="81"/>
      <c r="C90" s="22"/>
      <c r="D90" s="22"/>
      <c r="E90" s="22"/>
      <c r="F90" s="21"/>
      <c r="G90" s="21"/>
      <c r="H90" s="21"/>
      <c r="I90" s="21"/>
      <c r="J90" s="21"/>
      <c r="K90" s="21"/>
      <c r="L90" s="119"/>
      <c r="M90" s="119"/>
      <c r="N90" s="119"/>
      <c r="O90" s="119"/>
      <c r="P90" s="119"/>
      <c r="Q90" s="119"/>
      <c r="R90" s="120"/>
    </row>
    <row r="91" spans="1:18" ht="41.45" customHeight="1">
      <c r="A91" s="80"/>
      <c r="B91" s="81"/>
      <c r="C91" s="22"/>
      <c r="D91" s="22"/>
      <c r="E91" s="22"/>
      <c r="F91" s="21"/>
      <c r="G91" s="21"/>
      <c r="H91" s="21"/>
      <c r="I91" s="21"/>
      <c r="J91" s="21"/>
      <c r="K91" s="21"/>
      <c r="L91" s="119"/>
      <c r="M91" s="119"/>
      <c r="N91" s="119"/>
      <c r="O91" s="119"/>
      <c r="P91" s="119"/>
      <c r="Q91" s="119"/>
      <c r="R91" s="120"/>
    </row>
    <row r="92" spans="1:18" ht="41.45" customHeight="1">
      <c r="A92" s="80"/>
      <c r="B92" s="81"/>
      <c r="C92" s="22"/>
      <c r="D92" s="22"/>
      <c r="E92" s="22"/>
      <c r="F92" s="21"/>
      <c r="G92" s="21"/>
      <c r="H92" s="21"/>
      <c r="I92" s="21"/>
      <c r="J92" s="21"/>
      <c r="K92" s="21"/>
      <c r="L92" s="119"/>
      <c r="M92" s="119"/>
      <c r="N92" s="119"/>
      <c r="O92" s="119"/>
      <c r="P92" s="119"/>
      <c r="Q92" s="119"/>
      <c r="R92" s="120"/>
    </row>
    <row r="93" spans="1:18" ht="41.45" customHeight="1">
      <c r="A93" s="80"/>
      <c r="B93" s="81"/>
      <c r="C93" s="22"/>
      <c r="D93" s="22"/>
      <c r="E93" s="22"/>
      <c r="F93" s="21"/>
      <c r="G93" s="21"/>
      <c r="H93" s="21"/>
      <c r="I93" s="21"/>
      <c r="J93" s="21"/>
      <c r="K93" s="21"/>
      <c r="L93" s="119"/>
      <c r="M93" s="119"/>
      <c r="N93" s="119"/>
      <c r="O93" s="119"/>
      <c r="P93" s="119"/>
      <c r="Q93" s="119"/>
      <c r="R93" s="120"/>
    </row>
    <row r="94" spans="1:18" ht="41.45" customHeight="1" thickBot="1">
      <c r="A94" s="84"/>
      <c r="B94" s="85"/>
      <c r="C94" s="26"/>
      <c r="D94" s="26"/>
      <c r="E94" s="26"/>
      <c r="F94" s="27"/>
      <c r="G94" s="27"/>
      <c r="H94" s="27"/>
      <c r="I94" s="27"/>
      <c r="J94" s="27"/>
      <c r="K94" s="27"/>
      <c r="L94" s="145"/>
      <c r="M94" s="145"/>
      <c r="N94" s="145"/>
      <c r="O94" s="145"/>
      <c r="P94" s="145"/>
      <c r="Q94" s="145"/>
      <c r="R94" s="146"/>
    </row>
  </sheetData>
  <mergeCells count="99">
    <mergeCell ref="L82:R82"/>
    <mergeCell ref="L83:R83"/>
    <mergeCell ref="L84:R84"/>
    <mergeCell ref="L69:R69"/>
    <mergeCell ref="L70:R70"/>
    <mergeCell ref="L71:R71"/>
    <mergeCell ref="L72:R72"/>
    <mergeCell ref="L73:R73"/>
    <mergeCell ref="L41:R41"/>
    <mergeCell ref="L42:R42"/>
    <mergeCell ref="L43:R43"/>
    <mergeCell ref="L63:R63"/>
    <mergeCell ref="L64:R64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31:R31"/>
    <mergeCell ref="L32:R32"/>
    <mergeCell ref="L33:R33"/>
    <mergeCell ref="L34:R34"/>
    <mergeCell ref="L35:R35"/>
    <mergeCell ref="L92:R92"/>
    <mergeCell ref="L93:R93"/>
    <mergeCell ref="L94:R94"/>
    <mergeCell ref="L86:R86"/>
    <mergeCell ref="L87:R87"/>
    <mergeCell ref="L88:R88"/>
    <mergeCell ref="L89:R89"/>
    <mergeCell ref="L90:R90"/>
    <mergeCell ref="L91:R91"/>
    <mergeCell ref="L85:R85"/>
    <mergeCell ref="L60:R60"/>
    <mergeCell ref="L61:R61"/>
    <mergeCell ref="L62:R62"/>
    <mergeCell ref="L74:R74"/>
    <mergeCell ref="L75:R75"/>
    <mergeCell ref="L76:R76"/>
    <mergeCell ref="L77:R77"/>
    <mergeCell ref="L78:R78"/>
    <mergeCell ref="L79:R79"/>
    <mergeCell ref="L80:R80"/>
    <mergeCell ref="L81:R81"/>
    <mergeCell ref="L65:R65"/>
    <mergeCell ref="L66:R66"/>
    <mergeCell ref="L67:R67"/>
    <mergeCell ref="L68:R68"/>
    <mergeCell ref="L58:R58"/>
    <mergeCell ref="L47:R47"/>
    <mergeCell ref="L24:R24"/>
    <mergeCell ref="L25:R25"/>
    <mergeCell ref="L26:R26"/>
    <mergeCell ref="L36:R36"/>
    <mergeCell ref="L37:R37"/>
    <mergeCell ref="L38:R38"/>
    <mergeCell ref="L39:R39"/>
    <mergeCell ref="L40:R40"/>
    <mergeCell ref="L44:R44"/>
    <mergeCell ref="L45:R45"/>
    <mergeCell ref="L46:R46"/>
    <mergeCell ref="L27:R27"/>
    <mergeCell ref="L28:R28"/>
    <mergeCell ref="L29:R29"/>
    <mergeCell ref="L30:R3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17" orientation="portrait" r:id="rId1"/>
  <colBreaks count="1" manualBreakCount="1">
    <brk id="1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R68"/>
  <sheetViews>
    <sheetView view="pageBreakPreview" zoomScale="44" zoomScaleNormal="40" zoomScaleSheetLayoutView="44" workbookViewId="0">
      <selection activeCell="E62" sqref="E62:H62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354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TT!C10</f>
        <v>RODOVIA TO-210 - TRECHO TOCANTINÓPOLIS - NAZARÉ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72</v>
      </c>
      <c r="B7" s="21"/>
      <c r="C7" s="22">
        <v>0</v>
      </c>
      <c r="D7" s="22">
        <v>2</v>
      </c>
      <c r="E7" s="21" t="s">
        <v>19</v>
      </c>
      <c r="F7" s="21"/>
      <c r="G7" s="21"/>
      <c r="H7" s="21"/>
      <c r="I7" s="21" t="s">
        <v>19</v>
      </c>
      <c r="J7" s="21"/>
      <c r="K7" s="21"/>
      <c r="L7" s="116"/>
      <c r="M7" s="117"/>
      <c r="N7" s="117"/>
      <c r="O7" s="117"/>
      <c r="P7" s="117"/>
      <c r="Q7" s="117"/>
      <c r="R7" s="118"/>
    </row>
    <row r="8" spans="1:18" ht="41.45" customHeight="1">
      <c r="A8" s="21" t="s">
        <v>73</v>
      </c>
      <c r="B8" s="21"/>
      <c r="C8" s="22">
        <f>D7</f>
        <v>2</v>
      </c>
      <c r="D8" s="22">
        <v>4</v>
      </c>
      <c r="E8" s="21" t="s">
        <v>19</v>
      </c>
      <c r="F8" s="21"/>
      <c r="G8" s="21"/>
      <c r="H8" s="21"/>
      <c r="I8" s="21" t="s">
        <v>19</v>
      </c>
      <c r="J8" s="21"/>
      <c r="K8" s="21"/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>D8</f>
        <v>4</v>
      </c>
      <c r="D9" s="22">
        <v>6</v>
      </c>
      <c r="E9" s="21" t="s">
        <v>19</v>
      </c>
      <c r="F9" s="21"/>
      <c r="G9" s="21"/>
      <c r="H9" s="21"/>
      <c r="I9" s="21" t="s">
        <v>19</v>
      </c>
      <c r="J9" s="21"/>
      <c r="K9" s="21"/>
      <c r="L9" s="116" t="s">
        <v>394</v>
      </c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ref="C10:C14" si="0">D9</f>
        <v>6</v>
      </c>
      <c r="D10" s="22">
        <v>8</v>
      </c>
      <c r="E10" s="21" t="s">
        <v>19</v>
      </c>
      <c r="F10" s="21"/>
      <c r="G10" s="21"/>
      <c r="H10" s="21"/>
      <c r="I10" s="21" t="s">
        <v>19</v>
      </c>
      <c r="J10" s="21"/>
      <c r="K10" s="21"/>
      <c r="L10" s="116" t="s">
        <v>395</v>
      </c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8</v>
      </c>
      <c r="D11" s="22">
        <v>10</v>
      </c>
      <c r="E11" s="21" t="s">
        <v>19</v>
      </c>
      <c r="F11" s="21"/>
      <c r="G11" s="21"/>
      <c r="H11" s="21"/>
      <c r="I11" s="21" t="s">
        <v>19</v>
      </c>
      <c r="J11" s="21"/>
      <c r="K11" s="21"/>
      <c r="L11" s="116" t="s">
        <v>396</v>
      </c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10</v>
      </c>
      <c r="D12" s="22">
        <v>12</v>
      </c>
      <c r="E12" s="21" t="s">
        <v>19</v>
      </c>
      <c r="F12" s="21"/>
      <c r="G12" s="21"/>
      <c r="H12" s="21"/>
      <c r="I12" s="21" t="s">
        <v>19</v>
      </c>
      <c r="J12" s="21"/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12</v>
      </c>
      <c r="D13" s="22">
        <v>14</v>
      </c>
      <c r="E13" s="21" t="s">
        <v>19</v>
      </c>
      <c r="F13" s="21"/>
      <c r="G13" s="21"/>
      <c r="H13" s="21"/>
      <c r="I13" s="21" t="s">
        <v>19</v>
      </c>
      <c r="J13" s="21"/>
      <c r="K13" s="21"/>
      <c r="L13" s="116" t="s">
        <v>397</v>
      </c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14</v>
      </c>
      <c r="D14" s="22">
        <v>15.5</v>
      </c>
      <c r="E14" s="21" t="s">
        <v>19</v>
      </c>
      <c r="F14" s="21"/>
      <c r="G14" s="21"/>
      <c r="H14" s="21"/>
      <c r="I14" s="21" t="s">
        <v>19</v>
      </c>
      <c r="J14" s="21"/>
      <c r="K14" s="21"/>
      <c r="L14" s="116" t="s">
        <v>398</v>
      </c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110"/>
      <c r="D15" s="110"/>
      <c r="E15" s="38"/>
      <c r="F15" s="38"/>
      <c r="G15" s="38"/>
      <c r="H15" s="38"/>
      <c r="I15" s="38"/>
      <c r="J15" s="38"/>
      <c r="K15" s="38"/>
      <c r="L15" s="116" t="s">
        <v>399</v>
      </c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110"/>
      <c r="D16" s="110"/>
      <c r="E16" s="38"/>
      <c r="F16" s="38"/>
      <c r="G16" s="38"/>
      <c r="H16" s="38"/>
      <c r="I16" s="38"/>
      <c r="J16" s="38"/>
      <c r="K16" s="38"/>
      <c r="L16" s="116" t="s">
        <v>400</v>
      </c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110"/>
      <c r="D17" s="110"/>
      <c r="E17" s="38"/>
      <c r="F17" s="38"/>
      <c r="G17" s="38"/>
      <c r="H17" s="38"/>
      <c r="I17" s="38"/>
      <c r="J17" s="38"/>
      <c r="K17" s="38"/>
      <c r="L17" s="116" t="s">
        <v>401</v>
      </c>
      <c r="M17" s="117"/>
      <c r="N17" s="117"/>
      <c r="O17" s="117"/>
      <c r="P17" s="117"/>
      <c r="Q17" s="117"/>
      <c r="R17" s="118"/>
    </row>
    <row r="18" spans="1:18" ht="41.45" customHeight="1">
      <c r="A18" s="19"/>
      <c r="B18" s="3"/>
      <c r="C18" s="110"/>
      <c r="D18" s="110"/>
      <c r="E18" s="38"/>
      <c r="F18" s="38"/>
      <c r="G18" s="38"/>
      <c r="H18" s="38"/>
      <c r="I18" s="38"/>
      <c r="J18" s="38"/>
      <c r="K18" s="38"/>
      <c r="L18" s="116" t="s">
        <v>402</v>
      </c>
      <c r="M18" s="117"/>
      <c r="N18" s="117"/>
      <c r="O18" s="117"/>
      <c r="P18" s="117"/>
      <c r="Q18" s="117"/>
      <c r="R18" s="118"/>
    </row>
    <row r="19" spans="1:18" ht="41.45" customHeight="1">
      <c r="A19" s="19"/>
      <c r="B19" s="3"/>
      <c r="C19" s="110"/>
      <c r="D19" s="110"/>
      <c r="E19" s="38"/>
      <c r="F19" s="38"/>
      <c r="G19" s="38"/>
      <c r="H19" s="38"/>
      <c r="I19" s="38"/>
      <c r="J19" s="38"/>
      <c r="K19" s="38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19"/>
      <c r="B20" s="3"/>
      <c r="C20" s="110"/>
      <c r="D20" s="110"/>
      <c r="E20" s="38"/>
      <c r="F20" s="38"/>
      <c r="G20" s="38"/>
      <c r="H20" s="38"/>
      <c r="I20" s="38"/>
      <c r="J20" s="38"/>
      <c r="K20" s="38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19"/>
      <c r="B21" s="3"/>
      <c r="C21" s="110"/>
      <c r="D21" s="110"/>
      <c r="E21" s="38"/>
      <c r="F21" s="38"/>
      <c r="G21" s="38"/>
      <c r="H21" s="38"/>
      <c r="I21" s="38"/>
      <c r="J21" s="38"/>
      <c r="K21" s="38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19"/>
      <c r="B22" s="3"/>
      <c r="C22" s="110"/>
      <c r="D22" s="110"/>
      <c r="E22" s="38"/>
      <c r="F22" s="38"/>
      <c r="G22" s="38"/>
      <c r="H22" s="38"/>
      <c r="I22" s="38"/>
      <c r="J22" s="38"/>
      <c r="K22" s="38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19"/>
      <c r="B23" s="3"/>
      <c r="C23" s="110"/>
      <c r="D23" s="110"/>
      <c r="E23" s="38"/>
      <c r="F23" s="38"/>
      <c r="G23" s="38"/>
      <c r="H23" s="38"/>
      <c r="I23" s="38"/>
      <c r="J23" s="38"/>
      <c r="K23" s="38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19"/>
      <c r="B24" s="3"/>
      <c r="C24" s="110"/>
      <c r="D24" s="110"/>
      <c r="E24" s="38"/>
      <c r="F24" s="38"/>
      <c r="G24" s="38"/>
      <c r="H24" s="38"/>
      <c r="I24" s="38"/>
      <c r="J24" s="38"/>
      <c r="K24" s="38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3"/>
      <c r="C25" s="110"/>
      <c r="D25" s="110"/>
      <c r="E25" s="38"/>
      <c r="F25" s="38"/>
      <c r="G25" s="38"/>
      <c r="H25" s="38"/>
      <c r="I25" s="38"/>
      <c r="J25" s="38"/>
      <c r="K25" s="38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3"/>
      <c r="C26" s="110"/>
      <c r="D26" s="110"/>
      <c r="E26" s="38"/>
      <c r="F26" s="38"/>
      <c r="G26" s="38"/>
      <c r="H26" s="38"/>
      <c r="I26" s="38"/>
      <c r="J26" s="38"/>
      <c r="K26" s="38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110"/>
      <c r="D27" s="110"/>
      <c r="E27" s="38"/>
      <c r="F27" s="38"/>
      <c r="G27" s="38"/>
      <c r="H27" s="38"/>
      <c r="I27" s="38"/>
      <c r="J27" s="38"/>
      <c r="K27" s="38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110"/>
      <c r="D28" s="110"/>
      <c r="E28" s="38"/>
      <c r="F28" s="38"/>
      <c r="G28" s="38"/>
      <c r="H28" s="38"/>
      <c r="I28" s="38"/>
      <c r="J28" s="38"/>
      <c r="K28" s="38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110"/>
      <c r="D29" s="110"/>
      <c r="E29" s="38"/>
      <c r="F29" s="38"/>
      <c r="G29" s="38"/>
      <c r="H29" s="38"/>
      <c r="I29" s="38"/>
      <c r="J29" s="38"/>
      <c r="K29" s="38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110"/>
      <c r="D30" s="110"/>
      <c r="E30" s="38"/>
      <c r="F30" s="38"/>
      <c r="G30" s="38"/>
      <c r="H30" s="38"/>
      <c r="I30" s="38"/>
      <c r="J30" s="38"/>
      <c r="K30" s="38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110"/>
      <c r="D31" s="110"/>
      <c r="E31" s="38"/>
      <c r="F31" s="38"/>
      <c r="G31" s="38"/>
      <c r="H31" s="38"/>
      <c r="I31" s="38"/>
      <c r="J31" s="38"/>
      <c r="K31" s="38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110"/>
      <c r="D32" s="110"/>
      <c r="E32" s="38"/>
      <c r="F32" s="38"/>
      <c r="G32" s="38"/>
      <c r="H32" s="38"/>
      <c r="I32" s="38"/>
      <c r="J32" s="38"/>
      <c r="K32" s="38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110"/>
      <c r="D33" s="110"/>
      <c r="E33" s="38"/>
      <c r="F33" s="38"/>
      <c r="G33" s="38"/>
      <c r="H33" s="38"/>
      <c r="I33" s="38"/>
      <c r="J33" s="38"/>
      <c r="K33" s="38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110"/>
      <c r="D34" s="110"/>
      <c r="E34" s="38"/>
      <c r="F34" s="38"/>
      <c r="G34" s="38"/>
      <c r="H34" s="38"/>
      <c r="I34" s="38"/>
      <c r="J34" s="38"/>
      <c r="K34" s="38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110"/>
      <c r="D35" s="110"/>
      <c r="E35" s="38"/>
      <c r="F35" s="38"/>
      <c r="G35" s="38"/>
      <c r="H35" s="38"/>
      <c r="I35" s="38"/>
      <c r="J35" s="38"/>
      <c r="K35" s="38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3"/>
      <c r="B36" s="24"/>
      <c r="C36" s="25"/>
      <c r="D36" s="25"/>
      <c r="E36" s="25">
        <f>IF(E7="X",(D7-C7),"0")</f>
        <v>2</v>
      </c>
      <c r="F36" s="25" t="str">
        <f>IF(F7="X",(D7-C7),"0")</f>
        <v>0</v>
      </c>
      <c r="G36" s="25" t="str">
        <f>IF(G7="X",(D7-C7),"0")</f>
        <v>0</v>
      </c>
      <c r="H36" s="25" t="str">
        <f>IF(H7="X",(D7-C7),"0")</f>
        <v>0</v>
      </c>
      <c r="I36" s="25">
        <f>IF(I7="X",(D7-C7),"0")</f>
        <v>2</v>
      </c>
      <c r="J36" s="25" t="str">
        <f>IF(J7="X",(D7-C7),"0")</f>
        <v>0</v>
      </c>
      <c r="K36" s="25" t="str">
        <f>IF(K7="X",(D7-C7),"0")</f>
        <v>0</v>
      </c>
      <c r="L36" s="147"/>
      <c r="M36" s="148"/>
      <c r="N36" s="148"/>
      <c r="O36" s="148"/>
      <c r="P36" s="148"/>
      <c r="Q36" s="148"/>
      <c r="R36" s="149"/>
    </row>
    <row r="37" spans="1:18" ht="41.45" customHeight="1">
      <c r="A37" s="19"/>
      <c r="B37" s="3"/>
      <c r="C37" s="22"/>
      <c r="D37" s="22"/>
      <c r="E37" s="25">
        <f t="shared" ref="E37:E61" si="1">IF(E8="X",(D8-C8),"0")</f>
        <v>2</v>
      </c>
      <c r="F37" s="25" t="str">
        <f t="shared" ref="F37:F61" si="2">IF(F8="X",(D8-C8),"0")</f>
        <v>0</v>
      </c>
      <c r="G37" s="25" t="str">
        <f t="shared" ref="G37:G61" si="3">IF(G8="X",(D8-C8),"0")</f>
        <v>0</v>
      </c>
      <c r="H37" s="25" t="str">
        <f t="shared" ref="H37:H61" si="4">IF(H8="X",(D8-C8),"0")</f>
        <v>0</v>
      </c>
      <c r="I37" s="25">
        <f t="shared" ref="I37:I61" si="5">IF(I8="X",(D8-C8),"0")</f>
        <v>2</v>
      </c>
      <c r="J37" s="25" t="str">
        <f t="shared" ref="J37:J61" si="6">IF(J8="X",(D8-C8),"0")</f>
        <v>0</v>
      </c>
      <c r="K37" s="25" t="str">
        <f t="shared" ref="K37:K61" si="7">IF(K8="X",(D8-C8),"0")</f>
        <v>0</v>
      </c>
      <c r="L37" s="119"/>
      <c r="M37" s="119"/>
      <c r="N37" s="119"/>
      <c r="O37" s="119"/>
      <c r="P37" s="119"/>
      <c r="Q37" s="119"/>
      <c r="R37" s="120"/>
    </row>
    <row r="38" spans="1:18" ht="41.45" customHeight="1">
      <c r="A38" s="19"/>
      <c r="B38" s="3"/>
      <c r="C38" s="22"/>
      <c r="D38" s="22"/>
      <c r="E38" s="25">
        <f t="shared" si="1"/>
        <v>2</v>
      </c>
      <c r="F38" s="25" t="str">
        <f t="shared" si="2"/>
        <v>0</v>
      </c>
      <c r="G38" s="25" t="str">
        <f t="shared" si="3"/>
        <v>0</v>
      </c>
      <c r="H38" s="25" t="str">
        <f t="shared" si="4"/>
        <v>0</v>
      </c>
      <c r="I38" s="25">
        <f t="shared" si="5"/>
        <v>2</v>
      </c>
      <c r="J38" s="25" t="str">
        <f t="shared" si="6"/>
        <v>0</v>
      </c>
      <c r="K38" s="25" t="str">
        <f t="shared" si="7"/>
        <v>0</v>
      </c>
      <c r="L38" s="119"/>
      <c r="M38" s="119"/>
      <c r="N38" s="119"/>
      <c r="O38" s="119"/>
      <c r="P38" s="119"/>
      <c r="Q38" s="119"/>
      <c r="R38" s="120"/>
    </row>
    <row r="39" spans="1:18" ht="41.45" customHeight="1">
      <c r="A39" s="19"/>
      <c r="B39" s="3"/>
      <c r="C39" s="22"/>
      <c r="D39" s="22"/>
      <c r="E39" s="25">
        <f t="shared" si="1"/>
        <v>2</v>
      </c>
      <c r="F39" s="25" t="str">
        <f t="shared" si="2"/>
        <v>0</v>
      </c>
      <c r="G39" s="25" t="str">
        <f t="shared" si="3"/>
        <v>0</v>
      </c>
      <c r="H39" s="25" t="str">
        <f t="shared" si="4"/>
        <v>0</v>
      </c>
      <c r="I39" s="25">
        <f t="shared" si="5"/>
        <v>2</v>
      </c>
      <c r="J39" s="25" t="str">
        <f t="shared" si="6"/>
        <v>0</v>
      </c>
      <c r="K39" s="25" t="str">
        <f t="shared" si="7"/>
        <v>0</v>
      </c>
      <c r="L39" s="119"/>
      <c r="M39" s="119"/>
      <c r="N39" s="119"/>
      <c r="O39" s="119"/>
      <c r="P39" s="119"/>
      <c r="Q39" s="119"/>
      <c r="R39" s="120"/>
    </row>
    <row r="40" spans="1:18" ht="41.45" customHeight="1">
      <c r="A40" s="19"/>
      <c r="B40" s="3"/>
      <c r="C40" s="22"/>
      <c r="D40" s="22"/>
      <c r="E40" s="25">
        <f t="shared" si="1"/>
        <v>2</v>
      </c>
      <c r="F40" s="25" t="str">
        <f t="shared" si="2"/>
        <v>0</v>
      </c>
      <c r="G40" s="25" t="str">
        <f t="shared" si="3"/>
        <v>0</v>
      </c>
      <c r="H40" s="25" t="str">
        <f t="shared" si="4"/>
        <v>0</v>
      </c>
      <c r="I40" s="25">
        <f t="shared" si="5"/>
        <v>2</v>
      </c>
      <c r="J40" s="25" t="str">
        <f t="shared" si="6"/>
        <v>0</v>
      </c>
      <c r="K40" s="25" t="str">
        <f t="shared" si="7"/>
        <v>0</v>
      </c>
      <c r="L40" s="119"/>
      <c r="M40" s="119"/>
      <c r="N40" s="119"/>
      <c r="O40" s="119"/>
      <c r="P40" s="119"/>
      <c r="Q40" s="119"/>
      <c r="R40" s="120"/>
    </row>
    <row r="41" spans="1:18" ht="41.45" customHeight="1">
      <c r="A41" s="19"/>
      <c r="B41" s="3"/>
      <c r="C41" s="22"/>
      <c r="D41" s="22"/>
      <c r="E41" s="25">
        <f t="shared" si="1"/>
        <v>2</v>
      </c>
      <c r="F41" s="25" t="str">
        <f t="shared" si="2"/>
        <v>0</v>
      </c>
      <c r="G41" s="25" t="str">
        <f t="shared" si="3"/>
        <v>0</v>
      </c>
      <c r="H41" s="25" t="str">
        <f t="shared" si="4"/>
        <v>0</v>
      </c>
      <c r="I41" s="25">
        <f t="shared" si="5"/>
        <v>2</v>
      </c>
      <c r="J41" s="25" t="str">
        <f t="shared" si="6"/>
        <v>0</v>
      </c>
      <c r="K41" s="25" t="str">
        <f t="shared" si="7"/>
        <v>0</v>
      </c>
      <c r="L41" s="119"/>
      <c r="M41" s="119"/>
      <c r="N41" s="119"/>
      <c r="O41" s="119"/>
      <c r="P41" s="119"/>
      <c r="Q41" s="119"/>
      <c r="R41" s="120"/>
    </row>
    <row r="42" spans="1:18" ht="41.45" customHeight="1">
      <c r="A42" s="19"/>
      <c r="B42" s="3"/>
      <c r="C42" s="22"/>
      <c r="D42" s="22"/>
      <c r="E42" s="25">
        <f t="shared" si="1"/>
        <v>2</v>
      </c>
      <c r="F42" s="25" t="str">
        <f t="shared" si="2"/>
        <v>0</v>
      </c>
      <c r="G42" s="25" t="str">
        <f t="shared" si="3"/>
        <v>0</v>
      </c>
      <c r="H42" s="25" t="str">
        <f t="shared" si="4"/>
        <v>0</v>
      </c>
      <c r="I42" s="25">
        <f t="shared" si="5"/>
        <v>2</v>
      </c>
      <c r="J42" s="25" t="str">
        <f t="shared" si="6"/>
        <v>0</v>
      </c>
      <c r="K42" s="25" t="str">
        <f t="shared" si="7"/>
        <v>0</v>
      </c>
      <c r="L42" s="119"/>
      <c r="M42" s="119"/>
      <c r="N42" s="119"/>
      <c r="O42" s="119"/>
      <c r="P42" s="119"/>
      <c r="Q42" s="119"/>
      <c r="R42" s="120"/>
    </row>
    <row r="43" spans="1:18" ht="41.45" customHeight="1">
      <c r="A43" s="19"/>
      <c r="B43" s="3"/>
      <c r="C43" s="22"/>
      <c r="D43" s="22"/>
      <c r="E43" s="25">
        <f t="shared" si="1"/>
        <v>1.5</v>
      </c>
      <c r="F43" s="25" t="str">
        <f t="shared" si="2"/>
        <v>0</v>
      </c>
      <c r="G43" s="25" t="str">
        <f t="shared" si="3"/>
        <v>0</v>
      </c>
      <c r="H43" s="25" t="str">
        <f t="shared" si="4"/>
        <v>0</v>
      </c>
      <c r="I43" s="25">
        <f t="shared" si="5"/>
        <v>1.5</v>
      </c>
      <c r="J43" s="25" t="str">
        <f t="shared" si="6"/>
        <v>0</v>
      </c>
      <c r="K43" s="25" t="str">
        <f t="shared" si="7"/>
        <v>0</v>
      </c>
      <c r="L43" s="119"/>
      <c r="M43" s="119"/>
      <c r="N43" s="119"/>
      <c r="O43" s="119"/>
      <c r="P43" s="119"/>
      <c r="Q43" s="119"/>
      <c r="R43" s="120"/>
    </row>
    <row r="44" spans="1:18" ht="41.45" customHeight="1">
      <c r="A44" s="19"/>
      <c r="B44" s="3"/>
      <c r="C44" s="22"/>
      <c r="D44" s="22"/>
      <c r="E44" s="25" t="str">
        <f t="shared" si="1"/>
        <v>0</v>
      </c>
      <c r="F44" s="25" t="str">
        <f t="shared" si="2"/>
        <v>0</v>
      </c>
      <c r="G44" s="25" t="str">
        <f t="shared" si="3"/>
        <v>0</v>
      </c>
      <c r="H44" s="25" t="str">
        <f t="shared" si="4"/>
        <v>0</v>
      </c>
      <c r="I44" s="25" t="str">
        <f t="shared" si="5"/>
        <v>0</v>
      </c>
      <c r="J44" s="25" t="str">
        <f t="shared" si="6"/>
        <v>0</v>
      </c>
      <c r="K44" s="25" t="str">
        <f t="shared" si="7"/>
        <v>0</v>
      </c>
      <c r="L44" s="119"/>
      <c r="M44" s="119"/>
      <c r="N44" s="119"/>
      <c r="O44" s="119"/>
      <c r="P44" s="119"/>
      <c r="Q44" s="119"/>
      <c r="R44" s="120"/>
    </row>
    <row r="45" spans="1:18" ht="41.45" customHeight="1">
      <c r="A45" s="19"/>
      <c r="B45" s="3"/>
      <c r="C45" s="22"/>
      <c r="D45" s="22"/>
      <c r="E45" s="25" t="str">
        <f t="shared" si="1"/>
        <v>0</v>
      </c>
      <c r="F45" s="25" t="str">
        <f t="shared" si="2"/>
        <v>0</v>
      </c>
      <c r="G45" s="25" t="str">
        <f t="shared" si="3"/>
        <v>0</v>
      </c>
      <c r="H45" s="25" t="str">
        <f t="shared" si="4"/>
        <v>0</v>
      </c>
      <c r="I45" s="25" t="str">
        <f t="shared" si="5"/>
        <v>0</v>
      </c>
      <c r="J45" s="25" t="str">
        <f t="shared" si="6"/>
        <v>0</v>
      </c>
      <c r="K45" s="25" t="str">
        <f t="shared" si="7"/>
        <v>0</v>
      </c>
      <c r="L45" s="119"/>
      <c r="M45" s="119"/>
      <c r="N45" s="119"/>
      <c r="O45" s="119"/>
      <c r="P45" s="119"/>
      <c r="Q45" s="119"/>
      <c r="R45" s="120"/>
    </row>
    <row r="46" spans="1:18" ht="41.45" customHeight="1">
      <c r="A46" s="19"/>
      <c r="B46" s="3"/>
      <c r="C46" s="22"/>
      <c r="D46" s="22"/>
      <c r="E46" s="25" t="str">
        <f t="shared" si="1"/>
        <v>0</v>
      </c>
      <c r="F46" s="25" t="str">
        <f t="shared" si="2"/>
        <v>0</v>
      </c>
      <c r="G46" s="25" t="str">
        <f t="shared" si="3"/>
        <v>0</v>
      </c>
      <c r="H46" s="25" t="str">
        <f t="shared" si="4"/>
        <v>0</v>
      </c>
      <c r="I46" s="25" t="str">
        <f t="shared" si="5"/>
        <v>0</v>
      </c>
      <c r="J46" s="25" t="str">
        <f t="shared" si="6"/>
        <v>0</v>
      </c>
      <c r="K46" s="25" t="str">
        <f t="shared" si="7"/>
        <v>0</v>
      </c>
      <c r="L46" s="119"/>
      <c r="M46" s="119"/>
      <c r="N46" s="119"/>
      <c r="O46" s="119"/>
      <c r="P46" s="119"/>
      <c r="Q46" s="119"/>
      <c r="R46" s="120"/>
    </row>
    <row r="47" spans="1:18" ht="41.45" customHeight="1">
      <c r="A47" s="19"/>
      <c r="B47" s="3"/>
      <c r="C47" s="22"/>
      <c r="D47" s="22"/>
      <c r="E47" s="25" t="str">
        <f t="shared" si="1"/>
        <v>0</v>
      </c>
      <c r="F47" s="25" t="str">
        <f t="shared" si="2"/>
        <v>0</v>
      </c>
      <c r="G47" s="25" t="str">
        <f t="shared" si="3"/>
        <v>0</v>
      </c>
      <c r="H47" s="25" t="str">
        <f t="shared" si="4"/>
        <v>0</v>
      </c>
      <c r="I47" s="25" t="str">
        <f t="shared" si="5"/>
        <v>0</v>
      </c>
      <c r="J47" s="25" t="str">
        <f t="shared" si="6"/>
        <v>0</v>
      </c>
      <c r="K47" s="25" t="str">
        <f t="shared" si="7"/>
        <v>0</v>
      </c>
      <c r="L47" s="119"/>
      <c r="M47" s="119"/>
      <c r="N47" s="119"/>
      <c r="O47" s="119"/>
      <c r="P47" s="119"/>
      <c r="Q47" s="119"/>
      <c r="R47" s="120"/>
    </row>
    <row r="48" spans="1:18" ht="41.45" customHeight="1">
      <c r="A48" s="19"/>
      <c r="B48" s="3"/>
      <c r="C48" s="22"/>
      <c r="D48" s="22"/>
      <c r="E48" s="25" t="str">
        <f t="shared" si="1"/>
        <v>0</v>
      </c>
      <c r="F48" s="25" t="str">
        <f t="shared" si="2"/>
        <v>0</v>
      </c>
      <c r="G48" s="25" t="str">
        <f t="shared" si="3"/>
        <v>0</v>
      </c>
      <c r="H48" s="25" t="str">
        <f t="shared" si="4"/>
        <v>0</v>
      </c>
      <c r="I48" s="25" t="str">
        <f t="shared" si="5"/>
        <v>0</v>
      </c>
      <c r="J48" s="25" t="str">
        <f t="shared" si="6"/>
        <v>0</v>
      </c>
      <c r="K48" s="25" t="str">
        <f t="shared" si="7"/>
        <v>0</v>
      </c>
      <c r="L48" s="119"/>
      <c r="M48" s="119"/>
      <c r="N48" s="119"/>
      <c r="O48" s="119"/>
      <c r="P48" s="119"/>
      <c r="Q48" s="119"/>
      <c r="R48" s="120"/>
    </row>
    <row r="49" spans="1:18" ht="41.45" customHeight="1">
      <c r="A49" s="19"/>
      <c r="B49" s="3"/>
      <c r="C49" s="22"/>
      <c r="D49" s="22"/>
      <c r="E49" s="25" t="str">
        <f t="shared" si="1"/>
        <v>0</v>
      </c>
      <c r="F49" s="25" t="str">
        <f t="shared" si="2"/>
        <v>0</v>
      </c>
      <c r="G49" s="25" t="str">
        <f t="shared" si="3"/>
        <v>0</v>
      </c>
      <c r="H49" s="25" t="str">
        <f t="shared" si="4"/>
        <v>0</v>
      </c>
      <c r="I49" s="25" t="str">
        <f t="shared" si="5"/>
        <v>0</v>
      </c>
      <c r="J49" s="25" t="str">
        <f t="shared" si="6"/>
        <v>0</v>
      </c>
      <c r="K49" s="25" t="str">
        <f t="shared" si="7"/>
        <v>0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19"/>
      <c r="B50" s="3"/>
      <c r="C50" s="22"/>
      <c r="D50" s="22"/>
      <c r="E50" s="25" t="str">
        <f t="shared" si="1"/>
        <v>0</v>
      </c>
      <c r="F50" s="25" t="str">
        <f t="shared" si="2"/>
        <v>0</v>
      </c>
      <c r="G50" s="25" t="str">
        <f t="shared" si="3"/>
        <v>0</v>
      </c>
      <c r="H50" s="25" t="str">
        <f t="shared" si="4"/>
        <v>0</v>
      </c>
      <c r="I50" s="25" t="str">
        <f t="shared" si="5"/>
        <v>0</v>
      </c>
      <c r="J50" s="25" t="str">
        <f t="shared" si="6"/>
        <v>0</v>
      </c>
      <c r="K50" s="25" t="str">
        <f t="shared" si="7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19"/>
      <c r="B51" s="3"/>
      <c r="C51" s="22"/>
      <c r="D51" s="22"/>
      <c r="E51" s="25" t="str">
        <f t="shared" si="1"/>
        <v>0</v>
      </c>
      <c r="F51" s="25" t="str">
        <f t="shared" si="2"/>
        <v>0</v>
      </c>
      <c r="G51" s="25" t="str">
        <f t="shared" si="3"/>
        <v>0</v>
      </c>
      <c r="H51" s="25" t="str">
        <f t="shared" si="4"/>
        <v>0</v>
      </c>
      <c r="I51" s="25" t="str">
        <f t="shared" si="5"/>
        <v>0</v>
      </c>
      <c r="J51" s="25" t="str">
        <f t="shared" si="6"/>
        <v>0</v>
      </c>
      <c r="K51" s="25" t="str">
        <f t="shared" si="7"/>
        <v>0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19"/>
      <c r="B52" s="3"/>
      <c r="C52" s="22"/>
      <c r="D52" s="22"/>
      <c r="E52" s="25" t="str">
        <f t="shared" si="1"/>
        <v>0</v>
      </c>
      <c r="F52" s="25" t="str">
        <f>IF(F23="X",(D23-C23),"0")</f>
        <v>0</v>
      </c>
      <c r="G52" s="25" t="str">
        <f t="shared" si="3"/>
        <v>0</v>
      </c>
      <c r="H52" s="25" t="str">
        <f t="shared" si="4"/>
        <v>0</v>
      </c>
      <c r="I52" s="25" t="str">
        <f t="shared" si="5"/>
        <v>0</v>
      </c>
      <c r="J52" s="25" t="str">
        <f t="shared" si="6"/>
        <v>0</v>
      </c>
      <c r="K52" s="25" t="str">
        <f t="shared" si="7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 t="str">
        <f t="shared" si="1"/>
        <v>0</v>
      </c>
      <c r="F53" s="25" t="str">
        <f t="shared" si="2"/>
        <v>0</v>
      </c>
      <c r="G53" s="25" t="str">
        <f t="shared" si="3"/>
        <v>0</v>
      </c>
      <c r="H53" s="25" t="str">
        <f t="shared" si="4"/>
        <v>0</v>
      </c>
      <c r="I53" s="25" t="str">
        <f t="shared" si="5"/>
        <v>0</v>
      </c>
      <c r="J53" s="25" t="str">
        <f t="shared" si="6"/>
        <v>0</v>
      </c>
      <c r="K53" s="25" t="str">
        <f t="shared" si="7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5" t="str">
        <f t="shared" si="1"/>
        <v>0</v>
      </c>
      <c r="F54" s="25" t="str">
        <f t="shared" si="2"/>
        <v>0</v>
      </c>
      <c r="G54" s="25" t="str">
        <f t="shared" si="3"/>
        <v>0</v>
      </c>
      <c r="H54" s="25" t="str">
        <f t="shared" si="4"/>
        <v>0</v>
      </c>
      <c r="I54" s="25" t="str">
        <f t="shared" si="5"/>
        <v>0</v>
      </c>
      <c r="J54" s="25" t="str">
        <f t="shared" si="6"/>
        <v>0</v>
      </c>
      <c r="K54" s="25" t="str">
        <f t="shared" si="7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5" t="str">
        <f t="shared" si="1"/>
        <v>0</v>
      </c>
      <c r="F55" s="25" t="str">
        <f t="shared" si="2"/>
        <v>0</v>
      </c>
      <c r="G55" s="25" t="str">
        <f t="shared" si="3"/>
        <v>0</v>
      </c>
      <c r="H55" s="25" t="str">
        <f t="shared" si="4"/>
        <v>0</v>
      </c>
      <c r="I55" s="25" t="str">
        <f t="shared" si="5"/>
        <v>0</v>
      </c>
      <c r="J55" s="25" t="str">
        <f t="shared" si="6"/>
        <v>0</v>
      </c>
      <c r="K55" s="25" t="str">
        <f t="shared" si="7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5" t="str">
        <f t="shared" si="1"/>
        <v>0</v>
      </c>
      <c r="F56" s="25" t="str">
        <f t="shared" si="2"/>
        <v>0</v>
      </c>
      <c r="G56" s="25" t="str">
        <f t="shared" si="3"/>
        <v>0</v>
      </c>
      <c r="H56" s="25" t="str">
        <f t="shared" si="4"/>
        <v>0</v>
      </c>
      <c r="I56" s="25" t="str">
        <f t="shared" si="5"/>
        <v>0</v>
      </c>
      <c r="J56" s="25" t="str">
        <f t="shared" si="6"/>
        <v>0</v>
      </c>
      <c r="K56" s="25" t="str">
        <f t="shared" si="7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5" t="str">
        <f t="shared" si="1"/>
        <v>0</v>
      </c>
      <c r="F57" s="25" t="str">
        <f t="shared" si="2"/>
        <v>0</v>
      </c>
      <c r="G57" s="25" t="str">
        <f t="shared" si="3"/>
        <v>0</v>
      </c>
      <c r="H57" s="25" t="str">
        <f t="shared" si="4"/>
        <v>0</v>
      </c>
      <c r="I57" s="25" t="str">
        <f t="shared" si="5"/>
        <v>0</v>
      </c>
      <c r="J57" s="25" t="str">
        <f t="shared" si="6"/>
        <v>0</v>
      </c>
      <c r="K57" s="25" t="str">
        <f t="shared" si="7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5" t="str">
        <f t="shared" si="1"/>
        <v>0</v>
      </c>
      <c r="F58" s="25" t="str">
        <f t="shared" si="2"/>
        <v>0</v>
      </c>
      <c r="G58" s="25" t="str">
        <f t="shared" si="3"/>
        <v>0</v>
      </c>
      <c r="H58" s="25" t="str">
        <f t="shared" si="4"/>
        <v>0</v>
      </c>
      <c r="I58" s="25" t="str">
        <f t="shared" si="5"/>
        <v>0</v>
      </c>
      <c r="J58" s="25" t="str">
        <f t="shared" si="6"/>
        <v>0</v>
      </c>
      <c r="K58" s="25" t="str">
        <f t="shared" si="7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5" t="str">
        <f t="shared" si="1"/>
        <v>0</v>
      </c>
      <c r="F59" s="25" t="str">
        <f t="shared" si="2"/>
        <v>0</v>
      </c>
      <c r="G59" s="25" t="str">
        <f t="shared" si="3"/>
        <v>0</v>
      </c>
      <c r="H59" s="25" t="str">
        <f t="shared" si="4"/>
        <v>0</v>
      </c>
      <c r="I59" s="25" t="str">
        <f t="shared" si="5"/>
        <v>0</v>
      </c>
      <c r="J59" s="25" t="str">
        <f t="shared" si="6"/>
        <v>0</v>
      </c>
      <c r="K59" s="25" t="str">
        <f t="shared" si="7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 t="str">
        <f t="shared" si="1"/>
        <v>0</v>
      </c>
      <c r="F60" s="25" t="str">
        <f t="shared" si="2"/>
        <v>0</v>
      </c>
      <c r="G60" s="25" t="str">
        <f t="shared" si="3"/>
        <v>0</v>
      </c>
      <c r="H60" s="25" t="str">
        <f t="shared" si="4"/>
        <v>0</v>
      </c>
      <c r="I60" s="25" t="str">
        <f t="shared" si="5"/>
        <v>0</v>
      </c>
      <c r="J60" s="25" t="str">
        <f t="shared" si="6"/>
        <v>0</v>
      </c>
      <c r="K60" s="25" t="str">
        <f t="shared" si="7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 t="str">
        <f t="shared" si="1"/>
        <v>0</v>
      </c>
      <c r="F61" s="25" t="str">
        <f t="shared" si="2"/>
        <v>0</v>
      </c>
      <c r="G61" s="25" t="str">
        <f t="shared" si="3"/>
        <v>0</v>
      </c>
      <c r="H61" s="25" t="str">
        <f t="shared" si="4"/>
        <v>0</v>
      </c>
      <c r="I61" s="25" t="str">
        <f t="shared" si="5"/>
        <v>0</v>
      </c>
      <c r="J61" s="25" t="str">
        <f t="shared" si="6"/>
        <v>0</v>
      </c>
      <c r="K61" s="25" t="str">
        <f t="shared" si="7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2">
        <f>SUM(E36:E61)</f>
        <v>15.5</v>
      </c>
      <c r="F62" s="22">
        <f t="shared" ref="F62:K62" si="8">SUM(F36:F61)</f>
        <v>0</v>
      </c>
      <c r="G62" s="22">
        <f t="shared" si="8"/>
        <v>0</v>
      </c>
      <c r="H62" s="22">
        <f t="shared" si="8"/>
        <v>0</v>
      </c>
      <c r="I62" s="22">
        <f t="shared" si="8"/>
        <v>15.5</v>
      </c>
      <c r="J62" s="22">
        <f t="shared" si="8"/>
        <v>0</v>
      </c>
      <c r="K62" s="22">
        <f t="shared" si="8"/>
        <v>0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19"/>
      <c r="M67" s="119"/>
      <c r="N67" s="119"/>
      <c r="O67" s="119"/>
      <c r="P67" s="119"/>
      <c r="Q67" s="119"/>
      <c r="R67" s="120"/>
    </row>
    <row r="68" spans="1:18" ht="41.45" customHeight="1" thickBot="1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45"/>
      <c r="M68" s="145"/>
      <c r="N68" s="145"/>
      <c r="O68" s="145"/>
      <c r="P68" s="145"/>
      <c r="Q68" s="145"/>
      <c r="R68" s="146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1" orientation="portrait" r:id="rId1"/>
  <colBreaks count="1" manualBreakCount="1">
    <brk id="18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R68"/>
  <sheetViews>
    <sheetView view="pageBreakPreview" zoomScale="40" zoomScaleNormal="55" zoomScaleSheetLayoutView="40" workbookViewId="0">
      <selection activeCell="E62" sqref="E62:G62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354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TT!C11</f>
        <v>RODOVIA TO-402 - TRECHO DIVISA TO-MA (VILA JURANDIR BELIZARIO) - ENTR. TO-201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81</v>
      </c>
      <c r="B7" s="21" t="s">
        <v>18</v>
      </c>
      <c r="C7" s="22">
        <v>0</v>
      </c>
      <c r="D7" s="22">
        <v>1</v>
      </c>
      <c r="E7" s="21" t="s">
        <v>19</v>
      </c>
      <c r="F7" s="21"/>
      <c r="G7" s="21"/>
      <c r="H7" s="21"/>
      <c r="I7" s="21"/>
      <c r="J7" s="21" t="s">
        <v>19</v>
      </c>
      <c r="K7" s="21"/>
      <c r="L7" s="116"/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1</v>
      </c>
      <c r="D8" s="22">
        <v>2</v>
      </c>
      <c r="E8" s="21" t="s">
        <v>19</v>
      </c>
      <c r="F8" s="21"/>
      <c r="G8" s="21"/>
      <c r="H8" s="21"/>
      <c r="I8" s="21"/>
      <c r="J8" s="21" t="s">
        <v>19</v>
      </c>
      <c r="K8" s="21"/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ref="C9:C21" si="0">D8</f>
        <v>2</v>
      </c>
      <c r="D9" s="22">
        <v>3</v>
      </c>
      <c r="E9" s="21" t="s">
        <v>19</v>
      </c>
      <c r="F9" s="21"/>
      <c r="G9" s="21"/>
      <c r="H9" s="21"/>
      <c r="I9" s="21"/>
      <c r="J9" s="21" t="s">
        <v>19</v>
      </c>
      <c r="K9" s="21"/>
      <c r="L9" s="116"/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3</v>
      </c>
      <c r="D10" s="22">
        <v>4</v>
      </c>
      <c r="E10" s="21"/>
      <c r="F10" s="21" t="s">
        <v>19</v>
      </c>
      <c r="G10" s="21"/>
      <c r="H10" s="21"/>
      <c r="I10" s="21"/>
      <c r="J10" s="21" t="s">
        <v>19</v>
      </c>
      <c r="K10" s="21"/>
      <c r="L10" s="116"/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4</v>
      </c>
      <c r="D11" s="22">
        <v>5</v>
      </c>
      <c r="E11" s="21"/>
      <c r="F11" s="21" t="s">
        <v>19</v>
      </c>
      <c r="G11" s="21"/>
      <c r="H11" s="21"/>
      <c r="I11" s="21"/>
      <c r="J11" s="21" t="s">
        <v>19</v>
      </c>
      <c r="K11" s="21"/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5</v>
      </c>
      <c r="D12" s="22">
        <v>6</v>
      </c>
      <c r="E12" s="21"/>
      <c r="F12" s="21" t="s">
        <v>19</v>
      </c>
      <c r="G12" s="21"/>
      <c r="H12" s="21"/>
      <c r="I12" s="21"/>
      <c r="J12" s="21" t="s">
        <v>19</v>
      </c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6</v>
      </c>
      <c r="D13" s="22">
        <v>7</v>
      </c>
      <c r="E13" s="21"/>
      <c r="F13" s="21" t="s">
        <v>19</v>
      </c>
      <c r="G13" s="21"/>
      <c r="H13" s="21"/>
      <c r="I13" s="21"/>
      <c r="J13" s="21" t="s">
        <v>19</v>
      </c>
      <c r="K13" s="21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7</v>
      </c>
      <c r="D14" s="22">
        <v>8</v>
      </c>
      <c r="E14" s="21"/>
      <c r="F14" s="21" t="s">
        <v>19</v>
      </c>
      <c r="G14" s="21"/>
      <c r="H14" s="21"/>
      <c r="I14" s="21"/>
      <c r="J14" s="21" t="s">
        <v>19</v>
      </c>
      <c r="K14" s="21"/>
      <c r="L14" s="116"/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8</v>
      </c>
      <c r="D15" s="22">
        <v>9</v>
      </c>
      <c r="E15" s="21"/>
      <c r="F15" s="21" t="s">
        <v>19</v>
      </c>
      <c r="G15" s="21"/>
      <c r="H15" s="21"/>
      <c r="I15" s="21"/>
      <c r="J15" s="21" t="s">
        <v>19</v>
      </c>
      <c r="K15" s="21"/>
      <c r="L15" s="116"/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22">
        <f t="shared" si="0"/>
        <v>9</v>
      </c>
      <c r="D16" s="22">
        <v>10</v>
      </c>
      <c r="E16" s="21"/>
      <c r="F16" s="21" t="s">
        <v>19</v>
      </c>
      <c r="G16" s="21"/>
      <c r="H16" s="21"/>
      <c r="I16" s="21"/>
      <c r="J16" s="21" t="s">
        <v>19</v>
      </c>
      <c r="K16" s="21"/>
      <c r="L16" s="116"/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si="0"/>
        <v>10</v>
      </c>
      <c r="D17" s="22">
        <v>11</v>
      </c>
      <c r="E17" s="21"/>
      <c r="F17" s="21" t="s">
        <v>19</v>
      </c>
      <c r="G17" s="21"/>
      <c r="H17" s="21"/>
      <c r="I17" s="21"/>
      <c r="J17" s="21" t="s">
        <v>19</v>
      </c>
      <c r="K17" s="21"/>
      <c r="L17" s="116"/>
      <c r="M17" s="117"/>
      <c r="N17" s="117"/>
      <c r="O17" s="117"/>
      <c r="P17" s="117"/>
      <c r="Q17" s="117"/>
      <c r="R17" s="118"/>
    </row>
    <row r="18" spans="1:18" ht="41.45" customHeight="1">
      <c r="A18" s="19"/>
      <c r="B18" s="3"/>
      <c r="C18" s="22">
        <f t="shared" si="0"/>
        <v>11</v>
      </c>
      <c r="D18" s="22">
        <v>12</v>
      </c>
      <c r="E18" s="21"/>
      <c r="F18" s="21" t="s">
        <v>19</v>
      </c>
      <c r="G18" s="21"/>
      <c r="H18" s="21"/>
      <c r="I18" s="21"/>
      <c r="J18" s="21" t="s">
        <v>19</v>
      </c>
      <c r="K18" s="21"/>
      <c r="L18" s="116"/>
      <c r="M18" s="117"/>
      <c r="N18" s="117"/>
      <c r="O18" s="117"/>
      <c r="P18" s="117"/>
      <c r="Q18" s="117"/>
      <c r="R18" s="118"/>
    </row>
    <row r="19" spans="1:18" ht="41.45" customHeight="1">
      <c r="A19" s="19"/>
      <c r="B19" s="3"/>
      <c r="C19" s="22">
        <f t="shared" si="0"/>
        <v>12</v>
      </c>
      <c r="D19" s="22">
        <v>13</v>
      </c>
      <c r="E19" s="21"/>
      <c r="F19" s="21" t="s">
        <v>19</v>
      </c>
      <c r="G19" s="21"/>
      <c r="H19" s="21"/>
      <c r="I19" s="21"/>
      <c r="J19" s="21" t="s">
        <v>19</v>
      </c>
      <c r="K19" s="21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19"/>
      <c r="B20" s="3"/>
      <c r="C20" s="22">
        <f t="shared" si="0"/>
        <v>13</v>
      </c>
      <c r="D20" s="22">
        <v>14</v>
      </c>
      <c r="E20" s="21"/>
      <c r="F20" s="21" t="s">
        <v>19</v>
      </c>
      <c r="G20" s="21"/>
      <c r="H20" s="21"/>
      <c r="I20" s="21"/>
      <c r="J20" s="21" t="s">
        <v>19</v>
      </c>
      <c r="K20" s="21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19"/>
      <c r="B21" s="3"/>
      <c r="C21" s="22">
        <f t="shared" si="0"/>
        <v>14</v>
      </c>
      <c r="D21" s="22">
        <v>14.27</v>
      </c>
      <c r="E21" s="21"/>
      <c r="F21" s="21" t="s">
        <v>19</v>
      </c>
      <c r="G21" s="21"/>
      <c r="H21" s="21"/>
      <c r="I21" s="21"/>
      <c r="J21" s="21" t="s">
        <v>19</v>
      </c>
      <c r="K21" s="21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3"/>
      <c r="B36" s="24"/>
      <c r="C36" s="25"/>
      <c r="D36" s="25"/>
      <c r="E36" s="25">
        <f>IF(E7="X",(D7-C7),"0")</f>
        <v>1</v>
      </c>
      <c r="F36" s="25" t="str">
        <f>IF(F7="X",(D7-C7),"0")</f>
        <v>0</v>
      </c>
      <c r="G36" s="25" t="str">
        <f>IF(G7="X",(D7-C7),"0")</f>
        <v>0</v>
      </c>
      <c r="H36" s="25" t="str">
        <f>IF(H7="X",(D7-C7),"0")</f>
        <v>0</v>
      </c>
      <c r="I36" s="25" t="str">
        <f>IF(I7="X",(D7-C7),"0")</f>
        <v>0</v>
      </c>
      <c r="J36" s="25">
        <f>IF(J7="X",(D7-C7),"0")</f>
        <v>1</v>
      </c>
      <c r="K36" s="25" t="str">
        <f>IF(K7="X",(D7-C7),"0")</f>
        <v>0</v>
      </c>
      <c r="L36" s="147"/>
      <c r="M36" s="148"/>
      <c r="N36" s="148"/>
      <c r="O36" s="148"/>
      <c r="P36" s="148"/>
      <c r="Q36" s="148"/>
      <c r="R36" s="149"/>
    </row>
    <row r="37" spans="1:18" ht="41.45" customHeight="1">
      <c r="A37" s="19"/>
      <c r="B37" s="3"/>
      <c r="C37" s="22"/>
      <c r="D37" s="22"/>
      <c r="E37" s="25">
        <f t="shared" ref="E37:E61" si="1">IF(E8="X",(D8-C8),"0")</f>
        <v>1</v>
      </c>
      <c r="F37" s="25" t="str">
        <f t="shared" ref="F37:F61" si="2">IF(F8="X",(D8-C8),"0")</f>
        <v>0</v>
      </c>
      <c r="G37" s="25" t="str">
        <f t="shared" ref="G37:G61" si="3">IF(G8="X",(D8-C8),"0")</f>
        <v>0</v>
      </c>
      <c r="H37" s="25" t="str">
        <f t="shared" ref="H37:H61" si="4">IF(H8="X",(D8-C8),"0")</f>
        <v>0</v>
      </c>
      <c r="I37" s="25" t="str">
        <f t="shared" ref="I37:I61" si="5">IF(I8="X",(D8-C8),"0")</f>
        <v>0</v>
      </c>
      <c r="J37" s="25">
        <f t="shared" ref="J37:J61" si="6">IF(J8="X",(D8-C8),"0")</f>
        <v>1</v>
      </c>
      <c r="K37" s="25" t="str">
        <f t="shared" ref="K37:K61" si="7">IF(K8="X",(D8-C8),"0")</f>
        <v>0</v>
      </c>
      <c r="L37" s="119"/>
      <c r="M37" s="119"/>
      <c r="N37" s="119"/>
      <c r="O37" s="119"/>
      <c r="P37" s="119"/>
      <c r="Q37" s="119"/>
      <c r="R37" s="120"/>
    </row>
    <row r="38" spans="1:18" ht="41.45" customHeight="1">
      <c r="A38" s="19"/>
      <c r="B38" s="3"/>
      <c r="C38" s="22"/>
      <c r="D38" s="22"/>
      <c r="E38" s="25">
        <f t="shared" si="1"/>
        <v>1</v>
      </c>
      <c r="F38" s="25" t="str">
        <f t="shared" si="2"/>
        <v>0</v>
      </c>
      <c r="G38" s="25" t="str">
        <f t="shared" si="3"/>
        <v>0</v>
      </c>
      <c r="H38" s="25" t="str">
        <f t="shared" si="4"/>
        <v>0</v>
      </c>
      <c r="I38" s="25" t="str">
        <f t="shared" si="5"/>
        <v>0</v>
      </c>
      <c r="J38" s="25">
        <f t="shared" si="6"/>
        <v>1</v>
      </c>
      <c r="K38" s="25" t="str">
        <f t="shared" si="7"/>
        <v>0</v>
      </c>
      <c r="L38" s="119"/>
      <c r="M38" s="119"/>
      <c r="N38" s="119"/>
      <c r="O38" s="119"/>
      <c r="P38" s="119"/>
      <c r="Q38" s="119"/>
      <c r="R38" s="120"/>
    </row>
    <row r="39" spans="1:18" ht="41.45" customHeight="1">
      <c r="A39" s="19"/>
      <c r="B39" s="3"/>
      <c r="C39" s="22"/>
      <c r="D39" s="22"/>
      <c r="E39" s="25" t="str">
        <f t="shared" si="1"/>
        <v>0</v>
      </c>
      <c r="F39" s="25">
        <f t="shared" si="2"/>
        <v>1</v>
      </c>
      <c r="G39" s="25" t="str">
        <f t="shared" si="3"/>
        <v>0</v>
      </c>
      <c r="H39" s="25" t="str">
        <f t="shared" si="4"/>
        <v>0</v>
      </c>
      <c r="I39" s="25" t="str">
        <f t="shared" si="5"/>
        <v>0</v>
      </c>
      <c r="J39" s="25">
        <f t="shared" si="6"/>
        <v>1</v>
      </c>
      <c r="K39" s="25" t="str">
        <f t="shared" si="7"/>
        <v>0</v>
      </c>
      <c r="L39" s="119"/>
      <c r="M39" s="119"/>
      <c r="N39" s="119"/>
      <c r="O39" s="119"/>
      <c r="P39" s="119"/>
      <c r="Q39" s="119"/>
      <c r="R39" s="120"/>
    </row>
    <row r="40" spans="1:18" ht="41.45" customHeight="1">
      <c r="A40" s="19"/>
      <c r="B40" s="3"/>
      <c r="C40" s="22"/>
      <c r="D40" s="22"/>
      <c r="E40" s="25" t="str">
        <f t="shared" si="1"/>
        <v>0</v>
      </c>
      <c r="F40" s="25">
        <f t="shared" si="2"/>
        <v>1</v>
      </c>
      <c r="G40" s="25" t="str">
        <f t="shared" si="3"/>
        <v>0</v>
      </c>
      <c r="H40" s="25" t="str">
        <f t="shared" si="4"/>
        <v>0</v>
      </c>
      <c r="I40" s="25" t="str">
        <f t="shared" si="5"/>
        <v>0</v>
      </c>
      <c r="J40" s="25">
        <f t="shared" si="6"/>
        <v>1</v>
      </c>
      <c r="K40" s="25" t="str">
        <f t="shared" si="7"/>
        <v>0</v>
      </c>
      <c r="L40" s="119"/>
      <c r="M40" s="119"/>
      <c r="N40" s="119"/>
      <c r="O40" s="119"/>
      <c r="P40" s="119"/>
      <c r="Q40" s="119"/>
      <c r="R40" s="120"/>
    </row>
    <row r="41" spans="1:18" ht="41.45" customHeight="1">
      <c r="A41" s="19"/>
      <c r="B41" s="3"/>
      <c r="C41" s="22"/>
      <c r="D41" s="22"/>
      <c r="E41" s="25" t="str">
        <f t="shared" si="1"/>
        <v>0</v>
      </c>
      <c r="F41" s="25">
        <f t="shared" si="2"/>
        <v>1</v>
      </c>
      <c r="G41" s="25" t="str">
        <f t="shared" si="3"/>
        <v>0</v>
      </c>
      <c r="H41" s="25" t="str">
        <f t="shared" si="4"/>
        <v>0</v>
      </c>
      <c r="I41" s="25" t="str">
        <f t="shared" si="5"/>
        <v>0</v>
      </c>
      <c r="J41" s="25">
        <f t="shared" si="6"/>
        <v>1</v>
      </c>
      <c r="K41" s="25" t="str">
        <f t="shared" si="7"/>
        <v>0</v>
      </c>
      <c r="L41" s="119"/>
      <c r="M41" s="119"/>
      <c r="N41" s="119"/>
      <c r="O41" s="119"/>
      <c r="P41" s="119"/>
      <c r="Q41" s="119"/>
      <c r="R41" s="120"/>
    </row>
    <row r="42" spans="1:18" ht="41.45" customHeight="1">
      <c r="A42" s="19"/>
      <c r="B42" s="3"/>
      <c r="C42" s="22"/>
      <c r="D42" s="22"/>
      <c r="E42" s="25" t="str">
        <f t="shared" si="1"/>
        <v>0</v>
      </c>
      <c r="F42" s="25">
        <f t="shared" si="2"/>
        <v>1</v>
      </c>
      <c r="G42" s="25" t="str">
        <f t="shared" si="3"/>
        <v>0</v>
      </c>
      <c r="H42" s="25" t="str">
        <f t="shared" si="4"/>
        <v>0</v>
      </c>
      <c r="I42" s="25" t="str">
        <f t="shared" si="5"/>
        <v>0</v>
      </c>
      <c r="J42" s="25">
        <f t="shared" si="6"/>
        <v>1</v>
      </c>
      <c r="K42" s="25" t="str">
        <f t="shared" si="7"/>
        <v>0</v>
      </c>
      <c r="L42" s="119"/>
      <c r="M42" s="119"/>
      <c r="N42" s="119"/>
      <c r="O42" s="119"/>
      <c r="P42" s="119"/>
      <c r="Q42" s="119"/>
      <c r="R42" s="120"/>
    </row>
    <row r="43" spans="1:18" ht="41.45" customHeight="1">
      <c r="A43" s="19"/>
      <c r="B43" s="3"/>
      <c r="C43" s="22"/>
      <c r="D43" s="22"/>
      <c r="E43" s="25" t="str">
        <f t="shared" si="1"/>
        <v>0</v>
      </c>
      <c r="F43" s="25">
        <f t="shared" si="2"/>
        <v>1</v>
      </c>
      <c r="G43" s="25" t="str">
        <f t="shared" si="3"/>
        <v>0</v>
      </c>
      <c r="H43" s="25" t="str">
        <f t="shared" si="4"/>
        <v>0</v>
      </c>
      <c r="I43" s="25" t="str">
        <f t="shared" si="5"/>
        <v>0</v>
      </c>
      <c r="J43" s="25">
        <f t="shared" si="6"/>
        <v>1</v>
      </c>
      <c r="K43" s="25" t="str">
        <f t="shared" si="7"/>
        <v>0</v>
      </c>
      <c r="L43" s="119"/>
      <c r="M43" s="119"/>
      <c r="N43" s="119"/>
      <c r="O43" s="119"/>
      <c r="P43" s="119"/>
      <c r="Q43" s="119"/>
      <c r="R43" s="120"/>
    </row>
    <row r="44" spans="1:18" ht="41.45" customHeight="1">
      <c r="A44" s="19"/>
      <c r="B44" s="3"/>
      <c r="C44" s="22"/>
      <c r="D44" s="22"/>
      <c r="E44" s="25" t="str">
        <f t="shared" si="1"/>
        <v>0</v>
      </c>
      <c r="F44" s="25">
        <f t="shared" si="2"/>
        <v>1</v>
      </c>
      <c r="G44" s="25" t="str">
        <f t="shared" si="3"/>
        <v>0</v>
      </c>
      <c r="H44" s="25" t="str">
        <f t="shared" si="4"/>
        <v>0</v>
      </c>
      <c r="I44" s="25" t="str">
        <f t="shared" si="5"/>
        <v>0</v>
      </c>
      <c r="J44" s="25">
        <f t="shared" si="6"/>
        <v>1</v>
      </c>
      <c r="K44" s="25" t="str">
        <f t="shared" si="7"/>
        <v>0</v>
      </c>
      <c r="L44" s="119"/>
      <c r="M44" s="119"/>
      <c r="N44" s="119"/>
      <c r="O44" s="119"/>
      <c r="P44" s="119"/>
      <c r="Q44" s="119"/>
      <c r="R44" s="120"/>
    </row>
    <row r="45" spans="1:18" ht="41.45" customHeight="1">
      <c r="A45" s="19"/>
      <c r="B45" s="3"/>
      <c r="C45" s="22"/>
      <c r="D45" s="22"/>
      <c r="E45" s="25" t="str">
        <f t="shared" si="1"/>
        <v>0</v>
      </c>
      <c r="F45" s="25">
        <f t="shared" si="2"/>
        <v>1</v>
      </c>
      <c r="G45" s="25" t="str">
        <f t="shared" si="3"/>
        <v>0</v>
      </c>
      <c r="H45" s="25" t="str">
        <f t="shared" si="4"/>
        <v>0</v>
      </c>
      <c r="I45" s="25" t="str">
        <f t="shared" si="5"/>
        <v>0</v>
      </c>
      <c r="J45" s="25">
        <f t="shared" si="6"/>
        <v>1</v>
      </c>
      <c r="K45" s="25" t="str">
        <f t="shared" si="7"/>
        <v>0</v>
      </c>
      <c r="L45" s="119"/>
      <c r="M45" s="119"/>
      <c r="N45" s="119"/>
      <c r="O45" s="119"/>
      <c r="P45" s="119"/>
      <c r="Q45" s="119"/>
      <c r="R45" s="120"/>
    </row>
    <row r="46" spans="1:18" ht="41.45" customHeight="1">
      <c r="A46" s="19"/>
      <c r="B46" s="3"/>
      <c r="C46" s="22"/>
      <c r="D46" s="22"/>
      <c r="E46" s="25" t="str">
        <f t="shared" si="1"/>
        <v>0</v>
      </c>
      <c r="F46" s="25">
        <f t="shared" si="2"/>
        <v>1</v>
      </c>
      <c r="G46" s="25" t="str">
        <f t="shared" si="3"/>
        <v>0</v>
      </c>
      <c r="H46" s="25" t="str">
        <f t="shared" si="4"/>
        <v>0</v>
      </c>
      <c r="I46" s="25" t="str">
        <f t="shared" si="5"/>
        <v>0</v>
      </c>
      <c r="J46" s="25">
        <f t="shared" si="6"/>
        <v>1</v>
      </c>
      <c r="K46" s="25" t="str">
        <f t="shared" si="7"/>
        <v>0</v>
      </c>
      <c r="L46" s="119"/>
      <c r="M46" s="119"/>
      <c r="N46" s="119"/>
      <c r="O46" s="119"/>
      <c r="P46" s="119"/>
      <c r="Q46" s="119"/>
      <c r="R46" s="120"/>
    </row>
    <row r="47" spans="1:18" ht="41.45" customHeight="1">
      <c r="A47" s="19"/>
      <c r="B47" s="3"/>
      <c r="C47" s="22"/>
      <c r="D47" s="22"/>
      <c r="E47" s="25" t="str">
        <f t="shared" si="1"/>
        <v>0</v>
      </c>
      <c r="F47" s="25">
        <f t="shared" si="2"/>
        <v>1</v>
      </c>
      <c r="G47" s="25" t="str">
        <f t="shared" si="3"/>
        <v>0</v>
      </c>
      <c r="H47" s="25" t="str">
        <f t="shared" si="4"/>
        <v>0</v>
      </c>
      <c r="I47" s="25" t="str">
        <f t="shared" si="5"/>
        <v>0</v>
      </c>
      <c r="J47" s="25">
        <f t="shared" si="6"/>
        <v>1</v>
      </c>
      <c r="K47" s="25" t="str">
        <f t="shared" si="7"/>
        <v>0</v>
      </c>
      <c r="L47" s="119"/>
      <c r="M47" s="119"/>
      <c r="N47" s="119"/>
      <c r="O47" s="119"/>
      <c r="P47" s="119"/>
      <c r="Q47" s="119"/>
      <c r="R47" s="120"/>
    </row>
    <row r="48" spans="1:18" ht="41.45" customHeight="1">
      <c r="A48" s="19"/>
      <c r="B48" s="3"/>
      <c r="C48" s="22"/>
      <c r="D48" s="22"/>
      <c r="E48" s="25" t="str">
        <f t="shared" si="1"/>
        <v>0</v>
      </c>
      <c r="F48" s="25">
        <f t="shared" si="2"/>
        <v>1</v>
      </c>
      <c r="G48" s="25" t="str">
        <f t="shared" si="3"/>
        <v>0</v>
      </c>
      <c r="H48" s="25" t="str">
        <f t="shared" si="4"/>
        <v>0</v>
      </c>
      <c r="I48" s="25" t="str">
        <f t="shared" si="5"/>
        <v>0</v>
      </c>
      <c r="J48" s="25">
        <f t="shared" si="6"/>
        <v>1</v>
      </c>
      <c r="K48" s="25" t="str">
        <f t="shared" si="7"/>
        <v>0</v>
      </c>
      <c r="L48" s="119"/>
      <c r="M48" s="119"/>
      <c r="N48" s="119"/>
      <c r="O48" s="119"/>
      <c r="P48" s="119"/>
      <c r="Q48" s="119"/>
      <c r="R48" s="120"/>
    </row>
    <row r="49" spans="1:18" ht="41.45" customHeight="1">
      <c r="A49" s="19"/>
      <c r="B49" s="3"/>
      <c r="C49" s="22"/>
      <c r="D49" s="22"/>
      <c r="E49" s="25" t="str">
        <f t="shared" si="1"/>
        <v>0</v>
      </c>
      <c r="F49" s="25">
        <f t="shared" si="2"/>
        <v>1</v>
      </c>
      <c r="G49" s="25" t="str">
        <f t="shared" si="3"/>
        <v>0</v>
      </c>
      <c r="H49" s="25" t="str">
        <f t="shared" si="4"/>
        <v>0</v>
      </c>
      <c r="I49" s="25" t="str">
        <f t="shared" si="5"/>
        <v>0</v>
      </c>
      <c r="J49" s="25">
        <f t="shared" si="6"/>
        <v>1</v>
      </c>
      <c r="K49" s="25" t="str">
        <f t="shared" si="7"/>
        <v>0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19"/>
      <c r="B50" s="3"/>
      <c r="C50" s="22"/>
      <c r="D50" s="22"/>
      <c r="E50" s="25" t="str">
        <f t="shared" si="1"/>
        <v>0</v>
      </c>
      <c r="F50" s="25">
        <f>IF(F21="X",(D21-C21),"0")</f>
        <v>0.26999999999999957</v>
      </c>
      <c r="G50" s="25" t="str">
        <f t="shared" si="3"/>
        <v>0</v>
      </c>
      <c r="H50" s="25" t="str">
        <f t="shared" si="4"/>
        <v>0</v>
      </c>
      <c r="I50" s="25" t="str">
        <f t="shared" si="5"/>
        <v>0</v>
      </c>
      <c r="J50" s="25">
        <f t="shared" si="6"/>
        <v>0.26999999999999957</v>
      </c>
      <c r="K50" s="25" t="str">
        <f t="shared" si="7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19"/>
      <c r="B51" s="3"/>
      <c r="C51" s="22"/>
      <c r="D51" s="22"/>
      <c r="E51" s="25" t="str">
        <f t="shared" si="1"/>
        <v>0</v>
      </c>
      <c r="F51" s="25" t="str">
        <f t="shared" si="2"/>
        <v>0</v>
      </c>
      <c r="G51" s="25" t="str">
        <f t="shared" si="3"/>
        <v>0</v>
      </c>
      <c r="H51" s="25" t="str">
        <f t="shared" si="4"/>
        <v>0</v>
      </c>
      <c r="I51" s="25" t="str">
        <f t="shared" si="5"/>
        <v>0</v>
      </c>
      <c r="J51" s="25" t="str">
        <f t="shared" si="6"/>
        <v>0</v>
      </c>
      <c r="K51" s="25" t="str">
        <f t="shared" si="7"/>
        <v>0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19"/>
      <c r="B52" s="3"/>
      <c r="C52" s="22"/>
      <c r="D52" s="22"/>
      <c r="E52" s="25" t="str">
        <f t="shared" si="1"/>
        <v>0</v>
      </c>
      <c r="F52" s="25" t="str">
        <f t="shared" si="2"/>
        <v>0</v>
      </c>
      <c r="G52" s="25" t="str">
        <f t="shared" si="3"/>
        <v>0</v>
      </c>
      <c r="H52" s="25" t="str">
        <f t="shared" si="4"/>
        <v>0</v>
      </c>
      <c r="I52" s="25" t="str">
        <f t="shared" si="5"/>
        <v>0</v>
      </c>
      <c r="J52" s="25" t="str">
        <f t="shared" si="6"/>
        <v>0</v>
      </c>
      <c r="K52" s="25" t="str">
        <f t="shared" si="7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 t="str">
        <f t="shared" si="1"/>
        <v>0</v>
      </c>
      <c r="F53" s="25" t="str">
        <f t="shared" si="2"/>
        <v>0</v>
      </c>
      <c r="G53" s="25" t="str">
        <f t="shared" si="3"/>
        <v>0</v>
      </c>
      <c r="H53" s="25" t="str">
        <f t="shared" si="4"/>
        <v>0</v>
      </c>
      <c r="I53" s="25" t="str">
        <f t="shared" si="5"/>
        <v>0</v>
      </c>
      <c r="J53" s="25" t="str">
        <f t="shared" si="6"/>
        <v>0</v>
      </c>
      <c r="K53" s="25" t="str">
        <f t="shared" si="7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5" t="str">
        <f t="shared" si="1"/>
        <v>0</v>
      </c>
      <c r="F54" s="25" t="str">
        <f t="shared" si="2"/>
        <v>0</v>
      </c>
      <c r="G54" s="25" t="str">
        <f t="shared" si="3"/>
        <v>0</v>
      </c>
      <c r="H54" s="25" t="str">
        <f t="shared" si="4"/>
        <v>0</v>
      </c>
      <c r="I54" s="25" t="str">
        <f t="shared" si="5"/>
        <v>0</v>
      </c>
      <c r="J54" s="25" t="str">
        <f t="shared" si="6"/>
        <v>0</v>
      </c>
      <c r="K54" s="25" t="str">
        <f t="shared" si="7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5" t="str">
        <f t="shared" si="1"/>
        <v>0</v>
      </c>
      <c r="F55" s="25" t="str">
        <f t="shared" si="2"/>
        <v>0</v>
      </c>
      <c r="G55" s="25" t="str">
        <f t="shared" si="3"/>
        <v>0</v>
      </c>
      <c r="H55" s="25" t="str">
        <f t="shared" si="4"/>
        <v>0</v>
      </c>
      <c r="I55" s="25" t="str">
        <f t="shared" si="5"/>
        <v>0</v>
      </c>
      <c r="J55" s="25" t="str">
        <f t="shared" si="6"/>
        <v>0</v>
      </c>
      <c r="K55" s="25" t="str">
        <f t="shared" si="7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5" t="str">
        <f t="shared" si="1"/>
        <v>0</v>
      </c>
      <c r="F56" s="25" t="str">
        <f t="shared" si="2"/>
        <v>0</v>
      </c>
      <c r="G56" s="25" t="str">
        <f t="shared" si="3"/>
        <v>0</v>
      </c>
      <c r="H56" s="25" t="str">
        <f t="shared" si="4"/>
        <v>0</v>
      </c>
      <c r="I56" s="25" t="str">
        <f t="shared" si="5"/>
        <v>0</v>
      </c>
      <c r="J56" s="25" t="str">
        <f t="shared" si="6"/>
        <v>0</v>
      </c>
      <c r="K56" s="25" t="str">
        <f t="shared" si="7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5" t="str">
        <f t="shared" si="1"/>
        <v>0</v>
      </c>
      <c r="F57" s="25" t="str">
        <f t="shared" si="2"/>
        <v>0</v>
      </c>
      <c r="G57" s="25" t="str">
        <f t="shared" si="3"/>
        <v>0</v>
      </c>
      <c r="H57" s="25" t="str">
        <f t="shared" si="4"/>
        <v>0</v>
      </c>
      <c r="I57" s="25" t="str">
        <f t="shared" si="5"/>
        <v>0</v>
      </c>
      <c r="J57" s="25" t="str">
        <f t="shared" si="6"/>
        <v>0</v>
      </c>
      <c r="K57" s="25" t="str">
        <f t="shared" si="7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5" t="str">
        <f t="shared" si="1"/>
        <v>0</v>
      </c>
      <c r="F58" s="25" t="str">
        <f t="shared" si="2"/>
        <v>0</v>
      </c>
      <c r="G58" s="25" t="str">
        <f t="shared" si="3"/>
        <v>0</v>
      </c>
      <c r="H58" s="25" t="str">
        <f t="shared" si="4"/>
        <v>0</v>
      </c>
      <c r="I58" s="25" t="str">
        <f t="shared" si="5"/>
        <v>0</v>
      </c>
      <c r="J58" s="25" t="str">
        <f t="shared" si="6"/>
        <v>0</v>
      </c>
      <c r="K58" s="25" t="str">
        <f t="shared" si="7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5" t="str">
        <f t="shared" si="1"/>
        <v>0</v>
      </c>
      <c r="F59" s="25" t="str">
        <f t="shared" si="2"/>
        <v>0</v>
      </c>
      <c r="G59" s="25" t="str">
        <f t="shared" si="3"/>
        <v>0</v>
      </c>
      <c r="H59" s="25" t="str">
        <f t="shared" si="4"/>
        <v>0</v>
      </c>
      <c r="I59" s="25" t="str">
        <f t="shared" si="5"/>
        <v>0</v>
      </c>
      <c r="J59" s="25" t="str">
        <f t="shared" si="6"/>
        <v>0</v>
      </c>
      <c r="K59" s="25" t="str">
        <f t="shared" si="7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 t="str">
        <f t="shared" si="1"/>
        <v>0</v>
      </c>
      <c r="F60" s="25" t="str">
        <f t="shared" si="2"/>
        <v>0</v>
      </c>
      <c r="G60" s="25" t="str">
        <f t="shared" si="3"/>
        <v>0</v>
      </c>
      <c r="H60" s="25" t="str">
        <f t="shared" si="4"/>
        <v>0</v>
      </c>
      <c r="I60" s="25" t="str">
        <f t="shared" si="5"/>
        <v>0</v>
      </c>
      <c r="J60" s="25" t="str">
        <f t="shared" si="6"/>
        <v>0</v>
      </c>
      <c r="K60" s="25" t="str">
        <f t="shared" si="7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 t="str">
        <f t="shared" si="1"/>
        <v>0</v>
      </c>
      <c r="F61" s="25" t="str">
        <f t="shared" si="2"/>
        <v>0</v>
      </c>
      <c r="G61" s="25" t="str">
        <f t="shared" si="3"/>
        <v>0</v>
      </c>
      <c r="H61" s="25" t="str">
        <f t="shared" si="4"/>
        <v>0</v>
      </c>
      <c r="I61" s="25" t="str">
        <f t="shared" si="5"/>
        <v>0</v>
      </c>
      <c r="J61" s="25" t="str">
        <f t="shared" si="6"/>
        <v>0</v>
      </c>
      <c r="K61" s="25" t="str">
        <f t="shared" si="7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2">
        <f>SUM(E36:E61)</f>
        <v>3</v>
      </c>
      <c r="F62" s="22">
        <f t="shared" ref="F62:K62" si="8">SUM(F36:F61)</f>
        <v>11.27</v>
      </c>
      <c r="G62" s="22">
        <f t="shared" si="8"/>
        <v>0</v>
      </c>
      <c r="H62" s="22">
        <f t="shared" si="8"/>
        <v>0</v>
      </c>
      <c r="I62" s="22">
        <f t="shared" si="8"/>
        <v>0</v>
      </c>
      <c r="J62" s="22">
        <f t="shared" si="8"/>
        <v>14.27</v>
      </c>
      <c r="K62" s="22">
        <f t="shared" si="8"/>
        <v>0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19"/>
      <c r="M67" s="119"/>
      <c r="N67" s="119"/>
      <c r="O67" s="119"/>
      <c r="P67" s="119"/>
      <c r="Q67" s="119"/>
      <c r="R67" s="120"/>
    </row>
    <row r="68" spans="1:18" ht="41.45" customHeight="1" thickBot="1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45"/>
      <c r="M68" s="145"/>
      <c r="N68" s="145"/>
      <c r="O68" s="145"/>
      <c r="P68" s="145"/>
      <c r="Q68" s="145"/>
      <c r="R68" s="146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R68"/>
  <sheetViews>
    <sheetView view="pageBreakPreview" zoomScale="51" zoomScaleNormal="55" zoomScaleSheetLayoutView="51" workbookViewId="0">
      <selection activeCell="E62" sqref="E62:G62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356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TT!C12</f>
        <v>RODOVIA TO-403 - TRECHO CARRASCO BONITO - SAMPAIO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64</v>
      </c>
      <c r="B7" s="21" t="s">
        <v>18</v>
      </c>
      <c r="C7" s="22">
        <f t="shared" ref="C7:C15" si="0">D6</f>
        <v>0</v>
      </c>
      <c r="D7" s="22">
        <v>2</v>
      </c>
      <c r="E7" s="21"/>
      <c r="F7" s="21" t="s">
        <v>19</v>
      </c>
      <c r="G7" s="21"/>
      <c r="H7" s="21"/>
      <c r="I7" s="21" t="s">
        <v>19</v>
      </c>
      <c r="J7" s="21"/>
      <c r="K7" s="21"/>
      <c r="L7" s="116" t="s">
        <v>357</v>
      </c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v>0</v>
      </c>
      <c r="D8" s="22">
        <v>2</v>
      </c>
      <c r="E8" s="21" t="s">
        <v>19</v>
      </c>
      <c r="F8" s="21"/>
      <c r="G8" s="21"/>
      <c r="H8" s="21"/>
      <c r="I8" s="21"/>
      <c r="J8" s="21" t="s">
        <v>19</v>
      </c>
      <c r="K8" s="21"/>
      <c r="L8" s="116" t="s">
        <v>358</v>
      </c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si="0"/>
        <v>2</v>
      </c>
      <c r="D9" s="22">
        <v>4</v>
      </c>
      <c r="E9" s="21" t="s">
        <v>19</v>
      </c>
      <c r="F9" s="21"/>
      <c r="G9" s="21"/>
      <c r="H9" s="21"/>
      <c r="I9" s="21"/>
      <c r="J9" s="21" t="s">
        <v>19</v>
      </c>
      <c r="K9" s="21"/>
      <c r="L9" s="116" t="s">
        <v>359</v>
      </c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>D8</f>
        <v>2</v>
      </c>
      <c r="D10" s="22">
        <v>4</v>
      </c>
      <c r="E10" s="21"/>
      <c r="F10" s="21" t="s">
        <v>19</v>
      </c>
      <c r="G10" s="21"/>
      <c r="H10" s="21"/>
      <c r="I10" s="21" t="s">
        <v>19</v>
      </c>
      <c r="J10" s="21"/>
      <c r="K10" s="21"/>
      <c r="L10" s="116"/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4</v>
      </c>
      <c r="D11" s="22">
        <v>6</v>
      </c>
      <c r="E11" s="21"/>
      <c r="F11" s="21"/>
      <c r="G11" s="21" t="s">
        <v>19</v>
      </c>
      <c r="H11" s="21"/>
      <c r="I11" s="21"/>
      <c r="J11" s="21" t="s">
        <v>19</v>
      </c>
      <c r="K11" s="21"/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6</v>
      </c>
      <c r="D12" s="22">
        <v>8</v>
      </c>
      <c r="E12" s="21"/>
      <c r="F12" s="21" t="s">
        <v>19</v>
      </c>
      <c r="G12" s="21"/>
      <c r="H12" s="21"/>
      <c r="I12" s="21" t="s">
        <v>19</v>
      </c>
      <c r="J12" s="21"/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>D11</f>
        <v>6</v>
      </c>
      <c r="D13" s="22">
        <v>8</v>
      </c>
      <c r="E13" s="21" t="s">
        <v>19</v>
      </c>
      <c r="F13" s="21"/>
      <c r="G13" s="21"/>
      <c r="H13" s="21"/>
      <c r="I13" s="21" t="s">
        <v>19</v>
      </c>
      <c r="J13" s="21"/>
      <c r="K13" s="21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8</v>
      </c>
      <c r="D14" s="22">
        <v>10</v>
      </c>
      <c r="E14" s="21"/>
      <c r="F14" s="21" t="s">
        <v>19</v>
      </c>
      <c r="G14" s="21"/>
      <c r="H14" s="21"/>
      <c r="I14" s="21" t="s">
        <v>19</v>
      </c>
      <c r="J14" s="21"/>
      <c r="K14" s="21"/>
      <c r="L14" s="116"/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10</v>
      </c>
      <c r="D15" s="22">
        <v>10.6</v>
      </c>
      <c r="E15" s="21"/>
      <c r="F15" s="21" t="s">
        <v>19</v>
      </c>
      <c r="G15" s="21"/>
      <c r="H15" s="21"/>
      <c r="I15" s="21" t="s">
        <v>19</v>
      </c>
      <c r="J15" s="21"/>
      <c r="K15" s="21"/>
      <c r="L15" s="116"/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108"/>
      <c r="D16" s="108"/>
      <c r="E16" s="109"/>
      <c r="F16" s="109"/>
      <c r="G16" s="109"/>
      <c r="H16" s="99"/>
      <c r="I16" s="99"/>
      <c r="J16" s="99"/>
      <c r="K16" s="21"/>
      <c r="L16" s="116"/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108"/>
      <c r="D17" s="108"/>
      <c r="E17" s="109"/>
      <c r="F17" s="109"/>
      <c r="G17" s="109"/>
      <c r="H17" s="99"/>
      <c r="I17" s="99"/>
      <c r="J17" s="99"/>
      <c r="K17" s="21"/>
      <c r="L17" s="116"/>
      <c r="M17" s="117"/>
      <c r="N17" s="117"/>
      <c r="O17" s="117"/>
      <c r="P17" s="117"/>
      <c r="Q17" s="117"/>
      <c r="R17" s="118"/>
    </row>
    <row r="18" spans="1:18" ht="41.45" customHeight="1">
      <c r="A18" s="19"/>
      <c r="B18" s="21"/>
      <c r="C18" s="108"/>
      <c r="D18" s="108"/>
      <c r="E18" s="109"/>
      <c r="F18" s="109"/>
      <c r="G18" s="109"/>
      <c r="H18" s="99"/>
      <c r="I18" s="99"/>
      <c r="J18" s="99"/>
      <c r="K18" s="21"/>
      <c r="L18" s="116"/>
      <c r="M18" s="117"/>
      <c r="N18" s="117"/>
      <c r="O18" s="117"/>
      <c r="P18" s="117"/>
      <c r="Q18" s="117"/>
      <c r="R18" s="118"/>
    </row>
    <row r="19" spans="1:18" ht="41.45" customHeight="1">
      <c r="A19" s="21" t="s">
        <v>63</v>
      </c>
      <c r="B19" s="21" t="s">
        <v>18</v>
      </c>
      <c r="C19" s="22">
        <v>0</v>
      </c>
      <c r="D19" s="22">
        <v>2</v>
      </c>
      <c r="E19" s="21"/>
      <c r="F19" s="21" t="s">
        <v>19</v>
      </c>
      <c r="G19" s="21"/>
      <c r="H19" s="21"/>
      <c r="I19" s="21"/>
      <c r="J19" s="21"/>
      <c r="K19" s="21" t="s">
        <v>19</v>
      </c>
      <c r="L19" s="116" t="s">
        <v>360</v>
      </c>
      <c r="M19" s="117"/>
      <c r="N19" s="117"/>
      <c r="O19" s="117"/>
      <c r="P19" s="117"/>
      <c r="Q19" s="117"/>
      <c r="R19" s="118"/>
    </row>
    <row r="20" spans="1:18" ht="41.45" customHeight="1">
      <c r="A20" s="19"/>
      <c r="B20" s="21"/>
      <c r="C20" s="22">
        <f t="shared" ref="C20:C22" si="1">D19</f>
        <v>2</v>
      </c>
      <c r="D20" s="22">
        <v>4</v>
      </c>
      <c r="E20" s="21"/>
      <c r="F20" s="21" t="s">
        <v>19</v>
      </c>
      <c r="G20" s="21"/>
      <c r="H20" s="21"/>
      <c r="I20" s="21"/>
      <c r="J20" s="21"/>
      <c r="K20" s="21" t="s">
        <v>19</v>
      </c>
      <c r="L20" s="116" t="s">
        <v>361</v>
      </c>
      <c r="M20" s="117"/>
      <c r="N20" s="117"/>
      <c r="O20" s="117"/>
      <c r="P20" s="117"/>
      <c r="Q20" s="117"/>
      <c r="R20" s="118"/>
    </row>
    <row r="21" spans="1:18" ht="41.45" customHeight="1">
      <c r="A21" s="19"/>
      <c r="B21" s="21"/>
      <c r="C21" s="22">
        <f t="shared" si="1"/>
        <v>4</v>
      </c>
      <c r="D21" s="22">
        <v>6</v>
      </c>
      <c r="E21" s="21"/>
      <c r="F21" s="21" t="s">
        <v>19</v>
      </c>
      <c r="G21" s="21"/>
      <c r="H21" s="21"/>
      <c r="I21" s="21"/>
      <c r="J21" s="21" t="s">
        <v>19</v>
      </c>
      <c r="K21" s="21"/>
      <c r="L21" s="116" t="s">
        <v>362</v>
      </c>
      <c r="M21" s="117"/>
      <c r="N21" s="117"/>
      <c r="O21" s="117"/>
      <c r="P21" s="117"/>
      <c r="Q21" s="117"/>
      <c r="R21" s="118"/>
    </row>
    <row r="22" spans="1:18" ht="41.45" customHeight="1">
      <c r="A22" s="19"/>
      <c r="B22" s="21"/>
      <c r="C22" s="22">
        <f t="shared" si="1"/>
        <v>6</v>
      </c>
      <c r="D22" s="22">
        <v>7.2</v>
      </c>
      <c r="E22" s="21"/>
      <c r="F22" s="21"/>
      <c r="G22" s="21" t="s">
        <v>19</v>
      </c>
      <c r="H22" s="21"/>
      <c r="I22" s="21"/>
      <c r="J22" s="21"/>
      <c r="K22" s="21" t="s">
        <v>19</v>
      </c>
      <c r="L22" s="116" t="s">
        <v>363</v>
      </c>
      <c r="M22" s="117"/>
      <c r="N22" s="117"/>
      <c r="O22" s="117"/>
      <c r="P22" s="117"/>
      <c r="Q22" s="117"/>
      <c r="R22" s="118"/>
    </row>
    <row r="23" spans="1:18" ht="41.45" customHeight="1">
      <c r="A23" s="19"/>
      <c r="B23" s="21"/>
      <c r="C23" s="110"/>
      <c r="D23" s="110"/>
      <c r="E23" s="38"/>
      <c r="F23" s="38"/>
      <c r="G23" s="38"/>
      <c r="H23" s="38"/>
      <c r="I23" s="38"/>
      <c r="J23" s="38"/>
      <c r="K23" s="38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19"/>
      <c r="B24" s="21"/>
      <c r="C24" s="110"/>
      <c r="D24" s="110"/>
      <c r="E24" s="38"/>
      <c r="F24" s="38"/>
      <c r="G24" s="38"/>
      <c r="H24" s="38"/>
      <c r="I24" s="38"/>
      <c r="J24" s="38"/>
      <c r="K24" s="38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21"/>
      <c r="C25" s="110"/>
      <c r="D25" s="110"/>
      <c r="E25" s="38"/>
      <c r="F25" s="38"/>
      <c r="G25" s="38"/>
      <c r="H25" s="38"/>
      <c r="I25" s="38"/>
      <c r="J25" s="38"/>
      <c r="K25" s="38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21"/>
      <c r="C26" s="110"/>
      <c r="D26" s="110"/>
      <c r="E26" s="38"/>
      <c r="F26" s="38"/>
      <c r="G26" s="38"/>
      <c r="H26" s="38"/>
      <c r="I26" s="38"/>
      <c r="J26" s="38"/>
      <c r="K26" s="38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110"/>
      <c r="D27" s="110"/>
      <c r="E27" s="38"/>
      <c r="F27" s="38"/>
      <c r="G27" s="38"/>
      <c r="H27" s="38"/>
      <c r="I27" s="38"/>
      <c r="J27" s="38"/>
      <c r="K27" s="38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110"/>
      <c r="D28" s="110"/>
      <c r="E28" s="38"/>
      <c r="F28" s="38"/>
      <c r="G28" s="38"/>
      <c r="H28" s="38"/>
      <c r="I28" s="38"/>
      <c r="J28" s="38"/>
      <c r="K28" s="38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110"/>
      <c r="D29" s="110"/>
      <c r="E29" s="38"/>
      <c r="F29" s="38"/>
      <c r="G29" s="38"/>
      <c r="H29" s="38"/>
      <c r="I29" s="38"/>
      <c r="J29" s="38"/>
      <c r="K29" s="38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110"/>
      <c r="D30" s="110"/>
      <c r="E30" s="38"/>
      <c r="F30" s="38"/>
      <c r="G30" s="38"/>
      <c r="H30" s="38"/>
      <c r="I30" s="38"/>
      <c r="J30" s="38"/>
      <c r="K30" s="38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110"/>
      <c r="D31" s="110"/>
      <c r="E31" s="38"/>
      <c r="F31" s="38"/>
      <c r="G31" s="38"/>
      <c r="H31" s="38"/>
      <c r="I31" s="38"/>
      <c r="J31" s="38"/>
      <c r="K31" s="38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110"/>
      <c r="D32" s="110"/>
      <c r="E32" s="38"/>
      <c r="F32" s="38"/>
      <c r="G32" s="38"/>
      <c r="H32" s="38"/>
      <c r="I32" s="38"/>
      <c r="J32" s="38"/>
      <c r="K32" s="38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110"/>
      <c r="D33" s="110"/>
      <c r="E33" s="38"/>
      <c r="F33" s="38"/>
      <c r="G33" s="38"/>
      <c r="H33" s="38"/>
      <c r="I33" s="38"/>
      <c r="J33" s="38"/>
      <c r="K33" s="38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110"/>
      <c r="D34" s="110"/>
      <c r="E34" s="38"/>
      <c r="F34" s="38"/>
      <c r="G34" s="38"/>
      <c r="H34" s="38"/>
      <c r="I34" s="38"/>
      <c r="J34" s="38"/>
      <c r="K34" s="38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3"/>
      <c r="B36" s="24"/>
      <c r="C36" s="25"/>
      <c r="D36" s="25"/>
      <c r="E36" s="25" t="str">
        <f>IF(E7="X",(D7-C7),"0")</f>
        <v>0</v>
      </c>
      <c r="F36" s="25">
        <f>IF(F7="X",(D7-C7),"0")</f>
        <v>2</v>
      </c>
      <c r="G36" s="25" t="str">
        <f>IF(G7="X",(D7-C7),"0")</f>
        <v>0</v>
      </c>
      <c r="H36" s="25" t="str">
        <f>IF(H7="X",(D7-C7),"0")</f>
        <v>0</v>
      </c>
      <c r="I36" s="25">
        <f>IF(I7="X",(D7-C7),"0")</f>
        <v>2</v>
      </c>
      <c r="J36" s="25" t="str">
        <f>IF(J7="X",(D7-C7),"0")</f>
        <v>0</v>
      </c>
      <c r="K36" s="25" t="str">
        <f>IF(K7="X",(D7-C7),"0")</f>
        <v>0</v>
      </c>
      <c r="L36" s="147"/>
      <c r="M36" s="148"/>
      <c r="N36" s="148"/>
      <c r="O36" s="148"/>
      <c r="P36" s="148"/>
      <c r="Q36" s="148"/>
      <c r="R36" s="149"/>
    </row>
    <row r="37" spans="1:18" ht="41.45" customHeight="1">
      <c r="A37" s="19"/>
      <c r="B37" s="3"/>
      <c r="C37" s="22"/>
      <c r="D37" s="22"/>
      <c r="E37" s="25">
        <f t="shared" ref="E37:E61" si="2">IF(E8="X",(D8-C8),"0")</f>
        <v>2</v>
      </c>
      <c r="F37" s="25" t="str">
        <f t="shared" ref="F37:F61" si="3">IF(F8="X",(D8-C8),"0")</f>
        <v>0</v>
      </c>
      <c r="G37" s="25" t="str">
        <f t="shared" ref="G37:G61" si="4">IF(G8="X",(D8-C8),"0")</f>
        <v>0</v>
      </c>
      <c r="H37" s="25" t="str">
        <f t="shared" ref="H37:H61" si="5">IF(H8="X",(D8-C8),"0")</f>
        <v>0</v>
      </c>
      <c r="I37" s="25" t="str">
        <f t="shared" ref="I37:I61" si="6">IF(I8="X",(D8-C8),"0")</f>
        <v>0</v>
      </c>
      <c r="J37" s="25">
        <f t="shared" ref="J37:J61" si="7">IF(J8="X",(D8-C8),"0")</f>
        <v>2</v>
      </c>
      <c r="K37" s="25" t="str">
        <f t="shared" ref="K37:K61" si="8">IF(K8="X",(D8-C8),"0")</f>
        <v>0</v>
      </c>
      <c r="L37" s="119"/>
      <c r="M37" s="119"/>
      <c r="N37" s="119"/>
      <c r="O37" s="119"/>
      <c r="P37" s="119"/>
      <c r="Q37" s="119"/>
      <c r="R37" s="120"/>
    </row>
    <row r="38" spans="1:18" ht="41.45" customHeight="1">
      <c r="A38" s="19"/>
      <c r="B38" s="3"/>
      <c r="C38" s="22"/>
      <c r="D38" s="22"/>
      <c r="E38" s="25">
        <f t="shared" si="2"/>
        <v>2</v>
      </c>
      <c r="F38" s="25" t="str">
        <f t="shared" si="3"/>
        <v>0</v>
      </c>
      <c r="G38" s="25" t="str">
        <f t="shared" si="4"/>
        <v>0</v>
      </c>
      <c r="H38" s="25" t="str">
        <f t="shared" si="5"/>
        <v>0</v>
      </c>
      <c r="I38" s="25" t="str">
        <f t="shared" si="6"/>
        <v>0</v>
      </c>
      <c r="J38" s="25">
        <f t="shared" si="7"/>
        <v>2</v>
      </c>
      <c r="K38" s="25" t="str">
        <f t="shared" si="8"/>
        <v>0</v>
      </c>
      <c r="L38" s="119"/>
      <c r="M38" s="119"/>
      <c r="N38" s="119"/>
      <c r="O38" s="119"/>
      <c r="P38" s="119"/>
      <c r="Q38" s="119"/>
      <c r="R38" s="120"/>
    </row>
    <row r="39" spans="1:18" ht="41.45" customHeight="1">
      <c r="A39" s="19"/>
      <c r="B39" s="3"/>
      <c r="C39" s="22"/>
      <c r="D39" s="22"/>
      <c r="E39" s="25" t="str">
        <f t="shared" si="2"/>
        <v>0</v>
      </c>
      <c r="F39" s="25">
        <f t="shared" si="3"/>
        <v>2</v>
      </c>
      <c r="G39" s="25" t="str">
        <f t="shared" si="4"/>
        <v>0</v>
      </c>
      <c r="H39" s="25" t="str">
        <f t="shared" si="5"/>
        <v>0</v>
      </c>
      <c r="I39" s="25">
        <f t="shared" si="6"/>
        <v>2</v>
      </c>
      <c r="J39" s="25" t="str">
        <f t="shared" si="7"/>
        <v>0</v>
      </c>
      <c r="K39" s="25" t="str">
        <f t="shared" si="8"/>
        <v>0</v>
      </c>
      <c r="L39" s="119"/>
      <c r="M39" s="119"/>
      <c r="N39" s="119"/>
      <c r="O39" s="119"/>
      <c r="P39" s="119"/>
      <c r="Q39" s="119"/>
      <c r="R39" s="120"/>
    </row>
    <row r="40" spans="1:18" ht="41.45" customHeight="1">
      <c r="A40" s="19"/>
      <c r="B40" s="3"/>
      <c r="C40" s="22"/>
      <c r="D40" s="22"/>
      <c r="E40" s="25" t="str">
        <f t="shared" si="2"/>
        <v>0</v>
      </c>
      <c r="F40" s="25" t="str">
        <f t="shared" si="3"/>
        <v>0</v>
      </c>
      <c r="G40" s="25">
        <f t="shared" si="4"/>
        <v>2</v>
      </c>
      <c r="H40" s="25" t="str">
        <f t="shared" si="5"/>
        <v>0</v>
      </c>
      <c r="I40" s="25" t="str">
        <f t="shared" si="6"/>
        <v>0</v>
      </c>
      <c r="J40" s="25">
        <f t="shared" si="7"/>
        <v>2</v>
      </c>
      <c r="K40" s="25" t="str">
        <f t="shared" si="8"/>
        <v>0</v>
      </c>
      <c r="L40" s="119"/>
      <c r="M40" s="119"/>
      <c r="N40" s="119"/>
      <c r="O40" s="119"/>
      <c r="P40" s="119"/>
      <c r="Q40" s="119"/>
      <c r="R40" s="120"/>
    </row>
    <row r="41" spans="1:18" ht="41.45" customHeight="1">
      <c r="A41" s="19"/>
      <c r="B41" s="3"/>
      <c r="C41" s="22"/>
      <c r="D41" s="22"/>
      <c r="E41" s="25" t="str">
        <f t="shared" si="2"/>
        <v>0</v>
      </c>
      <c r="F41" s="25">
        <f t="shared" si="3"/>
        <v>2</v>
      </c>
      <c r="G41" s="25" t="str">
        <f t="shared" si="4"/>
        <v>0</v>
      </c>
      <c r="H41" s="25" t="str">
        <f t="shared" si="5"/>
        <v>0</v>
      </c>
      <c r="I41" s="25">
        <f t="shared" si="6"/>
        <v>2</v>
      </c>
      <c r="J41" s="25" t="str">
        <f t="shared" si="7"/>
        <v>0</v>
      </c>
      <c r="K41" s="25" t="str">
        <f t="shared" si="8"/>
        <v>0</v>
      </c>
      <c r="L41" s="119"/>
      <c r="M41" s="119"/>
      <c r="N41" s="119"/>
      <c r="O41" s="119"/>
      <c r="P41" s="119"/>
      <c r="Q41" s="119"/>
      <c r="R41" s="120"/>
    </row>
    <row r="42" spans="1:18" ht="41.45" customHeight="1">
      <c r="A42" s="19"/>
      <c r="B42" s="3"/>
      <c r="C42" s="22"/>
      <c r="D42" s="22"/>
      <c r="E42" s="25">
        <f t="shared" si="2"/>
        <v>2</v>
      </c>
      <c r="F42" s="25" t="str">
        <f t="shared" si="3"/>
        <v>0</v>
      </c>
      <c r="G42" s="25" t="str">
        <f t="shared" si="4"/>
        <v>0</v>
      </c>
      <c r="H42" s="25" t="str">
        <f t="shared" si="5"/>
        <v>0</v>
      </c>
      <c r="I42" s="25">
        <f t="shared" si="6"/>
        <v>2</v>
      </c>
      <c r="J42" s="25" t="str">
        <f t="shared" si="7"/>
        <v>0</v>
      </c>
      <c r="K42" s="25" t="str">
        <f t="shared" si="8"/>
        <v>0</v>
      </c>
      <c r="L42" s="119"/>
      <c r="M42" s="119"/>
      <c r="N42" s="119"/>
      <c r="O42" s="119"/>
      <c r="P42" s="119"/>
      <c r="Q42" s="119"/>
      <c r="R42" s="120"/>
    </row>
    <row r="43" spans="1:18" ht="41.45" customHeight="1">
      <c r="A43" s="19"/>
      <c r="B43" s="3"/>
      <c r="C43" s="22"/>
      <c r="D43" s="22"/>
      <c r="E43" s="25" t="str">
        <f t="shared" si="2"/>
        <v>0</v>
      </c>
      <c r="F43" s="25">
        <f t="shared" si="3"/>
        <v>2</v>
      </c>
      <c r="G43" s="25" t="str">
        <f t="shared" si="4"/>
        <v>0</v>
      </c>
      <c r="H43" s="25" t="str">
        <f t="shared" si="5"/>
        <v>0</v>
      </c>
      <c r="I43" s="25">
        <f t="shared" si="6"/>
        <v>2</v>
      </c>
      <c r="J43" s="25" t="str">
        <f t="shared" si="7"/>
        <v>0</v>
      </c>
      <c r="K43" s="25" t="str">
        <f t="shared" si="8"/>
        <v>0</v>
      </c>
      <c r="L43" s="119"/>
      <c r="M43" s="119"/>
      <c r="N43" s="119"/>
      <c r="O43" s="119"/>
      <c r="P43" s="119"/>
      <c r="Q43" s="119"/>
      <c r="R43" s="120"/>
    </row>
    <row r="44" spans="1:18" ht="41.45" customHeight="1">
      <c r="A44" s="19"/>
      <c r="B44" s="3"/>
      <c r="C44" s="22"/>
      <c r="D44" s="22"/>
      <c r="E44" s="25" t="str">
        <f t="shared" si="2"/>
        <v>0</v>
      </c>
      <c r="F44" s="25">
        <f t="shared" si="3"/>
        <v>0.59999999999999964</v>
      </c>
      <c r="G44" s="25" t="str">
        <f t="shared" si="4"/>
        <v>0</v>
      </c>
      <c r="H44" s="25" t="str">
        <f t="shared" si="5"/>
        <v>0</v>
      </c>
      <c r="I44" s="25">
        <f t="shared" si="6"/>
        <v>0.59999999999999964</v>
      </c>
      <c r="J44" s="25" t="str">
        <f t="shared" si="7"/>
        <v>0</v>
      </c>
      <c r="K44" s="25" t="str">
        <f t="shared" si="8"/>
        <v>0</v>
      </c>
      <c r="L44" s="119"/>
      <c r="M44" s="119"/>
      <c r="N44" s="119"/>
      <c r="O44" s="119"/>
      <c r="P44" s="119"/>
      <c r="Q44" s="119"/>
      <c r="R44" s="120"/>
    </row>
    <row r="45" spans="1:18" ht="41.45" customHeight="1">
      <c r="A45" s="19"/>
      <c r="B45" s="3"/>
      <c r="C45" s="22"/>
      <c r="D45" s="22"/>
      <c r="E45" s="25" t="str">
        <f t="shared" si="2"/>
        <v>0</v>
      </c>
      <c r="F45" s="25" t="str">
        <f t="shared" si="3"/>
        <v>0</v>
      </c>
      <c r="G45" s="25" t="str">
        <f t="shared" si="4"/>
        <v>0</v>
      </c>
      <c r="H45" s="25" t="str">
        <f t="shared" si="5"/>
        <v>0</v>
      </c>
      <c r="I45" s="25" t="str">
        <f t="shared" si="6"/>
        <v>0</v>
      </c>
      <c r="J45" s="25" t="str">
        <f t="shared" si="7"/>
        <v>0</v>
      </c>
      <c r="K45" s="25" t="str">
        <f t="shared" si="8"/>
        <v>0</v>
      </c>
      <c r="L45" s="119"/>
      <c r="M45" s="119"/>
      <c r="N45" s="119"/>
      <c r="O45" s="119"/>
      <c r="P45" s="119"/>
      <c r="Q45" s="119"/>
      <c r="R45" s="120"/>
    </row>
    <row r="46" spans="1:18" ht="41.45" customHeight="1">
      <c r="A46" s="19"/>
      <c r="B46" s="3"/>
      <c r="C46" s="22"/>
      <c r="D46" s="22"/>
      <c r="E46" s="25" t="str">
        <f t="shared" si="2"/>
        <v>0</v>
      </c>
      <c r="F46" s="25" t="str">
        <f t="shared" si="3"/>
        <v>0</v>
      </c>
      <c r="G46" s="25" t="str">
        <f t="shared" si="4"/>
        <v>0</v>
      </c>
      <c r="H46" s="25" t="str">
        <f t="shared" si="5"/>
        <v>0</v>
      </c>
      <c r="I46" s="25" t="str">
        <f t="shared" si="6"/>
        <v>0</v>
      </c>
      <c r="J46" s="25" t="str">
        <f t="shared" si="7"/>
        <v>0</v>
      </c>
      <c r="K46" s="25" t="str">
        <f t="shared" si="8"/>
        <v>0</v>
      </c>
      <c r="L46" s="119"/>
      <c r="M46" s="119"/>
      <c r="N46" s="119"/>
      <c r="O46" s="119"/>
      <c r="P46" s="119"/>
      <c r="Q46" s="119"/>
      <c r="R46" s="120"/>
    </row>
    <row r="47" spans="1:18" ht="41.45" customHeight="1">
      <c r="A47" s="19"/>
      <c r="B47" s="3"/>
      <c r="C47" s="22"/>
      <c r="D47" s="22"/>
      <c r="E47" s="25" t="str">
        <f t="shared" si="2"/>
        <v>0</v>
      </c>
      <c r="F47" s="25" t="str">
        <f t="shared" si="3"/>
        <v>0</v>
      </c>
      <c r="G47" s="25" t="str">
        <f t="shared" si="4"/>
        <v>0</v>
      </c>
      <c r="H47" s="25" t="str">
        <f t="shared" si="5"/>
        <v>0</v>
      </c>
      <c r="I47" s="25" t="str">
        <f t="shared" si="6"/>
        <v>0</v>
      </c>
      <c r="J47" s="25" t="str">
        <f t="shared" si="7"/>
        <v>0</v>
      </c>
      <c r="K47" s="25" t="str">
        <f t="shared" si="8"/>
        <v>0</v>
      </c>
      <c r="L47" s="119"/>
      <c r="M47" s="119"/>
      <c r="N47" s="119"/>
      <c r="O47" s="119"/>
      <c r="P47" s="119"/>
      <c r="Q47" s="119"/>
      <c r="R47" s="120"/>
    </row>
    <row r="48" spans="1:18" ht="41.45" customHeight="1">
      <c r="A48" s="19"/>
      <c r="B48" s="3"/>
      <c r="C48" s="22"/>
      <c r="D48" s="22"/>
      <c r="E48" s="25" t="str">
        <f t="shared" si="2"/>
        <v>0</v>
      </c>
      <c r="F48" s="25">
        <f t="shared" si="3"/>
        <v>2</v>
      </c>
      <c r="G48" s="25" t="str">
        <f t="shared" si="4"/>
        <v>0</v>
      </c>
      <c r="H48" s="25" t="str">
        <f t="shared" si="5"/>
        <v>0</v>
      </c>
      <c r="I48" s="25" t="str">
        <f t="shared" si="6"/>
        <v>0</v>
      </c>
      <c r="J48" s="25" t="str">
        <f t="shared" si="7"/>
        <v>0</v>
      </c>
      <c r="K48" s="25">
        <f t="shared" si="8"/>
        <v>2</v>
      </c>
      <c r="L48" s="119"/>
      <c r="M48" s="119"/>
      <c r="N48" s="119"/>
      <c r="O48" s="119"/>
      <c r="P48" s="119"/>
      <c r="Q48" s="119"/>
      <c r="R48" s="120"/>
    </row>
    <row r="49" spans="1:18" ht="41.45" customHeight="1">
      <c r="A49" s="19"/>
      <c r="B49" s="3"/>
      <c r="C49" s="22"/>
      <c r="D49" s="22"/>
      <c r="E49" s="25" t="str">
        <f t="shared" si="2"/>
        <v>0</v>
      </c>
      <c r="F49" s="25">
        <f t="shared" si="3"/>
        <v>2</v>
      </c>
      <c r="G49" s="25" t="str">
        <f t="shared" si="4"/>
        <v>0</v>
      </c>
      <c r="H49" s="25" t="str">
        <f t="shared" si="5"/>
        <v>0</v>
      </c>
      <c r="I49" s="25" t="str">
        <f t="shared" si="6"/>
        <v>0</v>
      </c>
      <c r="J49" s="25" t="str">
        <f t="shared" si="7"/>
        <v>0</v>
      </c>
      <c r="K49" s="25">
        <f t="shared" si="8"/>
        <v>2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19"/>
      <c r="B50" s="3"/>
      <c r="C50" s="22"/>
      <c r="D50" s="22"/>
      <c r="E50" s="25" t="str">
        <f t="shared" si="2"/>
        <v>0</v>
      </c>
      <c r="F50" s="25">
        <f t="shared" si="3"/>
        <v>2</v>
      </c>
      <c r="G50" s="25" t="str">
        <f t="shared" si="4"/>
        <v>0</v>
      </c>
      <c r="H50" s="25" t="str">
        <f t="shared" si="5"/>
        <v>0</v>
      </c>
      <c r="I50" s="25" t="str">
        <f t="shared" si="6"/>
        <v>0</v>
      </c>
      <c r="J50" s="25">
        <f t="shared" si="7"/>
        <v>2</v>
      </c>
      <c r="K50" s="25" t="str">
        <f t="shared" si="8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19"/>
      <c r="B51" s="3"/>
      <c r="C51" s="22"/>
      <c r="D51" s="22"/>
      <c r="E51" s="25" t="str">
        <f t="shared" si="2"/>
        <v>0</v>
      </c>
      <c r="F51" s="25" t="str">
        <f t="shared" si="3"/>
        <v>0</v>
      </c>
      <c r="G51" s="25">
        <f t="shared" si="4"/>
        <v>1.2000000000000002</v>
      </c>
      <c r="H51" s="25" t="str">
        <f t="shared" si="5"/>
        <v>0</v>
      </c>
      <c r="I51" s="25" t="str">
        <f t="shared" si="6"/>
        <v>0</v>
      </c>
      <c r="J51" s="25" t="str">
        <f t="shared" si="7"/>
        <v>0</v>
      </c>
      <c r="K51" s="25">
        <f t="shared" si="8"/>
        <v>1.2000000000000002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19"/>
      <c r="B52" s="3"/>
      <c r="C52" s="22"/>
      <c r="D52" s="22"/>
      <c r="E52" s="25" t="str">
        <f t="shared" si="2"/>
        <v>0</v>
      </c>
      <c r="F52" s="25" t="str">
        <f t="shared" si="3"/>
        <v>0</v>
      </c>
      <c r="G52" s="25" t="str">
        <f t="shared" si="4"/>
        <v>0</v>
      </c>
      <c r="H52" s="25" t="str">
        <f t="shared" si="5"/>
        <v>0</v>
      </c>
      <c r="I52" s="25" t="str">
        <f t="shared" si="6"/>
        <v>0</v>
      </c>
      <c r="J52" s="25" t="str">
        <f t="shared" si="7"/>
        <v>0</v>
      </c>
      <c r="K52" s="25" t="str">
        <f t="shared" si="8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 t="str">
        <f t="shared" si="2"/>
        <v>0</v>
      </c>
      <c r="F53" s="25" t="str">
        <f t="shared" si="3"/>
        <v>0</v>
      </c>
      <c r="G53" s="25" t="str">
        <f t="shared" si="4"/>
        <v>0</v>
      </c>
      <c r="H53" s="25" t="str">
        <f t="shared" si="5"/>
        <v>0</v>
      </c>
      <c r="I53" s="25" t="str">
        <f t="shared" si="6"/>
        <v>0</v>
      </c>
      <c r="J53" s="25" t="str">
        <f t="shared" si="7"/>
        <v>0</v>
      </c>
      <c r="K53" s="25" t="str">
        <f t="shared" si="8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5" t="str">
        <f t="shared" si="2"/>
        <v>0</v>
      </c>
      <c r="F54" s="25" t="str">
        <f t="shared" si="3"/>
        <v>0</v>
      </c>
      <c r="G54" s="25" t="str">
        <f t="shared" si="4"/>
        <v>0</v>
      </c>
      <c r="H54" s="25" t="str">
        <f t="shared" si="5"/>
        <v>0</v>
      </c>
      <c r="I54" s="25" t="str">
        <f t="shared" si="6"/>
        <v>0</v>
      </c>
      <c r="J54" s="25" t="str">
        <f t="shared" si="7"/>
        <v>0</v>
      </c>
      <c r="K54" s="25" t="str">
        <f t="shared" si="8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5" t="str">
        <f t="shared" si="2"/>
        <v>0</v>
      </c>
      <c r="F55" s="25" t="str">
        <f t="shared" si="3"/>
        <v>0</v>
      </c>
      <c r="G55" s="25" t="str">
        <f t="shared" si="4"/>
        <v>0</v>
      </c>
      <c r="H55" s="25" t="str">
        <f t="shared" si="5"/>
        <v>0</v>
      </c>
      <c r="I55" s="25" t="str">
        <f t="shared" si="6"/>
        <v>0</v>
      </c>
      <c r="J55" s="25" t="str">
        <f t="shared" si="7"/>
        <v>0</v>
      </c>
      <c r="K55" s="25" t="str">
        <f t="shared" si="8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5" t="str">
        <f t="shared" si="2"/>
        <v>0</v>
      </c>
      <c r="F56" s="25" t="str">
        <f t="shared" si="3"/>
        <v>0</v>
      </c>
      <c r="G56" s="25" t="str">
        <f t="shared" si="4"/>
        <v>0</v>
      </c>
      <c r="H56" s="25" t="str">
        <f t="shared" si="5"/>
        <v>0</v>
      </c>
      <c r="I56" s="25" t="str">
        <f t="shared" si="6"/>
        <v>0</v>
      </c>
      <c r="J56" s="25" t="str">
        <f t="shared" si="7"/>
        <v>0</v>
      </c>
      <c r="K56" s="25" t="str">
        <f t="shared" si="8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5" t="str">
        <f t="shared" si="2"/>
        <v>0</v>
      </c>
      <c r="F57" s="25" t="str">
        <f t="shared" si="3"/>
        <v>0</v>
      </c>
      <c r="G57" s="25" t="str">
        <f t="shared" si="4"/>
        <v>0</v>
      </c>
      <c r="H57" s="25" t="str">
        <f t="shared" si="5"/>
        <v>0</v>
      </c>
      <c r="I57" s="25" t="str">
        <f t="shared" si="6"/>
        <v>0</v>
      </c>
      <c r="J57" s="25" t="str">
        <f t="shared" si="7"/>
        <v>0</v>
      </c>
      <c r="K57" s="25" t="str">
        <f t="shared" si="8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5" t="str">
        <f t="shared" si="2"/>
        <v>0</v>
      </c>
      <c r="F58" s="25" t="str">
        <f t="shared" si="3"/>
        <v>0</v>
      </c>
      <c r="G58" s="25" t="str">
        <f t="shared" si="4"/>
        <v>0</v>
      </c>
      <c r="H58" s="25" t="str">
        <f t="shared" si="5"/>
        <v>0</v>
      </c>
      <c r="I58" s="25" t="str">
        <f t="shared" si="6"/>
        <v>0</v>
      </c>
      <c r="J58" s="25" t="str">
        <f t="shared" si="7"/>
        <v>0</v>
      </c>
      <c r="K58" s="25" t="str">
        <f t="shared" si="8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5" t="str">
        <f t="shared" si="2"/>
        <v>0</v>
      </c>
      <c r="F59" s="25" t="str">
        <f t="shared" si="3"/>
        <v>0</v>
      </c>
      <c r="G59" s="25" t="str">
        <f t="shared" si="4"/>
        <v>0</v>
      </c>
      <c r="H59" s="25" t="str">
        <f t="shared" si="5"/>
        <v>0</v>
      </c>
      <c r="I59" s="25" t="str">
        <f t="shared" si="6"/>
        <v>0</v>
      </c>
      <c r="J59" s="25" t="str">
        <f t="shared" si="7"/>
        <v>0</v>
      </c>
      <c r="K59" s="25" t="str">
        <f t="shared" si="8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 t="str">
        <f t="shared" si="2"/>
        <v>0</v>
      </c>
      <c r="F60" s="25" t="str">
        <f t="shared" si="3"/>
        <v>0</v>
      </c>
      <c r="G60" s="25" t="str">
        <f t="shared" si="4"/>
        <v>0</v>
      </c>
      <c r="H60" s="25" t="str">
        <f t="shared" si="5"/>
        <v>0</v>
      </c>
      <c r="I60" s="25" t="str">
        <f t="shared" si="6"/>
        <v>0</v>
      </c>
      <c r="J60" s="25" t="str">
        <f t="shared" si="7"/>
        <v>0</v>
      </c>
      <c r="K60" s="25" t="str">
        <f t="shared" si="8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 t="str">
        <f t="shared" si="2"/>
        <v>0</v>
      </c>
      <c r="F61" s="25" t="str">
        <f t="shared" si="3"/>
        <v>0</v>
      </c>
      <c r="G61" s="25" t="str">
        <f t="shared" si="4"/>
        <v>0</v>
      </c>
      <c r="H61" s="25" t="str">
        <f t="shared" si="5"/>
        <v>0</v>
      </c>
      <c r="I61" s="25" t="str">
        <f t="shared" si="6"/>
        <v>0</v>
      </c>
      <c r="J61" s="25" t="str">
        <f t="shared" si="7"/>
        <v>0</v>
      </c>
      <c r="K61" s="25" t="str">
        <f t="shared" si="8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2">
        <f>SUM(E36:E61)</f>
        <v>6</v>
      </c>
      <c r="F62" s="22">
        <f t="shared" ref="F62:K62" si="9">SUM(F36:F61)</f>
        <v>14.6</v>
      </c>
      <c r="G62" s="22">
        <f t="shared" si="9"/>
        <v>3.2</v>
      </c>
      <c r="H62" s="22">
        <f t="shared" si="9"/>
        <v>0</v>
      </c>
      <c r="I62" s="22">
        <f t="shared" si="9"/>
        <v>10.6</v>
      </c>
      <c r="J62" s="22">
        <f t="shared" si="9"/>
        <v>8</v>
      </c>
      <c r="K62" s="22">
        <f t="shared" si="9"/>
        <v>5.2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19"/>
      <c r="M67" s="119"/>
      <c r="N67" s="119"/>
      <c r="O67" s="119"/>
      <c r="P67" s="119"/>
      <c r="Q67" s="119"/>
      <c r="R67" s="120"/>
    </row>
    <row r="68" spans="1:18" ht="41.45" customHeight="1" thickBot="1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45"/>
      <c r="M68" s="145"/>
      <c r="N68" s="145"/>
      <c r="O68" s="145"/>
      <c r="P68" s="145"/>
      <c r="Q68" s="145"/>
      <c r="R68" s="146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1" orientation="portrait" r:id="rId1"/>
  <colBreaks count="1" manualBreakCount="1">
    <brk id="18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R95"/>
  <sheetViews>
    <sheetView view="pageBreakPreview" zoomScale="55" zoomScaleNormal="40" zoomScaleSheetLayoutView="55" workbookViewId="0">
      <selection activeCell="C45" sqref="C45:K50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354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TT!C13</f>
        <v>RODOVIA TO-405 - TRECHO AXIXÁ DO TOCANTINS - ENTR. BR-230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65</v>
      </c>
      <c r="B7" s="21" t="s">
        <v>18</v>
      </c>
      <c r="C7" s="22">
        <v>0</v>
      </c>
      <c r="D7" s="22">
        <v>1</v>
      </c>
      <c r="E7" s="21" t="s">
        <v>19</v>
      </c>
      <c r="F7" s="21"/>
      <c r="G7" s="21"/>
      <c r="H7" s="21"/>
      <c r="I7" s="21" t="s">
        <v>19</v>
      </c>
      <c r="J7" s="21"/>
      <c r="K7" s="21"/>
      <c r="L7" s="116"/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1</v>
      </c>
      <c r="D8" s="22">
        <v>2</v>
      </c>
      <c r="E8" s="21" t="s">
        <v>19</v>
      </c>
      <c r="F8" s="21"/>
      <c r="G8" s="21"/>
      <c r="H8" s="21"/>
      <c r="I8" s="21" t="s">
        <v>19</v>
      </c>
      <c r="J8" s="21"/>
      <c r="K8" s="21"/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>D8</f>
        <v>2</v>
      </c>
      <c r="D9" s="22">
        <v>2.64</v>
      </c>
      <c r="E9" s="21" t="s">
        <v>19</v>
      </c>
      <c r="F9" s="21"/>
      <c r="G9" s="21"/>
      <c r="H9" s="21"/>
      <c r="I9" s="21" t="s">
        <v>19</v>
      </c>
      <c r="J9" s="21"/>
      <c r="K9" s="21"/>
      <c r="L9" s="116"/>
      <c r="M9" s="117"/>
      <c r="N9" s="117"/>
      <c r="O9" s="117"/>
      <c r="P9" s="117"/>
      <c r="Q9" s="117"/>
      <c r="R9" s="118"/>
    </row>
    <row r="10" spans="1:18" ht="41.45" customHeight="1">
      <c r="A10" s="21" t="s">
        <v>66</v>
      </c>
      <c r="B10" s="21" t="s">
        <v>18</v>
      </c>
      <c r="C10" s="22">
        <v>0</v>
      </c>
      <c r="D10" s="22">
        <v>1</v>
      </c>
      <c r="E10" s="21"/>
      <c r="F10" s="21" t="s">
        <v>19</v>
      </c>
      <c r="G10" s="21"/>
      <c r="H10" s="21"/>
      <c r="I10" s="21" t="s">
        <v>19</v>
      </c>
      <c r="J10" s="21"/>
      <c r="K10" s="21"/>
      <c r="L10" s="116"/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ref="C11:C33" si="0">D10</f>
        <v>1</v>
      </c>
      <c r="D11" s="22">
        <v>2</v>
      </c>
      <c r="E11" s="21"/>
      <c r="F11" s="21" t="s">
        <v>19</v>
      </c>
      <c r="G11" s="21"/>
      <c r="H11" s="21"/>
      <c r="I11" s="21" t="s">
        <v>19</v>
      </c>
      <c r="J11" s="21"/>
      <c r="K11" s="21"/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2</v>
      </c>
      <c r="D12" s="22">
        <v>3</v>
      </c>
      <c r="E12" s="21"/>
      <c r="F12" s="21" t="s">
        <v>19</v>
      </c>
      <c r="G12" s="21"/>
      <c r="H12" s="21"/>
      <c r="I12" s="21" t="s">
        <v>19</v>
      </c>
      <c r="J12" s="21"/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3</v>
      </c>
      <c r="D13" s="22">
        <v>4</v>
      </c>
      <c r="E13" s="21"/>
      <c r="F13" s="21" t="s">
        <v>19</v>
      </c>
      <c r="G13" s="21"/>
      <c r="H13" s="21"/>
      <c r="I13" s="21" t="s">
        <v>19</v>
      </c>
      <c r="J13" s="21"/>
      <c r="K13" s="21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4</v>
      </c>
      <c r="D14" s="22">
        <v>4.91</v>
      </c>
      <c r="E14" s="21"/>
      <c r="F14" s="21" t="s">
        <v>19</v>
      </c>
      <c r="G14" s="21"/>
      <c r="H14" s="21"/>
      <c r="I14" s="21" t="s">
        <v>19</v>
      </c>
      <c r="J14" s="21"/>
      <c r="K14" s="21"/>
      <c r="L14" s="116"/>
      <c r="M14" s="117"/>
      <c r="N14" s="117"/>
      <c r="O14" s="117"/>
      <c r="P14" s="117"/>
      <c r="Q14" s="117"/>
      <c r="R14" s="118"/>
    </row>
    <row r="15" spans="1:18" ht="41.45" customHeight="1">
      <c r="A15" s="21" t="s">
        <v>67</v>
      </c>
      <c r="B15" s="21" t="s">
        <v>18</v>
      </c>
      <c r="C15" s="22">
        <v>0</v>
      </c>
      <c r="D15" s="22">
        <v>1</v>
      </c>
      <c r="E15" s="21" t="s">
        <v>19</v>
      </c>
      <c r="F15" s="21"/>
      <c r="G15" s="21"/>
      <c r="H15" s="21"/>
      <c r="I15" s="21" t="s">
        <v>19</v>
      </c>
      <c r="J15" s="21"/>
      <c r="K15" s="21"/>
      <c r="L15" s="116"/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22">
        <f t="shared" si="0"/>
        <v>1</v>
      </c>
      <c r="D16" s="22">
        <v>2</v>
      </c>
      <c r="E16" s="21" t="s">
        <v>19</v>
      </c>
      <c r="F16" s="21"/>
      <c r="G16" s="21"/>
      <c r="H16" s="21"/>
      <c r="I16" s="21" t="s">
        <v>19</v>
      </c>
      <c r="J16" s="21"/>
      <c r="K16" s="21"/>
      <c r="L16" s="116"/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si="0"/>
        <v>2</v>
      </c>
      <c r="D17" s="22">
        <v>3</v>
      </c>
      <c r="E17" s="21"/>
      <c r="F17" s="21" t="s">
        <v>19</v>
      </c>
      <c r="G17" s="21"/>
      <c r="H17" s="21"/>
      <c r="I17" s="21" t="s">
        <v>19</v>
      </c>
      <c r="J17" s="21"/>
      <c r="K17" s="21"/>
      <c r="L17" s="34"/>
      <c r="M17" s="35"/>
      <c r="N17" s="35"/>
      <c r="O17" s="35"/>
      <c r="P17" s="35"/>
      <c r="Q17" s="35"/>
      <c r="R17" s="36"/>
    </row>
    <row r="18" spans="1:18" ht="41.45" customHeight="1">
      <c r="A18" s="21"/>
      <c r="B18" s="21"/>
      <c r="C18" s="22">
        <f t="shared" si="0"/>
        <v>3</v>
      </c>
      <c r="D18" s="22">
        <v>4</v>
      </c>
      <c r="E18" s="21"/>
      <c r="F18" s="21" t="s">
        <v>19</v>
      </c>
      <c r="G18" s="21"/>
      <c r="H18" s="21"/>
      <c r="I18" s="21" t="s">
        <v>19</v>
      </c>
      <c r="J18" s="21"/>
      <c r="K18" s="21"/>
      <c r="L18" s="34"/>
      <c r="M18" s="35"/>
      <c r="N18" s="35"/>
      <c r="O18" s="35"/>
      <c r="P18" s="35"/>
      <c r="Q18" s="35"/>
      <c r="R18" s="36"/>
    </row>
    <row r="19" spans="1:18" ht="41.45" customHeight="1">
      <c r="A19" s="21"/>
      <c r="B19" s="21"/>
      <c r="C19" s="22">
        <f t="shared" si="0"/>
        <v>4</v>
      </c>
      <c r="D19" s="22">
        <v>5</v>
      </c>
      <c r="E19" s="21"/>
      <c r="F19" s="21" t="s">
        <v>19</v>
      </c>
      <c r="G19" s="21"/>
      <c r="H19" s="21"/>
      <c r="I19" s="21" t="s">
        <v>19</v>
      </c>
      <c r="J19" s="21"/>
      <c r="K19" s="21"/>
      <c r="L19" s="34"/>
      <c r="M19" s="35"/>
      <c r="N19" s="35"/>
      <c r="O19" s="35"/>
      <c r="P19" s="35"/>
      <c r="Q19" s="35"/>
      <c r="R19" s="36"/>
    </row>
    <row r="20" spans="1:18" ht="41.45" customHeight="1">
      <c r="A20" s="21"/>
      <c r="B20" s="21"/>
      <c r="C20" s="22">
        <f t="shared" si="0"/>
        <v>5</v>
      </c>
      <c r="D20" s="22">
        <v>6</v>
      </c>
      <c r="E20" s="21"/>
      <c r="F20" s="21" t="s">
        <v>19</v>
      </c>
      <c r="G20" s="21"/>
      <c r="H20" s="21"/>
      <c r="I20" s="21" t="s">
        <v>19</v>
      </c>
      <c r="J20" s="21"/>
      <c r="K20" s="21"/>
      <c r="L20" s="34"/>
      <c r="M20" s="35"/>
      <c r="N20" s="35"/>
      <c r="O20" s="35"/>
      <c r="P20" s="35"/>
      <c r="Q20" s="35"/>
      <c r="R20" s="36"/>
    </row>
    <row r="21" spans="1:18" ht="41.45" customHeight="1">
      <c r="A21" s="21"/>
      <c r="B21" s="21"/>
      <c r="C21" s="22">
        <f t="shared" si="0"/>
        <v>6</v>
      </c>
      <c r="D21" s="22">
        <v>7</v>
      </c>
      <c r="E21" s="21"/>
      <c r="F21" s="21" t="s">
        <v>19</v>
      </c>
      <c r="G21" s="21"/>
      <c r="H21" s="21"/>
      <c r="I21" s="21" t="s">
        <v>19</v>
      </c>
      <c r="J21" s="21"/>
      <c r="K21" s="21"/>
      <c r="L21" s="34"/>
      <c r="M21" s="35"/>
      <c r="N21" s="35"/>
      <c r="O21" s="35"/>
      <c r="P21" s="35"/>
      <c r="Q21" s="35"/>
      <c r="R21" s="36"/>
    </row>
    <row r="22" spans="1:18" ht="41.45" customHeight="1">
      <c r="A22" s="21"/>
      <c r="B22" s="21"/>
      <c r="C22" s="22">
        <f t="shared" si="0"/>
        <v>7</v>
      </c>
      <c r="D22" s="22">
        <v>8</v>
      </c>
      <c r="E22" s="21"/>
      <c r="F22" s="21" t="s">
        <v>19</v>
      </c>
      <c r="G22" s="21"/>
      <c r="H22" s="21"/>
      <c r="I22" s="21" t="s">
        <v>19</v>
      </c>
      <c r="J22" s="21"/>
      <c r="K22" s="21"/>
      <c r="L22" s="34"/>
      <c r="M22" s="35"/>
      <c r="N22" s="35"/>
      <c r="O22" s="35"/>
      <c r="P22" s="35"/>
      <c r="Q22" s="35"/>
      <c r="R22" s="36"/>
    </row>
    <row r="23" spans="1:18" ht="41.45" customHeight="1">
      <c r="A23" s="21"/>
      <c r="B23" s="21"/>
      <c r="C23" s="22">
        <f t="shared" si="0"/>
        <v>8</v>
      </c>
      <c r="D23" s="22">
        <v>9</v>
      </c>
      <c r="E23" s="21"/>
      <c r="F23" s="21" t="s">
        <v>19</v>
      </c>
      <c r="G23" s="21"/>
      <c r="H23" s="21"/>
      <c r="I23" s="21" t="s">
        <v>19</v>
      </c>
      <c r="J23" s="21"/>
      <c r="K23" s="21"/>
      <c r="L23" s="34"/>
      <c r="M23" s="35"/>
      <c r="N23" s="35"/>
      <c r="O23" s="35"/>
      <c r="P23" s="35"/>
      <c r="Q23" s="35"/>
      <c r="R23" s="36"/>
    </row>
    <row r="24" spans="1:18" ht="41.45" customHeight="1">
      <c r="A24" s="21"/>
      <c r="B24" s="21"/>
      <c r="C24" s="22">
        <f t="shared" si="0"/>
        <v>9</v>
      </c>
      <c r="D24" s="22">
        <v>10</v>
      </c>
      <c r="E24" s="21"/>
      <c r="F24" s="21" t="s">
        <v>19</v>
      </c>
      <c r="G24" s="21"/>
      <c r="H24" s="21"/>
      <c r="I24" s="21" t="s">
        <v>19</v>
      </c>
      <c r="J24" s="21"/>
      <c r="K24" s="21"/>
      <c r="L24" s="34"/>
      <c r="M24" s="35"/>
      <c r="N24" s="35"/>
      <c r="O24" s="35"/>
      <c r="P24" s="35"/>
      <c r="Q24" s="35"/>
      <c r="R24" s="36"/>
    </row>
    <row r="25" spans="1:18" ht="41.45" customHeight="1">
      <c r="A25" s="21"/>
      <c r="B25" s="21"/>
      <c r="C25" s="22">
        <f t="shared" si="0"/>
        <v>10</v>
      </c>
      <c r="D25" s="22">
        <v>11</v>
      </c>
      <c r="E25" s="21"/>
      <c r="F25" s="21" t="s">
        <v>19</v>
      </c>
      <c r="G25" s="21"/>
      <c r="H25" s="21"/>
      <c r="I25" s="21" t="s">
        <v>19</v>
      </c>
      <c r="J25" s="21"/>
      <c r="K25" s="21"/>
      <c r="L25" s="34"/>
      <c r="M25" s="35"/>
      <c r="N25" s="35"/>
      <c r="O25" s="35"/>
      <c r="P25" s="35"/>
      <c r="Q25" s="35"/>
      <c r="R25" s="36"/>
    </row>
    <row r="26" spans="1:18" ht="41.45" customHeight="1">
      <c r="A26" s="21"/>
      <c r="B26" s="21"/>
      <c r="C26" s="22">
        <f t="shared" si="0"/>
        <v>11</v>
      </c>
      <c r="D26" s="22">
        <v>12</v>
      </c>
      <c r="E26" s="21"/>
      <c r="F26" s="21" t="s">
        <v>19</v>
      </c>
      <c r="G26" s="21"/>
      <c r="H26" s="21"/>
      <c r="I26" s="21" t="s">
        <v>19</v>
      </c>
      <c r="J26" s="21"/>
      <c r="K26" s="21"/>
      <c r="L26" s="34"/>
      <c r="M26" s="35"/>
      <c r="N26" s="35"/>
      <c r="O26" s="35"/>
      <c r="P26" s="35"/>
      <c r="Q26" s="35"/>
      <c r="R26" s="36"/>
    </row>
    <row r="27" spans="1:18" ht="41.45" customHeight="1">
      <c r="A27" s="21"/>
      <c r="B27" s="21"/>
      <c r="C27" s="22">
        <f t="shared" si="0"/>
        <v>12</v>
      </c>
      <c r="D27" s="22">
        <v>13</v>
      </c>
      <c r="E27" s="21"/>
      <c r="F27" s="21" t="s">
        <v>19</v>
      </c>
      <c r="G27" s="21"/>
      <c r="H27" s="21"/>
      <c r="I27" s="21" t="s">
        <v>19</v>
      </c>
      <c r="J27" s="21"/>
      <c r="K27" s="21"/>
      <c r="L27" s="34"/>
      <c r="M27" s="35"/>
      <c r="N27" s="35"/>
      <c r="O27" s="35"/>
      <c r="P27" s="35"/>
      <c r="Q27" s="35"/>
      <c r="R27" s="36"/>
    </row>
    <row r="28" spans="1:18" ht="41.45" customHeight="1">
      <c r="A28" s="21"/>
      <c r="B28" s="21"/>
      <c r="C28" s="22">
        <f t="shared" si="0"/>
        <v>13</v>
      </c>
      <c r="D28" s="22">
        <v>14</v>
      </c>
      <c r="E28" s="21"/>
      <c r="F28" s="21" t="s">
        <v>19</v>
      </c>
      <c r="G28" s="21"/>
      <c r="H28" s="21"/>
      <c r="I28" s="21" t="s">
        <v>19</v>
      </c>
      <c r="J28" s="21"/>
      <c r="K28" s="21"/>
      <c r="L28" s="34"/>
      <c r="M28" s="35"/>
      <c r="N28" s="35"/>
      <c r="O28" s="35"/>
      <c r="P28" s="35"/>
      <c r="Q28" s="35"/>
      <c r="R28" s="36"/>
    </row>
    <row r="29" spans="1:18" ht="41.45" customHeight="1">
      <c r="A29" s="21"/>
      <c r="B29" s="21"/>
      <c r="C29" s="22">
        <f t="shared" si="0"/>
        <v>14</v>
      </c>
      <c r="D29" s="22">
        <v>15</v>
      </c>
      <c r="E29" s="21"/>
      <c r="F29" s="21" t="s">
        <v>19</v>
      </c>
      <c r="G29" s="21"/>
      <c r="H29" s="21"/>
      <c r="I29" s="21" t="s">
        <v>19</v>
      </c>
      <c r="J29" s="21"/>
      <c r="K29" s="21"/>
      <c r="L29" s="34"/>
      <c r="M29" s="35"/>
      <c r="N29" s="35"/>
      <c r="O29" s="35"/>
      <c r="P29" s="35"/>
      <c r="Q29" s="35"/>
      <c r="R29" s="36"/>
    </row>
    <row r="30" spans="1:18" ht="41.45" customHeight="1">
      <c r="A30" s="21"/>
      <c r="B30" s="21"/>
      <c r="C30" s="22">
        <f t="shared" si="0"/>
        <v>15</v>
      </c>
      <c r="D30" s="22">
        <v>16</v>
      </c>
      <c r="E30" s="21"/>
      <c r="F30" s="21" t="s">
        <v>19</v>
      </c>
      <c r="G30" s="21"/>
      <c r="H30" s="21"/>
      <c r="I30" s="21"/>
      <c r="J30" s="21" t="s">
        <v>19</v>
      </c>
      <c r="K30" s="21"/>
      <c r="L30" s="34"/>
      <c r="M30" s="35"/>
      <c r="N30" s="35"/>
      <c r="O30" s="35"/>
      <c r="P30" s="35"/>
      <c r="Q30" s="35"/>
      <c r="R30" s="36"/>
    </row>
    <row r="31" spans="1:18" ht="41.45" customHeight="1">
      <c r="A31" s="21"/>
      <c r="B31" s="21"/>
      <c r="C31" s="22">
        <f t="shared" si="0"/>
        <v>16</v>
      </c>
      <c r="D31" s="22">
        <v>17</v>
      </c>
      <c r="E31" s="21"/>
      <c r="F31" s="21" t="s">
        <v>19</v>
      </c>
      <c r="G31" s="21"/>
      <c r="H31" s="21"/>
      <c r="I31" s="21"/>
      <c r="J31" s="21" t="s">
        <v>19</v>
      </c>
      <c r="K31" s="21"/>
      <c r="L31" s="34"/>
      <c r="M31" s="35"/>
      <c r="N31" s="35"/>
      <c r="O31" s="35"/>
      <c r="P31" s="35"/>
      <c r="Q31" s="35"/>
      <c r="R31" s="36"/>
    </row>
    <row r="32" spans="1:18" ht="41.45" customHeight="1">
      <c r="A32" s="21"/>
      <c r="B32" s="21"/>
      <c r="C32" s="22">
        <f t="shared" si="0"/>
        <v>17</v>
      </c>
      <c r="D32" s="22">
        <v>18</v>
      </c>
      <c r="E32" s="21"/>
      <c r="F32" s="21" t="s">
        <v>19</v>
      </c>
      <c r="G32" s="21"/>
      <c r="H32" s="21"/>
      <c r="I32" s="21"/>
      <c r="J32" s="21" t="s">
        <v>19</v>
      </c>
      <c r="K32" s="21"/>
      <c r="L32" s="34"/>
      <c r="M32" s="35"/>
      <c r="N32" s="35"/>
      <c r="O32" s="35"/>
      <c r="P32" s="35"/>
      <c r="Q32" s="35"/>
      <c r="R32" s="36"/>
    </row>
    <row r="33" spans="1:18" ht="41.45" customHeight="1">
      <c r="A33" s="21"/>
      <c r="B33" s="21"/>
      <c r="C33" s="22">
        <f t="shared" si="0"/>
        <v>18</v>
      </c>
      <c r="D33" s="22">
        <v>18.04</v>
      </c>
      <c r="E33" s="21"/>
      <c r="F33" s="21" t="s">
        <v>19</v>
      </c>
      <c r="G33" s="21"/>
      <c r="H33" s="21"/>
      <c r="I33" s="21"/>
      <c r="J33" s="21" t="s">
        <v>19</v>
      </c>
      <c r="K33" s="21"/>
      <c r="L33" s="34"/>
      <c r="M33" s="35"/>
      <c r="N33" s="35"/>
      <c r="O33" s="35"/>
      <c r="P33" s="35"/>
      <c r="Q33" s="35"/>
      <c r="R33" s="36"/>
    </row>
    <row r="34" spans="1:18" ht="41.45" customHeight="1">
      <c r="A34" s="21" t="s">
        <v>68</v>
      </c>
      <c r="B34" s="21" t="s">
        <v>18</v>
      </c>
      <c r="C34" s="22">
        <v>0</v>
      </c>
      <c r="D34" s="22">
        <v>1</v>
      </c>
      <c r="E34" s="21"/>
      <c r="F34" s="21" t="s">
        <v>19</v>
      </c>
      <c r="G34" s="21"/>
      <c r="H34" s="21"/>
      <c r="I34" s="21"/>
      <c r="J34" s="21" t="s">
        <v>19</v>
      </c>
      <c r="K34" s="21"/>
      <c r="L34" s="34"/>
      <c r="M34" s="35"/>
      <c r="N34" s="35"/>
      <c r="O34" s="35"/>
      <c r="P34" s="35"/>
      <c r="Q34" s="35"/>
      <c r="R34" s="36"/>
    </row>
    <row r="35" spans="1:18" ht="41.45" customHeight="1">
      <c r="A35" s="21"/>
      <c r="B35" s="21"/>
      <c r="C35" s="22">
        <f>D34</f>
        <v>1</v>
      </c>
      <c r="D35" s="22">
        <v>2</v>
      </c>
      <c r="E35" s="21"/>
      <c r="F35" s="21" t="s">
        <v>19</v>
      </c>
      <c r="G35" s="21"/>
      <c r="H35" s="21"/>
      <c r="I35" s="21"/>
      <c r="J35" s="21" t="s">
        <v>19</v>
      </c>
      <c r="K35" s="21"/>
      <c r="L35" s="34"/>
      <c r="M35" s="35"/>
      <c r="N35" s="35"/>
      <c r="O35" s="35"/>
      <c r="P35" s="35"/>
      <c r="Q35" s="35"/>
      <c r="R35" s="36"/>
    </row>
    <row r="36" spans="1:18" ht="41.45" customHeight="1">
      <c r="A36" s="21"/>
      <c r="B36" s="21"/>
      <c r="C36" s="22">
        <f t="shared" ref="C36:C44" si="1">D35</f>
        <v>2</v>
      </c>
      <c r="D36" s="22">
        <v>3</v>
      </c>
      <c r="E36" s="21"/>
      <c r="F36" s="21" t="s">
        <v>19</v>
      </c>
      <c r="G36" s="21"/>
      <c r="H36" s="21"/>
      <c r="I36" s="21"/>
      <c r="J36" s="21" t="s">
        <v>19</v>
      </c>
      <c r="K36" s="21"/>
      <c r="L36" s="34"/>
      <c r="M36" s="35"/>
      <c r="N36" s="35"/>
      <c r="O36" s="35"/>
      <c r="P36" s="35"/>
      <c r="Q36" s="35"/>
      <c r="R36" s="36"/>
    </row>
    <row r="37" spans="1:18" ht="41.45" customHeight="1">
      <c r="A37" s="21"/>
      <c r="B37" s="21"/>
      <c r="C37" s="22">
        <f t="shared" si="1"/>
        <v>3</v>
      </c>
      <c r="D37" s="22">
        <v>4</v>
      </c>
      <c r="E37" s="21"/>
      <c r="F37" s="21" t="s">
        <v>19</v>
      </c>
      <c r="G37" s="21"/>
      <c r="H37" s="21"/>
      <c r="I37" s="21"/>
      <c r="J37" s="21" t="s">
        <v>19</v>
      </c>
      <c r="K37" s="21"/>
      <c r="L37" s="34"/>
      <c r="M37" s="35"/>
      <c r="N37" s="35"/>
      <c r="O37" s="35"/>
      <c r="P37" s="35"/>
      <c r="Q37" s="35"/>
      <c r="R37" s="36"/>
    </row>
    <row r="38" spans="1:18" ht="41.45" customHeight="1">
      <c r="A38" s="21"/>
      <c r="B38" s="21"/>
      <c r="C38" s="22">
        <f t="shared" si="1"/>
        <v>4</v>
      </c>
      <c r="D38" s="22">
        <v>5</v>
      </c>
      <c r="E38" s="21"/>
      <c r="F38" s="21" t="s">
        <v>19</v>
      </c>
      <c r="G38" s="21"/>
      <c r="H38" s="21"/>
      <c r="I38" s="21"/>
      <c r="J38" s="21" t="s">
        <v>19</v>
      </c>
      <c r="K38" s="21"/>
      <c r="L38" s="34"/>
      <c r="M38" s="35"/>
      <c r="N38" s="35"/>
      <c r="O38" s="35"/>
      <c r="P38" s="35"/>
      <c r="Q38" s="35"/>
      <c r="R38" s="36"/>
    </row>
    <row r="39" spans="1:18" ht="41.45" customHeight="1">
      <c r="A39" s="21"/>
      <c r="B39" s="21"/>
      <c r="C39" s="22">
        <f t="shared" si="1"/>
        <v>5</v>
      </c>
      <c r="D39" s="22">
        <v>6</v>
      </c>
      <c r="E39" s="21"/>
      <c r="F39" s="21" t="s">
        <v>19</v>
      </c>
      <c r="G39" s="21"/>
      <c r="H39" s="21"/>
      <c r="I39" s="21"/>
      <c r="J39" s="21" t="s">
        <v>19</v>
      </c>
      <c r="K39" s="21"/>
      <c r="L39" s="34"/>
      <c r="M39" s="35"/>
      <c r="N39" s="35"/>
      <c r="O39" s="35"/>
      <c r="P39" s="35"/>
      <c r="Q39" s="35"/>
      <c r="R39" s="36"/>
    </row>
    <row r="40" spans="1:18" ht="41.45" customHeight="1">
      <c r="A40" s="21"/>
      <c r="B40" s="21"/>
      <c r="C40" s="22">
        <f t="shared" si="1"/>
        <v>6</v>
      </c>
      <c r="D40" s="22">
        <v>7</v>
      </c>
      <c r="E40" s="21"/>
      <c r="F40" s="21" t="s">
        <v>19</v>
      </c>
      <c r="G40" s="21"/>
      <c r="H40" s="21"/>
      <c r="I40" s="21"/>
      <c r="J40" s="21" t="s">
        <v>19</v>
      </c>
      <c r="K40" s="21"/>
      <c r="L40" s="34"/>
      <c r="M40" s="35"/>
      <c r="N40" s="35"/>
      <c r="O40" s="35"/>
      <c r="P40" s="35"/>
      <c r="Q40" s="35"/>
      <c r="R40" s="36"/>
    </row>
    <row r="41" spans="1:18" ht="41.45" customHeight="1">
      <c r="A41" s="21"/>
      <c r="B41" s="21"/>
      <c r="C41" s="22">
        <f t="shared" si="1"/>
        <v>7</v>
      </c>
      <c r="D41" s="22">
        <v>8</v>
      </c>
      <c r="E41" s="21"/>
      <c r="F41" s="21" t="s">
        <v>19</v>
      </c>
      <c r="G41" s="21"/>
      <c r="H41" s="21"/>
      <c r="I41" s="21"/>
      <c r="J41" s="21" t="s">
        <v>19</v>
      </c>
      <c r="K41" s="21"/>
      <c r="L41" s="34"/>
      <c r="M41" s="35"/>
      <c r="N41" s="35"/>
      <c r="O41" s="35"/>
      <c r="P41" s="35"/>
      <c r="Q41" s="35"/>
      <c r="R41" s="36"/>
    </row>
    <row r="42" spans="1:18" ht="41.45" customHeight="1">
      <c r="A42" s="21"/>
      <c r="B42" s="21"/>
      <c r="C42" s="22">
        <f t="shared" si="1"/>
        <v>8</v>
      </c>
      <c r="D42" s="22">
        <v>9</v>
      </c>
      <c r="E42" s="21"/>
      <c r="F42" s="21" t="s">
        <v>19</v>
      </c>
      <c r="G42" s="21"/>
      <c r="H42" s="21"/>
      <c r="I42" s="21"/>
      <c r="J42" s="21" t="s">
        <v>19</v>
      </c>
      <c r="K42" s="21"/>
      <c r="L42" s="34"/>
      <c r="M42" s="35"/>
      <c r="N42" s="35"/>
      <c r="O42" s="35"/>
      <c r="P42" s="35"/>
      <c r="Q42" s="35"/>
      <c r="R42" s="36"/>
    </row>
    <row r="43" spans="1:18" ht="41.45" customHeight="1">
      <c r="A43" s="21"/>
      <c r="B43" s="21"/>
      <c r="C43" s="22">
        <f t="shared" si="1"/>
        <v>9</v>
      </c>
      <c r="D43" s="22">
        <v>10</v>
      </c>
      <c r="E43" s="21"/>
      <c r="F43" s="21" t="s">
        <v>19</v>
      </c>
      <c r="G43" s="21"/>
      <c r="H43" s="21"/>
      <c r="I43" s="21"/>
      <c r="J43" s="21" t="s">
        <v>19</v>
      </c>
      <c r="K43" s="21"/>
      <c r="L43" s="34"/>
      <c r="M43" s="35"/>
      <c r="N43" s="35"/>
      <c r="O43" s="35"/>
      <c r="P43" s="35"/>
      <c r="Q43" s="35"/>
      <c r="R43" s="36"/>
    </row>
    <row r="44" spans="1:18" ht="41.45" customHeight="1">
      <c r="A44" s="21"/>
      <c r="B44" s="21"/>
      <c r="C44" s="22">
        <f t="shared" si="1"/>
        <v>10</v>
      </c>
      <c r="D44" s="22">
        <v>10.37</v>
      </c>
      <c r="E44" s="21"/>
      <c r="F44" s="21" t="s">
        <v>19</v>
      </c>
      <c r="G44" s="21"/>
      <c r="H44" s="21"/>
      <c r="I44" s="21"/>
      <c r="J44" s="21" t="s">
        <v>19</v>
      </c>
      <c r="K44" s="21"/>
      <c r="L44" s="34"/>
      <c r="M44" s="35"/>
      <c r="N44" s="35"/>
      <c r="O44" s="35"/>
      <c r="P44" s="35"/>
      <c r="Q44" s="35"/>
      <c r="R44" s="36"/>
    </row>
    <row r="45" spans="1:18" ht="41.45" customHeight="1">
      <c r="A45" s="19"/>
      <c r="B45" s="3"/>
      <c r="C45" s="110"/>
      <c r="D45" s="110"/>
      <c r="E45" s="38"/>
      <c r="F45" s="38"/>
      <c r="G45" s="38"/>
      <c r="H45" s="38"/>
      <c r="I45" s="38"/>
      <c r="J45" s="38"/>
      <c r="K45" s="38"/>
      <c r="L45" s="116"/>
      <c r="M45" s="117"/>
      <c r="N45" s="117"/>
      <c r="O45" s="117"/>
      <c r="P45" s="117"/>
      <c r="Q45" s="117"/>
      <c r="R45" s="118"/>
    </row>
    <row r="46" spans="1:18" ht="41.45" customHeight="1">
      <c r="A46" s="19"/>
      <c r="B46" s="3"/>
      <c r="C46" s="110"/>
      <c r="D46" s="110"/>
      <c r="E46" s="38"/>
      <c r="F46" s="38"/>
      <c r="G46" s="38"/>
      <c r="H46" s="38"/>
      <c r="I46" s="38"/>
      <c r="J46" s="38"/>
      <c r="K46" s="38"/>
      <c r="L46" s="116"/>
      <c r="M46" s="117"/>
      <c r="N46" s="117"/>
      <c r="O46" s="117"/>
      <c r="P46" s="117"/>
      <c r="Q46" s="117"/>
      <c r="R46" s="118"/>
    </row>
    <row r="47" spans="1:18" ht="41.45" customHeight="1">
      <c r="A47" s="19"/>
      <c r="B47" s="3"/>
      <c r="C47" s="110"/>
      <c r="D47" s="110"/>
      <c r="E47" s="38"/>
      <c r="F47" s="38"/>
      <c r="G47" s="38"/>
      <c r="H47" s="38"/>
      <c r="I47" s="38"/>
      <c r="J47" s="38"/>
      <c r="K47" s="38"/>
      <c r="L47" s="116"/>
      <c r="M47" s="117"/>
      <c r="N47" s="117"/>
      <c r="O47" s="117"/>
      <c r="P47" s="117"/>
      <c r="Q47" s="117"/>
      <c r="R47" s="118"/>
    </row>
    <row r="48" spans="1:18" ht="41.45" customHeight="1">
      <c r="A48" s="19"/>
      <c r="B48" s="3"/>
      <c r="C48" s="110"/>
      <c r="D48" s="110"/>
      <c r="E48" s="38"/>
      <c r="F48" s="38"/>
      <c r="G48" s="38"/>
      <c r="H48" s="38"/>
      <c r="I48" s="38"/>
      <c r="J48" s="38"/>
      <c r="K48" s="38"/>
      <c r="L48" s="116"/>
      <c r="M48" s="117"/>
      <c r="N48" s="117"/>
      <c r="O48" s="117"/>
      <c r="P48" s="117"/>
      <c r="Q48" s="117"/>
      <c r="R48" s="118"/>
    </row>
    <row r="49" spans="1:18" ht="41.45" customHeight="1">
      <c r="A49" s="19"/>
      <c r="B49" s="3"/>
      <c r="C49" s="110"/>
      <c r="D49" s="110"/>
      <c r="E49" s="38"/>
      <c r="F49" s="38"/>
      <c r="G49" s="38"/>
      <c r="H49" s="38"/>
      <c r="I49" s="38"/>
      <c r="J49" s="38"/>
      <c r="K49" s="38"/>
      <c r="L49" s="116"/>
      <c r="M49" s="117"/>
      <c r="N49" s="117"/>
      <c r="O49" s="117"/>
      <c r="P49" s="117"/>
      <c r="Q49" s="117"/>
      <c r="R49" s="118"/>
    </row>
    <row r="50" spans="1:18" ht="41.45" customHeight="1">
      <c r="A50" s="19"/>
      <c r="B50" s="3"/>
      <c r="C50" s="110"/>
      <c r="D50" s="110"/>
      <c r="E50" s="38"/>
      <c r="F50" s="38"/>
      <c r="G50" s="38"/>
      <c r="H50" s="38"/>
      <c r="I50" s="38"/>
      <c r="J50" s="38"/>
      <c r="K50" s="38"/>
      <c r="L50" s="116"/>
      <c r="M50" s="117"/>
      <c r="N50" s="117"/>
      <c r="O50" s="117"/>
      <c r="P50" s="117"/>
      <c r="Q50" s="117"/>
      <c r="R50" s="118"/>
    </row>
    <row r="51" spans="1:18" ht="41.45" customHeight="1">
      <c r="A51" s="23"/>
      <c r="B51" s="24"/>
      <c r="C51" s="25"/>
      <c r="D51" s="25"/>
      <c r="E51" s="25">
        <f>IF(E7="X",(D7-C7),"0")</f>
        <v>1</v>
      </c>
      <c r="F51" s="25" t="str">
        <f>IF(F7="X",(D7-C7),"0")</f>
        <v>0</v>
      </c>
      <c r="G51" s="25" t="str">
        <f>IF(G7="X",(D7-C7),"0")</f>
        <v>0</v>
      </c>
      <c r="H51" s="25" t="str">
        <f>IF(H7="X",(D7-C7),"0")</f>
        <v>0</v>
      </c>
      <c r="I51" s="25">
        <f>IF(I7="X",(D7-C7),"0")</f>
        <v>1</v>
      </c>
      <c r="J51" s="25" t="str">
        <f>IF(J7="X",(D7-C7),"0")</f>
        <v>0</v>
      </c>
      <c r="K51" s="25" t="str">
        <f>IF(K7="X",(D7-C7),"0")</f>
        <v>0</v>
      </c>
      <c r="L51" s="147"/>
      <c r="M51" s="148"/>
      <c r="N51" s="148"/>
      <c r="O51" s="148"/>
      <c r="P51" s="148"/>
      <c r="Q51" s="148"/>
      <c r="R51" s="149"/>
    </row>
    <row r="52" spans="1:18" ht="41.45" customHeight="1">
      <c r="A52" s="19"/>
      <c r="B52" s="3"/>
      <c r="C52" s="22"/>
      <c r="D52" s="22"/>
      <c r="E52" s="25">
        <f t="shared" ref="E52:E61" si="2">IF(E8="X",(D8-C8),"0")</f>
        <v>1</v>
      </c>
      <c r="F52" s="25" t="str">
        <f t="shared" ref="F52:F61" si="3">IF(F8="X",(D8-C8),"0")</f>
        <v>0</v>
      </c>
      <c r="G52" s="25" t="str">
        <f t="shared" ref="G52:G61" si="4">IF(G8="X",(D8-C8),"0")</f>
        <v>0</v>
      </c>
      <c r="H52" s="25" t="str">
        <f t="shared" ref="H52:H61" si="5">IF(H8="X",(D8-C8),"0")</f>
        <v>0</v>
      </c>
      <c r="I52" s="25">
        <f t="shared" ref="I52:I61" si="6">IF(I8="X",(D8-C8),"0")</f>
        <v>1</v>
      </c>
      <c r="J52" s="25" t="str">
        <f t="shared" ref="J52:J61" si="7">IF(J8="X",(D8-C8),"0")</f>
        <v>0</v>
      </c>
      <c r="K52" s="25" t="str">
        <f t="shared" ref="K52:K61" si="8">IF(K8="X",(D8-C8),"0")</f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>
        <f t="shared" si="2"/>
        <v>0.64000000000000012</v>
      </c>
      <c r="F53" s="25" t="str">
        <f t="shared" si="3"/>
        <v>0</v>
      </c>
      <c r="G53" s="25" t="str">
        <f t="shared" si="4"/>
        <v>0</v>
      </c>
      <c r="H53" s="25" t="str">
        <f t="shared" si="5"/>
        <v>0</v>
      </c>
      <c r="I53" s="25">
        <f t="shared" si="6"/>
        <v>0.64000000000000012</v>
      </c>
      <c r="J53" s="25" t="str">
        <f t="shared" si="7"/>
        <v>0</v>
      </c>
      <c r="K53" s="25" t="str">
        <f t="shared" si="8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5" t="str">
        <f t="shared" si="2"/>
        <v>0</v>
      </c>
      <c r="F54" s="25">
        <f t="shared" si="3"/>
        <v>1</v>
      </c>
      <c r="G54" s="25" t="str">
        <f t="shared" si="4"/>
        <v>0</v>
      </c>
      <c r="H54" s="25" t="str">
        <f t="shared" si="5"/>
        <v>0</v>
      </c>
      <c r="I54" s="25">
        <f t="shared" si="6"/>
        <v>1</v>
      </c>
      <c r="J54" s="25" t="str">
        <f t="shared" si="7"/>
        <v>0</v>
      </c>
      <c r="K54" s="25" t="str">
        <f t="shared" si="8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5" t="str">
        <f t="shared" si="2"/>
        <v>0</v>
      </c>
      <c r="F55" s="25">
        <f t="shared" si="3"/>
        <v>1</v>
      </c>
      <c r="G55" s="25" t="str">
        <f t="shared" si="4"/>
        <v>0</v>
      </c>
      <c r="H55" s="25" t="str">
        <f t="shared" si="5"/>
        <v>0</v>
      </c>
      <c r="I55" s="25">
        <f t="shared" si="6"/>
        <v>1</v>
      </c>
      <c r="J55" s="25" t="str">
        <f t="shared" si="7"/>
        <v>0</v>
      </c>
      <c r="K55" s="25" t="str">
        <f t="shared" si="8"/>
        <v>0</v>
      </c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5" t="str">
        <f t="shared" si="2"/>
        <v>0</v>
      </c>
      <c r="F56" s="25">
        <f t="shared" si="3"/>
        <v>1</v>
      </c>
      <c r="G56" s="25" t="str">
        <f t="shared" si="4"/>
        <v>0</v>
      </c>
      <c r="H56" s="25" t="str">
        <f t="shared" si="5"/>
        <v>0</v>
      </c>
      <c r="I56" s="25">
        <f t="shared" si="6"/>
        <v>1</v>
      </c>
      <c r="J56" s="25" t="str">
        <f t="shared" si="7"/>
        <v>0</v>
      </c>
      <c r="K56" s="25" t="str">
        <f t="shared" si="8"/>
        <v>0</v>
      </c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5" t="str">
        <f t="shared" si="2"/>
        <v>0</v>
      </c>
      <c r="F57" s="25">
        <f t="shared" si="3"/>
        <v>1</v>
      </c>
      <c r="G57" s="25" t="str">
        <f t="shared" si="4"/>
        <v>0</v>
      </c>
      <c r="H57" s="25" t="str">
        <f t="shared" si="5"/>
        <v>0</v>
      </c>
      <c r="I57" s="25">
        <f t="shared" si="6"/>
        <v>1</v>
      </c>
      <c r="J57" s="25" t="str">
        <f t="shared" si="7"/>
        <v>0</v>
      </c>
      <c r="K57" s="25" t="str">
        <f t="shared" si="8"/>
        <v>0</v>
      </c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5" t="str">
        <f t="shared" si="2"/>
        <v>0</v>
      </c>
      <c r="F58" s="25">
        <f t="shared" si="3"/>
        <v>0.91000000000000014</v>
      </c>
      <c r="G58" s="25" t="str">
        <f t="shared" si="4"/>
        <v>0</v>
      </c>
      <c r="H58" s="25" t="str">
        <f t="shared" si="5"/>
        <v>0</v>
      </c>
      <c r="I58" s="25">
        <f t="shared" si="6"/>
        <v>0.91000000000000014</v>
      </c>
      <c r="J58" s="25" t="str">
        <f t="shared" si="7"/>
        <v>0</v>
      </c>
      <c r="K58" s="25" t="str">
        <f t="shared" si="8"/>
        <v>0</v>
      </c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5">
        <f t="shared" si="2"/>
        <v>1</v>
      </c>
      <c r="F59" s="25" t="str">
        <f t="shared" si="3"/>
        <v>0</v>
      </c>
      <c r="G59" s="25" t="str">
        <f t="shared" si="4"/>
        <v>0</v>
      </c>
      <c r="H59" s="25" t="str">
        <f t="shared" si="5"/>
        <v>0</v>
      </c>
      <c r="I59" s="25">
        <f t="shared" si="6"/>
        <v>1</v>
      </c>
      <c r="J59" s="25" t="str">
        <f t="shared" si="7"/>
        <v>0</v>
      </c>
      <c r="K59" s="25" t="str">
        <f t="shared" si="8"/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>
        <f t="shared" si="2"/>
        <v>1</v>
      </c>
      <c r="F60" s="25" t="str">
        <f t="shared" si="3"/>
        <v>0</v>
      </c>
      <c r="G60" s="25" t="str">
        <f t="shared" si="4"/>
        <v>0</v>
      </c>
      <c r="H60" s="25" t="str">
        <f t="shared" si="5"/>
        <v>0</v>
      </c>
      <c r="I60" s="25">
        <f t="shared" si="6"/>
        <v>1</v>
      </c>
      <c r="J60" s="25" t="str">
        <f t="shared" si="7"/>
        <v>0</v>
      </c>
      <c r="K60" s="25" t="str">
        <f t="shared" si="8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 t="str">
        <f t="shared" si="2"/>
        <v>0</v>
      </c>
      <c r="F61" s="25">
        <f t="shared" si="3"/>
        <v>1</v>
      </c>
      <c r="G61" s="25" t="str">
        <f t="shared" si="4"/>
        <v>0</v>
      </c>
      <c r="H61" s="25" t="str">
        <f t="shared" si="5"/>
        <v>0</v>
      </c>
      <c r="I61" s="25">
        <f t="shared" si="6"/>
        <v>1</v>
      </c>
      <c r="J61" s="25" t="str">
        <f t="shared" si="7"/>
        <v>0</v>
      </c>
      <c r="K61" s="25" t="str">
        <f t="shared" si="8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5" t="str">
        <f t="shared" ref="E62:E75" si="9">IF(E18="X",(D18-C18),"0")</f>
        <v>0</v>
      </c>
      <c r="F62" s="25">
        <f t="shared" ref="F62:F75" si="10">IF(F18="X",(D18-C18),"0")</f>
        <v>1</v>
      </c>
      <c r="G62" s="25" t="str">
        <f t="shared" ref="G62:G75" si="11">IF(G18="X",(D18-C18),"0")</f>
        <v>0</v>
      </c>
      <c r="H62" s="25" t="str">
        <f t="shared" ref="H62:H75" si="12">IF(H18="X",(D18-C18),"0")</f>
        <v>0</v>
      </c>
      <c r="I62" s="25">
        <f t="shared" ref="I62:I75" si="13">IF(I18="X",(D18-C18),"0")</f>
        <v>1</v>
      </c>
      <c r="J62" s="25" t="str">
        <f t="shared" ref="J62:J75" si="14">IF(J18="X",(D18-C18),"0")</f>
        <v>0</v>
      </c>
      <c r="K62" s="25" t="str">
        <f t="shared" ref="K62:K75" si="15">IF(K18="X",(D18-C18),"0")</f>
        <v>0</v>
      </c>
      <c r="L62" s="21"/>
      <c r="M62" s="21"/>
      <c r="N62" s="21"/>
      <c r="O62" s="21"/>
      <c r="P62" s="21"/>
      <c r="Q62" s="21"/>
      <c r="R62" s="33"/>
    </row>
    <row r="63" spans="1:18" ht="41.45" customHeight="1">
      <c r="A63" s="19"/>
      <c r="B63" s="3"/>
      <c r="C63" s="22"/>
      <c r="D63" s="22"/>
      <c r="E63" s="25" t="str">
        <f t="shared" si="9"/>
        <v>0</v>
      </c>
      <c r="F63" s="25">
        <f t="shared" si="10"/>
        <v>1</v>
      </c>
      <c r="G63" s="25" t="str">
        <f t="shared" si="11"/>
        <v>0</v>
      </c>
      <c r="H63" s="25" t="str">
        <f t="shared" si="12"/>
        <v>0</v>
      </c>
      <c r="I63" s="25">
        <f t="shared" si="13"/>
        <v>1</v>
      </c>
      <c r="J63" s="25" t="str">
        <f t="shared" si="14"/>
        <v>0</v>
      </c>
      <c r="K63" s="25" t="str">
        <f t="shared" si="15"/>
        <v>0</v>
      </c>
      <c r="L63" s="21"/>
      <c r="M63" s="21"/>
      <c r="N63" s="21"/>
      <c r="O63" s="21"/>
      <c r="P63" s="21"/>
      <c r="Q63" s="21"/>
      <c r="R63" s="33"/>
    </row>
    <row r="64" spans="1:18" ht="41.45" customHeight="1">
      <c r="A64" s="19"/>
      <c r="B64" s="3"/>
      <c r="C64" s="22"/>
      <c r="D64" s="22"/>
      <c r="E64" s="25" t="str">
        <f t="shared" si="9"/>
        <v>0</v>
      </c>
      <c r="F64" s="25">
        <f t="shared" si="10"/>
        <v>1</v>
      </c>
      <c r="G64" s="25" t="str">
        <f t="shared" si="11"/>
        <v>0</v>
      </c>
      <c r="H64" s="25" t="str">
        <f t="shared" si="12"/>
        <v>0</v>
      </c>
      <c r="I64" s="25">
        <f t="shared" si="13"/>
        <v>1</v>
      </c>
      <c r="J64" s="25" t="str">
        <f t="shared" si="14"/>
        <v>0</v>
      </c>
      <c r="K64" s="25" t="str">
        <f t="shared" si="15"/>
        <v>0</v>
      </c>
      <c r="L64" s="21"/>
      <c r="M64" s="21"/>
      <c r="N64" s="21"/>
      <c r="O64" s="21"/>
      <c r="P64" s="21"/>
      <c r="Q64" s="21"/>
      <c r="R64" s="33"/>
    </row>
    <row r="65" spans="1:18" ht="41.45" customHeight="1">
      <c r="A65" s="19"/>
      <c r="B65" s="3"/>
      <c r="C65" s="22"/>
      <c r="D65" s="22"/>
      <c r="E65" s="25" t="str">
        <f t="shared" si="9"/>
        <v>0</v>
      </c>
      <c r="F65" s="25">
        <f t="shared" si="10"/>
        <v>1</v>
      </c>
      <c r="G65" s="25" t="str">
        <f t="shared" si="11"/>
        <v>0</v>
      </c>
      <c r="H65" s="25" t="str">
        <f t="shared" si="12"/>
        <v>0</v>
      </c>
      <c r="I65" s="25">
        <f t="shared" si="13"/>
        <v>1</v>
      </c>
      <c r="J65" s="25" t="str">
        <f t="shared" si="14"/>
        <v>0</v>
      </c>
      <c r="K65" s="25" t="str">
        <f t="shared" si="15"/>
        <v>0</v>
      </c>
      <c r="L65" s="21"/>
      <c r="M65" s="21"/>
      <c r="N65" s="21"/>
      <c r="O65" s="21"/>
      <c r="P65" s="21"/>
      <c r="Q65" s="21"/>
      <c r="R65" s="33"/>
    </row>
    <row r="66" spans="1:18" ht="41.45" customHeight="1">
      <c r="A66" s="19"/>
      <c r="B66" s="3"/>
      <c r="C66" s="22"/>
      <c r="D66" s="22"/>
      <c r="E66" s="25" t="str">
        <f t="shared" si="9"/>
        <v>0</v>
      </c>
      <c r="F66" s="25">
        <f t="shared" si="10"/>
        <v>1</v>
      </c>
      <c r="G66" s="25" t="str">
        <f t="shared" si="11"/>
        <v>0</v>
      </c>
      <c r="H66" s="25" t="str">
        <f t="shared" si="12"/>
        <v>0</v>
      </c>
      <c r="I66" s="25">
        <f t="shared" si="13"/>
        <v>1</v>
      </c>
      <c r="J66" s="25" t="str">
        <f t="shared" si="14"/>
        <v>0</v>
      </c>
      <c r="K66" s="25" t="str">
        <f t="shared" si="15"/>
        <v>0</v>
      </c>
      <c r="L66" s="21"/>
      <c r="M66" s="21"/>
      <c r="N66" s="21"/>
      <c r="O66" s="21"/>
      <c r="P66" s="21"/>
      <c r="Q66" s="21"/>
      <c r="R66" s="33"/>
    </row>
    <row r="67" spans="1:18" ht="41.45" customHeight="1">
      <c r="A67" s="19"/>
      <c r="B67" s="3"/>
      <c r="C67" s="22"/>
      <c r="D67" s="22"/>
      <c r="E67" s="25" t="str">
        <f t="shared" si="9"/>
        <v>0</v>
      </c>
      <c r="F67" s="25">
        <f t="shared" si="10"/>
        <v>1</v>
      </c>
      <c r="G67" s="25" t="str">
        <f t="shared" si="11"/>
        <v>0</v>
      </c>
      <c r="H67" s="25" t="str">
        <f t="shared" si="12"/>
        <v>0</v>
      </c>
      <c r="I67" s="25">
        <f t="shared" si="13"/>
        <v>1</v>
      </c>
      <c r="J67" s="25" t="str">
        <f t="shared" si="14"/>
        <v>0</v>
      </c>
      <c r="K67" s="25" t="str">
        <f t="shared" si="15"/>
        <v>0</v>
      </c>
      <c r="L67" s="21"/>
      <c r="M67" s="21"/>
      <c r="N67" s="21"/>
      <c r="O67" s="21"/>
      <c r="P67" s="21"/>
      <c r="Q67" s="21"/>
      <c r="R67" s="33"/>
    </row>
    <row r="68" spans="1:18" ht="41.45" customHeight="1">
      <c r="A68" s="19"/>
      <c r="B68" s="3"/>
      <c r="C68" s="22"/>
      <c r="D68" s="22"/>
      <c r="E68" s="25" t="str">
        <f t="shared" si="9"/>
        <v>0</v>
      </c>
      <c r="F68" s="25">
        <f t="shared" si="10"/>
        <v>1</v>
      </c>
      <c r="G68" s="25" t="str">
        <f t="shared" si="11"/>
        <v>0</v>
      </c>
      <c r="H68" s="25" t="str">
        <f t="shared" si="12"/>
        <v>0</v>
      </c>
      <c r="I68" s="25">
        <f t="shared" si="13"/>
        <v>1</v>
      </c>
      <c r="J68" s="25" t="str">
        <f t="shared" si="14"/>
        <v>0</v>
      </c>
      <c r="K68" s="25" t="str">
        <f t="shared" si="15"/>
        <v>0</v>
      </c>
      <c r="L68" s="21"/>
      <c r="M68" s="21"/>
      <c r="N68" s="21"/>
      <c r="O68" s="21"/>
      <c r="P68" s="21"/>
      <c r="Q68" s="21"/>
      <c r="R68" s="33"/>
    </row>
    <row r="69" spans="1:18" ht="41.45" customHeight="1">
      <c r="A69" s="19"/>
      <c r="B69" s="3"/>
      <c r="C69" s="22"/>
      <c r="D69" s="22"/>
      <c r="E69" s="25" t="str">
        <f t="shared" si="9"/>
        <v>0</v>
      </c>
      <c r="F69" s="25">
        <f t="shared" si="10"/>
        <v>1</v>
      </c>
      <c r="G69" s="25" t="str">
        <f t="shared" si="11"/>
        <v>0</v>
      </c>
      <c r="H69" s="25" t="str">
        <f t="shared" si="12"/>
        <v>0</v>
      </c>
      <c r="I69" s="25">
        <f t="shared" si="13"/>
        <v>1</v>
      </c>
      <c r="J69" s="25" t="str">
        <f t="shared" si="14"/>
        <v>0</v>
      </c>
      <c r="K69" s="25" t="str">
        <f t="shared" si="15"/>
        <v>0</v>
      </c>
      <c r="L69" s="21"/>
      <c r="M69" s="21"/>
      <c r="N69" s="21"/>
      <c r="O69" s="21"/>
      <c r="P69" s="21"/>
      <c r="Q69" s="21"/>
      <c r="R69" s="33"/>
    </row>
    <row r="70" spans="1:18" ht="41.45" customHeight="1">
      <c r="A70" s="19"/>
      <c r="B70" s="3"/>
      <c r="C70" s="22"/>
      <c r="D70" s="22"/>
      <c r="E70" s="25" t="str">
        <f t="shared" si="9"/>
        <v>0</v>
      </c>
      <c r="F70" s="25">
        <f t="shared" si="10"/>
        <v>1</v>
      </c>
      <c r="G70" s="25" t="str">
        <f t="shared" si="11"/>
        <v>0</v>
      </c>
      <c r="H70" s="25" t="str">
        <f t="shared" si="12"/>
        <v>0</v>
      </c>
      <c r="I70" s="25">
        <f t="shared" si="13"/>
        <v>1</v>
      </c>
      <c r="J70" s="25" t="str">
        <f t="shared" si="14"/>
        <v>0</v>
      </c>
      <c r="K70" s="25" t="str">
        <f t="shared" si="15"/>
        <v>0</v>
      </c>
      <c r="L70" s="21"/>
      <c r="M70" s="21"/>
      <c r="N70" s="21"/>
      <c r="O70" s="21"/>
      <c r="P70" s="21"/>
      <c r="Q70" s="21"/>
      <c r="R70" s="33"/>
    </row>
    <row r="71" spans="1:18" ht="41.45" customHeight="1">
      <c r="A71" s="19"/>
      <c r="B71" s="3"/>
      <c r="C71" s="22"/>
      <c r="D71" s="22"/>
      <c r="E71" s="25" t="str">
        <f t="shared" si="9"/>
        <v>0</v>
      </c>
      <c r="F71" s="25">
        <f t="shared" si="10"/>
        <v>1</v>
      </c>
      <c r="G71" s="25" t="str">
        <f t="shared" si="11"/>
        <v>0</v>
      </c>
      <c r="H71" s="25" t="str">
        <f t="shared" si="12"/>
        <v>0</v>
      </c>
      <c r="I71" s="25">
        <f t="shared" si="13"/>
        <v>1</v>
      </c>
      <c r="J71" s="25" t="str">
        <f t="shared" si="14"/>
        <v>0</v>
      </c>
      <c r="K71" s="25" t="str">
        <f t="shared" si="15"/>
        <v>0</v>
      </c>
      <c r="L71" s="21"/>
      <c r="M71" s="21"/>
      <c r="N71" s="21"/>
      <c r="O71" s="21"/>
      <c r="P71" s="21"/>
      <c r="Q71" s="21"/>
      <c r="R71" s="33"/>
    </row>
    <row r="72" spans="1:18" ht="41.45" customHeight="1">
      <c r="A72" s="19"/>
      <c r="B72" s="3"/>
      <c r="C72" s="22"/>
      <c r="D72" s="22"/>
      <c r="E72" s="25" t="str">
        <f t="shared" si="9"/>
        <v>0</v>
      </c>
      <c r="F72" s="25">
        <f t="shared" si="10"/>
        <v>1</v>
      </c>
      <c r="G72" s="25" t="str">
        <f t="shared" si="11"/>
        <v>0</v>
      </c>
      <c r="H72" s="25" t="str">
        <f t="shared" si="12"/>
        <v>0</v>
      </c>
      <c r="I72" s="25">
        <f t="shared" si="13"/>
        <v>1</v>
      </c>
      <c r="J72" s="25" t="str">
        <f t="shared" si="14"/>
        <v>0</v>
      </c>
      <c r="K72" s="25" t="str">
        <f t="shared" si="15"/>
        <v>0</v>
      </c>
      <c r="L72" s="21"/>
      <c r="M72" s="21"/>
      <c r="N72" s="21"/>
      <c r="O72" s="21"/>
      <c r="P72" s="21"/>
      <c r="Q72" s="21"/>
      <c r="R72" s="33"/>
    </row>
    <row r="73" spans="1:18" ht="41.45" customHeight="1">
      <c r="A73" s="19"/>
      <c r="B73" s="3"/>
      <c r="C73" s="22"/>
      <c r="D73" s="22"/>
      <c r="E73" s="25" t="str">
        <f t="shared" si="9"/>
        <v>0</v>
      </c>
      <c r="F73" s="25">
        <f t="shared" si="10"/>
        <v>1</v>
      </c>
      <c r="G73" s="25" t="str">
        <f t="shared" si="11"/>
        <v>0</v>
      </c>
      <c r="H73" s="25" t="str">
        <f t="shared" si="12"/>
        <v>0</v>
      </c>
      <c r="I73" s="25">
        <f t="shared" si="13"/>
        <v>1</v>
      </c>
      <c r="J73" s="25" t="str">
        <f t="shared" si="14"/>
        <v>0</v>
      </c>
      <c r="K73" s="25" t="str">
        <f t="shared" si="15"/>
        <v>0</v>
      </c>
      <c r="L73" s="21"/>
      <c r="M73" s="21"/>
      <c r="N73" s="21"/>
      <c r="O73" s="21"/>
      <c r="P73" s="21"/>
      <c r="Q73" s="21"/>
      <c r="R73" s="33"/>
    </row>
    <row r="74" spans="1:18" ht="41.45" customHeight="1">
      <c r="A74" s="19"/>
      <c r="B74" s="3"/>
      <c r="C74" s="22"/>
      <c r="D74" s="22"/>
      <c r="E74" s="25" t="str">
        <f t="shared" si="9"/>
        <v>0</v>
      </c>
      <c r="F74" s="25">
        <f t="shared" si="10"/>
        <v>1</v>
      </c>
      <c r="G74" s="25" t="str">
        <f t="shared" si="11"/>
        <v>0</v>
      </c>
      <c r="H74" s="25" t="str">
        <f t="shared" si="12"/>
        <v>0</v>
      </c>
      <c r="I74" s="25" t="str">
        <f t="shared" si="13"/>
        <v>0</v>
      </c>
      <c r="J74" s="25">
        <f t="shared" si="14"/>
        <v>1</v>
      </c>
      <c r="K74" s="25" t="str">
        <f t="shared" si="15"/>
        <v>0</v>
      </c>
      <c r="L74" s="119"/>
      <c r="M74" s="119"/>
      <c r="N74" s="119"/>
      <c r="O74" s="119"/>
      <c r="P74" s="119"/>
      <c r="Q74" s="119"/>
      <c r="R74" s="120"/>
    </row>
    <row r="75" spans="1:18" ht="41.45" customHeight="1">
      <c r="A75" s="19"/>
      <c r="B75" s="3"/>
      <c r="C75" s="22"/>
      <c r="D75" s="22"/>
      <c r="E75" s="25" t="str">
        <f t="shared" si="9"/>
        <v>0</v>
      </c>
      <c r="F75" s="25">
        <f t="shared" si="10"/>
        <v>1</v>
      </c>
      <c r="G75" s="25" t="str">
        <f t="shared" si="11"/>
        <v>0</v>
      </c>
      <c r="H75" s="25" t="str">
        <f t="shared" si="12"/>
        <v>0</v>
      </c>
      <c r="I75" s="25" t="str">
        <f t="shared" si="13"/>
        <v>0</v>
      </c>
      <c r="J75" s="25">
        <f t="shared" si="14"/>
        <v>1</v>
      </c>
      <c r="K75" s="25" t="str">
        <f t="shared" si="15"/>
        <v>0</v>
      </c>
      <c r="L75" s="119"/>
      <c r="M75" s="119"/>
      <c r="N75" s="119"/>
      <c r="O75" s="119"/>
      <c r="P75" s="119"/>
      <c r="Q75" s="119"/>
      <c r="R75" s="120"/>
    </row>
    <row r="76" spans="1:18" ht="41.45" customHeight="1">
      <c r="A76" s="19"/>
      <c r="B76" s="3"/>
      <c r="C76" s="22"/>
      <c r="D76" s="22"/>
      <c r="E76" s="25" t="str">
        <f t="shared" ref="E76:E87" si="16">IF(E32="X",(D32-C32),"0")</f>
        <v>0</v>
      </c>
      <c r="F76" s="25">
        <f t="shared" ref="F76:F88" si="17">IF(F32="X",(D32-C32),"0")</f>
        <v>1</v>
      </c>
      <c r="G76" s="25" t="str">
        <f t="shared" ref="G76:G88" si="18">IF(G32="X",(D32-C32),"0")</f>
        <v>0</v>
      </c>
      <c r="H76" s="25" t="str">
        <f t="shared" ref="H76:H88" si="19">IF(H32="X",(D32-C32),"0")</f>
        <v>0</v>
      </c>
      <c r="I76" s="25" t="str">
        <f t="shared" ref="I76:I88" si="20">IF(I32="X",(D32-C32),"0")</f>
        <v>0</v>
      </c>
      <c r="J76" s="25">
        <f t="shared" ref="J76:J88" si="21">IF(J32="X",(D32-C32),"0")</f>
        <v>1</v>
      </c>
      <c r="K76" s="25" t="str">
        <f t="shared" ref="K76:K88" si="22">IF(K32="X",(D32-C32),"0")</f>
        <v>0</v>
      </c>
      <c r="L76" s="21"/>
      <c r="M76" s="21"/>
      <c r="N76" s="21"/>
      <c r="O76" s="21"/>
      <c r="P76" s="21"/>
      <c r="Q76" s="21"/>
      <c r="R76" s="33"/>
    </row>
    <row r="77" spans="1:18" ht="41.45" customHeight="1">
      <c r="A77" s="19"/>
      <c r="B77" s="3"/>
      <c r="C77" s="22"/>
      <c r="D77" s="22"/>
      <c r="E77" s="25" t="str">
        <f t="shared" si="16"/>
        <v>0</v>
      </c>
      <c r="F77" s="25">
        <f t="shared" si="17"/>
        <v>3.9999999999999147E-2</v>
      </c>
      <c r="G77" s="25" t="str">
        <f t="shared" si="18"/>
        <v>0</v>
      </c>
      <c r="H77" s="25" t="str">
        <f t="shared" si="19"/>
        <v>0</v>
      </c>
      <c r="I77" s="25" t="str">
        <f t="shared" si="20"/>
        <v>0</v>
      </c>
      <c r="J77" s="25">
        <f t="shared" si="21"/>
        <v>3.9999999999999147E-2</v>
      </c>
      <c r="K77" s="25" t="str">
        <f t="shared" si="22"/>
        <v>0</v>
      </c>
      <c r="L77" s="21"/>
      <c r="M77" s="21"/>
      <c r="N77" s="21"/>
      <c r="O77" s="21"/>
      <c r="P77" s="21"/>
      <c r="Q77" s="21"/>
      <c r="R77" s="33"/>
    </row>
    <row r="78" spans="1:18" ht="41.45" customHeight="1">
      <c r="A78" s="19"/>
      <c r="B78" s="3"/>
      <c r="C78" s="22"/>
      <c r="D78" s="22"/>
      <c r="E78" s="25" t="str">
        <f t="shared" si="16"/>
        <v>0</v>
      </c>
      <c r="F78" s="25">
        <f t="shared" si="17"/>
        <v>1</v>
      </c>
      <c r="G78" s="25" t="str">
        <f t="shared" si="18"/>
        <v>0</v>
      </c>
      <c r="H78" s="25" t="str">
        <f t="shared" si="19"/>
        <v>0</v>
      </c>
      <c r="I78" s="25" t="str">
        <f t="shared" si="20"/>
        <v>0</v>
      </c>
      <c r="J78" s="25">
        <f t="shared" si="21"/>
        <v>1</v>
      </c>
      <c r="K78" s="25" t="str">
        <f t="shared" si="22"/>
        <v>0</v>
      </c>
      <c r="L78" s="21"/>
      <c r="M78" s="21"/>
      <c r="N78" s="21"/>
      <c r="O78" s="21"/>
      <c r="P78" s="21"/>
      <c r="Q78" s="21"/>
      <c r="R78" s="33"/>
    </row>
    <row r="79" spans="1:18" ht="41.45" customHeight="1">
      <c r="A79" s="19"/>
      <c r="B79" s="3"/>
      <c r="C79" s="22"/>
      <c r="D79" s="22"/>
      <c r="E79" s="25" t="str">
        <f t="shared" si="16"/>
        <v>0</v>
      </c>
      <c r="F79" s="25">
        <f t="shared" si="17"/>
        <v>1</v>
      </c>
      <c r="G79" s="25" t="str">
        <f t="shared" si="18"/>
        <v>0</v>
      </c>
      <c r="H79" s="25" t="str">
        <f t="shared" si="19"/>
        <v>0</v>
      </c>
      <c r="I79" s="25" t="str">
        <f t="shared" si="20"/>
        <v>0</v>
      </c>
      <c r="J79" s="25">
        <f t="shared" si="21"/>
        <v>1</v>
      </c>
      <c r="K79" s="25" t="str">
        <f t="shared" si="22"/>
        <v>0</v>
      </c>
      <c r="L79" s="21"/>
      <c r="M79" s="21"/>
      <c r="N79" s="21"/>
      <c r="O79" s="21"/>
      <c r="P79" s="21"/>
      <c r="Q79" s="21"/>
      <c r="R79" s="33"/>
    </row>
    <row r="80" spans="1:18" ht="41.45" customHeight="1">
      <c r="A80" s="19"/>
      <c r="B80" s="3"/>
      <c r="C80" s="22"/>
      <c r="D80" s="22"/>
      <c r="E80" s="25" t="str">
        <f t="shared" si="16"/>
        <v>0</v>
      </c>
      <c r="F80" s="25">
        <f t="shared" si="17"/>
        <v>1</v>
      </c>
      <c r="G80" s="25" t="str">
        <f t="shared" si="18"/>
        <v>0</v>
      </c>
      <c r="H80" s="25" t="str">
        <f t="shared" si="19"/>
        <v>0</v>
      </c>
      <c r="I80" s="25" t="str">
        <f t="shared" si="20"/>
        <v>0</v>
      </c>
      <c r="J80" s="25">
        <f t="shared" si="21"/>
        <v>1</v>
      </c>
      <c r="K80" s="25" t="str">
        <f t="shared" si="22"/>
        <v>0</v>
      </c>
      <c r="L80" s="21"/>
      <c r="M80" s="21"/>
      <c r="N80" s="21"/>
      <c r="O80" s="21"/>
      <c r="P80" s="21"/>
      <c r="Q80" s="21"/>
      <c r="R80" s="33"/>
    </row>
    <row r="81" spans="1:18" ht="41.45" customHeight="1">
      <c r="A81" s="19"/>
      <c r="B81" s="3"/>
      <c r="C81" s="22"/>
      <c r="D81" s="22"/>
      <c r="E81" s="25" t="str">
        <f t="shared" si="16"/>
        <v>0</v>
      </c>
      <c r="F81" s="25">
        <f t="shared" si="17"/>
        <v>1</v>
      </c>
      <c r="G81" s="25" t="str">
        <f t="shared" si="18"/>
        <v>0</v>
      </c>
      <c r="H81" s="25" t="str">
        <f t="shared" si="19"/>
        <v>0</v>
      </c>
      <c r="I81" s="25" t="str">
        <f t="shared" si="20"/>
        <v>0</v>
      </c>
      <c r="J81" s="25">
        <f t="shared" si="21"/>
        <v>1</v>
      </c>
      <c r="K81" s="25" t="str">
        <f t="shared" si="22"/>
        <v>0</v>
      </c>
      <c r="L81" s="21"/>
      <c r="M81" s="21"/>
      <c r="N81" s="21"/>
      <c r="O81" s="21"/>
      <c r="P81" s="21"/>
      <c r="Q81" s="21"/>
      <c r="R81" s="33"/>
    </row>
    <row r="82" spans="1:18" ht="41.45" customHeight="1">
      <c r="A82" s="19"/>
      <c r="B82" s="3"/>
      <c r="C82" s="22"/>
      <c r="D82" s="22"/>
      <c r="E82" s="25" t="str">
        <f t="shared" si="16"/>
        <v>0</v>
      </c>
      <c r="F82" s="25">
        <f t="shared" si="17"/>
        <v>1</v>
      </c>
      <c r="G82" s="25" t="str">
        <f t="shared" si="18"/>
        <v>0</v>
      </c>
      <c r="H82" s="25" t="str">
        <f t="shared" si="19"/>
        <v>0</v>
      </c>
      <c r="I82" s="25" t="str">
        <f t="shared" si="20"/>
        <v>0</v>
      </c>
      <c r="J82" s="25">
        <f t="shared" si="21"/>
        <v>1</v>
      </c>
      <c r="K82" s="25" t="str">
        <f t="shared" si="22"/>
        <v>0</v>
      </c>
      <c r="L82" s="21"/>
      <c r="M82" s="21"/>
      <c r="N82" s="21"/>
      <c r="O82" s="21"/>
      <c r="P82" s="21"/>
      <c r="Q82" s="21"/>
      <c r="R82" s="33"/>
    </row>
    <row r="83" spans="1:18" ht="41.45" customHeight="1">
      <c r="A83" s="19"/>
      <c r="B83" s="3"/>
      <c r="C83" s="22"/>
      <c r="D83" s="22"/>
      <c r="E83" s="25" t="str">
        <f t="shared" si="16"/>
        <v>0</v>
      </c>
      <c r="F83" s="25">
        <f t="shared" si="17"/>
        <v>1</v>
      </c>
      <c r="G83" s="25" t="str">
        <f t="shared" si="18"/>
        <v>0</v>
      </c>
      <c r="H83" s="25" t="str">
        <f t="shared" si="19"/>
        <v>0</v>
      </c>
      <c r="I83" s="25" t="str">
        <f t="shared" si="20"/>
        <v>0</v>
      </c>
      <c r="J83" s="25">
        <f t="shared" si="21"/>
        <v>1</v>
      </c>
      <c r="K83" s="25" t="str">
        <f t="shared" si="22"/>
        <v>0</v>
      </c>
      <c r="L83" s="21"/>
      <c r="M83" s="21"/>
      <c r="N83" s="21"/>
      <c r="O83" s="21"/>
      <c r="P83" s="21"/>
      <c r="Q83" s="21"/>
      <c r="R83" s="33"/>
    </row>
    <row r="84" spans="1:18" ht="41.45" customHeight="1">
      <c r="A84" s="19"/>
      <c r="B84" s="3"/>
      <c r="C84" s="22"/>
      <c r="D84" s="22"/>
      <c r="E84" s="25" t="str">
        <f t="shared" si="16"/>
        <v>0</v>
      </c>
      <c r="F84" s="25">
        <f t="shared" si="17"/>
        <v>1</v>
      </c>
      <c r="G84" s="25" t="str">
        <f t="shared" si="18"/>
        <v>0</v>
      </c>
      <c r="H84" s="25" t="str">
        <f t="shared" si="19"/>
        <v>0</v>
      </c>
      <c r="I84" s="25" t="str">
        <f t="shared" si="20"/>
        <v>0</v>
      </c>
      <c r="J84" s="25">
        <f t="shared" si="21"/>
        <v>1</v>
      </c>
      <c r="K84" s="25" t="str">
        <f t="shared" si="22"/>
        <v>0</v>
      </c>
      <c r="L84" s="21"/>
      <c r="M84" s="21"/>
      <c r="N84" s="21"/>
      <c r="O84" s="21"/>
      <c r="P84" s="21"/>
      <c r="Q84" s="21"/>
      <c r="R84" s="33"/>
    </row>
    <row r="85" spans="1:18" ht="41.45" customHeight="1">
      <c r="A85" s="19"/>
      <c r="B85" s="3"/>
      <c r="C85" s="22"/>
      <c r="D85" s="22"/>
      <c r="E85" s="25" t="str">
        <f t="shared" si="16"/>
        <v>0</v>
      </c>
      <c r="F85" s="25">
        <f t="shared" si="17"/>
        <v>1</v>
      </c>
      <c r="G85" s="25" t="str">
        <f t="shared" si="18"/>
        <v>0</v>
      </c>
      <c r="H85" s="25" t="str">
        <f t="shared" si="19"/>
        <v>0</v>
      </c>
      <c r="I85" s="25" t="str">
        <f t="shared" si="20"/>
        <v>0</v>
      </c>
      <c r="J85" s="25">
        <f t="shared" si="21"/>
        <v>1</v>
      </c>
      <c r="K85" s="25" t="str">
        <f t="shared" si="22"/>
        <v>0</v>
      </c>
      <c r="L85" s="21"/>
      <c r="M85" s="21"/>
      <c r="N85" s="21"/>
      <c r="O85" s="21"/>
      <c r="P85" s="21"/>
      <c r="Q85" s="21"/>
      <c r="R85" s="33"/>
    </row>
    <row r="86" spans="1:18" ht="41.45" customHeight="1">
      <c r="A86" s="19"/>
      <c r="B86" s="3"/>
      <c r="C86" s="22"/>
      <c r="D86" s="22"/>
      <c r="E86" s="25" t="str">
        <f t="shared" si="16"/>
        <v>0</v>
      </c>
      <c r="F86" s="25">
        <f t="shared" si="17"/>
        <v>1</v>
      </c>
      <c r="G86" s="25" t="str">
        <f t="shared" si="18"/>
        <v>0</v>
      </c>
      <c r="H86" s="25" t="str">
        <f t="shared" si="19"/>
        <v>0</v>
      </c>
      <c r="I86" s="25" t="str">
        <f t="shared" si="20"/>
        <v>0</v>
      </c>
      <c r="J86" s="25">
        <f t="shared" si="21"/>
        <v>1</v>
      </c>
      <c r="K86" s="25" t="str">
        <f t="shared" si="22"/>
        <v>0</v>
      </c>
      <c r="L86" s="21"/>
      <c r="M86" s="21"/>
      <c r="N86" s="21"/>
      <c r="O86" s="21"/>
      <c r="P86" s="21"/>
      <c r="Q86" s="21"/>
      <c r="R86" s="33"/>
    </row>
    <row r="87" spans="1:18" ht="41.45" customHeight="1">
      <c r="A87" s="19"/>
      <c r="B87" s="3"/>
      <c r="C87" s="22"/>
      <c r="D87" s="22"/>
      <c r="E87" s="25" t="str">
        <f t="shared" si="16"/>
        <v>0</v>
      </c>
      <c r="F87" s="25">
        <f t="shared" si="17"/>
        <v>1</v>
      </c>
      <c r="G87" s="25" t="str">
        <f t="shared" si="18"/>
        <v>0</v>
      </c>
      <c r="H87" s="25" t="str">
        <f t="shared" si="19"/>
        <v>0</v>
      </c>
      <c r="I87" s="25" t="str">
        <f t="shared" si="20"/>
        <v>0</v>
      </c>
      <c r="J87" s="25">
        <f t="shared" si="21"/>
        <v>1</v>
      </c>
      <c r="K87" s="25" t="str">
        <f t="shared" si="22"/>
        <v>0</v>
      </c>
      <c r="L87" s="119"/>
      <c r="M87" s="119"/>
      <c r="N87" s="119"/>
      <c r="O87" s="119"/>
      <c r="P87" s="119"/>
      <c r="Q87" s="119"/>
      <c r="R87" s="120"/>
    </row>
    <row r="88" spans="1:18" ht="41.45" customHeight="1">
      <c r="A88" s="19"/>
      <c r="B88" s="3"/>
      <c r="C88" s="22"/>
      <c r="D88" s="22"/>
      <c r="E88" s="25" t="str">
        <f>IF(E44="X",(D44-C44),"0")</f>
        <v>0</v>
      </c>
      <c r="F88" s="25">
        <f t="shared" si="17"/>
        <v>0.36999999999999922</v>
      </c>
      <c r="G88" s="25" t="str">
        <f t="shared" si="18"/>
        <v>0</v>
      </c>
      <c r="H88" s="25" t="str">
        <f t="shared" si="19"/>
        <v>0</v>
      </c>
      <c r="I88" s="25" t="str">
        <f t="shared" si="20"/>
        <v>0</v>
      </c>
      <c r="J88" s="25">
        <f t="shared" si="21"/>
        <v>0.36999999999999922</v>
      </c>
      <c r="K88" s="25" t="str">
        <f t="shared" si="22"/>
        <v>0</v>
      </c>
      <c r="L88" s="119"/>
      <c r="M88" s="119"/>
      <c r="N88" s="119"/>
      <c r="O88" s="119"/>
      <c r="P88" s="119"/>
      <c r="Q88" s="119"/>
      <c r="R88" s="120"/>
    </row>
    <row r="89" spans="1:18" ht="41.45" customHeight="1">
      <c r="A89" s="19"/>
      <c r="B89" s="3"/>
      <c r="C89" s="22"/>
      <c r="D89" s="22"/>
      <c r="E89" s="22">
        <f t="shared" ref="E89:K89" si="23">SUM(E51:E88)</f>
        <v>4.6400000000000006</v>
      </c>
      <c r="F89" s="22">
        <f t="shared" si="23"/>
        <v>31.32</v>
      </c>
      <c r="G89" s="22">
        <f t="shared" si="23"/>
        <v>0</v>
      </c>
      <c r="H89" s="22">
        <f t="shared" si="23"/>
        <v>0</v>
      </c>
      <c r="I89" s="22">
        <f t="shared" si="23"/>
        <v>22.55</v>
      </c>
      <c r="J89" s="22">
        <f t="shared" si="23"/>
        <v>13.409999999999998</v>
      </c>
      <c r="K89" s="22">
        <f t="shared" si="23"/>
        <v>0</v>
      </c>
      <c r="L89" s="119"/>
      <c r="M89" s="119"/>
      <c r="N89" s="119"/>
      <c r="O89" s="119"/>
      <c r="P89" s="119"/>
      <c r="Q89" s="119"/>
      <c r="R89" s="120"/>
    </row>
    <row r="90" spans="1:18" ht="41.45" customHeight="1">
      <c r="A90" s="19"/>
      <c r="B90" s="3"/>
      <c r="C90" s="22"/>
      <c r="D90" s="22"/>
      <c r="E90" s="22"/>
      <c r="F90" s="21"/>
      <c r="G90" s="21"/>
      <c r="H90" s="21"/>
      <c r="I90" s="21"/>
      <c r="J90" s="21"/>
      <c r="K90" s="21"/>
      <c r="L90" s="119"/>
      <c r="M90" s="119"/>
      <c r="N90" s="119"/>
      <c r="O90" s="119"/>
      <c r="P90" s="119"/>
      <c r="Q90" s="119"/>
      <c r="R90" s="120"/>
    </row>
    <row r="91" spans="1:18" ht="41.45" customHeight="1">
      <c r="A91" s="19"/>
      <c r="B91" s="3"/>
      <c r="C91" s="22"/>
      <c r="D91" s="22"/>
      <c r="E91" s="22"/>
      <c r="F91" s="21"/>
      <c r="G91" s="21"/>
      <c r="H91" s="21"/>
      <c r="I91" s="21"/>
      <c r="J91" s="21"/>
      <c r="K91" s="21"/>
      <c r="L91" s="119"/>
      <c r="M91" s="119"/>
      <c r="N91" s="119"/>
      <c r="O91" s="119"/>
      <c r="P91" s="119"/>
      <c r="Q91" s="119"/>
      <c r="R91" s="120"/>
    </row>
    <row r="92" spans="1:18" ht="41.45" customHeight="1">
      <c r="A92" s="19"/>
      <c r="B92" s="3"/>
      <c r="C92" s="22"/>
      <c r="D92" s="22"/>
      <c r="E92" s="22"/>
      <c r="F92" s="21"/>
      <c r="G92" s="21"/>
      <c r="H92" s="21"/>
      <c r="I92" s="21"/>
      <c r="J92" s="21"/>
      <c r="K92" s="21"/>
      <c r="L92" s="119"/>
      <c r="M92" s="119"/>
      <c r="N92" s="119"/>
      <c r="O92" s="119"/>
      <c r="P92" s="119"/>
      <c r="Q92" s="119"/>
      <c r="R92" s="120"/>
    </row>
    <row r="93" spans="1:18" ht="41.45" customHeight="1">
      <c r="A93" s="19"/>
      <c r="B93" s="3"/>
      <c r="C93" s="22"/>
      <c r="D93" s="22"/>
      <c r="E93" s="22"/>
      <c r="F93" s="21"/>
      <c r="G93" s="21"/>
      <c r="H93" s="21"/>
      <c r="I93" s="21"/>
      <c r="J93" s="21"/>
      <c r="K93" s="21"/>
      <c r="L93" s="119"/>
      <c r="M93" s="119"/>
      <c r="N93" s="119"/>
      <c r="O93" s="119"/>
      <c r="P93" s="119"/>
      <c r="Q93" s="119"/>
      <c r="R93" s="120"/>
    </row>
    <row r="94" spans="1:18" ht="41.45" customHeight="1">
      <c r="A94" s="19"/>
      <c r="B94" s="3"/>
      <c r="C94" s="22"/>
      <c r="D94" s="22"/>
      <c r="E94" s="22"/>
      <c r="F94" s="21"/>
      <c r="G94" s="21"/>
      <c r="H94" s="21"/>
      <c r="I94" s="21"/>
      <c r="J94" s="21"/>
      <c r="K94" s="21"/>
      <c r="L94" s="119"/>
      <c r="M94" s="119"/>
      <c r="N94" s="119"/>
      <c r="O94" s="119"/>
      <c r="P94" s="119"/>
      <c r="Q94" s="119"/>
      <c r="R94" s="120"/>
    </row>
    <row r="95" spans="1:18" ht="41.45" customHeight="1" thickBot="1">
      <c r="A95" s="20"/>
      <c r="B95" s="4"/>
      <c r="C95" s="26"/>
      <c r="D95" s="26"/>
      <c r="E95" s="26"/>
      <c r="F95" s="27"/>
      <c r="G95" s="27"/>
      <c r="H95" s="27"/>
      <c r="I95" s="27"/>
      <c r="J95" s="27"/>
      <c r="K95" s="27"/>
      <c r="L95" s="145"/>
      <c r="M95" s="145"/>
      <c r="N95" s="145"/>
      <c r="O95" s="145"/>
      <c r="P95" s="145"/>
      <c r="Q95" s="145"/>
      <c r="R95" s="146"/>
    </row>
  </sheetData>
  <mergeCells count="49">
    <mergeCell ref="L93:R93"/>
    <mergeCell ref="L94:R94"/>
    <mergeCell ref="L95:R95"/>
    <mergeCell ref="L89:R89"/>
    <mergeCell ref="L90:R90"/>
    <mergeCell ref="L91:R91"/>
    <mergeCell ref="L92:R92"/>
    <mergeCell ref="L75:R75"/>
    <mergeCell ref="L87:R87"/>
    <mergeCell ref="L88:R88"/>
    <mergeCell ref="L74:R74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0:R60"/>
    <mergeCell ref="L61:R61"/>
    <mergeCell ref="L50:R50"/>
    <mergeCell ref="L45:R45"/>
    <mergeCell ref="L46:R46"/>
    <mergeCell ref="L47:R47"/>
    <mergeCell ref="L48:R48"/>
    <mergeCell ref="L49:R49"/>
    <mergeCell ref="L12:R12"/>
    <mergeCell ref="L13:R13"/>
    <mergeCell ref="L14:R14"/>
    <mergeCell ref="L15:R15"/>
    <mergeCell ref="L16:R16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R117"/>
  <sheetViews>
    <sheetView view="pageBreakPreview" zoomScale="51" zoomScaleNormal="40" zoomScaleSheetLayoutView="51" workbookViewId="0">
      <selection activeCell="F12" sqref="F12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354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TT!C14</f>
        <v>RODOVIA TO-409 - TRECHO MAURILÂNDIA - ENTR. TO-134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75</v>
      </c>
      <c r="B7" s="21" t="s">
        <v>52</v>
      </c>
      <c r="C7" s="22">
        <v>0</v>
      </c>
      <c r="D7" s="22">
        <v>1</v>
      </c>
      <c r="E7" s="21"/>
      <c r="F7" s="21" t="s">
        <v>19</v>
      </c>
      <c r="G7" s="21"/>
      <c r="H7" s="21"/>
      <c r="I7" s="21" t="s">
        <v>19</v>
      </c>
      <c r="J7" s="21"/>
      <c r="K7" s="21"/>
      <c r="L7" s="116"/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1</v>
      </c>
      <c r="D8" s="22">
        <v>2</v>
      </c>
      <c r="E8" s="21"/>
      <c r="F8" s="21" t="s">
        <v>19</v>
      </c>
      <c r="G8" s="21"/>
      <c r="H8" s="21"/>
      <c r="I8" s="21" t="s">
        <v>19</v>
      </c>
      <c r="J8" s="21"/>
      <c r="K8" s="21"/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ref="C9:C52" si="0">D8</f>
        <v>2</v>
      </c>
      <c r="D9" s="22">
        <v>3</v>
      </c>
      <c r="E9" s="21"/>
      <c r="F9" s="21" t="s">
        <v>19</v>
      </c>
      <c r="G9" s="21"/>
      <c r="H9" s="21"/>
      <c r="I9" s="21" t="s">
        <v>19</v>
      </c>
      <c r="J9" s="21"/>
      <c r="K9" s="21"/>
      <c r="L9" s="116"/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3</v>
      </c>
      <c r="D10" s="22">
        <v>4</v>
      </c>
      <c r="E10" s="21" t="s">
        <v>19</v>
      </c>
      <c r="F10" s="21"/>
      <c r="G10" s="21"/>
      <c r="H10" s="21"/>
      <c r="I10" s="21" t="s">
        <v>19</v>
      </c>
      <c r="J10" s="21"/>
      <c r="K10" s="21"/>
      <c r="L10" s="116"/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4</v>
      </c>
      <c r="D11" s="22">
        <v>5</v>
      </c>
      <c r="E11" s="21" t="s">
        <v>19</v>
      </c>
      <c r="F11" s="21"/>
      <c r="G11" s="21"/>
      <c r="H11" s="21"/>
      <c r="I11" s="21" t="s">
        <v>19</v>
      </c>
      <c r="J11" s="21"/>
      <c r="K11" s="21"/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5</v>
      </c>
      <c r="D12" s="22">
        <v>6</v>
      </c>
      <c r="E12" s="21"/>
      <c r="F12" s="21" t="s">
        <v>19</v>
      </c>
      <c r="G12" s="21"/>
      <c r="H12" s="21"/>
      <c r="I12" s="21" t="s">
        <v>19</v>
      </c>
      <c r="J12" s="21"/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6</v>
      </c>
      <c r="D13" s="22">
        <v>7</v>
      </c>
      <c r="E13" s="21"/>
      <c r="F13" s="21" t="s">
        <v>19</v>
      </c>
      <c r="G13" s="21"/>
      <c r="H13" s="21"/>
      <c r="I13" s="21" t="s">
        <v>19</v>
      </c>
      <c r="J13" s="21"/>
      <c r="K13" s="21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7</v>
      </c>
      <c r="D14" s="22">
        <v>8</v>
      </c>
      <c r="E14" s="21"/>
      <c r="F14" s="21" t="s">
        <v>19</v>
      </c>
      <c r="G14" s="21"/>
      <c r="H14" s="21"/>
      <c r="I14" s="21" t="s">
        <v>19</v>
      </c>
      <c r="J14" s="21"/>
      <c r="K14" s="21"/>
      <c r="L14" s="116"/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8</v>
      </c>
      <c r="D15" s="22">
        <v>9</v>
      </c>
      <c r="E15" s="21"/>
      <c r="F15" s="21" t="s">
        <v>19</v>
      </c>
      <c r="G15" s="21"/>
      <c r="H15" s="21"/>
      <c r="I15" s="21" t="s">
        <v>19</v>
      </c>
      <c r="J15" s="21"/>
      <c r="K15" s="21"/>
      <c r="L15" s="116"/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22">
        <f t="shared" si="0"/>
        <v>9</v>
      </c>
      <c r="D16" s="22">
        <v>10</v>
      </c>
      <c r="E16" s="21" t="s">
        <v>19</v>
      </c>
      <c r="F16" s="21"/>
      <c r="G16" s="21"/>
      <c r="H16" s="21"/>
      <c r="I16" s="21"/>
      <c r="J16" s="21" t="s">
        <v>19</v>
      </c>
      <c r="K16" s="21"/>
      <c r="L16" s="116"/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si="0"/>
        <v>10</v>
      </c>
      <c r="D17" s="22">
        <v>11</v>
      </c>
      <c r="E17" s="21" t="s">
        <v>19</v>
      </c>
      <c r="F17" s="21"/>
      <c r="G17" s="21"/>
      <c r="H17" s="21"/>
      <c r="I17" s="21"/>
      <c r="J17" s="21" t="s">
        <v>19</v>
      </c>
      <c r="K17" s="21"/>
      <c r="L17" s="116"/>
      <c r="M17" s="117"/>
      <c r="N17" s="117"/>
      <c r="O17" s="117"/>
      <c r="P17" s="117"/>
      <c r="Q17" s="117"/>
      <c r="R17" s="118"/>
    </row>
    <row r="18" spans="1:18" ht="41.45" customHeight="1">
      <c r="A18" s="21"/>
      <c r="B18" s="21"/>
      <c r="C18" s="22">
        <f t="shared" si="0"/>
        <v>11</v>
      </c>
      <c r="D18" s="22">
        <v>12</v>
      </c>
      <c r="E18" s="21" t="s">
        <v>19</v>
      </c>
      <c r="F18" s="21"/>
      <c r="G18" s="21"/>
      <c r="H18" s="21"/>
      <c r="I18" s="21"/>
      <c r="J18" s="21" t="s">
        <v>19</v>
      </c>
      <c r="K18" s="21"/>
      <c r="L18" s="116"/>
      <c r="M18" s="117"/>
      <c r="N18" s="117"/>
      <c r="O18" s="117"/>
      <c r="P18" s="117"/>
      <c r="Q18" s="117"/>
      <c r="R18" s="118"/>
    </row>
    <row r="19" spans="1:18" ht="41.45" customHeight="1">
      <c r="A19" s="21"/>
      <c r="B19" s="21"/>
      <c r="C19" s="22">
        <f t="shared" si="0"/>
        <v>12</v>
      </c>
      <c r="D19" s="22">
        <v>13</v>
      </c>
      <c r="E19" s="21" t="s">
        <v>19</v>
      </c>
      <c r="F19" s="21"/>
      <c r="G19" s="21"/>
      <c r="H19" s="21"/>
      <c r="I19" s="21"/>
      <c r="J19" s="21" t="s">
        <v>19</v>
      </c>
      <c r="K19" s="21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21"/>
      <c r="B20" s="21"/>
      <c r="C20" s="22">
        <f t="shared" si="0"/>
        <v>13</v>
      </c>
      <c r="D20" s="22">
        <v>14</v>
      </c>
      <c r="E20" s="21" t="s">
        <v>19</v>
      </c>
      <c r="F20" s="21"/>
      <c r="G20" s="21"/>
      <c r="H20" s="21"/>
      <c r="I20" s="21"/>
      <c r="J20" s="21" t="s">
        <v>19</v>
      </c>
      <c r="K20" s="21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21"/>
      <c r="B21" s="21"/>
      <c r="C21" s="22">
        <f t="shared" si="0"/>
        <v>14</v>
      </c>
      <c r="D21" s="22">
        <v>15</v>
      </c>
      <c r="E21" s="21" t="s">
        <v>19</v>
      </c>
      <c r="F21" s="21"/>
      <c r="G21" s="21"/>
      <c r="H21" s="21"/>
      <c r="I21" s="21"/>
      <c r="J21" s="21" t="s">
        <v>19</v>
      </c>
      <c r="K21" s="21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21"/>
      <c r="B22" s="21"/>
      <c r="C22" s="22">
        <f t="shared" si="0"/>
        <v>15</v>
      </c>
      <c r="D22" s="22">
        <v>16</v>
      </c>
      <c r="E22" s="21" t="s">
        <v>19</v>
      </c>
      <c r="F22" s="21"/>
      <c r="G22" s="21"/>
      <c r="H22" s="21"/>
      <c r="I22" s="21"/>
      <c r="J22" s="21" t="s">
        <v>19</v>
      </c>
      <c r="K22" s="21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21"/>
      <c r="B23" s="21"/>
      <c r="C23" s="22">
        <f t="shared" si="0"/>
        <v>16</v>
      </c>
      <c r="D23" s="22">
        <v>17</v>
      </c>
      <c r="E23" s="21"/>
      <c r="F23" s="21" t="s">
        <v>19</v>
      </c>
      <c r="G23" s="21"/>
      <c r="H23" s="21"/>
      <c r="I23" s="21"/>
      <c r="J23" s="21" t="s">
        <v>19</v>
      </c>
      <c r="K23" s="21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21"/>
      <c r="B24" s="21"/>
      <c r="C24" s="22">
        <f t="shared" si="0"/>
        <v>17</v>
      </c>
      <c r="D24" s="22">
        <v>18</v>
      </c>
      <c r="E24" s="21"/>
      <c r="F24" s="21" t="s">
        <v>19</v>
      </c>
      <c r="G24" s="21"/>
      <c r="H24" s="21"/>
      <c r="I24" s="21"/>
      <c r="J24" s="21" t="s">
        <v>19</v>
      </c>
      <c r="K24" s="21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21"/>
      <c r="B25" s="21"/>
      <c r="C25" s="22">
        <f t="shared" si="0"/>
        <v>18</v>
      </c>
      <c r="D25" s="22">
        <v>18.41</v>
      </c>
      <c r="E25" s="21"/>
      <c r="F25" s="21" t="s">
        <v>19</v>
      </c>
      <c r="G25" s="21"/>
      <c r="H25" s="21"/>
      <c r="I25" s="21"/>
      <c r="J25" s="21" t="s">
        <v>19</v>
      </c>
      <c r="K25" s="21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21" t="s">
        <v>76</v>
      </c>
      <c r="B26" s="21" t="s">
        <v>52</v>
      </c>
      <c r="C26" s="22">
        <v>0</v>
      </c>
      <c r="D26" s="22">
        <v>1</v>
      </c>
      <c r="E26" s="21" t="s">
        <v>19</v>
      </c>
      <c r="F26" s="21"/>
      <c r="G26" s="21"/>
      <c r="H26" s="21"/>
      <c r="I26" s="21"/>
      <c r="J26" s="21" t="s">
        <v>19</v>
      </c>
      <c r="K26" s="21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21"/>
      <c r="B27" s="21"/>
      <c r="C27" s="22">
        <f t="shared" si="0"/>
        <v>1</v>
      </c>
      <c r="D27" s="22">
        <v>2</v>
      </c>
      <c r="E27" s="21" t="s">
        <v>19</v>
      </c>
      <c r="F27" s="21"/>
      <c r="G27" s="21"/>
      <c r="H27" s="21"/>
      <c r="I27" s="21"/>
      <c r="J27" s="21" t="s">
        <v>19</v>
      </c>
      <c r="K27" s="21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21"/>
      <c r="B28" s="21"/>
      <c r="C28" s="22">
        <f t="shared" si="0"/>
        <v>2</v>
      </c>
      <c r="D28" s="22">
        <v>3</v>
      </c>
      <c r="E28" s="21" t="s">
        <v>19</v>
      </c>
      <c r="F28" s="21"/>
      <c r="G28" s="21"/>
      <c r="H28" s="21"/>
      <c r="I28" s="21"/>
      <c r="J28" s="21" t="s">
        <v>19</v>
      </c>
      <c r="K28" s="21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21"/>
      <c r="B29" s="21"/>
      <c r="C29" s="22">
        <f t="shared" si="0"/>
        <v>3</v>
      </c>
      <c r="D29" s="22">
        <v>4</v>
      </c>
      <c r="E29" s="21" t="s">
        <v>19</v>
      </c>
      <c r="F29" s="21"/>
      <c r="G29" s="21"/>
      <c r="H29" s="21"/>
      <c r="I29" s="21"/>
      <c r="J29" s="21" t="s">
        <v>19</v>
      </c>
      <c r="K29" s="21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21"/>
      <c r="B30" s="21"/>
      <c r="C30" s="22">
        <f t="shared" si="0"/>
        <v>4</v>
      </c>
      <c r="D30" s="22">
        <v>5</v>
      </c>
      <c r="E30" s="21" t="s">
        <v>19</v>
      </c>
      <c r="F30" s="21"/>
      <c r="G30" s="21"/>
      <c r="H30" s="21"/>
      <c r="I30" s="21"/>
      <c r="J30" s="21" t="s">
        <v>19</v>
      </c>
      <c r="K30" s="21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21"/>
      <c r="B31" s="21"/>
      <c r="C31" s="22">
        <f t="shared" si="0"/>
        <v>5</v>
      </c>
      <c r="D31" s="22">
        <v>6</v>
      </c>
      <c r="E31" s="21" t="s">
        <v>19</v>
      </c>
      <c r="F31" s="21"/>
      <c r="G31" s="21"/>
      <c r="H31" s="21"/>
      <c r="I31" s="21"/>
      <c r="J31" s="21" t="s">
        <v>19</v>
      </c>
      <c r="K31" s="21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21"/>
      <c r="B32" s="21"/>
      <c r="C32" s="22">
        <f t="shared" si="0"/>
        <v>6</v>
      </c>
      <c r="D32" s="22">
        <v>7</v>
      </c>
      <c r="E32" s="21" t="s">
        <v>19</v>
      </c>
      <c r="F32" s="21"/>
      <c r="G32" s="21"/>
      <c r="H32" s="21"/>
      <c r="I32" s="21"/>
      <c r="J32" s="21" t="s">
        <v>19</v>
      </c>
      <c r="K32" s="21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21"/>
      <c r="B33" s="21"/>
      <c r="C33" s="22">
        <f t="shared" si="0"/>
        <v>7</v>
      </c>
      <c r="D33" s="22">
        <v>8</v>
      </c>
      <c r="E33" s="21"/>
      <c r="F33" s="21" t="s">
        <v>19</v>
      </c>
      <c r="G33" s="21"/>
      <c r="H33" s="21"/>
      <c r="I33" s="21"/>
      <c r="J33" s="21" t="s">
        <v>19</v>
      </c>
      <c r="K33" s="21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21"/>
      <c r="B34" s="21"/>
      <c r="C34" s="22">
        <f t="shared" si="0"/>
        <v>8</v>
      </c>
      <c r="D34" s="22">
        <v>9</v>
      </c>
      <c r="E34" s="21"/>
      <c r="F34" s="21" t="s">
        <v>19</v>
      </c>
      <c r="G34" s="21"/>
      <c r="H34" s="21"/>
      <c r="I34" s="21"/>
      <c r="J34" s="21" t="s">
        <v>19</v>
      </c>
      <c r="K34" s="21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21"/>
      <c r="B35" s="21"/>
      <c r="C35" s="22">
        <f t="shared" si="0"/>
        <v>9</v>
      </c>
      <c r="D35" s="22">
        <v>10</v>
      </c>
      <c r="E35" s="21" t="s">
        <v>19</v>
      </c>
      <c r="F35" s="21"/>
      <c r="G35" s="21"/>
      <c r="H35" s="21"/>
      <c r="I35" s="21"/>
      <c r="J35" s="21" t="s">
        <v>19</v>
      </c>
      <c r="K35" s="21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19"/>
      <c r="B36" s="3"/>
      <c r="C36" s="22">
        <f t="shared" si="0"/>
        <v>10</v>
      </c>
      <c r="D36" s="22">
        <v>11</v>
      </c>
      <c r="E36" s="21" t="s">
        <v>19</v>
      </c>
      <c r="F36" s="21"/>
      <c r="G36" s="21"/>
      <c r="H36" s="21"/>
      <c r="I36" s="21"/>
      <c r="J36" s="21" t="s">
        <v>19</v>
      </c>
      <c r="K36" s="21"/>
      <c r="L36" s="116"/>
      <c r="M36" s="117"/>
      <c r="N36" s="117"/>
      <c r="O36" s="117"/>
      <c r="P36" s="117"/>
      <c r="Q36" s="117"/>
      <c r="R36" s="118"/>
    </row>
    <row r="37" spans="1:18" ht="41.45" customHeight="1">
      <c r="A37" s="19"/>
      <c r="B37" s="3"/>
      <c r="C37" s="22">
        <f t="shared" si="0"/>
        <v>11</v>
      </c>
      <c r="D37" s="22">
        <v>12</v>
      </c>
      <c r="E37" s="21" t="s">
        <v>19</v>
      </c>
      <c r="F37" s="21"/>
      <c r="G37" s="21"/>
      <c r="H37" s="21"/>
      <c r="I37" s="21" t="s">
        <v>19</v>
      </c>
      <c r="J37" s="21"/>
      <c r="K37" s="21"/>
      <c r="L37" s="116"/>
      <c r="M37" s="117"/>
      <c r="N37" s="117"/>
      <c r="O37" s="117"/>
      <c r="P37" s="117"/>
      <c r="Q37" s="117"/>
      <c r="R37" s="118"/>
    </row>
    <row r="38" spans="1:18" ht="41.45" customHeight="1">
      <c r="A38" s="19"/>
      <c r="B38" s="3"/>
      <c r="C38" s="22">
        <f t="shared" si="0"/>
        <v>12</v>
      </c>
      <c r="D38" s="22">
        <v>13</v>
      </c>
      <c r="E38" s="21" t="s">
        <v>19</v>
      </c>
      <c r="F38" s="21"/>
      <c r="G38" s="21"/>
      <c r="H38" s="21"/>
      <c r="I38" s="21" t="s">
        <v>19</v>
      </c>
      <c r="J38" s="21"/>
      <c r="K38" s="21"/>
      <c r="L38" s="116"/>
      <c r="M38" s="117"/>
      <c r="N38" s="117"/>
      <c r="O38" s="117"/>
      <c r="P38" s="117"/>
      <c r="Q38" s="117"/>
      <c r="R38" s="118"/>
    </row>
    <row r="39" spans="1:18" ht="41.45" customHeight="1">
      <c r="A39" s="19"/>
      <c r="B39" s="3"/>
      <c r="C39" s="22">
        <f t="shared" si="0"/>
        <v>13</v>
      </c>
      <c r="D39" s="22">
        <v>14</v>
      </c>
      <c r="E39" s="21" t="s">
        <v>19</v>
      </c>
      <c r="F39" s="21"/>
      <c r="G39" s="21"/>
      <c r="H39" s="21"/>
      <c r="I39" s="21" t="s">
        <v>19</v>
      </c>
      <c r="J39" s="21"/>
      <c r="K39" s="21"/>
      <c r="L39" s="116"/>
      <c r="M39" s="117"/>
      <c r="N39" s="117"/>
      <c r="O39" s="117"/>
      <c r="P39" s="117"/>
      <c r="Q39" s="117"/>
      <c r="R39" s="118"/>
    </row>
    <row r="40" spans="1:18" ht="41.45" customHeight="1">
      <c r="A40" s="19"/>
      <c r="B40" s="3"/>
      <c r="C40" s="22">
        <f t="shared" si="0"/>
        <v>14</v>
      </c>
      <c r="D40" s="22">
        <v>15</v>
      </c>
      <c r="E40" s="21" t="s">
        <v>19</v>
      </c>
      <c r="F40" s="21"/>
      <c r="G40" s="21"/>
      <c r="H40" s="21"/>
      <c r="I40" s="21" t="s">
        <v>19</v>
      </c>
      <c r="J40" s="21"/>
      <c r="K40" s="21"/>
      <c r="L40" s="116"/>
      <c r="M40" s="117"/>
      <c r="N40" s="117"/>
      <c r="O40" s="117"/>
      <c r="P40" s="117"/>
      <c r="Q40" s="117"/>
      <c r="R40" s="118"/>
    </row>
    <row r="41" spans="1:18" ht="41.45" customHeight="1">
      <c r="A41" s="19"/>
      <c r="B41" s="3"/>
      <c r="C41" s="22">
        <f t="shared" si="0"/>
        <v>15</v>
      </c>
      <c r="D41" s="22">
        <v>16</v>
      </c>
      <c r="E41" s="21" t="s">
        <v>19</v>
      </c>
      <c r="F41" s="21"/>
      <c r="G41" s="21"/>
      <c r="H41" s="21"/>
      <c r="I41" s="21" t="s">
        <v>19</v>
      </c>
      <c r="J41" s="21"/>
      <c r="K41" s="21"/>
      <c r="L41" s="116"/>
      <c r="M41" s="117"/>
      <c r="N41" s="117"/>
      <c r="O41" s="117"/>
      <c r="P41" s="117"/>
      <c r="Q41" s="117"/>
      <c r="R41" s="118"/>
    </row>
    <row r="42" spans="1:18" ht="41.45" customHeight="1">
      <c r="A42" s="19"/>
      <c r="B42" s="3"/>
      <c r="C42" s="22">
        <f t="shared" si="0"/>
        <v>16</v>
      </c>
      <c r="D42" s="22">
        <v>17</v>
      </c>
      <c r="E42" s="21" t="s">
        <v>19</v>
      </c>
      <c r="F42" s="21"/>
      <c r="G42" s="21"/>
      <c r="H42" s="21"/>
      <c r="I42" s="21" t="s">
        <v>19</v>
      </c>
      <c r="J42" s="21"/>
      <c r="K42" s="21"/>
      <c r="L42" s="116"/>
      <c r="M42" s="117"/>
      <c r="N42" s="117"/>
      <c r="O42" s="117"/>
      <c r="P42" s="117"/>
      <c r="Q42" s="117"/>
      <c r="R42" s="118"/>
    </row>
    <row r="43" spans="1:18" ht="41.45" customHeight="1">
      <c r="A43" s="19"/>
      <c r="B43" s="3"/>
      <c r="C43" s="22">
        <f t="shared" si="0"/>
        <v>17</v>
      </c>
      <c r="D43" s="22">
        <v>18</v>
      </c>
      <c r="E43" s="21" t="s">
        <v>19</v>
      </c>
      <c r="F43" s="21"/>
      <c r="G43" s="21"/>
      <c r="H43" s="21"/>
      <c r="I43" s="21" t="s">
        <v>19</v>
      </c>
      <c r="J43" s="21"/>
      <c r="K43" s="21"/>
      <c r="L43" s="116"/>
      <c r="M43" s="117"/>
      <c r="N43" s="117"/>
      <c r="O43" s="117"/>
      <c r="P43" s="117"/>
      <c r="Q43" s="117"/>
      <c r="R43" s="118"/>
    </row>
    <row r="44" spans="1:18" ht="41.45" customHeight="1">
      <c r="A44" s="19"/>
      <c r="B44" s="3"/>
      <c r="C44" s="22">
        <v>0</v>
      </c>
      <c r="D44" s="22">
        <v>19</v>
      </c>
      <c r="E44" s="21" t="s">
        <v>19</v>
      </c>
      <c r="F44" s="21"/>
      <c r="G44" s="21"/>
      <c r="H44" s="21"/>
      <c r="I44" s="21" t="s">
        <v>19</v>
      </c>
      <c r="J44" s="21"/>
      <c r="K44" s="21"/>
      <c r="L44" s="116"/>
      <c r="M44" s="117"/>
      <c r="N44" s="117"/>
      <c r="O44" s="117"/>
      <c r="P44" s="117"/>
      <c r="Q44" s="117"/>
      <c r="R44" s="118"/>
    </row>
    <row r="45" spans="1:18" ht="41.45" customHeight="1">
      <c r="A45" s="19"/>
      <c r="B45" s="3"/>
      <c r="C45" s="22">
        <f t="shared" si="0"/>
        <v>19</v>
      </c>
      <c r="D45" s="22">
        <v>20</v>
      </c>
      <c r="E45" s="21" t="s">
        <v>19</v>
      </c>
      <c r="F45" s="21"/>
      <c r="G45" s="21"/>
      <c r="H45" s="21"/>
      <c r="I45" s="21" t="s">
        <v>19</v>
      </c>
      <c r="J45" s="21"/>
      <c r="K45" s="21"/>
      <c r="L45" s="116"/>
      <c r="M45" s="117"/>
      <c r="N45" s="117"/>
      <c r="O45" s="117"/>
      <c r="P45" s="117"/>
      <c r="Q45" s="117"/>
      <c r="R45" s="118"/>
    </row>
    <row r="46" spans="1:18" ht="41.45" customHeight="1">
      <c r="A46" s="19"/>
      <c r="B46" s="3"/>
      <c r="C46" s="22">
        <f>D45</f>
        <v>20</v>
      </c>
      <c r="D46" s="22">
        <v>21</v>
      </c>
      <c r="E46" s="21" t="s">
        <v>19</v>
      </c>
      <c r="F46" s="21"/>
      <c r="G46" s="21"/>
      <c r="H46" s="21"/>
      <c r="I46" s="21" t="s">
        <v>19</v>
      </c>
      <c r="J46" s="21"/>
      <c r="K46" s="21"/>
      <c r="L46" s="116"/>
      <c r="M46" s="117"/>
      <c r="N46" s="117"/>
      <c r="O46" s="117"/>
      <c r="P46" s="117"/>
      <c r="Q46" s="117"/>
      <c r="R46" s="118"/>
    </row>
    <row r="47" spans="1:18" ht="41.45" customHeight="1">
      <c r="A47" s="19"/>
      <c r="B47" s="3"/>
      <c r="C47" s="22">
        <f t="shared" si="0"/>
        <v>21</v>
      </c>
      <c r="D47" s="22">
        <v>22</v>
      </c>
      <c r="E47" s="21" t="s">
        <v>19</v>
      </c>
      <c r="F47" s="21"/>
      <c r="G47" s="21"/>
      <c r="H47" s="21"/>
      <c r="I47" s="21" t="s">
        <v>19</v>
      </c>
      <c r="J47" s="21"/>
      <c r="K47" s="21"/>
      <c r="L47" s="116"/>
      <c r="M47" s="117"/>
      <c r="N47" s="117"/>
      <c r="O47" s="117"/>
      <c r="P47" s="117"/>
      <c r="Q47" s="117"/>
      <c r="R47" s="118"/>
    </row>
    <row r="48" spans="1:18" ht="41.45" customHeight="1">
      <c r="A48" s="19"/>
      <c r="B48" s="3"/>
      <c r="C48" s="22">
        <f t="shared" si="0"/>
        <v>22</v>
      </c>
      <c r="D48" s="22">
        <v>23</v>
      </c>
      <c r="E48" s="21" t="s">
        <v>19</v>
      </c>
      <c r="F48" s="21"/>
      <c r="G48" s="21"/>
      <c r="H48" s="21"/>
      <c r="I48" s="21" t="s">
        <v>19</v>
      </c>
      <c r="J48" s="21"/>
      <c r="K48" s="21"/>
      <c r="L48" s="116"/>
      <c r="M48" s="117"/>
      <c r="N48" s="117"/>
      <c r="O48" s="117"/>
      <c r="P48" s="117"/>
      <c r="Q48" s="117"/>
      <c r="R48" s="118"/>
    </row>
    <row r="49" spans="1:18" ht="41.45" customHeight="1">
      <c r="A49" s="19"/>
      <c r="B49" s="3"/>
      <c r="C49" s="22">
        <f t="shared" si="0"/>
        <v>23</v>
      </c>
      <c r="D49" s="22">
        <v>24</v>
      </c>
      <c r="E49" s="21" t="s">
        <v>19</v>
      </c>
      <c r="F49" s="21"/>
      <c r="G49" s="21"/>
      <c r="H49" s="21"/>
      <c r="I49" s="21" t="s">
        <v>19</v>
      </c>
      <c r="J49" s="21"/>
      <c r="K49" s="21"/>
      <c r="L49" s="116"/>
      <c r="M49" s="117"/>
      <c r="N49" s="117"/>
      <c r="O49" s="117"/>
      <c r="P49" s="117"/>
      <c r="Q49" s="117"/>
      <c r="R49" s="118"/>
    </row>
    <row r="50" spans="1:18" ht="41.45" customHeight="1">
      <c r="A50" s="19"/>
      <c r="B50" s="3"/>
      <c r="C50" s="22">
        <f t="shared" si="0"/>
        <v>24</v>
      </c>
      <c r="D50" s="22">
        <v>25</v>
      </c>
      <c r="E50" s="21"/>
      <c r="F50" s="21" t="s">
        <v>19</v>
      </c>
      <c r="G50" s="21"/>
      <c r="H50" s="21"/>
      <c r="I50" s="21" t="s">
        <v>19</v>
      </c>
      <c r="J50" s="21"/>
      <c r="K50" s="21"/>
      <c r="L50" s="116"/>
      <c r="M50" s="117"/>
      <c r="N50" s="117"/>
      <c r="O50" s="117"/>
      <c r="P50" s="117"/>
      <c r="Q50" s="117"/>
      <c r="R50" s="118"/>
    </row>
    <row r="51" spans="1:18" ht="41.45" customHeight="1">
      <c r="A51" s="19"/>
      <c r="B51" s="3"/>
      <c r="C51" s="22">
        <f t="shared" si="0"/>
        <v>25</v>
      </c>
      <c r="D51" s="22">
        <v>26</v>
      </c>
      <c r="E51" s="21"/>
      <c r="F51" s="21" t="s">
        <v>19</v>
      </c>
      <c r="G51" s="21"/>
      <c r="H51" s="21"/>
      <c r="I51" s="21" t="s">
        <v>19</v>
      </c>
      <c r="J51" s="21"/>
      <c r="K51" s="21"/>
      <c r="L51" s="116"/>
      <c r="M51" s="117"/>
      <c r="N51" s="117"/>
      <c r="O51" s="117"/>
      <c r="P51" s="117"/>
      <c r="Q51" s="117"/>
      <c r="R51" s="118"/>
    </row>
    <row r="52" spans="1:18" ht="41.45" customHeight="1">
      <c r="A52" s="19"/>
      <c r="B52" s="3"/>
      <c r="C52" s="22">
        <f t="shared" si="0"/>
        <v>26</v>
      </c>
      <c r="D52" s="22">
        <v>26.48</v>
      </c>
      <c r="E52" s="21" t="s">
        <v>19</v>
      </c>
      <c r="F52" s="21"/>
      <c r="G52" s="21"/>
      <c r="H52" s="21"/>
      <c r="I52" s="21" t="s">
        <v>19</v>
      </c>
      <c r="J52" s="21"/>
      <c r="K52" s="21"/>
      <c r="L52" s="116"/>
      <c r="M52" s="117"/>
      <c r="N52" s="117"/>
      <c r="O52" s="117"/>
      <c r="P52" s="117"/>
      <c r="Q52" s="117"/>
      <c r="R52" s="118"/>
    </row>
    <row r="53" spans="1:18" ht="41.45" customHeight="1">
      <c r="A53" s="19"/>
      <c r="B53" s="3"/>
      <c r="C53" s="110"/>
      <c r="D53" s="110"/>
      <c r="E53" s="38"/>
      <c r="F53" s="38"/>
      <c r="G53" s="38"/>
      <c r="H53" s="38"/>
      <c r="I53" s="38"/>
      <c r="J53" s="38"/>
      <c r="K53" s="38"/>
      <c r="L53" s="116"/>
      <c r="M53" s="117"/>
      <c r="N53" s="117"/>
      <c r="O53" s="117"/>
      <c r="P53" s="117"/>
      <c r="Q53" s="117"/>
      <c r="R53" s="118"/>
    </row>
    <row r="54" spans="1:18" ht="41.45" customHeight="1">
      <c r="A54" s="19"/>
      <c r="B54" s="3"/>
      <c r="C54" s="110"/>
      <c r="D54" s="110"/>
      <c r="E54" s="38"/>
      <c r="F54" s="38"/>
      <c r="G54" s="38"/>
      <c r="H54" s="38"/>
      <c r="I54" s="38"/>
      <c r="J54" s="38"/>
      <c r="K54" s="38"/>
      <c r="L54" s="116"/>
      <c r="M54" s="117"/>
      <c r="N54" s="117"/>
      <c r="O54" s="117"/>
      <c r="P54" s="117"/>
      <c r="Q54" s="117"/>
      <c r="R54" s="118"/>
    </row>
    <row r="55" spans="1:18" ht="41.45" customHeight="1">
      <c r="A55" s="19"/>
      <c r="B55" s="3"/>
      <c r="C55" s="110"/>
      <c r="D55" s="110"/>
      <c r="E55" s="38"/>
      <c r="F55" s="38"/>
      <c r="G55" s="38"/>
      <c r="H55" s="38"/>
      <c r="I55" s="38"/>
      <c r="J55" s="38"/>
      <c r="K55" s="38"/>
      <c r="L55" s="116"/>
      <c r="M55" s="117"/>
      <c r="N55" s="117"/>
      <c r="O55" s="117"/>
      <c r="P55" s="117"/>
      <c r="Q55" s="117"/>
      <c r="R55" s="118"/>
    </row>
    <row r="56" spans="1:18" ht="41.45" customHeight="1">
      <c r="A56" s="19"/>
      <c r="B56" s="3"/>
      <c r="C56" s="110"/>
      <c r="D56" s="110"/>
      <c r="E56" s="38"/>
      <c r="F56" s="38"/>
      <c r="G56" s="38"/>
      <c r="H56" s="38"/>
      <c r="I56" s="38"/>
      <c r="J56" s="38"/>
      <c r="K56" s="38"/>
      <c r="L56" s="116"/>
      <c r="M56" s="117"/>
      <c r="N56" s="117"/>
      <c r="O56" s="117"/>
      <c r="P56" s="117"/>
      <c r="Q56" s="117"/>
      <c r="R56" s="118"/>
    </row>
    <row r="57" spans="1:18" ht="41.45" customHeight="1">
      <c r="A57" s="19"/>
      <c r="B57" s="3"/>
      <c r="C57" s="110"/>
      <c r="D57" s="110"/>
      <c r="E57" s="38"/>
      <c r="F57" s="38"/>
      <c r="G57" s="38"/>
      <c r="H57" s="38"/>
      <c r="I57" s="38"/>
      <c r="J57" s="38"/>
      <c r="K57" s="38"/>
      <c r="L57" s="116"/>
      <c r="M57" s="117"/>
      <c r="N57" s="117"/>
      <c r="O57" s="117"/>
      <c r="P57" s="117"/>
      <c r="Q57" s="117"/>
      <c r="R57" s="118"/>
    </row>
    <row r="58" spans="1:18" ht="41.45" customHeight="1">
      <c r="A58" s="23"/>
      <c r="B58" s="24"/>
      <c r="C58" s="25"/>
      <c r="D58" s="25"/>
      <c r="E58" s="25" t="str">
        <f>IF(E7="X",(D7-C7),"0")</f>
        <v>0</v>
      </c>
      <c r="F58" s="25">
        <f>IF(F7="X",(D7-C7),"0")</f>
        <v>1</v>
      </c>
      <c r="G58" s="25" t="str">
        <f>IF(G7="X",(D7-C7),"0")</f>
        <v>0</v>
      </c>
      <c r="H58" s="25" t="str">
        <f>IF(H7="X",(D7-C7),"0")</f>
        <v>0</v>
      </c>
      <c r="I58" s="25">
        <f>IF(I7="X",(D7-C7),"0")</f>
        <v>1</v>
      </c>
      <c r="J58" s="25" t="str">
        <f>IF(J7="X",(D7-C7),"0")</f>
        <v>0</v>
      </c>
      <c r="K58" s="25" t="str">
        <f>IF(K7="X",(D7-C7),"0")</f>
        <v>0</v>
      </c>
      <c r="L58" s="147"/>
      <c r="M58" s="148"/>
      <c r="N58" s="148"/>
      <c r="O58" s="148"/>
      <c r="P58" s="148"/>
      <c r="Q58" s="148"/>
      <c r="R58" s="149"/>
    </row>
    <row r="59" spans="1:18" ht="41.45" customHeight="1">
      <c r="A59" s="19"/>
      <c r="B59" s="3"/>
      <c r="C59" s="22"/>
      <c r="D59" s="22"/>
      <c r="E59" s="25" t="str">
        <f t="shared" ref="E59:E110" si="1">IF(E8="X",(D8-C8),"0")</f>
        <v>0</v>
      </c>
      <c r="F59" s="25">
        <f t="shared" ref="F59:F110" si="2">IF(F8="X",(D8-C8),"0")</f>
        <v>1</v>
      </c>
      <c r="G59" s="25" t="str">
        <f t="shared" ref="G59:G110" si="3">IF(G8="X",(D8-C8),"0")</f>
        <v>0</v>
      </c>
      <c r="H59" s="25" t="str">
        <f t="shared" ref="H59:H110" si="4">IF(H8="X",(D8-C8),"0")</f>
        <v>0</v>
      </c>
      <c r="I59" s="25">
        <f t="shared" ref="I59:I110" si="5">IF(I8="X",(D8-C8),"0")</f>
        <v>1</v>
      </c>
      <c r="J59" s="25" t="str">
        <f t="shared" ref="J59:J110" si="6">IF(J8="X",(D8-C8),"0")</f>
        <v>0</v>
      </c>
      <c r="K59" s="25" t="str">
        <f t="shared" ref="K59:K110" si="7">IF(K8="X",(D8-C8),"0")</f>
        <v>0</v>
      </c>
      <c r="L59" s="119"/>
      <c r="M59" s="119"/>
      <c r="N59" s="119"/>
      <c r="O59" s="119"/>
      <c r="P59" s="119"/>
      <c r="Q59" s="119"/>
      <c r="R59" s="120"/>
    </row>
    <row r="60" spans="1:18" ht="41.45" customHeight="1">
      <c r="A60" s="19"/>
      <c r="B60" s="3"/>
      <c r="C60" s="22"/>
      <c r="D60" s="22"/>
      <c r="E60" s="25" t="str">
        <f t="shared" si="1"/>
        <v>0</v>
      </c>
      <c r="F60" s="25">
        <f t="shared" si="2"/>
        <v>1</v>
      </c>
      <c r="G60" s="25" t="str">
        <f t="shared" si="3"/>
        <v>0</v>
      </c>
      <c r="H60" s="25" t="str">
        <f t="shared" si="4"/>
        <v>0</v>
      </c>
      <c r="I60" s="25">
        <f t="shared" si="5"/>
        <v>1</v>
      </c>
      <c r="J60" s="25" t="str">
        <f t="shared" si="6"/>
        <v>0</v>
      </c>
      <c r="K60" s="25" t="str">
        <f t="shared" si="7"/>
        <v>0</v>
      </c>
      <c r="L60" s="119"/>
      <c r="M60" s="119"/>
      <c r="N60" s="119"/>
      <c r="O60" s="119"/>
      <c r="P60" s="119"/>
      <c r="Q60" s="119"/>
      <c r="R60" s="120"/>
    </row>
    <row r="61" spans="1:18" ht="41.45" customHeight="1">
      <c r="A61" s="19"/>
      <c r="B61" s="3"/>
      <c r="C61" s="22"/>
      <c r="D61" s="22"/>
      <c r="E61" s="25">
        <f t="shared" si="1"/>
        <v>1</v>
      </c>
      <c r="F61" s="25" t="str">
        <f t="shared" si="2"/>
        <v>0</v>
      </c>
      <c r="G61" s="25" t="str">
        <f t="shared" si="3"/>
        <v>0</v>
      </c>
      <c r="H61" s="25" t="str">
        <f t="shared" si="4"/>
        <v>0</v>
      </c>
      <c r="I61" s="25">
        <f t="shared" si="5"/>
        <v>1</v>
      </c>
      <c r="J61" s="25" t="str">
        <f t="shared" si="6"/>
        <v>0</v>
      </c>
      <c r="K61" s="25" t="str">
        <f t="shared" si="7"/>
        <v>0</v>
      </c>
      <c r="L61" s="119"/>
      <c r="M61" s="119"/>
      <c r="N61" s="119"/>
      <c r="O61" s="119"/>
      <c r="P61" s="119"/>
      <c r="Q61" s="119"/>
      <c r="R61" s="120"/>
    </row>
    <row r="62" spans="1:18" ht="41.45" customHeight="1">
      <c r="A62" s="19"/>
      <c r="B62" s="3"/>
      <c r="C62" s="22"/>
      <c r="D62" s="22"/>
      <c r="E62" s="25">
        <f t="shared" si="1"/>
        <v>1</v>
      </c>
      <c r="F62" s="25" t="str">
        <f t="shared" si="2"/>
        <v>0</v>
      </c>
      <c r="G62" s="25" t="str">
        <f t="shared" si="3"/>
        <v>0</v>
      </c>
      <c r="H62" s="25" t="str">
        <f t="shared" si="4"/>
        <v>0</v>
      </c>
      <c r="I62" s="25">
        <f t="shared" si="5"/>
        <v>1</v>
      </c>
      <c r="J62" s="25" t="str">
        <f t="shared" si="6"/>
        <v>0</v>
      </c>
      <c r="K62" s="25" t="str">
        <f t="shared" si="7"/>
        <v>0</v>
      </c>
      <c r="L62" s="119"/>
      <c r="M62" s="119"/>
      <c r="N62" s="119"/>
      <c r="O62" s="119"/>
      <c r="P62" s="119"/>
      <c r="Q62" s="119"/>
      <c r="R62" s="120"/>
    </row>
    <row r="63" spans="1:18" ht="41.45" customHeight="1">
      <c r="A63" s="19"/>
      <c r="B63" s="3"/>
      <c r="C63" s="22"/>
      <c r="D63" s="22"/>
      <c r="E63" s="25" t="str">
        <f t="shared" si="1"/>
        <v>0</v>
      </c>
      <c r="F63" s="25">
        <f t="shared" si="2"/>
        <v>1</v>
      </c>
      <c r="G63" s="25" t="str">
        <f t="shared" si="3"/>
        <v>0</v>
      </c>
      <c r="H63" s="25" t="str">
        <f t="shared" si="4"/>
        <v>0</v>
      </c>
      <c r="I63" s="25">
        <f t="shared" si="5"/>
        <v>1</v>
      </c>
      <c r="J63" s="25" t="str">
        <f t="shared" si="6"/>
        <v>0</v>
      </c>
      <c r="K63" s="25" t="str">
        <f t="shared" si="7"/>
        <v>0</v>
      </c>
      <c r="L63" s="119"/>
      <c r="M63" s="119"/>
      <c r="N63" s="119"/>
      <c r="O63" s="119"/>
      <c r="P63" s="119"/>
      <c r="Q63" s="119"/>
      <c r="R63" s="120"/>
    </row>
    <row r="64" spans="1:18" ht="41.45" customHeight="1">
      <c r="A64" s="19"/>
      <c r="B64" s="3"/>
      <c r="C64" s="22"/>
      <c r="D64" s="22"/>
      <c r="E64" s="25" t="str">
        <f t="shared" si="1"/>
        <v>0</v>
      </c>
      <c r="F64" s="25">
        <f t="shared" si="2"/>
        <v>1</v>
      </c>
      <c r="G64" s="25" t="str">
        <f t="shared" si="3"/>
        <v>0</v>
      </c>
      <c r="H64" s="25" t="str">
        <f t="shared" si="4"/>
        <v>0</v>
      </c>
      <c r="I64" s="25">
        <f t="shared" si="5"/>
        <v>1</v>
      </c>
      <c r="J64" s="25" t="str">
        <f t="shared" si="6"/>
        <v>0</v>
      </c>
      <c r="K64" s="25" t="str">
        <f t="shared" si="7"/>
        <v>0</v>
      </c>
      <c r="L64" s="119"/>
      <c r="M64" s="119"/>
      <c r="N64" s="119"/>
      <c r="O64" s="119"/>
      <c r="P64" s="119"/>
      <c r="Q64" s="119"/>
      <c r="R64" s="120"/>
    </row>
    <row r="65" spans="1:18" ht="41.45" customHeight="1">
      <c r="A65" s="19"/>
      <c r="B65" s="3"/>
      <c r="C65" s="22"/>
      <c r="D65" s="22"/>
      <c r="E65" s="25" t="str">
        <f t="shared" si="1"/>
        <v>0</v>
      </c>
      <c r="F65" s="25">
        <f t="shared" si="2"/>
        <v>1</v>
      </c>
      <c r="G65" s="25" t="str">
        <f t="shared" si="3"/>
        <v>0</v>
      </c>
      <c r="H65" s="25" t="str">
        <f t="shared" si="4"/>
        <v>0</v>
      </c>
      <c r="I65" s="25">
        <f t="shared" si="5"/>
        <v>1</v>
      </c>
      <c r="J65" s="25" t="str">
        <f t="shared" si="6"/>
        <v>0</v>
      </c>
      <c r="K65" s="25" t="str">
        <f t="shared" si="7"/>
        <v>0</v>
      </c>
      <c r="L65" s="119"/>
      <c r="M65" s="119"/>
      <c r="N65" s="119"/>
      <c r="O65" s="119"/>
      <c r="P65" s="119"/>
      <c r="Q65" s="119"/>
      <c r="R65" s="120"/>
    </row>
    <row r="66" spans="1:18" ht="41.45" customHeight="1">
      <c r="A66" s="19"/>
      <c r="B66" s="3"/>
      <c r="C66" s="22"/>
      <c r="D66" s="22"/>
      <c r="E66" s="25" t="str">
        <f t="shared" si="1"/>
        <v>0</v>
      </c>
      <c r="F66" s="25">
        <f t="shared" si="2"/>
        <v>1</v>
      </c>
      <c r="G66" s="25" t="str">
        <f t="shared" si="3"/>
        <v>0</v>
      </c>
      <c r="H66" s="25" t="str">
        <f t="shared" si="4"/>
        <v>0</v>
      </c>
      <c r="I66" s="25">
        <f t="shared" si="5"/>
        <v>1</v>
      </c>
      <c r="J66" s="25" t="str">
        <f t="shared" si="6"/>
        <v>0</v>
      </c>
      <c r="K66" s="25" t="str">
        <f t="shared" si="7"/>
        <v>0</v>
      </c>
      <c r="L66" s="119"/>
      <c r="M66" s="119"/>
      <c r="N66" s="119"/>
      <c r="O66" s="119"/>
      <c r="P66" s="119"/>
      <c r="Q66" s="119"/>
      <c r="R66" s="120"/>
    </row>
    <row r="67" spans="1:18" ht="41.45" customHeight="1">
      <c r="A67" s="19"/>
      <c r="B67" s="3"/>
      <c r="C67" s="22"/>
      <c r="D67" s="22"/>
      <c r="E67" s="25">
        <f t="shared" si="1"/>
        <v>1</v>
      </c>
      <c r="F67" s="25" t="str">
        <f t="shared" si="2"/>
        <v>0</v>
      </c>
      <c r="G67" s="25" t="str">
        <f t="shared" si="3"/>
        <v>0</v>
      </c>
      <c r="H67" s="25" t="str">
        <f t="shared" si="4"/>
        <v>0</v>
      </c>
      <c r="I67" s="25" t="str">
        <f t="shared" si="5"/>
        <v>0</v>
      </c>
      <c r="J67" s="25">
        <f t="shared" si="6"/>
        <v>1</v>
      </c>
      <c r="K67" s="25" t="str">
        <f t="shared" si="7"/>
        <v>0</v>
      </c>
      <c r="L67" s="119"/>
      <c r="M67" s="119"/>
      <c r="N67" s="119"/>
      <c r="O67" s="119"/>
      <c r="P67" s="119"/>
      <c r="Q67" s="119"/>
      <c r="R67" s="120"/>
    </row>
    <row r="68" spans="1:18" ht="41.45" customHeight="1">
      <c r="A68" s="19"/>
      <c r="B68" s="3"/>
      <c r="C68" s="22"/>
      <c r="D68" s="22"/>
      <c r="E68" s="25">
        <f t="shared" si="1"/>
        <v>1</v>
      </c>
      <c r="F68" s="25" t="str">
        <f t="shared" si="2"/>
        <v>0</v>
      </c>
      <c r="G68" s="25" t="str">
        <f t="shared" si="3"/>
        <v>0</v>
      </c>
      <c r="H68" s="25" t="str">
        <f t="shared" si="4"/>
        <v>0</v>
      </c>
      <c r="I68" s="25" t="str">
        <f t="shared" si="5"/>
        <v>0</v>
      </c>
      <c r="J68" s="25">
        <f t="shared" si="6"/>
        <v>1</v>
      </c>
      <c r="K68" s="25" t="str">
        <f t="shared" si="7"/>
        <v>0</v>
      </c>
      <c r="L68" s="119"/>
      <c r="M68" s="119"/>
      <c r="N68" s="119"/>
      <c r="O68" s="119"/>
      <c r="P68" s="119"/>
      <c r="Q68" s="119"/>
      <c r="R68" s="120"/>
    </row>
    <row r="69" spans="1:18" ht="41.45" customHeight="1">
      <c r="A69" s="19"/>
      <c r="B69" s="3"/>
      <c r="C69" s="22"/>
      <c r="D69" s="22"/>
      <c r="E69" s="25">
        <f t="shared" si="1"/>
        <v>1</v>
      </c>
      <c r="F69" s="25" t="str">
        <f t="shared" si="2"/>
        <v>0</v>
      </c>
      <c r="G69" s="25" t="str">
        <f t="shared" si="3"/>
        <v>0</v>
      </c>
      <c r="H69" s="25" t="str">
        <f t="shared" si="4"/>
        <v>0</v>
      </c>
      <c r="I69" s="25" t="str">
        <f t="shared" si="5"/>
        <v>0</v>
      </c>
      <c r="J69" s="25">
        <f t="shared" si="6"/>
        <v>1</v>
      </c>
      <c r="K69" s="25" t="str">
        <f t="shared" si="7"/>
        <v>0</v>
      </c>
      <c r="L69" s="119"/>
      <c r="M69" s="119"/>
      <c r="N69" s="119"/>
      <c r="O69" s="119"/>
      <c r="P69" s="119"/>
      <c r="Q69" s="119"/>
      <c r="R69" s="120"/>
    </row>
    <row r="70" spans="1:18" ht="41.45" customHeight="1">
      <c r="A70" s="19"/>
      <c r="B70" s="3"/>
      <c r="C70" s="22"/>
      <c r="D70" s="22"/>
      <c r="E70" s="25">
        <f t="shared" si="1"/>
        <v>1</v>
      </c>
      <c r="F70" s="25" t="str">
        <f t="shared" si="2"/>
        <v>0</v>
      </c>
      <c r="G70" s="25" t="str">
        <f t="shared" si="3"/>
        <v>0</v>
      </c>
      <c r="H70" s="25" t="str">
        <f t="shared" si="4"/>
        <v>0</v>
      </c>
      <c r="I70" s="25" t="str">
        <f t="shared" si="5"/>
        <v>0</v>
      </c>
      <c r="J70" s="25">
        <f t="shared" si="6"/>
        <v>1</v>
      </c>
      <c r="K70" s="25" t="str">
        <f t="shared" si="7"/>
        <v>0</v>
      </c>
      <c r="L70" s="119"/>
      <c r="M70" s="119"/>
      <c r="N70" s="119"/>
      <c r="O70" s="119"/>
      <c r="P70" s="119"/>
      <c r="Q70" s="119"/>
      <c r="R70" s="120"/>
    </row>
    <row r="71" spans="1:18" ht="41.45" customHeight="1">
      <c r="A71" s="19"/>
      <c r="B71" s="3"/>
      <c r="C71" s="22"/>
      <c r="D71" s="22"/>
      <c r="E71" s="25">
        <f t="shared" si="1"/>
        <v>1</v>
      </c>
      <c r="F71" s="25" t="str">
        <f t="shared" si="2"/>
        <v>0</v>
      </c>
      <c r="G71" s="25" t="str">
        <f t="shared" si="3"/>
        <v>0</v>
      </c>
      <c r="H71" s="25" t="str">
        <f t="shared" si="4"/>
        <v>0</v>
      </c>
      <c r="I71" s="25" t="str">
        <f t="shared" si="5"/>
        <v>0</v>
      </c>
      <c r="J71" s="25">
        <f t="shared" si="6"/>
        <v>1</v>
      </c>
      <c r="K71" s="25" t="str">
        <f t="shared" si="7"/>
        <v>0</v>
      </c>
      <c r="L71" s="119"/>
      <c r="M71" s="119"/>
      <c r="N71" s="119"/>
      <c r="O71" s="119"/>
      <c r="P71" s="119"/>
      <c r="Q71" s="119"/>
      <c r="R71" s="120"/>
    </row>
    <row r="72" spans="1:18" ht="41.45" customHeight="1">
      <c r="A72" s="19"/>
      <c r="B72" s="3"/>
      <c r="C72" s="22"/>
      <c r="D72" s="22"/>
      <c r="E72" s="25">
        <f t="shared" si="1"/>
        <v>1</v>
      </c>
      <c r="F72" s="25" t="str">
        <f t="shared" si="2"/>
        <v>0</v>
      </c>
      <c r="G72" s="25" t="str">
        <f t="shared" si="3"/>
        <v>0</v>
      </c>
      <c r="H72" s="25" t="str">
        <f t="shared" si="4"/>
        <v>0</v>
      </c>
      <c r="I72" s="25" t="str">
        <f t="shared" si="5"/>
        <v>0</v>
      </c>
      <c r="J72" s="25">
        <f t="shared" si="6"/>
        <v>1</v>
      </c>
      <c r="K72" s="25" t="str">
        <f t="shared" si="7"/>
        <v>0</v>
      </c>
      <c r="L72" s="119"/>
      <c r="M72" s="119"/>
      <c r="N72" s="119"/>
      <c r="O72" s="119"/>
      <c r="P72" s="119"/>
      <c r="Q72" s="119"/>
      <c r="R72" s="120"/>
    </row>
    <row r="73" spans="1:18" ht="41.45" customHeight="1">
      <c r="A73" s="19"/>
      <c r="B73" s="3"/>
      <c r="C73" s="22"/>
      <c r="D73" s="22"/>
      <c r="E73" s="25">
        <f t="shared" si="1"/>
        <v>1</v>
      </c>
      <c r="F73" s="25" t="str">
        <f t="shared" si="2"/>
        <v>0</v>
      </c>
      <c r="G73" s="25" t="str">
        <f t="shared" si="3"/>
        <v>0</v>
      </c>
      <c r="H73" s="25" t="str">
        <f t="shared" si="4"/>
        <v>0</v>
      </c>
      <c r="I73" s="25" t="str">
        <f t="shared" si="5"/>
        <v>0</v>
      </c>
      <c r="J73" s="25">
        <f t="shared" si="6"/>
        <v>1</v>
      </c>
      <c r="K73" s="25" t="str">
        <f t="shared" si="7"/>
        <v>0</v>
      </c>
      <c r="L73" s="119"/>
      <c r="M73" s="119"/>
      <c r="N73" s="119"/>
      <c r="O73" s="119"/>
      <c r="P73" s="119"/>
      <c r="Q73" s="119"/>
      <c r="R73" s="120"/>
    </row>
    <row r="74" spans="1:18" ht="41.45" customHeight="1">
      <c r="A74" s="19"/>
      <c r="B74" s="3"/>
      <c r="C74" s="22"/>
      <c r="D74" s="22"/>
      <c r="E74" s="25" t="str">
        <f t="shared" si="1"/>
        <v>0</v>
      </c>
      <c r="F74" s="25">
        <f t="shared" si="2"/>
        <v>1</v>
      </c>
      <c r="G74" s="25" t="str">
        <f t="shared" si="3"/>
        <v>0</v>
      </c>
      <c r="H74" s="25" t="str">
        <f t="shared" si="4"/>
        <v>0</v>
      </c>
      <c r="I74" s="25" t="str">
        <f t="shared" si="5"/>
        <v>0</v>
      </c>
      <c r="J74" s="25">
        <f t="shared" si="6"/>
        <v>1</v>
      </c>
      <c r="K74" s="25" t="str">
        <f t="shared" si="7"/>
        <v>0</v>
      </c>
      <c r="L74" s="119"/>
      <c r="M74" s="119"/>
      <c r="N74" s="119"/>
      <c r="O74" s="119"/>
      <c r="P74" s="119"/>
      <c r="Q74" s="119"/>
      <c r="R74" s="120"/>
    </row>
    <row r="75" spans="1:18" ht="41.45" customHeight="1">
      <c r="A75" s="19"/>
      <c r="B75" s="3"/>
      <c r="C75" s="22"/>
      <c r="D75" s="22"/>
      <c r="E75" s="25" t="str">
        <f t="shared" si="1"/>
        <v>0</v>
      </c>
      <c r="F75" s="25">
        <f t="shared" si="2"/>
        <v>1</v>
      </c>
      <c r="G75" s="25" t="str">
        <f t="shared" si="3"/>
        <v>0</v>
      </c>
      <c r="H75" s="25" t="str">
        <f t="shared" si="4"/>
        <v>0</v>
      </c>
      <c r="I75" s="25" t="str">
        <f t="shared" si="5"/>
        <v>0</v>
      </c>
      <c r="J75" s="25">
        <f t="shared" si="6"/>
        <v>1</v>
      </c>
      <c r="K75" s="25" t="str">
        <f t="shared" si="7"/>
        <v>0</v>
      </c>
      <c r="L75" s="119"/>
      <c r="M75" s="119"/>
      <c r="N75" s="119"/>
      <c r="O75" s="119"/>
      <c r="P75" s="119"/>
      <c r="Q75" s="119"/>
      <c r="R75" s="120"/>
    </row>
    <row r="76" spans="1:18" ht="41.45" customHeight="1">
      <c r="A76" s="19"/>
      <c r="B76" s="3"/>
      <c r="C76" s="22"/>
      <c r="D76" s="22"/>
      <c r="E76" s="25" t="str">
        <f t="shared" si="1"/>
        <v>0</v>
      </c>
      <c r="F76" s="25">
        <f t="shared" si="2"/>
        <v>0.41000000000000014</v>
      </c>
      <c r="G76" s="25" t="str">
        <f t="shared" si="3"/>
        <v>0</v>
      </c>
      <c r="H76" s="25" t="str">
        <f t="shared" si="4"/>
        <v>0</v>
      </c>
      <c r="I76" s="25" t="str">
        <f t="shared" si="5"/>
        <v>0</v>
      </c>
      <c r="J76" s="25">
        <f t="shared" si="6"/>
        <v>0.41000000000000014</v>
      </c>
      <c r="K76" s="25" t="str">
        <f t="shared" si="7"/>
        <v>0</v>
      </c>
      <c r="L76" s="119"/>
      <c r="M76" s="119"/>
      <c r="N76" s="119"/>
      <c r="O76" s="119"/>
      <c r="P76" s="119"/>
      <c r="Q76" s="119"/>
      <c r="R76" s="120"/>
    </row>
    <row r="77" spans="1:18" ht="41.45" customHeight="1">
      <c r="A77" s="19"/>
      <c r="B77" s="3"/>
      <c r="C77" s="22"/>
      <c r="D77" s="22"/>
      <c r="E77" s="25">
        <f t="shared" si="1"/>
        <v>1</v>
      </c>
      <c r="F77" s="25" t="str">
        <f t="shared" si="2"/>
        <v>0</v>
      </c>
      <c r="G77" s="25" t="str">
        <f t="shared" si="3"/>
        <v>0</v>
      </c>
      <c r="H77" s="25" t="str">
        <f t="shared" si="4"/>
        <v>0</v>
      </c>
      <c r="I77" s="25" t="str">
        <f t="shared" si="5"/>
        <v>0</v>
      </c>
      <c r="J77" s="25">
        <f t="shared" si="6"/>
        <v>1</v>
      </c>
      <c r="K77" s="25" t="str">
        <f t="shared" si="7"/>
        <v>0</v>
      </c>
      <c r="L77" s="119"/>
      <c r="M77" s="119"/>
      <c r="N77" s="119"/>
      <c r="O77" s="119"/>
      <c r="P77" s="119"/>
      <c r="Q77" s="119"/>
      <c r="R77" s="120"/>
    </row>
    <row r="78" spans="1:18" ht="41.45" customHeight="1">
      <c r="A78" s="19"/>
      <c r="B78" s="3"/>
      <c r="C78" s="22"/>
      <c r="D78" s="22"/>
      <c r="E78" s="25">
        <f t="shared" si="1"/>
        <v>1</v>
      </c>
      <c r="F78" s="25" t="str">
        <f t="shared" si="2"/>
        <v>0</v>
      </c>
      <c r="G78" s="25" t="str">
        <f t="shared" si="3"/>
        <v>0</v>
      </c>
      <c r="H78" s="25" t="str">
        <f t="shared" si="4"/>
        <v>0</v>
      </c>
      <c r="I78" s="25" t="str">
        <f t="shared" si="5"/>
        <v>0</v>
      </c>
      <c r="J78" s="25">
        <f t="shared" si="6"/>
        <v>1</v>
      </c>
      <c r="K78" s="25" t="str">
        <f t="shared" si="7"/>
        <v>0</v>
      </c>
      <c r="L78" s="119"/>
      <c r="M78" s="119"/>
      <c r="N78" s="119"/>
      <c r="O78" s="119"/>
      <c r="P78" s="119"/>
      <c r="Q78" s="119"/>
      <c r="R78" s="120"/>
    </row>
    <row r="79" spans="1:18" ht="41.45" customHeight="1">
      <c r="A79" s="19"/>
      <c r="B79" s="3"/>
      <c r="C79" s="22"/>
      <c r="D79" s="22"/>
      <c r="E79" s="25">
        <f t="shared" si="1"/>
        <v>1</v>
      </c>
      <c r="F79" s="25" t="str">
        <f t="shared" si="2"/>
        <v>0</v>
      </c>
      <c r="G79" s="25" t="str">
        <f t="shared" si="3"/>
        <v>0</v>
      </c>
      <c r="H79" s="25" t="str">
        <f t="shared" si="4"/>
        <v>0</v>
      </c>
      <c r="I79" s="25" t="str">
        <f t="shared" si="5"/>
        <v>0</v>
      </c>
      <c r="J79" s="25">
        <f t="shared" si="6"/>
        <v>1</v>
      </c>
      <c r="K79" s="25" t="str">
        <f t="shared" si="7"/>
        <v>0</v>
      </c>
      <c r="L79" s="119"/>
      <c r="M79" s="119"/>
      <c r="N79" s="119"/>
      <c r="O79" s="119"/>
      <c r="P79" s="119"/>
      <c r="Q79" s="119"/>
      <c r="R79" s="120"/>
    </row>
    <row r="80" spans="1:18" ht="41.45" customHeight="1">
      <c r="A80" s="19"/>
      <c r="B80" s="3"/>
      <c r="C80" s="22"/>
      <c r="D80" s="22"/>
      <c r="E80" s="25">
        <f t="shared" si="1"/>
        <v>1</v>
      </c>
      <c r="F80" s="25" t="str">
        <f t="shared" si="2"/>
        <v>0</v>
      </c>
      <c r="G80" s="25" t="str">
        <f t="shared" si="3"/>
        <v>0</v>
      </c>
      <c r="H80" s="25" t="str">
        <f t="shared" si="4"/>
        <v>0</v>
      </c>
      <c r="I80" s="25" t="str">
        <f t="shared" si="5"/>
        <v>0</v>
      </c>
      <c r="J80" s="25">
        <f t="shared" si="6"/>
        <v>1</v>
      </c>
      <c r="K80" s="25" t="str">
        <f t="shared" si="7"/>
        <v>0</v>
      </c>
      <c r="L80" s="119"/>
      <c r="M80" s="119"/>
      <c r="N80" s="119"/>
      <c r="O80" s="119"/>
      <c r="P80" s="119"/>
      <c r="Q80" s="119"/>
      <c r="R80" s="120"/>
    </row>
    <row r="81" spans="1:18" ht="41.45" customHeight="1">
      <c r="A81" s="19"/>
      <c r="B81" s="3"/>
      <c r="C81" s="22"/>
      <c r="D81" s="22"/>
      <c r="E81" s="25">
        <f t="shared" si="1"/>
        <v>1</v>
      </c>
      <c r="F81" s="25" t="str">
        <f t="shared" si="2"/>
        <v>0</v>
      </c>
      <c r="G81" s="25" t="str">
        <f t="shared" si="3"/>
        <v>0</v>
      </c>
      <c r="H81" s="25" t="str">
        <f t="shared" si="4"/>
        <v>0</v>
      </c>
      <c r="I81" s="25" t="str">
        <f t="shared" si="5"/>
        <v>0</v>
      </c>
      <c r="J81" s="25">
        <f t="shared" si="6"/>
        <v>1</v>
      </c>
      <c r="K81" s="25" t="str">
        <f t="shared" si="7"/>
        <v>0</v>
      </c>
      <c r="L81" s="119"/>
      <c r="M81" s="119"/>
      <c r="N81" s="119"/>
      <c r="O81" s="119"/>
      <c r="P81" s="119"/>
      <c r="Q81" s="119"/>
      <c r="R81" s="120"/>
    </row>
    <row r="82" spans="1:18" ht="41.45" customHeight="1">
      <c r="A82" s="19"/>
      <c r="B82" s="3"/>
      <c r="C82" s="22"/>
      <c r="D82" s="22"/>
      <c r="E82" s="25">
        <f t="shared" si="1"/>
        <v>1</v>
      </c>
      <c r="F82" s="25" t="str">
        <f t="shared" si="2"/>
        <v>0</v>
      </c>
      <c r="G82" s="25" t="str">
        <f t="shared" si="3"/>
        <v>0</v>
      </c>
      <c r="H82" s="25" t="str">
        <f t="shared" si="4"/>
        <v>0</v>
      </c>
      <c r="I82" s="25" t="str">
        <f t="shared" si="5"/>
        <v>0</v>
      </c>
      <c r="J82" s="25">
        <f t="shared" si="6"/>
        <v>1</v>
      </c>
      <c r="K82" s="25" t="str">
        <f t="shared" si="7"/>
        <v>0</v>
      </c>
      <c r="L82" s="119"/>
      <c r="M82" s="119"/>
      <c r="N82" s="119"/>
      <c r="O82" s="119"/>
      <c r="P82" s="119"/>
      <c r="Q82" s="119"/>
      <c r="R82" s="120"/>
    </row>
    <row r="83" spans="1:18" ht="41.45" customHeight="1">
      <c r="A83" s="19"/>
      <c r="B83" s="3"/>
      <c r="C83" s="22"/>
      <c r="D83" s="22"/>
      <c r="E83" s="25">
        <f t="shared" si="1"/>
        <v>1</v>
      </c>
      <c r="F83" s="25" t="str">
        <f t="shared" si="2"/>
        <v>0</v>
      </c>
      <c r="G83" s="25" t="str">
        <f t="shared" si="3"/>
        <v>0</v>
      </c>
      <c r="H83" s="25" t="str">
        <f t="shared" si="4"/>
        <v>0</v>
      </c>
      <c r="I83" s="25" t="str">
        <f t="shared" si="5"/>
        <v>0</v>
      </c>
      <c r="J83" s="25">
        <f t="shared" si="6"/>
        <v>1</v>
      </c>
      <c r="K83" s="25" t="str">
        <f t="shared" si="7"/>
        <v>0</v>
      </c>
      <c r="L83" s="119"/>
      <c r="M83" s="119"/>
      <c r="N83" s="119"/>
      <c r="O83" s="119"/>
      <c r="P83" s="119"/>
      <c r="Q83" s="119"/>
      <c r="R83" s="120"/>
    </row>
    <row r="84" spans="1:18" ht="41.45" customHeight="1">
      <c r="A84" s="19"/>
      <c r="B84" s="3"/>
      <c r="C84" s="22"/>
      <c r="D84" s="22"/>
      <c r="E84" s="25" t="str">
        <f t="shared" si="1"/>
        <v>0</v>
      </c>
      <c r="F84" s="25">
        <f t="shared" si="2"/>
        <v>1</v>
      </c>
      <c r="G84" s="25" t="str">
        <f t="shared" si="3"/>
        <v>0</v>
      </c>
      <c r="H84" s="25" t="str">
        <f t="shared" si="4"/>
        <v>0</v>
      </c>
      <c r="I84" s="25" t="str">
        <f t="shared" si="5"/>
        <v>0</v>
      </c>
      <c r="J84" s="25">
        <f t="shared" si="6"/>
        <v>1</v>
      </c>
      <c r="K84" s="25" t="str">
        <f t="shared" si="7"/>
        <v>0</v>
      </c>
      <c r="L84" s="119"/>
      <c r="M84" s="119"/>
      <c r="N84" s="119"/>
      <c r="O84" s="119"/>
      <c r="P84" s="119"/>
      <c r="Q84" s="119"/>
      <c r="R84" s="120"/>
    </row>
    <row r="85" spans="1:18" ht="41.45" customHeight="1">
      <c r="A85" s="19"/>
      <c r="B85" s="3"/>
      <c r="C85" s="22"/>
      <c r="D85" s="22"/>
      <c r="E85" s="25" t="str">
        <f t="shared" si="1"/>
        <v>0</v>
      </c>
      <c r="F85" s="25">
        <f t="shared" si="2"/>
        <v>1</v>
      </c>
      <c r="G85" s="25" t="str">
        <f t="shared" si="3"/>
        <v>0</v>
      </c>
      <c r="H85" s="25" t="str">
        <f t="shared" si="4"/>
        <v>0</v>
      </c>
      <c r="I85" s="25" t="str">
        <f t="shared" si="5"/>
        <v>0</v>
      </c>
      <c r="J85" s="25">
        <f t="shared" si="6"/>
        <v>1</v>
      </c>
      <c r="K85" s="25" t="str">
        <f t="shared" si="7"/>
        <v>0</v>
      </c>
      <c r="L85" s="119"/>
      <c r="M85" s="119"/>
      <c r="N85" s="119"/>
      <c r="O85" s="119"/>
      <c r="P85" s="119"/>
      <c r="Q85" s="119"/>
      <c r="R85" s="120"/>
    </row>
    <row r="86" spans="1:18" ht="41.45" customHeight="1">
      <c r="A86" s="19"/>
      <c r="B86" s="3"/>
      <c r="C86" s="22"/>
      <c r="D86" s="22"/>
      <c r="E86" s="25">
        <f t="shared" si="1"/>
        <v>1</v>
      </c>
      <c r="F86" s="25" t="str">
        <f t="shared" si="2"/>
        <v>0</v>
      </c>
      <c r="G86" s="25" t="str">
        <f t="shared" si="3"/>
        <v>0</v>
      </c>
      <c r="H86" s="25" t="str">
        <f t="shared" si="4"/>
        <v>0</v>
      </c>
      <c r="I86" s="25" t="str">
        <f t="shared" si="5"/>
        <v>0</v>
      </c>
      <c r="J86" s="25">
        <f t="shared" si="6"/>
        <v>1</v>
      </c>
      <c r="K86" s="25" t="str">
        <f t="shared" si="7"/>
        <v>0</v>
      </c>
      <c r="L86" s="119"/>
      <c r="M86" s="119"/>
      <c r="N86" s="119"/>
      <c r="O86" s="119"/>
      <c r="P86" s="119"/>
      <c r="Q86" s="119"/>
      <c r="R86" s="120"/>
    </row>
    <row r="87" spans="1:18" ht="41.45" customHeight="1">
      <c r="A87" s="19"/>
      <c r="B87" s="3"/>
      <c r="C87" s="22"/>
      <c r="D87" s="22"/>
      <c r="E87" s="25">
        <f t="shared" si="1"/>
        <v>1</v>
      </c>
      <c r="F87" s="25" t="str">
        <f t="shared" si="2"/>
        <v>0</v>
      </c>
      <c r="G87" s="25" t="str">
        <f t="shared" si="3"/>
        <v>0</v>
      </c>
      <c r="H87" s="25" t="str">
        <f t="shared" si="4"/>
        <v>0</v>
      </c>
      <c r="I87" s="25" t="str">
        <f t="shared" si="5"/>
        <v>0</v>
      </c>
      <c r="J87" s="25">
        <f t="shared" si="6"/>
        <v>1</v>
      </c>
      <c r="K87" s="25" t="str">
        <f t="shared" si="7"/>
        <v>0</v>
      </c>
      <c r="L87" s="119"/>
      <c r="M87" s="119"/>
      <c r="N87" s="119"/>
      <c r="O87" s="119"/>
      <c r="P87" s="119"/>
      <c r="Q87" s="119"/>
      <c r="R87" s="120"/>
    </row>
    <row r="88" spans="1:18" ht="41.45" customHeight="1">
      <c r="A88" s="19"/>
      <c r="B88" s="3"/>
      <c r="C88" s="22"/>
      <c r="D88" s="22"/>
      <c r="E88" s="25">
        <f t="shared" si="1"/>
        <v>1</v>
      </c>
      <c r="F88" s="25" t="str">
        <f t="shared" si="2"/>
        <v>0</v>
      </c>
      <c r="G88" s="25" t="str">
        <f t="shared" si="3"/>
        <v>0</v>
      </c>
      <c r="H88" s="25" t="str">
        <f t="shared" si="4"/>
        <v>0</v>
      </c>
      <c r="I88" s="25">
        <f t="shared" si="5"/>
        <v>1</v>
      </c>
      <c r="J88" s="25" t="str">
        <f t="shared" si="6"/>
        <v>0</v>
      </c>
      <c r="K88" s="25" t="str">
        <f t="shared" si="7"/>
        <v>0</v>
      </c>
      <c r="L88" s="119"/>
      <c r="M88" s="119"/>
      <c r="N88" s="119"/>
      <c r="O88" s="119"/>
      <c r="P88" s="119"/>
      <c r="Q88" s="119"/>
      <c r="R88" s="120"/>
    </row>
    <row r="89" spans="1:18" ht="41.45" customHeight="1">
      <c r="A89" s="19"/>
      <c r="B89" s="3"/>
      <c r="C89" s="22"/>
      <c r="D89" s="22"/>
      <c r="E89" s="25">
        <f t="shared" si="1"/>
        <v>1</v>
      </c>
      <c r="F89" s="25" t="str">
        <f t="shared" si="2"/>
        <v>0</v>
      </c>
      <c r="G89" s="25" t="str">
        <f t="shared" si="3"/>
        <v>0</v>
      </c>
      <c r="H89" s="25" t="str">
        <f t="shared" si="4"/>
        <v>0</v>
      </c>
      <c r="I89" s="25">
        <f t="shared" si="5"/>
        <v>1</v>
      </c>
      <c r="J89" s="25" t="str">
        <f t="shared" si="6"/>
        <v>0</v>
      </c>
      <c r="K89" s="25" t="str">
        <f t="shared" si="7"/>
        <v>0</v>
      </c>
      <c r="L89" s="119"/>
      <c r="M89" s="119"/>
      <c r="N89" s="119"/>
      <c r="O89" s="119"/>
      <c r="P89" s="119"/>
      <c r="Q89" s="119"/>
      <c r="R89" s="120"/>
    </row>
    <row r="90" spans="1:18" ht="41.45" customHeight="1">
      <c r="A90" s="19"/>
      <c r="B90" s="3"/>
      <c r="C90" s="22"/>
      <c r="D90" s="22"/>
      <c r="E90" s="25">
        <f t="shared" si="1"/>
        <v>1</v>
      </c>
      <c r="F90" s="25" t="str">
        <f t="shared" si="2"/>
        <v>0</v>
      </c>
      <c r="G90" s="25" t="str">
        <f t="shared" si="3"/>
        <v>0</v>
      </c>
      <c r="H90" s="25" t="str">
        <f t="shared" si="4"/>
        <v>0</v>
      </c>
      <c r="I90" s="25">
        <f t="shared" si="5"/>
        <v>1</v>
      </c>
      <c r="J90" s="25" t="str">
        <f t="shared" si="6"/>
        <v>0</v>
      </c>
      <c r="K90" s="25" t="str">
        <f t="shared" si="7"/>
        <v>0</v>
      </c>
      <c r="L90" s="119"/>
      <c r="M90" s="119"/>
      <c r="N90" s="119"/>
      <c r="O90" s="119"/>
      <c r="P90" s="119"/>
      <c r="Q90" s="119"/>
      <c r="R90" s="120"/>
    </row>
    <row r="91" spans="1:18" ht="41.45" customHeight="1">
      <c r="A91" s="19"/>
      <c r="B91" s="3"/>
      <c r="C91" s="22"/>
      <c r="D91" s="22"/>
      <c r="E91" s="25">
        <f t="shared" si="1"/>
        <v>1</v>
      </c>
      <c r="F91" s="25" t="str">
        <f t="shared" si="2"/>
        <v>0</v>
      </c>
      <c r="G91" s="25" t="str">
        <f t="shared" si="3"/>
        <v>0</v>
      </c>
      <c r="H91" s="25" t="str">
        <f t="shared" si="4"/>
        <v>0</v>
      </c>
      <c r="I91" s="25">
        <f t="shared" si="5"/>
        <v>1</v>
      </c>
      <c r="J91" s="25" t="str">
        <f t="shared" si="6"/>
        <v>0</v>
      </c>
      <c r="K91" s="25" t="str">
        <f t="shared" si="7"/>
        <v>0</v>
      </c>
      <c r="L91" s="119"/>
      <c r="M91" s="119"/>
      <c r="N91" s="119"/>
      <c r="O91" s="119"/>
      <c r="P91" s="119"/>
      <c r="Q91" s="119"/>
      <c r="R91" s="120"/>
    </row>
    <row r="92" spans="1:18" ht="41.45" customHeight="1">
      <c r="A92" s="19"/>
      <c r="B92" s="3"/>
      <c r="C92" s="22"/>
      <c r="D92" s="22"/>
      <c r="E92" s="25">
        <f t="shared" si="1"/>
        <v>1</v>
      </c>
      <c r="F92" s="25" t="str">
        <f t="shared" si="2"/>
        <v>0</v>
      </c>
      <c r="G92" s="25" t="str">
        <f t="shared" si="3"/>
        <v>0</v>
      </c>
      <c r="H92" s="25" t="str">
        <f t="shared" si="4"/>
        <v>0</v>
      </c>
      <c r="I92" s="25">
        <f t="shared" si="5"/>
        <v>1</v>
      </c>
      <c r="J92" s="25" t="str">
        <f t="shared" si="6"/>
        <v>0</v>
      </c>
      <c r="K92" s="25" t="str">
        <f t="shared" si="7"/>
        <v>0</v>
      </c>
      <c r="L92" s="119"/>
      <c r="M92" s="119"/>
      <c r="N92" s="119"/>
      <c r="O92" s="119"/>
      <c r="P92" s="119"/>
      <c r="Q92" s="119"/>
      <c r="R92" s="120"/>
    </row>
    <row r="93" spans="1:18" ht="41.45" customHeight="1">
      <c r="A93" s="19"/>
      <c r="B93" s="3"/>
      <c r="C93" s="22"/>
      <c r="D93" s="22"/>
      <c r="E93" s="25">
        <f t="shared" si="1"/>
        <v>1</v>
      </c>
      <c r="F93" s="25" t="str">
        <f t="shared" si="2"/>
        <v>0</v>
      </c>
      <c r="G93" s="25" t="str">
        <f t="shared" si="3"/>
        <v>0</v>
      </c>
      <c r="H93" s="25" t="str">
        <f t="shared" si="4"/>
        <v>0</v>
      </c>
      <c r="I93" s="25">
        <f t="shared" si="5"/>
        <v>1</v>
      </c>
      <c r="J93" s="25" t="str">
        <f t="shared" si="6"/>
        <v>0</v>
      </c>
      <c r="K93" s="25" t="str">
        <f t="shared" si="7"/>
        <v>0</v>
      </c>
      <c r="L93" s="119"/>
      <c r="M93" s="119"/>
      <c r="N93" s="119"/>
      <c r="O93" s="119"/>
      <c r="P93" s="119"/>
      <c r="Q93" s="119"/>
      <c r="R93" s="120"/>
    </row>
    <row r="94" spans="1:18" ht="41.45" customHeight="1">
      <c r="A94" s="19"/>
      <c r="B94" s="3"/>
      <c r="C94" s="22"/>
      <c r="D94" s="22"/>
      <c r="E94" s="25">
        <f t="shared" si="1"/>
        <v>1</v>
      </c>
      <c r="F94" s="25" t="str">
        <f t="shared" si="2"/>
        <v>0</v>
      </c>
      <c r="G94" s="25" t="str">
        <f t="shared" si="3"/>
        <v>0</v>
      </c>
      <c r="H94" s="25" t="str">
        <f t="shared" si="4"/>
        <v>0</v>
      </c>
      <c r="I94" s="25">
        <f t="shared" si="5"/>
        <v>1</v>
      </c>
      <c r="J94" s="25" t="str">
        <f t="shared" si="6"/>
        <v>0</v>
      </c>
      <c r="K94" s="25" t="str">
        <f t="shared" si="7"/>
        <v>0</v>
      </c>
      <c r="L94" s="119"/>
      <c r="M94" s="119"/>
      <c r="N94" s="119"/>
      <c r="O94" s="119"/>
      <c r="P94" s="119"/>
      <c r="Q94" s="119"/>
      <c r="R94" s="120"/>
    </row>
    <row r="95" spans="1:18" ht="41.45" customHeight="1">
      <c r="A95" s="19"/>
      <c r="B95" s="3"/>
      <c r="C95" s="22"/>
      <c r="D95" s="22"/>
      <c r="E95" s="25">
        <f t="shared" si="1"/>
        <v>19</v>
      </c>
      <c r="F95" s="25" t="str">
        <f t="shared" si="2"/>
        <v>0</v>
      </c>
      <c r="G95" s="25" t="str">
        <f t="shared" si="3"/>
        <v>0</v>
      </c>
      <c r="H95" s="25" t="str">
        <f t="shared" si="4"/>
        <v>0</v>
      </c>
      <c r="I95" s="25">
        <f t="shared" si="5"/>
        <v>19</v>
      </c>
      <c r="J95" s="25" t="str">
        <f t="shared" si="6"/>
        <v>0</v>
      </c>
      <c r="K95" s="25" t="str">
        <f t="shared" si="7"/>
        <v>0</v>
      </c>
      <c r="L95" s="119"/>
      <c r="M95" s="119"/>
      <c r="N95" s="119"/>
      <c r="O95" s="119"/>
      <c r="P95" s="119"/>
      <c r="Q95" s="119"/>
      <c r="R95" s="120"/>
    </row>
    <row r="96" spans="1:18" ht="41.45" customHeight="1">
      <c r="A96" s="19"/>
      <c r="B96" s="3"/>
      <c r="C96" s="22"/>
      <c r="D96" s="22"/>
      <c r="E96" s="25">
        <f t="shared" si="1"/>
        <v>1</v>
      </c>
      <c r="F96" s="25" t="str">
        <f t="shared" si="2"/>
        <v>0</v>
      </c>
      <c r="G96" s="25" t="str">
        <f t="shared" si="3"/>
        <v>0</v>
      </c>
      <c r="H96" s="25" t="str">
        <f t="shared" si="4"/>
        <v>0</v>
      </c>
      <c r="I96" s="25">
        <f t="shared" si="5"/>
        <v>1</v>
      </c>
      <c r="J96" s="25" t="str">
        <f t="shared" si="6"/>
        <v>0</v>
      </c>
      <c r="K96" s="25" t="str">
        <f t="shared" si="7"/>
        <v>0</v>
      </c>
      <c r="L96" s="119"/>
      <c r="M96" s="119"/>
      <c r="N96" s="119"/>
      <c r="O96" s="119"/>
      <c r="P96" s="119"/>
      <c r="Q96" s="119"/>
      <c r="R96" s="120"/>
    </row>
    <row r="97" spans="1:18" ht="41.45" customHeight="1">
      <c r="A97" s="19"/>
      <c r="B97" s="3"/>
      <c r="C97" s="22"/>
      <c r="D97" s="22"/>
      <c r="E97" s="25">
        <f t="shared" si="1"/>
        <v>1</v>
      </c>
      <c r="F97" s="25" t="str">
        <f t="shared" si="2"/>
        <v>0</v>
      </c>
      <c r="G97" s="25" t="str">
        <f t="shared" si="3"/>
        <v>0</v>
      </c>
      <c r="H97" s="25" t="str">
        <f t="shared" si="4"/>
        <v>0</v>
      </c>
      <c r="I97" s="25">
        <f t="shared" si="5"/>
        <v>1</v>
      </c>
      <c r="J97" s="25" t="str">
        <f t="shared" si="6"/>
        <v>0</v>
      </c>
      <c r="K97" s="25" t="str">
        <f t="shared" si="7"/>
        <v>0</v>
      </c>
      <c r="L97" s="119"/>
      <c r="M97" s="119"/>
      <c r="N97" s="119"/>
      <c r="O97" s="119"/>
      <c r="P97" s="119"/>
      <c r="Q97" s="119"/>
      <c r="R97" s="120"/>
    </row>
    <row r="98" spans="1:18" ht="41.45" customHeight="1">
      <c r="A98" s="19"/>
      <c r="B98" s="3"/>
      <c r="C98" s="22"/>
      <c r="D98" s="22"/>
      <c r="E98" s="25">
        <f t="shared" si="1"/>
        <v>1</v>
      </c>
      <c r="F98" s="25" t="str">
        <f t="shared" si="2"/>
        <v>0</v>
      </c>
      <c r="G98" s="25" t="str">
        <f t="shared" si="3"/>
        <v>0</v>
      </c>
      <c r="H98" s="25" t="str">
        <f t="shared" si="4"/>
        <v>0</v>
      </c>
      <c r="I98" s="25">
        <f t="shared" si="5"/>
        <v>1</v>
      </c>
      <c r="J98" s="25" t="str">
        <f t="shared" si="6"/>
        <v>0</v>
      </c>
      <c r="K98" s="25" t="str">
        <f t="shared" si="7"/>
        <v>0</v>
      </c>
      <c r="L98" s="119"/>
      <c r="M98" s="119"/>
      <c r="N98" s="119"/>
      <c r="O98" s="119"/>
      <c r="P98" s="119"/>
      <c r="Q98" s="119"/>
      <c r="R98" s="120"/>
    </row>
    <row r="99" spans="1:18" ht="41.45" customHeight="1">
      <c r="A99" s="19"/>
      <c r="B99" s="3"/>
      <c r="C99" s="22"/>
      <c r="D99" s="22"/>
      <c r="E99" s="25">
        <f t="shared" si="1"/>
        <v>1</v>
      </c>
      <c r="F99" s="25" t="str">
        <f t="shared" si="2"/>
        <v>0</v>
      </c>
      <c r="G99" s="25" t="str">
        <f t="shared" si="3"/>
        <v>0</v>
      </c>
      <c r="H99" s="25" t="str">
        <f t="shared" si="4"/>
        <v>0</v>
      </c>
      <c r="I99" s="25">
        <f t="shared" si="5"/>
        <v>1</v>
      </c>
      <c r="J99" s="25" t="str">
        <f t="shared" si="6"/>
        <v>0</v>
      </c>
      <c r="K99" s="25" t="str">
        <f t="shared" si="7"/>
        <v>0</v>
      </c>
      <c r="L99" s="119"/>
      <c r="M99" s="119"/>
      <c r="N99" s="119"/>
      <c r="O99" s="119"/>
      <c r="P99" s="119"/>
      <c r="Q99" s="119"/>
      <c r="R99" s="120"/>
    </row>
    <row r="100" spans="1:18" ht="41.45" customHeight="1">
      <c r="A100" s="19"/>
      <c r="B100" s="3"/>
      <c r="C100" s="22"/>
      <c r="D100" s="22"/>
      <c r="E100" s="25">
        <f t="shared" si="1"/>
        <v>1</v>
      </c>
      <c r="F100" s="25" t="str">
        <f t="shared" si="2"/>
        <v>0</v>
      </c>
      <c r="G100" s="25" t="str">
        <f t="shared" si="3"/>
        <v>0</v>
      </c>
      <c r="H100" s="25" t="str">
        <f t="shared" si="4"/>
        <v>0</v>
      </c>
      <c r="I100" s="25">
        <f t="shared" si="5"/>
        <v>1</v>
      </c>
      <c r="J100" s="25" t="str">
        <f t="shared" si="6"/>
        <v>0</v>
      </c>
      <c r="K100" s="25" t="str">
        <f t="shared" si="7"/>
        <v>0</v>
      </c>
      <c r="L100" s="119"/>
      <c r="M100" s="119"/>
      <c r="N100" s="119"/>
      <c r="O100" s="119"/>
      <c r="P100" s="119"/>
      <c r="Q100" s="119"/>
      <c r="R100" s="120"/>
    </row>
    <row r="101" spans="1:18" ht="41.45" customHeight="1">
      <c r="A101" s="19"/>
      <c r="B101" s="3"/>
      <c r="C101" s="22"/>
      <c r="D101" s="22"/>
      <c r="E101" s="25" t="str">
        <f t="shared" si="1"/>
        <v>0</v>
      </c>
      <c r="F101" s="25">
        <f t="shared" si="2"/>
        <v>1</v>
      </c>
      <c r="G101" s="25" t="str">
        <f t="shared" si="3"/>
        <v>0</v>
      </c>
      <c r="H101" s="25" t="str">
        <f t="shared" si="4"/>
        <v>0</v>
      </c>
      <c r="I101" s="25">
        <f t="shared" si="5"/>
        <v>1</v>
      </c>
      <c r="J101" s="25" t="str">
        <f t="shared" si="6"/>
        <v>0</v>
      </c>
      <c r="K101" s="25" t="str">
        <f t="shared" si="7"/>
        <v>0</v>
      </c>
      <c r="L101" s="119"/>
      <c r="M101" s="119"/>
      <c r="N101" s="119"/>
      <c r="O101" s="119"/>
      <c r="P101" s="119"/>
      <c r="Q101" s="119"/>
      <c r="R101" s="120"/>
    </row>
    <row r="102" spans="1:18" ht="41.45" customHeight="1">
      <c r="A102" s="19"/>
      <c r="B102" s="3"/>
      <c r="C102" s="22"/>
      <c r="D102" s="22"/>
      <c r="E102" s="25" t="str">
        <f t="shared" si="1"/>
        <v>0</v>
      </c>
      <c r="F102" s="25">
        <f t="shared" si="2"/>
        <v>1</v>
      </c>
      <c r="G102" s="25" t="str">
        <f t="shared" si="3"/>
        <v>0</v>
      </c>
      <c r="H102" s="25" t="str">
        <f t="shared" si="4"/>
        <v>0</v>
      </c>
      <c r="I102" s="25">
        <f t="shared" si="5"/>
        <v>1</v>
      </c>
      <c r="J102" s="25" t="str">
        <f t="shared" si="6"/>
        <v>0</v>
      </c>
      <c r="K102" s="25" t="str">
        <f t="shared" si="7"/>
        <v>0</v>
      </c>
      <c r="L102" s="119"/>
      <c r="M102" s="119"/>
      <c r="N102" s="119"/>
      <c r="O102" s="119"/>
      <c r="P102" s="119"/>
      <c r="Q102" s="119"/>
      <c r="R102" s="120"/>
    </row>
    <row r="103" spans="1:18" ht="41.45" customHeight="1">
      <c r="A103" s="19"/>
      <c r="B103" s="3"/>
      <c r="C103" s="22"/>
      <c r="D103" s="22"/>
      <c r="E103" s="25">
        <f>IF(E52="X",(D52-C52),"0")</f>
        <v>0.48000000000000043</v>
      </c>
      <c r="F103" s="25" t="str">
        <f t="shared" si="2"/>
        <v>0</v>
      </c>
      <c r="G103" s="25" t="str">
        <f t="shared" si="3"/>
        <v>0</v>
      </c>
      <c r="H103" s="25" t="str">
        <f t="shared" si="4"/>
        <v>0</v>
      </c>
      <c r="I103" s="25">
        <f t="shared" si="5"/>
        <v>0.48000000000000043</v>
      </c>
      <c r="J103" s="25" t="str">
        <f t="shared" si="6"/>
        <v>0</v>
      </c>
      <c r="K103" s="25" t="str">
        <f t="shared" si="7"/>
        <v>0</v>
      </c>
      <c r="L103" s="119"/>
      <c r="M103" s="119"/>
      <c r="N103" s="119"/>
      <c r="O103" s="119"/>
      <c r="P103" s="119"/>
      <c r="Q103" s="119"/>
      <c r="R103" s="120"/>
    </row>
    <row r="104" spans="1:18" ht="41.45" customHeight="1">
      <c r="A104" s="19"/>
      <c r="B104" s="3"/>
      <c r="C104" s="22"/>
      <c r="D104" s="22"/>
      <c r="E104" s="25" t="str">
        <f t="shared" si="1"/>
        <v>0</v>
      </c>
      <c r="F104" s="25" t="str">
        <f t="shared" si="2"/>
        <v>0</v>
      </c>
      <c r="G104" s="25" t="str">
        <f t="shared" si="3"/>
        <v>0</v>
      </c>
      <c r="H104" s="25" t="str">
        <f t="shared" si="4"/>
        <v>0</v>
      </c>
      <c r="I104" s="25" t="str">
        <f t="shared" si="5"/>
        <v>0</v>
      </c>
      <c r="J104" s="25" t="str">
        <f t="shared" si="6"/>
        <v>0</v>
      </c>
      <c r="K104" s="25" t="str">
        <f t="shared" si="7"/>
        <v>0</v>
      </c>
      <c r="L104" s="119"/>
      <c r="M104" s="119"/>
      <c r="N104" s="119"/>
      <c r="O104" s="119"/>
      <c r="P104" s="119"/>
      <c r="Q104" s="119"/>
      <c r="R104" s="120"/>
    </row>
    <row r="105" spans="1:18" ht="41.45" customHeight="1">
      <c r="A105" s="19"/>
      <c r="B105" s="3"/>
      <c r="C105" s="22"/>
      <c r="D105" s="22"/>
      <c r="E105" s="25" t="str">
        <f t="shared" si="1"/>
        <v>0</v>
      </c>
      <c r="F105" s="25" t="str">
        <f t="shared" si="2"/>
        <v>0</v>
      </c>
      <c r="G105" s="25" t="str">
        <f t="shared" si="3"/>
        <v>0</v>
      </c>
      <c r="H105" s="25" t="str">
        <f t="shared" si="4"/>
        <v>0</v>
      </c>
      <c r="I105" s="25" t="str">
        <f t="shared" si="5"/>
        <v>0</v>
      </c>
      <c r="J105" s="25" t="str">
        <f t="shared" si="6"/>
        <v>0</v>
      </c>
      <c r="K105" s="25" t="str">
        <f t="shared" si="7"/>
        <v>0</v>
      </c>
      <c r="L105" s="119"/>
      <c r="M105" s="119"/>
      <c r="N105" s="119"/>
      <c r="O105" s="119"/>
      <c r="P105" s="119"/>
      <c r="Q105" s="119"/>
      <c r="R105" s="120"/>
    </row>
    <row r="106" spans="1:18" ht="41.45" customHeight="1">
      <c r="A106" s="19"/>
      <c r="B106" s="3"/>
      <c r="C106" s="22"/>
      <c r="D106" s="22"/>
      <c r="E106" s="25" t="str">
        <f t="shared" si="1"/>
        <v>0</v>
      </c>
      <c r="F106" s="25" t="str">
        <f t="shared" si="2"/>
        <v>0</v>
      </c>
      <c r="G106" s="25" t="str">
        <f t="shared" si="3"/>
        <v>0</v>
      </c>
      <c r="H106" s="25" t="str">
        <f t="shared" si="4"/>
        <v>0</v>
      </c>
      <c r="I106" s="25" t="str">
        <f t="shared" si="5"/>
        <v>0</v>
      </c>
      <c r="J106" s="25" t="str">
        <f t="shared" si="6"/>
        <v>0</v>
      </c>
      <c r="K106" s="25" t="str">
        <f t="shared" si="7"/>
        <v>0</v>
      </c>
      <c r="L106" s="119"/>
      <c r="M106" s="119"/>
      <c r="N106" s="119"/>
      <c r="O106" s="119"/>
      <c r="P106" s="119"/>
      <c r="Q106" s="119"/>
      <c r="R106" s="120"/>
    </row>
    <row r="107" spans="1:18" ht="41.45" customHeight="1">
      <c r="A107" s="19"/>
      <c r="B107" s="3"/>
      <c r="C107" s="22"/>
      <c r="D107" s="22"/>
      <c r="E107" s="25" t="str">
        <f t="shared" si="1"/>
        <v>0</v>
      </c>
      <c r="F107" s="25" t="str">
        <f t="shared" si="2"/>
        <v>0</v>
      </c>
      <c r="G107" s="25" t="str">
        <f t="shared" si="3"/>
        <v>0</v>
      </c>
      <c r="H107" s="25" t="str">
        <f t="shared" si="4"/>
        <v>0</v>
      </c>
      <c r="I107" s="25" t="str">
        <f t="shared" si="5"/>
        <v>0</v>
      </c>
      <c r="J107" s="25" t="str">
        <f t="shared" si="6"/>
        <v>0</v>
      </c>
      <c r="K107" s="25" t="str">
        <f t="shared" si="7"/>
        <v>0</v>
      </c>
      <c r="L107" s="119"/>
      <c r="M107" s="119"/>
      <c r="N107" s="119"/>
      <c r="O107" s="119"/>
      <c r="P107" s="119"/>
      <c r="Q107" s="119"/>
      <c r="R107" s="120"/>
    </row>
    <row r="108" spans="1:18" ht="41.45" customHeight="1">
      <c r="A108" s="19"/>
      <c r="B108" s="3"/>
      <c r="C108" s="22"/>
      <c r="D108" s="22"/>
      <c r="E108" s="25" t="str">
        <f t="shared" si="1"/>
        <v>0</v>
      </c>
      <c r="F108" s="25" t="str">
        <f t="shared" si="2"/>
        <v>0</v>
      </c>
      <c r="G108" s="25" t="str">
        <f t="shared" si="3"/>
        <v>0</v>
      </c>
      <c r="H108" s="25" t="str">
        <f t="shared" si="4"/>
        <v>0</v>
      </c>
      <c r="I108" s="25" t="str">
        <f t="shared" si="5"/>
        <v>0</v>
      </c>
      <c r="J108" s="25" t="str">
        <f t="shared" si="6"/>
        <v>0</v>
      </c>
      <c r="K108" s="25" t="str">
        <f t="shared" si="7"/>
        <v>0</v>
      </c>
      <c r="L108" s="119"/>
      <c r="M108" s="119"/>
      <c r="N108" s="119"/>
      <c r="O108" s="119"/>
      <c r="P108" s="119"/>
      <c r="Q108" s="119"/>
      <c r="R108" s="120"/>
    </row>
    <row r="109" spans="1:18" ht="41.45" customHeight="1">
      <c r="A109" s="19"/>
      <c r="B109" s="3"/>
      <c r="C109" s="22"/>
      <c r="D109" s="22"/>
      <c r="E109" s="25" t="str">
        <f t="shared" si="1"/>
        <v>0</v>
      </c>
      <c r="F109" s="25" t="str">
        <f t="shared" si="2"/>
        <v>0</v>
      </c>
      <c r="G109" s="25" t="str">
        <f t="shared" si="3"/>
        <v>0</v>
      </c>
      <c r="H109" s="25" t="str">
        <f t="shared" si="4"/>
        <v>0</v>
      </c>
      <c r="I109" s="25" t="str">
        <f t="shared" si="5"/>
        <v>0</v>
      </c>
      <c r="J109" s="25" t="str">
        <f t="shared" si="6"/>
        <v>0</v>
      </c>
      <c r="K109" s="25" t="str">
        <f t="shared" si="7"/>
        <v>0</v>
      </c>
      <c r="L109" s="119"/>
      <c r="M109" s="119"/>
      <c r="N109" s="119"/>
      <c r="O109" s="119"/>
      <c r="P109" s="119"/>
      <c r="Q109" s="119"/>
      <c r="R109" s="120"/>
    </row>
    <row r="110" spans="1:18" ht="41.45" customHeight="1">
      <c r="A110" s="19"/>
      <c r="B110" s="3"/>
      <c r="C110" s="22"/>
      <c r="D110" s="22"/>
      <c r="E110" s="25" t="str">
        <f t="shared" si="1"/>
        <v>0</v>
      </c>
      <c r="F110" s="25" t="str">
        <f t="shared" si="2"/>
        <v>0</v>
      </c>
      <c r="G110" s="25" t="str">
        <f t="shared" si="3"/>
        <v>0</v>
      </c>
      <c r="H110" s="25" t="str">
        <f t="shared" si="4"/>
        <v>0</v>
      </c>
      <c r="I110" s="25" t="str">
        <f t="shared" si="5"/>
        <v>0</v>
      </c>
      <c r="J110" s="25" t="str">
        <f t="shared" si="6"/>
        <v>0</v>
      </c>
      <c r="K110" s="25" t="str">
        <f t="shared" si="7"/>
        <v>0</v>
      </c>
      <c r="L110" s="119"/>
      <c r="M110" s="119"/>
      <c r="N110" s="119"/>
      <c r="O110" s="119"/>
      <c r="P110" s="119"/>
      <c r="Q110" s="119"/>
      <c r="R110" s="120"/>
    </row>
    <row r="111" spans="1:18" ht="41.45" customHeight="1">
      <c r="A111" s="19"/>
      <c r="B111" s="3"/>
      <c r="C111" s="22"/>
      <c r="D111" s="22"/>
      <c r="E111" s="22">
        <f>SUM(E58:E110)</f>
        <v>49.480000000000004</v>
      </c>
      <c r="F111" s="22">
        <f t="shared" ref="F111:K111" si="8">SUM(F58:F110)</f>
        <v>13.41</v>
      </c>
      <c r="G111" s="22">
        <f t="shared" si="8"/>
        <v>0</v>
      </c>
      <c r="H111" s="22">
        <f t="shared" si="8"/>
        <v>0</v>
      </c>
      <c r="I111" s="22">
        <f t="shared" si="8"/>
        <v>42.480000000000004</v>
      </c>
      <c r="J111" s="22">
        <f t="shared" si="8"/>
        <v>20.41</v>
      </c>
      <c r="K111" s="22">
        <f t="shared" si="8"/>
        <v>0</v>
      </c>
      <c r="L111" s="119"/>
      <c r="M111" s="119"/>
      <c r="N111" s="119"/>
      <c r="O111" s="119"/>
      <c r="P111" s="119"/>
      <c r="Q111" s="119"/>
      <c r="R111" s="120"/>
    </row>
    <row r="112" spans="1:18" ht="41.45" customHeight="1">
      <c r="A112" s="19"/>
      <c r="B112" s="3"/>
      <c r="C112" s="22"/>
      <c r="D112" s="22"/>
      <c r="E112" s="22"/>
      <c r="F112" s="21"/>
      <c r="G112" s="21"/>
      <c r="H112" s="21"/>
      <c r="I112" s="21"/>
      <c r="J112" s="21"/>
      <c r="K112" s="21"/>
      <c r="L112" s="119"/>
      <c r="M112" s="119"/>
      <c r="N112" s="119"/>
      <c r="O112" s="119"/>
      <c r="P112" s="119"/>
      <c r="Q112" s="119"/>
      <c r="R112" s="120"/>
    </row>
    <row r="113" spans="1:18" ht="41.45" customHeight="1">
      <c r="A113" s="19"/>
      <c r="B113" s="3"/>
      <c r="C113" s="22"/>
      <c r="D113" s="22"/>
      <c r="E113" s="22"/>
      <c r="F113" s="21"/>
      <c r="G113" s="21"/>
      <c r="H113" s="21"/>
      <c r="I113" s="21"/>
      <c r="J113" s="21"/>
      <c r="K113" s="21"/>
      <c r="L113" s="119"/>
      <c r="M113" s="119"/>
      <c r="N113" s="119"/>
      <c r="O113" s="119"/>
      <c r="P113" s="119"/>
      <c r="Q113" s="119"/>
      <c r="R113" s="120"/>
    </row>
    <row r="114" spans="1:18" ht="41.45" customHeight="1">
      <c r="A114" s="19"/>
      <c r="B114" s="3"/>
      <c r="C114" s="22"/>
      <c r="D114" s="22"/>
      <c r="E114" s="22"/>
      <c r="F114" s="21"/>
      <c r="G114" s="21"/>
      <c r="H114" s="21"/>
      <c r="I114" s="21"/>
      <c r="J114" s="21"/>
      <c r="K114" s="21"/>
      <c r="L114" s="119"/>
      <c r="M114" s="119"/>
      <c r="N114" s="119"/>
      <c r="O114" s="119"/>
      <c r="P114" s="119"/>
      <c r="Q114" s="119"/>
      <c r="R114" s="120"/>
    </row>
    <row r="115" spans="1:18" ht="41.45" customHeight="1">
      <c r="A115" s="19"/>
      <c r="B115" s="3"/>
      <c r="C115" s="22"/>
      <c r="D115" s="22"/>
      <c r="E115" s="22"/>
      <c r="F115" s="21"/>
      <c r="G115" s="21"/>
      <c r="H115" s="21"/>
      <c r="I115" s="21"/>
      <c r="J115" s="21"/>
      <c r="K115" s="21"/>
      <c r="L115" s="119"/>
      <c r="M115" s="119"/>
      <c r="N115" s="119"/>
      <c r="O115" s="119"/>
      <c r="P115" s="119"/>
      <c r="Q115" s="119"/>
      <c r="R115" s="120"/>
    </row>
    <row r="116" spans="1:18" ht="41.45" customHeight="1">
      <c r="A116" s="19"/>
      <c r="B116" s="3"/>
      <c r="C116" s="22"/>
      <c r="D116" s="22"/>
      <c r="E116" s="22"/>
      <c r="F116" s="21"/>
      <c r="G116" s="21"/>
      <c r="H116" s="21"/>
      <c r="I116" s="21"/>
      <c r="J116" s="21"/>
      <c r="K116" s="21"/>
      <c r="L116" s="119"/>
      <c r="M116" s="119"/>
      <c r="N116" s="119"/>
      <c r="O116" s="119"/>
      <c r="P116" s="119"/>
      <c r="Q116" s="119"/>
      <c r="R116" s="120"/>
    </row>
    <row r="117" spans="1:18" ht="41.45" customHeight="1" thickBot="1">
      <c r="A117" s="20"/>
      <c r="B117" s="4"/>
      <c r="C117" s="26"/>
      <c r="D117" s="26"/>
      <c r="E117" s="26"/>
      <c r="F117" s="27"/>
      <c r="G117" s="27"/>
      <c r="H117" s="27"/>
      <c r="I117" s="27"/>
      <c r="J117" s="27"/>
      <c r="K117" s="27"/>
      <c r="L117" s="145"/>
      <c r="M117" s="145"/>
      <c r="N117" s="145"/>
      <c r="O117" s="145"/>
      <c r="P117" s="145"/>
      <c r="Q117" s="145"/>
      <c r="R117" s="146"/>
    </row>
  </sheetData>
  <mergeCells count="122">
    <mergeCell ref="L72:R72"/>
    <mergeCell ref="L73:R73"/>
    <mergeCell ref="L89:R89"/>
    <mergeCell ref="L84:R84"/>
    <mergeCell ref="L85:R85"/>
    <mergeCell ref="L86:R86"/>
    <mergeCell ref="L87:R87"/>
    <mergeCell ref="L88:R88"/>
    <mergeCell ref="L79:R79"/>
    <mergeCell ref="L80:R80"/>
    <mergeCell ref="L81:R81"/>
    <mergeCell ref="L82:R82"/>
    <mergeCell ref="L83:R83"/>
    <mergeCell ref="L40:R40"/>
    <mergeCell ref="L51:R51"/>
    <mergeCell ref="L52:R52"/>
    <mergeCell ref="L53:R53"/>
    <mergeCell ref="L63:R63"/>
    <mergeCell ref="L64:R64"/>
    <mergeCell ref="L46:R46"/>
    <mergeCell ref="L47:R47"/>
    <mergeCell ref="L48:R48"/>
    <mergeCell ref="L49:R49"/>
    <mergeCell ref="L50:R50"/>
    <mergeCell ref="L57:R57"/>
    <mergeCell ref="L115:R115"/>
    <mergeCell ref="L116:R116"/>
    <mergeCell ref="L117:R117"/>
    <mergeCell ref="L109:R109"/>
    <mergeCell ref="L110:R110"/>
    <mergeCell ref="L111:R111"/>
    <mergeCell ref="L112:R112"/>
    <mergeCell ref="L113:R113"/>
    <mergeCell ref="L114:R114"/>
    <mergeCell ref="L108:R108"/>
    <mergeCell ref="L97:R97"/>
    <mergeCell ref="L98:R98"/>
    <mergeCell ref="L99:R99"/>
    <mergeCell ref="L100:R100"/>
    <mergeCell ref="L101:R101"/>
    <mergeCell ref="L102:R102"/>
    <mergeCell ref="L103:R103"/>
    <mergeCell ref="L104:R104"/>
    <mergeCell ref="L105:R105"/>
    <mergeCell ref="L106:R106"/>
    <mergeCell ref="L107:R107"/>
    <mergeCell ref="L96:R96"/>
    <mergeCell ref="L58:R58"/>
    <mergeCell ref="L59:R59"/>
    <mergeCell ref="L60:R60"/>
    <mergeCell ref="L61:R61"/>
    <mergeCell ref="L62:R62"/>
    <mergeCell ref="L90:R90"/>
    <mergeCell ref="L91:R91"/>
    <mergeCell ref="L92:R92"/>
    <mergeCell ref="L93:R93"/>
    <mergeCell ref="L94:R94"/>
    <mergeCell ref="L95:R95"/>
    <mergeCell ref="L65:R65"/>
    <mergeCell ref="L66:R66"/>
    <mergeCell ref="L67:R67"/>
    <mergeCell ref="L68:R68"/>
    <mergeCell ref="L74:R74"/>
    <mergeCell ref="L75:R75"/>
    <mergeCell ref="L76:R76"/>
    <mergeCell ref="L77:R77"/>
    <mergeCell ref="L78:R78"/>
    <mergeCell ref="L69:R69"/>
    <mergeCell ref="L70:R70"/>
    <mergeCell ref="L71:R71"/>
    <mergeCell ref="L24:R24"/>
    <mergeCell ref="L25:R25"/>
    <mergeCell ref="L26:R26"/>
    <mergeCell ref="L27:R27"/>
    <mergeCell ref="L28:R28"/>
    <mergeCell ref="L54:R54"/>
    <mergeCell ref="L55:R55"/>
    <mergeCell ref="L56:R56"/>
    <mergeCell ref="L29:R29"/>
    <mergeCell ref="L30:R30"/>
    <mergeCell ref="L31:R31"/>
    <mergeCell ref="L32:R32"/>
    <mergeCell ref="L33:R33"/>
    <mergeCell ref="L34:R34"/>
    <mergeCell ref="L35:R35"/>
    <mergeCell ref="L41:R41"/>
    <mergeCell ref="L42:R42"/>
    <mergeCell ref="L43:R43"/>
    <mergeCell ref="L44:R44"/>
    <mergeCell ref="L45:R45"/>
    <mergeCell ref="L36:R36"/>
    <mergeCell ref="L37:R37"/>
    <mergeCell ref="L38:R38"/>
    <mergeCell ref="L39:R39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</mergeCells>
  <pageMargins left="0.511811024" right="0.511811024" top="0.78740157499999996" bottom="0.78740157499999996" header="0.31496062000000002" footer="0.31496062000000002"/>
  <pageSetup scale="13" orientation="portrait" r:id="rId1"/>
  <colBreaks count="1" manualBreakCount="1">
    <brk id="18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R91"/>
  <sheetViews>
    <sheetView view="pageBreakPreview" zoomScale="55" zoomScaleNormal="50" zoomScaleSheetLayoutView="55" workbookViewId="0">
      <selection activeCell="I85" sqref="I85:K85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356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TT!C15</f>
        <v>RODOVIA TO-414 - TRECHO CACHOEIRINHA - ENTR. TO-010 (TAPUIO)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51</v>
      </c>
      <c r="B7" s="21" t="s">
        <v>18</v>
      </c>
      <c r="C7" s="22">
        <v>0</v>
      </c>
      <c r="D7" s="22">
        <v>2</v>
      </c>
      <c r="E7" s="21"/>
      <c r="F7" s="21" t="s">
        <v>19</v>
      </c>
      <c r="G7" s="21"/>
      <c r="H7" s="21"/>
      <c r="I7" s="21"/>
      <c r="J7" s="21"/>
      <c r="K7" s="21" t="s">
        <v>19</v>
      </c>
      <c r="L7" s="116" t="s">
        <v>364</v>
      </c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2</v>
      </c>
      <c r="D8" s="22">
        <v>4</v>
      </c>
      <c r="E8" s="21"/>
      <c r="F8" s="21" t="s">
        <v>19</v>
      </c>
      <c r="G8" s="21"/>
      <c r="H8" s="21"/>
      <c r="I8" s="21"/>
      <c r="J8" s="21" t="s">
        <v>19</v>
      </c>
      <c r="K8" s="21"/>
      <c r="L8" s="116" t="s">
        <v>365</v>
      </c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ref="C9:C22" si="0">D8</f>
        <v>4</v>
      </c>
      <c r="D9" s="22">
        <v>6</v>
      </c>
      <c r="E9" s="21"/>
      <c r="F9" s="21" t="s">
        <v>19</v>
      </c>
      <c r="G9" s="21"/>
      <c r="H9" s="21"/>
      <c r="I9" s="21"/>
      <c r="J9" s="21"/>
      <c r="K9" s="21" t="s">
        <v>19</v>
      </c>
      <c r="L9" s="116" t="s">
        <v>366</v>
      </c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6</v>
      </c>
      <c r="D10" s="22">
        <v>8</v>
      </c>
      <c r="E10" s="21"/>
      <c r="F10" s="21" t="s">
        <v>19</v>
      </c>
      <c r="G10" s="21"/>
      <c r="H10" s="21"/>
      <c r="I10" s="21" t="s">
        <v>19</v>
      </c>
      <c r="J10" s="21"/>
      <c r="K10" s="21"/>
      <c r="L10" s="116" t="s">
        <v>367</v>
      </c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 t="shared" si="0"/>
        <v>8</v>
      </c>
      <c r="D11" s="22">
        <v>10</v>
      </c>
      <c r="E11" s="21" t="s">
        <v>19</v>
      </c>
      <c r="F11" s="21"/>
      <c r="G11" s="21"/>
      <c r="H11" s="21"/>
      <c r="I11" s="21" t="s">
        <v>19</v>
      </c>
      <c r="J11" s="99"/>
      <c r="K11" s="21"/>
      <c r="L11" s="116" t="s">
        <v>368</v>
      </c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10</v>
      </c>
      <c r="D12" s="22">
        <v>12</v>
      </c>
      <c r="E12" s="21" t="s">
        <v>19</v>
      </c>
      <c r="F12" s="21"/>
      <c r="G12" s="21"/>
      <c r="H12" s="21"/>
      <c r="I12" s="21" t="s">
        <v>19</v>
      </c>
      <c r="J12" s="21"/>
      <c r="K12" s="21"/>
      <c r="L12" s="116" t="s">
        <v>369</v>
      </c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22">
        <f t="shared" si="0"/>
        <v>12</v>
      </c>
      <c r="D13" s="22">
        <v>14</v>
      </c>
      <c r="E13" s="21" t="s">
        <v>19</v>
      </c>
      <c r="F13" s="21"/>
      <c r="G13" s="21"/>
      <c r="H13" s="21"/>
      <c r="I13" s="21" t="s">
        <v>19</v>
      </c>
      <c r="J13" s="21"/>
      <c r="K13" s="21"/>
      <c r="L13" s="116" t="s">
        <v>370</v>
      </c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22">
        <f t="shared" si="0"/>
        <v>14</v>
      </c>
      <c r="D14" s="22">
        <v>16</v>
      </c>
      <c r="E14" s="21" t="s">
        <v>19</v>
      </c>
      <c r="F14" s="21"/>
      <c r="G14" s="21"/>
      <c r="H14" s="21"/>
      <c r="I14" s="21" t="s">
        <v>19</v>
      </c>
      <c r="J14" s="21"/>
      <c r="K14" s="21"/>
      <c r="L14" s="116" t="s">
        <v>372</v>
      </c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22">
        <f t="shared" si="0"/>
        <v>16</v>
      </c>
      <c r="D15" s="22">
        <v>18</v>
      </c>
      <c r="E15" s="21" t="s">
        <v>19</v>
      </c>
      <c r="F15" s="21"/>
      <c r="G15" s="21"/>
      <c r="H15" s="21"/>
      <c r="I15" s="21" t="s">
        <v>19</v>
      </c>
      <c r="J15" s="21"/>
      <c r="K15" s="21"/>
      <c r="L15" s="116" t="s">
        <v>371</v>
      </c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22">
        <f t="shared" si="0"/>
        <v>18</v>
      </c>
      <c r="D16" s="22">
        <v>20</v>
      </c>
      <c r="E16" s="21" t="s">
        <v>19</v>
      </c>
      <c r="F16" s="21"/>
      <c r="G16" s="21"/>
      <c r="H16" s="21"/>
      <c r="I16" s="21" t="s">
        <v>19</v>
      </c>
      <c r="J16" s="21"/>
      <c r="K16" s="21"/>
      <c r="L16" s="116" t="s">
        <v>373</v>
      </c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22">
        <f t="shared" si="0"/>
        <v>20</v>
      </c>
      <c r="D17" s="22">
        <v>22</v>
      </c>
      <c r="E17" s="21"/>
      <c r="F17" s="21" t="s">
        <v>19</v>
      </c>
      <c r="G17" s="21"/>
      <c r="H17" s="21"/>
      <c r="I17" s="21" t="s">
        <v>19</v>
      </c>
      <c r="J17" s="21"/>
      <c r="K17" s="21"/>
      <c r="L17" s="116" t="s">
        <v>374</v>
      </c>
      <c r="M17" s="117"/>
      <c r="N17" s="117"/>
      <c r="O17" s="117"/>
      <c r="P17" s="117"/>
      <c r="Q17" s="117"/>
      <c r="R17" s="118"/>
    </row>
    <row r="18" spans="1:18" ht="41.45" customHeight="1">
      <c r="A18" s="19"/>
      <c r="B18" s="3"/>
      <c r="C18" s="22">
        <f t="shared" si="0"/>
        <v>22</v>
      </c>
      <c r="D18" s="22">
        <v>24</v>
      </c>
      <c r="E18" s="21"/>
      <c r="F18" s="21" t="s">
        <v>19</v>
      </c>
      <c r="G18" s="21"/>
      <c r="H18" s="21"/>
      <c r="I18" s="21"/>
      <c r="J18" s="21" t="s">
        <v>19</v>
      </c>
      <c r="K18" s="21"/>
      <c r="L18" s="116" t="s">
        <v>392</v>
      </c>
      <c r="M18" s="117"/>
      <c r="N18" s="117"/>
      <c r="O18" s="117"/>
      <c r="P18" s="117"/>
      <c r="Q18" s="117"/>
      <c r="R18" s="118"/>
    </row>
    <row r="19" spans="1:18" ht="41.45" customHeight="1">
      <c r="A19" s="19"/>
      <c r="B19" s="3"/>
      <c r="C19" s="22">
        <f t="shared" si="0"/>
        <v>24</v>
      </c>
      <c r="D19" s="22">
        <v>26</v>
      </c>
      <c r="E19" s="21"/>
      <c r="F19" s="21" t="s">
        <v>19</v>
      </c>
      <c r="G19" s="21"/>
      <c r="H19" s="21"/>
      <c r="I19" s="21"/>
      <c r="J19" s="21" t="s">
        <v>19</v>
      </c>
      <c r="K19" s="21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19"/>
      <c r="B20" s="3"/>
      <c r="C20" s="22">
        <f t="shared" si="0"/>
        <v>26</v>
      </c>
      <c r="D20" s="22">
        <v>28</v>
      </c>
      <c r="E20" s="21"/>
      <c r="F20" s="21" t="s">
        <v>19</v>
      </c>
      <c r="G20" s="21"/>
      <c r="H20" s="21"/>
      <c r="I20" s="21"/>
      <c r="J20" s="21" t="s">
        <v>19</v>
      </c>
      <c r="K20" s="21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19"/>
      <c r="B21" s="3"/>
      <c r="C21" s="22">
        <f t="shared" si="0"/>
        <v>28</v>
      </c>
      <c r="D21" s="22">
        <v>30</v>
      </c>
      <c r="E21" s="21"/>
      <c r="F21" s="21" t="s">
        <v>19</v>
      </c>
      <c r="G21" s="21"/>
      <c r="H21" s="21"/>
      <c r="I21" s="21"/>
      <c r="J21" s="21" t="s">
        <v>19</v>
      </c>
      <c r="K21" s="21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19"/>
      <c r="B22" s="3"/>
      <c r="C22" s="22">
        <f t="shared" si="0"/>
        <v>30</v>
      </c>
      <c r="D22" s="22">
        <v>31.6</v>
      </c>
      <c r="E22" s="21"/>
      <c r="F22" s="21" t="s">
        <v>19</v>
      </c>
      <c r="G22" s="21"/>
      <c r="H22" s="21"/>
      <c r="I22" s="21"/>
      <c r="J22" s="21" t="s">
        <v>19</v>
      </c>
      <c r="K22" s="21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19"/>
      <c r="B23" s="3"/>
      <c r="C23" s="108"/>
      <c r="D23" s="108"/>
      <c r="E23" s="109"/>
      <c r="F23" s="109"/>
      <c r="G23" s="109"/>
      <c r="H23" s="109"/>
      <c r="I23" s="109"/>
      <c r="J23" s="109"/>
      <c r="K23" s="38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19"/>
      <c r="B24" s="3"/>
      <c r="C24" s="108"/>
      <c r="D24" s="108"/>
      <c r="E24" s="109"/>
      <c r="F24" s="109"/>
      <c r="G24" s="109"/>
      <c r="H24" s="109"/>
      <c r="I24" s="109"/>
      <c r="J24" s="109"/>
      <c r="K24" s="38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3"/>
      <c r="C25" s="108"/>
      <c r="D25" s="108"/>
      <c r="E25" s="109"/>
      <c r="F25" s="109"/>
      <c r="G25" s="109"/>
      <c r="H25" s="109"/>
      <c r="I25" s="109"/>
      <c r="J25" s="109"/>
      <c r="K25" s="38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3"/>
      <c r="C26" s="108"/>
      <c r="D26" s="108"/>
      <c r="E26" s="109"/>
      <c r="F26" s="109"/>
      <c r="G26" s="109"/>
      <c r="H26" s="109"/>
      <c r="I26" s="109"/>
      <c r="J26" s="109"/>
      <c r="K26" s="38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108"/>
      <c r="D27" s="108"/>
      <c r="E27" s="109"/>
      <c r="F27" s="109"/>
      <c r="G27" s="109"/>
      <c r="H27" s="109"/>
      <c r="I27" s="109"/>
      <c r="J27" s="109"/>
      <c r="K27" s="38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108"/>
      <c r="D28" s="108"/>
      <c r="E28" s="109"/>
      <c r="F28" s="109"/>
      <c r="G28" s="109"/>
      <c r="H28" s="109"/>
      <c r="I28" s="109"/>
      <c r="J28" s="109"/>
      <c r="K28" s="38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108"/>
      <c r="D29" s="108"/>
      <c r="E29" s="109"/>
      <c r="F29" s="109"/>
      <c r="G29" s="109"/>
      <c r="H29" s="109"/>
      <c r="I29" s="109"/>
      <c r="J29" s="109"/>
      <c r="K29" s="38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108"/>
      <c r="D30" s="108"/>
      <c r="E30" s="109"/>
      <c r="F30" s="109"/>
      <c r="G30" s="109"/>
      <c r="H30" s="109"/>
      <c r="I30" s="109"/>
      <c r="J30" s="109"/>
      <c r="K30" s="38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108"/>
      <c r="D31" s="108"/>
      <c r="E31" s="109"/>
      <c r="F31" s="109"/>
      <c r="G31" s="109"/>
      <c r="H31" s="109"/>
      <c r="I31" s="109"/>
      <c r="J31" s="109"/>
      <c r="K31" s="38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108"/>
      <c r="D32" s="108"/>
      <c r="E32" s="109"/>
      <c r="F32" s="109"/>
      <c r="G32" s="109"/>
      <c r="H32" s="109"/>
      <c r="I32" s="109"/>
      <c r="J32" s="109"/>
      <c r="K32" s="38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108"/>
      <c r="D33" s="108"/>
      <c r="E33" s="109"/>
      <c r="F33" s="109"/>
      <c r="G33" s="109"/>
      <c r="H33" s="109"/>
      <c r="I33" s="109"/>
      <c r="J33" s="109"/>
      <c r="K33" s="38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108"/>
      <c r="D34" s="108"/>
      <c r="E34" s="109"/>
      <c r="F34" s="109"/>
      <c r="G34" s="109"/>
      <c r="H34" s="109"/>
      <c r="I34" s="109"/>
      <c r="J34" s="109"/>
      <c r="K34" s="38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108"/>
      <c r="D35" s="108"/>
      <c r="E35" s="109"/>
      <c r="F35" s="109"/>
      <c r="G35" s="109"/>
      <c r="H35" s="109"/>
      <c r="I35" s="109"/>
      <c r="J35" s="109"/>
      <c r="K35" s="38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19"/>
      <c r="B36" s="3"/>
      <c r="C36" s="108"/>
      <c r="D36" s="108"/>
      <c r="E36" s="109"/>
      <c r="F36" s="109"/>
      <c r="G36" s="109"/>
      <c r="H36" s="109"/>
      <c r="I36" s="109"/>
      <c r="J36" s="109"/>
      <c r="K36" s="38"/>
      <c r="L36" s="116"/>
      <c r="M36" s="117"/>
      <c r="N36" s="117"/>
      <c r="O36" s="117"/>
      <c r="P36" s="117"/>
      <c r="Q36" s="117"/>
      <c r="R36" s="118"/>
    </row>
    <row r="37" spans="1:18" ht="41.45" customHeight="1">
      <c r="A37" s="19"/>
      <c r="B37" s="3"/>
      <c r="C37" s="108"/>
      <c r="D37" s="108"/>
      <c r="E37" s="109"/>
      <c r="F37" s="109"/>
      <c r="G37" s="109"/>
      <c r="H37" s="109"/>
      <c r="I37" s="109"/>
      <c r="J37" s="109"/>
      <c r="K37" s="38"/>
      <c r="L37" s="116"/>
      <c r="M37" s="117"/>
      <c r="N37" s="117"/>
      <c r="O37" s="117"/>
      <c r="P37" s="117"/>
      <c r="Q37" s="117"/>
      <c r="R37" s="118"/>
    </row>
    <row r="38" spans="1:18" ht="41.45" customHeight="1">
      <c r="A38" s="19"/>
      <c r="B38" s="3"/>
      <c r="C38" s="108"/>
      <c r="D38" s="108"/>
      <c r="E38" s="109"/>
      <c r="F38" s="109"/>
      <c r="G38" s="109"/>
      <c r="H38" s="109"/>
      <c r="I38" s="109"/>
      <c r="J38" s="109"/>
      <c r="K38" s="38"/>
      <c r="L38" s="116"/>
      <c r="M38" s="117"/>
      <c r="N38" s="117"/>
      <c r="O38" s="117"/>
      <c r="P38" s="117"/>
      <c r="Q38" s="117"/>
      <c r="R38" s="118"/>
    </row>
    <row r="39" spans="1:18" ht="41.45" customHeight="1">
      <c r="A39" s="19"/>
      <c r="B39" s="3"/>
      <c r="C39" s="108"/>
      <c r="D39" s="108"/>
      <c r="E39" s="109"/>
      <c r="F39" s="109"/>
      <c r="G39" s="109"/>
      <c r="H39" s="109"/>
      <c r="I39" s="109"/>
      <c r="J39" s="109"/>
      <c r="K39" s="38"/>
      <c r="L39" s="116"/>
      <c r="M39" s="117"/>
      <c r="N39" s="117"/>
      <c r="O39" s="117"/>
      <c r="P39" s="117"/>
      <c r="Q39" s="117"/>
      <c r="R39" s="118"/>
    </row>
    <row r="40" spans="1:18" ht="41.45" customHeight="1">
      <c r="A40" s="19"/>
      <c r="B40" s="3"/>
      <c r="C40" s="110"/>
      <c r="D40" s="110"/>
      <c r="E40" s="38"/>
      <c r="F40" s="38"/>
      <c r="G40" s="38"/>
      <c r="H40" s="38"/>
      <c r="I40" s="38"/>
      <c r="J40" s="38"/>
      <c r="K40" s="38"/>
      <c r="L40" s="116"/>
      <c r="M40" s="117"/>
      <c r="N40" s="117"/>
      <c r="O40" s="117"/>
      <c r="P40" s="117"/>
      <c r="Q40" s="117"/>
      <c r="R40" s="118"/>
    </row>
    <row r="41" spans="1:18" ht="41.45" customHeight="1">
      <c r="A41" s="19"/>
      <c r="B41" s="3"/>
      <c r="C41" s="110"/>
      <c r="D41" s="110"/>
      <c r="E41" s="38"/>
      <c r="F41" s="38"/>
      <c r="G41" s="38"/>
      <c r="H41" s="38"/>
      <c r="I41" s="38"/>
      <c r="J41" s="38"/>
      <c r="K41" s="38"/>
      <c r="L41" s="116"/>
      <c r="M41" s="117"/>
      <c r="N41" s="117"/>
      <c r="O41" s="117"/>
      <c r="P41" s="117"/>
      <c r="Q41" s="117"/>
      <c r="R41" s="118"/>
    </row>
    <row r="42" spans="1:18" ht="41.45" customHeight="1">
      <c r="A42" s="19"/>
      <c r="B42" s="3"/>
      <c r="C42" s="110"/>
      <c r="D42" s="110"/>
      <c r="E42" s="38"/>
      <c r="F42" s="38"/>
      <c r="G42" s="38"/>
      <c r="H42" s="38"/>
      <c r="I42" s="38"/>
      <c r="J42" s="38"/>
      <c r="K42" s="38"/>
      <c r="L42" s="116"/>
      <c r="M42" s="117"/>
      <c r="N42" s="117"/>
      <c r="O42" s="117"/>
      <c r="P42" s="117"/>
      <c r="Q42" s="117"/>
      <c r="R42" s="118"/>
    </row>
    <row r="43" spans="1:18" ht="41.45" customHeight="1">
      <c r="A43" s="19"/>
      <c r="B43" s="3"/>
      <c r="C43" s="110"/>
      <c r="D43" s="110"/>
      <c r="E43" s="38"/>
      <c r="F43" s="38"/>
      <c r="G43" s="38"/>
      <c r="H43" s="38"/>
      <c r="I43" s="38"/>
      <c r="J43" s="38"/>
      <c r="K43" s="38"/>
      <c r="L43" s="116"/>
      <c r="M43" s="117"/>
      <c r="N43" s="117"/>
      <c r="O43" s="117"/>
      <c r="P43" s="117"/>
      <c r="Q43" s="117"/>
      <c r="R43" s="118"/>
    </row>
    <row r="44" spans="1:18" ht="41.45" customHeight="1">
      <c r="A44" s="19"/>
      <c r="B44" s="3"/>
      <c r="C44" s="110"/>
      <c r="D44" s="110"/>
      <c r="E44" s="38"/>
      <c r="F44" s="38"/>
      <c r="G44" s="38"/>
      <c r="H44" s="38"/>
      <c r="I44" s="38"/>
      <c r="J44" s="38"/>
      <c r="K44" s="38"/>
      <c r="L44" s="116"/>
      <c r="M44" s="117"/>
      <c r="N44" s="117"/>
      <c r="O44" s="117"/>
      <c r="P44" s="117"/>
      <c r="Q44" s="117"/>
      <c r="R44" s="118"/>
    </row>
    <row r="45" spans="1:18" ht="41.45" customHeight="1">
      <c r="A45" s="23"/>
      <c r="B45" s="24"/>
      <c r="C45" s="113"/>
      <c r="D45" s="113"/>
      <c r="E45" s="113" t="str">
        <f>IF(E7="X",(D7-C7),"0")</f>
        <v>0</v>
      </c>
      <c r="F45" s="113">
        <f>IF(F7="X",(D7-C7),"0")</f>
        <v>2</v>
      </c>
      <c r="G45" s="113" t="str">
        <f>IF(G7="X",(D7-C7),"0")</f>
        <v>0</v>
      </c>
      <c r="H45" s="113" t="str">
        <f>IF(H7="X",(D7-C7),"0")</f>
        <v>0</v>
      </c>
      <c r="I45" s="113" t="str">
        <f>IF(I7="X",(D7-C7),"0")</f>
        <v>0</v>
      </c>
      <c r="J45" s="113" t="str">
        <f>IF(J7="X",(D7-C7),"0")</f>
        <v>0</v>
      </c>
      <c r="K45" s="113">
        <f>IF(K7="X",(D7-C7),"0")</f>
        <v>2</v>
      </c>
      <c r="L45" s="116"/>
      <c r="M45" s="117"/>
      <c r="N45" s="117"/>
      <c r="O45" s="117"/>
      <c r="P45" s="117"/>
      <c r="Q45" s="117"/>
      <c r="R45" s="118"/>
    </row>
    <row r="46" spans="1:18" ht="41.45" customHeight="1">
      <c r="A46" s="19"/>
      <c r="B46" s="3"/>
      <c r="C46" s="110"/>
      <c r="D46" s="110"/>
      <c r="E46" s="113" t="str">
        <f t="shared" ref="E46:E78" si="1">IF(E8="X",(D8-C8),"0")</f>
        <v>0</v>
      </c>
      <c r="F46" s="113">
        <f t="shared" ref="F46:F78" si="2">IF(F8="X",(D8-C8),"0")</f>
        <v>2</v>
      </c>
      <c r="G46" s="113" t="str">
        <f t="shared" ref="G46:G78" si="3">IF(G8="X",(D8-C8),"0")</f>
        <v>0</v>
      </c>
      <c r="H46" s="113" t="str">
        <f t="shared" ref="H46:H78" si="4">IF(H8="X",(D8-C8),"0")</f>
        <v>0</v>
      </c>
      <c r="I46" s="113" t="str">
        <f t="shared" ref="I46:I78" si="5">IF(I8="X",(D8-C8),"0")</f>
        <v>0</v>
      </c>
      <c r="J46" s="113">
        <f t="shared" ref="J46:J78" si="6">IF(J8="X",(D8-C8),"0")</f>
        <v>2</v>
      </c>
      <c r="K46" s="113" t="str">
        <f t="shared" ref="K46:K78" si="7">IF(K8="X",(D8-C8),"0")</f>
        <v>0</v>
      </c>
      <c r="L46" s="116"/>
      <c r="M46" s="117"/>
      <c r="N46" s="117"/>
      <c r="O46" s="117"/>
      <c r="P46" s="117"/>
      <c r="Q46" s="117"/>
      <c r="R46" s="118"/>
    </row>
    <row r="47" spans="1:18" ht="41.45" customHeight="1">
      <c r="A47" s="19"/>
      <c r="B47" s="3"/>
      <c r="C47" s="110"/>
      <c r="D47" s="110"/>
      <c r="E47" s="113" t="str">
        <f t="shared" si="1"/>
        <v>0</v>
      </c>
      <c r="F47" s="113">
        <f t="shared" si="2"/>
        <v>2</v>
      </c>
      <c r="G47" s="113" t="str">
        <f t="shared" si="3"/>
        <v>0</v>
      </c>
      <c r="H47" s="113" t="str">
        <f t="shared" si="4"/>
        <v>0</v>
      </c>
      <c r="I47" s="113" t="str">
        <f t="shared" si="5"/>
        <v>0</v>
      </c>
      <c r="J47" s="113" t="str">
        <f t="shared" si="6"/>
        <v>0</v>
      </c>
      <c r="K47" s="113">
        <f t="shared" si="7"/>
        <v>2</v>
      </c>
      <c r="L47" s="116"/>
      <c r="M47" s="117"/>
      <c r="N47" s="117"/>
      <c r="O47" s="117"/>
      <c r="P47" s="117"/>
      <c r="Q47" s="117"/>
      <c r="R47" s="118"/>
    </row>
    <row r="48" spans="1:18" ht="41.45" customHeight="1">
      <c r="A48" s="19"/>
      <c r="B48" s="3"/>
      <c r="C48" s="110"/>
      <c r="D48" s="110"/>
      <c r="E48" s="113" t="str">
        <f t="shared" si="1"/>
        <v>0</v>
      </c>
      <c r="F48" s="113">
        <f t="shared" si="2"/>
        <v>2</v>
      </c>
      <c r="G48" s="113" t="str">
        <f t="shared" si="3"/>
        <v>0</v>
      </c>
      <c r="H48" s="113" t="str">
        <f t="shared" si="4"/>
        <v>0</v>
      </c>
      <c r="I48" s="113">
        <f t="shared" si="5"/>
        <v>2</v>
      </c>
      <c r="J48" s="113" t="str">
        <f t="shared" si="6"/>
        <v>0</v>
      </c>
      <c r="K48" s="113" t="str">
        <f t="shared" si="7"/>
        <v>0</v>
      </c>
      <c r="L48" s="116"/>
      <c r="M48" s="117"/>
      <c r="N48" s="117"/>
      <c r="O48" s="117"/>
      <c r="P48" s="117"/>
      <c r="Q48" s="117"/>
      <c r="R48" s="118"/>
    </row>
    <row r="49" spans="1:18" ht="41.45" customHeight="1">
      <c r="A49" s="19"/>
      <c r="B49" s="3"/>
      <c r="C49" s="110"/>
      <c r="D49" s="110"/>
      <c r="E49" s="113">
        <f t="shared" si="1"/>
        <v>2</v>
      </c>
      <c r="F49" s="113" t="str">
        <f t="shared" si="2"/>
        <v>0</v>
      </c>
      <c r="G49" s="113" t="str">
        <f t="shared" si="3"/>
        <v>0</v>
      </c>
      <c r="H49" s="113" t="str">
        <f t="shared" si="4"/>
        <v>0</v>
      </c>
      <c r="I49" s="113">
        <f t="shared" si="5"/>
        <v>2</v>
      </c>
      <c r="J49" s="113" t="str">
        <f t="shared" si="6"/>
        <v>0</v>
      </c>
      <c r="K49" s="113" t="str">
        <f t="shared" si="7"/>
        <v>0</v>
      </c>
      <c r="L49" s="116"/>
      <c r="M49" s="117"/>
      <c r="N49" s="117"/>
      <c r="O49" s="117"/>
      <c r="P49" s="117"/>
      <c r="Q49" s="117"/>
      <c r="R49" s="118"/>
    </row>
    <row r="50" spans="1:18" ht="41.45" customHeight="1">
      <c r="A50" s="19"/>
      <c r="B50" s="3"/>
      <c r="C50" s="110"/>
      <c r="D50" s="110"/>
      <c r="E50" s="113">
        <f t="shared" si="1"/>
        <v>2</v>
      </c>
      <c r="F50" s="113" t="str">
        <f t="shared" si="2"/>
        <v>0</v>
      </c>
      <c r="G50" s="113" t="str">
        <f t="shared" si="3"/>
        <v>0</v>
      </c>
      <c r="H50" s="113" t="str">
        <f t="shared" si="4"/>
        <v>0</v>
      </c>
      <c r="I50" s="113">
        <f t="shared" si="5"/>
        <v>2</v>
      </c>
      <c r="J50" s="113" t="str">
        <f t="shared" si="6"/>
        <v>0</v>
      </c>
      <c r="K50" s="113" t="str">
        <f t="shared" si="7"/>
        <v>0</v>
      </c>
      <c r="L50" s="116"/>
      <c r="M50" s="117"/>
      <c r="N50" s="117"/>
      <c r="O50" s="117"/>
      <c r="P50" s="117"/>
      <c r="Q50" s="117"/>
      <c r="R50" s="118"/>
    </row>
    <row r="51" spans="1:18" ht="41.45" customHeight="1">
      <c r="A51" s="19"/>
      <c r="B51" s="3"/>
      <c r="C51" s="110"/>
      <c r="D51" s="110"/>
      <c r="E51" s="113">
        <f t="shared" si="1"/>
        <v>2</v>
      </c>
      <c r="F51" s="113" t="str">
        <f t="shared" si="2"/>
        <v>0</v>
      </c>
      <c r="G51" s="113" t="str">
        <f t="shared" si="3"/>
        <v>0</v>
      </c>
      <c r="H51" s="113" t="str">
        <f t="shared" si="4"/>
        <v>0</v>
      </c>
      <c r="I51" s="113">
        <f t="shared" si="5"/>
        <v>2</v>
      </c>
      <c r="J51" s="113" t="str">
        <f t="shared" si="6"/>
        <v>0</v>
      </c>
      <c r="K51" s="113" t="str">
        <f t="shared" si="7"/>
        <v>0</v>
      </c>
      <c r="L51" s="116"/>
      <c r="M51" s="117"/>
      <c r="N51" s="117"/>
      <c r="O51" s="117"/>
      <c r="P51" s="117"/>
      <c r="Q51" s="117"/>
      <c r="R51" s="118"/>
    </row>
    <row r="52" spans="1:18" ht="41.45" customHeight="1">
      <c r="A52" s="19"/>
      <c r="B52" s="3"/>
      <c r="C52" s="110"/>
      <c r="D52" s="110"/>
      <c r="E52" s="113">
        <f t="shared" si="1"/>
        <v>2</v>
      </c>
      <c r="F52" s="113" t="str">
        <f t="shared" si="2"/>
        <v>0</v>
      </c>
      <c r="G52" s="113" t="str">
        <f t="shared" si="3"/>
        <v>0</v>
      </c>
      <c r="H52" s="113" t="str">
        <f t="shared" si="4"/>
        <v>0</v>
      </c>
      <c r="I52" s="113">
        <f t="shared" si="5"/>
        <v>2</v>
      </c>
      <c r="J52" s="113" t="str">
        <f t="shared" si="6"/>
        <v>0</v>
      </c>
      <c r="K52" s="113" t="str">
        <f t="shared" si="7"/>
        <v>0</v>
      </c>
      <c r="L52" s="116"/>
      <c r="M52" s="117"/>
      <c r="N52" s="117"/>
      <c r="O52" s="117"/>
      <c r="P52" s="117"/>
      <c r="Q52" s="117"/>
      <c r="R52" s="118"/>
    </row>
    <row r="53" spans="1:18" ht="41.45" customHeight="1">
      <c r="A53" s="19"/>
      <c r="B53" s="3"/>
      <c r="C53" s="110"/>
      <c r="D53" s="110"/>
      <c r="E53" s="113">
        <f t="shared" si="1"/>
        <v>2</v>
      </c>
      <c r="F53" s="113" t="str">
        <f t="shared" si="2"/>
        <v>0</v>
      </c>
      <c r="G53" s="113" t="str">
        <f t="shared" si="3"/>
        <v>0</v>
      </c>
      <c r="H53" s="113" t="str">
        <f t="shared" si="4"/>
        <v>0</v>
      </c>
      <c r="I53" s="113">
        <f t="shared" si="5"/>
        <v>2</v>
      </c>
      <c r="J53" s="113" t="str">
        <f t="shared" si="6"/>
        <v>0</v>
      </c>
      <c r="K53" s="113" t="str">
        <f t="shared" si="7"/>
        <v>0</v>
      </c>
      <c r="L53" s="116"/>
      <c r="M53" s="117"/>
      <c r="N53" s="117"/>
      <c r="O53" s="117"/>
      <c r="P53" s="117"/>
      <c r="Q53" s="117"/>
      <c r="R53" s="118"/>
    </row>
    <row r="54" spans="1:18" ht="41.45" customHeight="1">
      <c r="A54" s="19"/>
      <c r="B54" s="3"/>
      <c r="C54" s="110"/>
      <c r="D54" s="110"/>
      <c r="E54" s="113">
        <f t="shared" si="1"/>
        <v>2</v>
      </c>
      <c r="F54" s="113" t="str">
        <f t="shared" si="2"/>
        <v>0</v>
      </c>
      <c r="G54" s="113" t="str">
        <f t="shared" si="3"/>
        <v>0</v>
      </c>
      <c r="H54" s="113" t="str">
        <f t="shared" si="4"/>
        <v>0</v>
      </c>
      <c r="I54" s="113">
        <f t="shared" si="5"/>
        <v>2</v>
      </c>
      <c r="J54" s="113" t="str">
        <f t="shared" si="6"/>
        <v>0</v>
      </c>
      <c r="K54" s="113" t="str">
        <f t="shared" si="7"/>
        <v>0</v>
      </c>
      <c r="L54" s="116"/>
      <c r="M54" s="117"/>
      <c r="N54" s="117"/>
      <c r="O54" s="117"/>
      <c r="P54" s="117"/>
      <c r="Q54" s="117"/>
      <c r="R54" s="118"/>
    </row>
    <row r="55" spans="1:18" ht="41.45" customHeight="1">
      <c r="A55" s="19"/>
      <c r="B55" s="3"/>
      <c r="C55" s="110"/>
      <c r="D55" s="110"/>
      <c r="E55" s="113" t="str">
        <f t="shared" si="1"/>
        <v>0</v>
      </c>
      <c r="F55" s="113">
        <f t="shared" si="2"/>
        <v>2</v>
      </c>
      <c r="G55" s="113" t="str">
        <f t="shared" si="3"/>
        <v>0</v>
      </c>
      <c r="H55" s="113" t="str">
        <f t="shared" si="4"/>
        <v>0</v>
      </c>
      <c r="I55" s="113">
        <f t="shared" si="5"/>
        <v>2</v>
      </c>
      <c r="J55" s="113" t="str">
        <f t="shared" si="6"/>
        <v>0</v>
      </c>
      <c r="K55" s="113" t="str">
        <f t="shared" si="7"/>
        <v>0</v>
      </c>
      <c r="L55" s="116"/>
      <c r="M55" s="117"/>
      <c r="N55" s="117"/>
      <c r="O55" s="117"/>
      <c r="P55" s="117"/>
      <c r="Q55" s="117"/>
      <c r="R55" s="118"/>
    </row>
    <row r="56" spans="1:18" ht="41.45" customHeight="1">
      <c r="A56" s="19"/>
      <c r="B56" s="3"/>
      <c r="C56" s="110"/>
      <c r="D56" s="110"/>
      <c r="E56" s="113" t="str">
        <f t="shared" si="1"/>
        <v>0</v>
      </c>
      <c r="F56" s="113">
        <f t="shared" si="2"/>
        <v>2</v>
      </c>
      <c r="G56" s="113" t="str">
        <f t="shared" si="3"/>
        <v>0</v>
      </c>
      <c r="H56" s="113" t="str">
        <f t="shared" si="4"/>
        <v>0</v>
      </c>
      <c r="I56" s="113" t="str">
        <f t="shared" si="5"/>
        <v>0</v>
      </c>
      <c r="J56" s="113">
        <f t="shared" si="6"/>
        <v>2</v>
      </c>
      <c r="K56" s="113" t="str">
        <f t="shared" si="7"/>
        <v>0</v>
      </c>
      <c r="L56" s="116"/>
      <c r="M56" s="117"/>
      <c r="N56" s="117"/>
      <c r="O56" s="117"/>
      <c r="P56" s="117"/>
      <c r="Q56" s="117"/>
      <c r="R56" s="118"/>
    </row>
    <row r="57" spans="1:18" ht="41.45" customHeight="1">
      <c r="A57" s="19"/>
      <c r="B57" s="3"/>
      <c r="C57" s="110"/>
      <c r="D57" s="110"/>
      <c r="E57" s="113" t="str">
        <f t="shared" si="1"/>
        <v>0</v>
      </c>
      <c r="F57" s="113">
        <f t="shared" si="2"/>
        <v>2</v>
      </c>
      <c r="G57" s="113" t="str">
        <f t="shared" si="3"/>
        <v>0</v>
      </c>
      <c r="H57" s="113" t="str">
        <f t="shared" si="4"/>
        <v>0</v>
      </c>
      <c r="I57" s="113" t="str">
        <f t="shared" si="5"/>
        <v>0</v>
      </c>
      <c r="J57" s="113">
        <f t="shared" si="6"/>
        <v>2</v>
      </c>
      <c r="K57" s="113" t="str">
        <f t="shared" si="7"/>
        <v>0</v>
      </c>
      <c r="L57" s="116"/>
      <c r="M57" s="117"/>
      <c r="N57" s="117"/>
      <c r="O57" s="117"/>
      <c r="P57" s="117"/>
      <c r="Q57" s="117"/>
      <c r="R57" s="118"/>
    </row>
    <row r="58" spans="1:18" ht="41.45" customHeight="1">
      <c r="A58" s="19"/>
      <c r="B58" s="3"/>
      <c r="C58" s="110"/>
      <c r="D58" s="110"/>
      <c r="E58" s="113" t="str">
        <f t="shared" si="1"/>
        <v>0</v>
      </c>
      <c r="F58" s="113">
        <f t="shared" si="2"/>
        <v>2</v>
      </c>
      <c r="G58" s="113" t="str">
        <f t="shared" si="3"/>
        <v>0</v>
      </c>
      <c r="H58" s="113" t="str">
        <f t="shared" si="4"/>
        <v>0</v>
      </c>
      <c r="I58" s="113" t="str">
        <f t="shared" si="5"/>
        <v>0</v>
      </c>
      <c r="J58" s="113">
        <f t="shared" si="6"/>
        <v>2</v>
      </c>
      <c r="K58" s="113" t="str">
        <f t="shared" si="7"/>
        <v>0</v>
      </c>
      <c r="L58" s="116"/>
      <c r="M58" s="117"/>
      <c r="N58" s="117"/>
      <c r="O58" s="117"/>
      <c r="P58" s="117"/>
      <c r="Q58" s="117"/>
      <c r="R58" s="118"/>
    </row>
    <row r="59" spans="1:18" ht="41.45" customHeight="1">
      <c r="A59" s="19"/>
      <c r="B59" s="3"/>
      <c r="C59" s="110"/>
      <c r="D59" s="110"/>
      <c r="E59" s="113" t="str">
        <f t="shared" si="1"/>
        <v>0</v>
      </c>
      <c r="F59" s="113">
        <f t="shared" si="2"/>
        <v>2</v>
      </c>
      <c r="G59" s="113" t="str">
        <f t="shared" si="3"/>
        <v>0</v>
      </c>
      <c r="H59" s="113" t="str">
        <f t="shared" si="4"/>
        <v>0</v>
      </c>
      <c r="I59" s="113" t="str">
        <f t="shared" si="5"/>
        <v>0</v>
      </c>
      <c r="J59" s="113">
        <f t="shared" si="6"/>
        <v>2</v>
      </c>
      <c r="K59" s="113" t="str">
        <f t="shared" si="7"/>
        <v>0</v>
      </c>
      <c r="L59" s="116"/>
      <c r="M59" s="117"/>
      <c r="N59" s="117"/>
      <c r="O59" s="117"/>
      <c r="P59" s="117"/>
      <c r="Q59" s="117"/>
      <c r="R59" s="118"/>
    </row>
    <row r="60" spans="1:18" ht="41.45" customHeight="1">
      <c r="A60" s="19"/>
      <c r="B60" s="3"/>
      <c r="C60" s="110"/>
      <c r="D60" s="110"/>
      <c r="E60" s="113" t="str">
        <f t="shared" si="1"/>
        <v>0</v>
      </c>
      <c r="F60" s="113">
        <f t="shared" si="2"/>
        <v>1.6000000000000014</v>
      </c>
      <c r="G60" s="113" t="str">
        <f t="shared" si="3"/>
        <v>0</v>
      </c>
      <c r="H60" s="113" t="str">
        <f t="shared" si="4"/>
        <v>0</v>
      </c>
      <c r="I60" s="113" t="str">
        <f t="shared" si="5"/>
        <v>0</v>
      </c>
      <c r="J60" s="113">
        <f t="shared" si="6"/>
        <v>1.6000000000000014</v>
      </c>
      <c r="K60" s="113" t="str">
        <f t="shared" si="7"/>
        <v>0</v>
      </c>
      <c r="L60" s="116"/>
      <c r="M60" s="117"/>
      <c r="N60" s="117"/>
      <c r="O60" s="117"/>
      <c r="P60" s="117"/>
      <c r="Q60" s="117"/>
      <c r="R60" s="118"/>
    </row>
    <row r="61" spans="1:18" ht="41.45" customHeight="1">
      <c r="A61" s="19"/>
      <c r="B61" s="3"/>
      <c r="C61" s="110"/>
      <c r="D61" s="110"/>
      <c r="E61" s="113" t="str">
        <f t="shared" si="1"/>
        <v>0</v>
      </c>
      <c r="F61" s="113" t="str">
        <f t="shared" si="2"/>
        <v>0</v>
      </c>
      <c r="G61" s="113" t="str">
        <f t="shared" si="3"/>
        <v>0</v>
      </c>
      <c r="H61" s="113" t="str">
        <f t="shared" si="4"/>
        <v>0</v>
      </c>
      <c r="I61" s="113" t="str">
        <f t="shared" si="5"/>
        <v>0</v>
      </c>
      <c r="J61" s="113" t="str">
        <f t="shared" si="6"/>
        <v>0</v>
      </c>
      <c r="K61" s="113" t="str">
        <f t="shared" si="7"/>
        <v>0</v>
      </c>
      <c r="L61" s="116"/>
      <c r="M61" s="117"/>
      <c r="N61" s="117"/>
      <c r="O61" s="117"/>
      <c r="P61" s="117"/>
      <c r="Q61" s="117"/>
      <c r="R61" s="118"/>
    </row>
    <row r="62" spans="1:18" ht="41.45" customHeight="1">
      <c r="A62" s="19"/>
      <c r="B62" s="3"/>
      <c r="C62" s="110"/>
      <c r="D62" s="110"/>
      <c r="E62" s="113" t="str">
        <f t="shared" si="1"/>
        <v>0</v>
      </c>
      <c r="F62" s="113" t="str">
        <f t="shared" si="2"/>
        <v>0</v>
      </c>
      <c r="G62" s="113" t="str">
        <f t="shared" si="3"/>
        <v>0</v>
      </c>
      <c r="H62" s="113" t="str">
        <f t="shared" si="4"/>
        <v>0</v>
      </c>
      <c r="I62" s="113" t="str">
        <f t="shared" si="5"/>
        <v>0</v>
      </c>
      <c r="J62" s="113" t="str">
        <f t="shared" si="6"/>
        <v>0</v>
      </c>
      <c r="K62" s="113" t="str">
        <f t="shared" si="7"/>
        <v>0</v>
      </c>
      <c r="L62" s="116"/>
      <c r="M62" s="117"/>
      <c r="N62" s="117"/>
      <c r="O62" s="117"/>
      <c r="P62" s="117"/>
      <c r="Q62" s="117"/>
      <c r="R62" s="118"/>
    </row>
    <row r="63" spans="1:18" ht="41.45" customHeight="1">
      <c r="A63" s="19"/>
      <c r="B63" s="3"/>
      <c r="C63" s="110"/>
      <c r="D63" s="110"/>
      <c r="E63" s="113" t="str">
        <f t="shared" si="1"/>
        <v>0</v>
      </c>
      <c r="F63" s="113" t="str">
        <f t="shared" si="2"/>
        <v>0</v>
      </c>
      <c r="G63" s="113" t="str">
        <f t="shared" si="3"/>
        <v>0</v>
      </c>
      <c r="H63" s="113" t="str">
        <f t="shared" si="4"/>
        <v>0</v>
      </c>
      <c r="I63" s="113" t="str">
        <f t="shared" si="5"/>
        <v>0</v>
      </c>
      <c r="J63" s="113" t="str">
        <f t="shared" si="6"/>
        <v>0</v>
      </c>
      <c r="K63" s="113" t="str">
        <f t="shared" si="7"/>
        <v>0</v>
      </c>
      <c r="L63" s="116"/>
      <c r="M63" s="117"/>
      <c r="N63" s="117"/>
      <c r="O63" s="117"/>
      <c r="P63" s="117"/>
      <c r="Q63" s="117"/>
      <c r="R63" s="118"/>
    </row>
    <row r="64" spans="1:18" ht="41.45" customHeight="1">
      <c r="A64" s="19"/>
      <c r="B64" s="3"/>
      <c r="C64" s="110"/>
      <c r="D64" s="110"/>
      <c r="E64" s="113" t="str">
        <f t="shared" si="1"/>
        <v>0</v>
      </c>
      <c r="F64" s="113" t="str">
        <f t="shared" si="2"/>
        <v>0</v>
      </c>
      <c r="G64" s="113" t="str">
        <f t="shared" si="3"/>
        <v>0</v>
      </c>
      <c r="H64" s="113" t="str">
        <f t="shared" si="4"/>
        <v>0</v>
      </c>
      <c r="I64" s="113" t="str">
        <f t="shared" si="5"/>
        <v>0</v>
      </c>
      <c r="J64" s="113" t="str">
        <f t="shared" si="6"/>
        <v>0</v>
      </c>
      <c r="K64" s="113" t="str">
        <f t="shared" si="7"/>
        <v>0</v>
      </c>
      <c r="L64" s="116"/>
      <c r="M64" s="117"/>
      <c r="N64" s="117"/>
      <c r="O64" s="117"/>
      <c r="P64" s="117"/>
      <c r="Q64" s="117"/>
      <c r="R64" s="118"/>
    </row>
    <row r="65" spans="1:18" ht="41.45" customHeight="1">
      <c r="A65" s="19"/>
      <c r="B65" s="3"/>
      <c r="C65" s="110"/>
      <c r="D65" s="110"/>
      <c r="E65" s="113" t="str">
        <f t="shared" si="1"/>
        <v>0</v>
      </c>
      <c r="F65" s="113" t="str">
        <f t="shared" si="2"/>
        <v>0</v>
      </c>
      <c r="G65" s="113" t="str">
        <f t="shared" si="3"/>
        <v>0</v>
      </c>
      <c r="H65" s="113" t="str">
        <f t="shared" si="4"/>
        <v>0</v>
      </c>
      <c r="I65" s="113" t="str">
        <f t="shared" si="5"/>
        <v>0</v>
      </c>
      <c r="J65" s="113" t="str">
        <f t="shared" si="6"/>
        <v>0</v>
      </c>
      <c r="K65" s="113" t="str">
        <f t="shared" si="7"/>
        <v>0</v>
      </c>
      <c r="L65" s="116"/>
      <c r="M65" s="117"/>
      <c r="N65" s="117"/>
      <c r="O65" s="117"/>
      <c r="P65" s="117"/>
      <c r="Q65" s="117"/>
      <c r="R65" s="118"/>
    </row>
    <row r="66" spans="1:18" ht="41.45" customHeight="1">
      <c r="A66" s="19"/>
      <c r="B66" s="3"/>
      <c r="C66" s="110"/>
      <c r="D66" s="110"/>
      <c r="E66" s="113" t="str">
        <f t="shared" si="1"/>
        <v>0</v>
      </c>
      <c r="F66" s="113" t="str">
        <f t="shared" si="2"/>
        <v>0</v>
      </c>
      <c r="G66" s="113" t="str">
        <f t="shared" si="3"/>
        <v>0</v>
      </c>
      <c r="H66" s="113" t="str">
        <f t="shared" si="4"/>
        <v>0</v>
      </c>
      <c r="I66" s="113" t="str">
        <f t="shared" si="5"/>
        <v>0</v>
      </c>
      <c r="J66" s="113" t="str">
        <f t="shared" si="6"/>
        <v>0</v>
      </c>
      <c r="K66" s="113" t="str">
        <f t="shared" si="7"/>
        <v>0</v>
      </c>
      <c r="L66" s="116"/>
      <c r="M66" s="117"/>
      <c r="N66" s="117"/>
      <c r="O66" s="117"/>
      <c r="P66" s="117"/>
      <c r="Q66" s="117"/>
      <c r="R66" s="118"/>
    </row>
    <row r="67" spans="1:18" ht="41.45" customHeight="1">
      <c r="A67" s="19"/>
      <c r="B67" s="3"/>
      <c r="C67" s="110"/>
      <c r="D67" s="110"/>
      <c r="E67" s="113" t="str">
        <f t="shared" si="1"/>
        <v>0</v>
      </c>
      <c r="F67" s="113" t="str">
        <f t="shared" si="2"/>
        <v>0</v>
      </c>
      <c r="G67" s="113" t="str">
        <f t="shared" si="3"/>
        <v>0</v>
      </c>
      <c r="H67" s="113" t="str">
        <f t="shared" si="4"/>
        <v>0</v>
      </c>
      <c r="I67" s="113" t="str">
        <f t="shared" si="5"/>
        <v>0</v>
      </c>
      <c r="J67" s="113" t="str">
        <f t="shared" si="6"/>
        <v>0</v>
      </c>
      <c r="K67" s="113" t="str">
        <f t="shared" si="7"/>
        <v>0</v>
      </c>
      <c r="L67" s="116"/>
      <c r="M67" s="117"/>
      <c r="N67" s="117"/>
      <c r="O67" s="117"/>
      <c r="P67" s="117"/>
      <c r="Q67" s="117"/>
      <c r="R67" s="118"/>
    </row>
    <row r="68" spans="1:18" ht="41.45" customHeight="1">
      <c r="A68" s="19"/>
      <c r="B68" s="3"/>
      <c r="C68" s="110"/>
      <c r="D68" s="110"/>
      <c r="E68" s="113" t="str">
        <f t="shared" si="1"/>
        <v>0</v>
      </c>
      <c r="F68" s="113" t="str">
        <f t="shared" si="2"/>
        <v>0</v>
      </c>
      <c r="G68" s="113" t="str">
        <f t="shared" si="3"/>
        <v>0</v>
      </c>
      <c r="H68" s="113" t="str">
        <f t="shared" si="4"/>
        <v>0</v>
      </c>
      <c r="I68" s="113" t="str">
        <f t="shared" si="5"/>
        <v>0</v>
      </c>
      <c r="J68" s="113" t="str">
        <f t="shared" si="6"/>
        <v>0</v>
      </c>
      <c r="K68" s="113" t="str">
        <f t="shared" si="7"/>
        <v>0</v>
      </c>
      <c r="L68" s="116"/>
      <c r="M68" s="117"/>
      <c r="N68" s="117"/>
      <c r="O68" s="117"/>
      <c r="P68" s="117"/>
      <c r="Q68" s="117"/>
      <c r="R68" s="118"/>
    </row>
    <row r="69" spans="1:18" ht="41.45" customHeight="1">
      <c r="A69" s="19"/>
      <c r="B69" s="3"/>
      <c r="C69" s="110"/>
      <c r="D69" s="110"/>
      <c r="E69" s="113" t="str">
        <f t="shared" si="1"/>
        <v>0</v>
      </c>
      <c r="F69" s="113" t="str">
        <f t="shared" si="2"/>
        <v>0</v>
      </c>
      <c r="G69" s="113" t="str">
        <f t="shared" si="3"/>
        <v>0</v>
      </c>
      <c r="H69" s="113" t="str">
        <f t="shared" si="4"/>
        <v>0</v>
      </c>
      <c r="I69" s="113" t="str">
        <f t="shared" si="5"/>
        <v>0</v>
      </c>
      <c r="J69" s="113" t="str">
        <f t="shared" si="6"/>
        <v>0</v>
      </c>
      <c r="K69" s="113" t="str">
        <f t="shared" si="7"/>
        <v>0</v>
      </c>
      <c r="L69" s="116"/>
      <c r="M69" s="117"/>
      <c r="N69" s="117"/>
      <c r="O69" s="117"/>
      <c r="P69" s="117"/>
      <c r="Q69" s="117"/>
      <c r="R69" s="118"/>
    </row>
    <row r="70" spans="1:18" ht="41.45" customHeight="1">
      <c r="A70" s="19"/>
      <c r="B70" s="3"/>
      <c r="C70" s="110"/>
      <c r="D70" s="110"/>
      <c r="E70" s="113" t="str">
        <f t="shared" si="1"/>
        <v>0</v>
      </c>
      <c r="F70" s="113" t="str">
        <f t="shared" si="2"/>
        <v>0</v>
      </c>
      <c r="G70" s="113" t="str">
        <f t="shared" si="3"/>
        <v>0</v>
      </c>
      <c r="H70" s="113" t="str">
        <f t="shared" si="4"/>
        <v>0</v>
      </c>
      <c r="I70" s="113" t="str">
        <f t="shared" si="5"/>
        <v>0</v>
      </c>
      <c r="J70" s="113" t="str">
        <f t="shared" si="6"/>
        <v>0</v>
      </c>
      <c r="K70" s="113" t="str">
        <f t="shared" si="7"/>
        <v>0</v>
      </c>
      <c r="L70" s="116"/>
      <c r="M70" s="117"/>
      <c r="N70" s="117"/>
      <c r="O70" s="117"/>
      <c r="P70" s="117"/>
      <c r="Q70" s="117"/>
      <c r="R70" s="118"/>
    </row>
    <row r="71" spans="1:18" ht="41.45" customHeight="1">
      <c r="A71" s="19"/>
      <c r="B71" s="3"/>
      <c r="C71" s="110"/>
      <c r="D71" s="110"/>
      <c r="E71" s="113" t="str">
        <f t="shared" si="1"/>
        <v>0</v>
      </c>
      <c r="F71" s="113" t="str">
        <f t="shared" si="2"/>
        <v>0</v>
      </c>
      <c r="G71" s="113" t="str">
        <f t="shared" si="3"/>
        <v>0</v>
      </c>
      <c r="H71" s="113" t="str">
        <f t="shared" si="4"/>
        <v>0</v>
      </c>
      <c r="I71" s="113" t="str">
        <f t="shared" si="5"/>
        <v>0</v>
      </c>
      <c r="J71" s="113" t="str">
        <f t="shared" si="6"/>
        <v>0</v>
      </c>
      <c r="K71" s="113" t="str">
        <f t="shared" si="7"/>
        <v>0</v>
      </c>
      <c r="L71" s="116"/>
      <c r="M71" s="117"/>
      <c r="N71" s="117"/>
      <c r="O71" s="117"/>
      <c r="P71" s="117"/>
      <c r="Q71" s="117"/>
      <c r="R71" s="118"/>
    </row>
    <row r="72" spans="1:18" ht="41.45" customHeight="1">
      <c r="A72" s="19"/>
      <c r="B72" s="3"/>
      <c r="C72" s="110"/>
      <c r="D72" s="110"/>
      <c r="E72" s="113" t="str">
        <f t="shared" si="1"/>
        <v>0</v>
      </c>
      <c r="F72" s="113" t="str">
        <f t="shared" si="2"/>
        <v>0</v>
      </c>
      <c r="G72" s="113" t="str">
        <f t="shared" si="3"/>
        <v>0</v>
      </c>
      <c r="H72" s="113" t="str">
        <f t="shared" si="4"/>
        <v>0</v>
      </c>
      <c r="I72" s="113" t="str">
        <f t="shared" si="5"/>
        <v>0</v>
      </c>
      <c r="J72" s="113" t="str">
        <f t="shared" si="6"/>
        <v>0</v>
      </c>
      <c r="K72" s="113" t="str">
        <f t="shared" si="7"/>
        <v>0</v>
      </c>
      <c r="L72" s="116"/>
      <c r="M72" s="117"/>
      <c r="N72" s="117"/>
      <c r="O72" s="117"/>
      <c r="P72" s="117"/>
      <c r="Q72" s="117"/>
      <c r="R72" s="118"/>
    </row>
    <row r="73" spans="1:18" ht="41.45" customHeight="1">
      <c r="A73" s="19"/>
      <c r="B73" s="3"/>
      <c r="C73" s="110"/>
      <c r="D73" s="110"/>
      <c r="E73" s="113" t="str">
        <f t="shared" si="1"/>
        <v>0</v>
      </c>
      <c r="F73" s="113" t="str">
        <f t="shared" si="2"/>
        <v>0</v>
      </c>
      <c r="G73" s="113" t="str">
        <f t="shared" si="3"/>
        <v>0</v>
      </c>
      <c r="H73" s="113" t="str">
        <f t="shared" si="4"/>
        <v>0</v>
      </c>
      <c r="I73" s="113" t="str">
        <f t="shared" si="5"/>
        <v>0</v>
      </c>
      <c r="J73" s="113" t="str">
        <f t="shared" si="6"/>
        <v>0</v>
      </c>
      <c r="K73" s="113" t="str">
        <f t="shared" si="7"/>
        <v>0</v>
      </c>
      <c r="L73" s="116"/>
      <c r="M73" s="117"/>
      <c r="N73" s="117"/>
      <c r="O73" s="117"/>
      <c r="P73" s="117"/>
      <c r="Q73" s="117"/>
      <c r="R73" s="118"/>
    </row>
    <row r="74" spans="1:18" ht="41.45" customHeight="1">
      <c r="A74" s="19"/>
      <c r="B74" s="3"/>
      <c r="C74" s="110"/>
      <c r="D74" s="110"/>
      <c r="E74" s="113" t="str">
        <f t="shared" si="1"/>
        <v>0</v>
      </c>
      <c r="F74" s="113" t="str">
        <f t="shared" si="2"/>
        <v>0</v>
      </c>
      <c r="G74" s="113" t="str">
        <f t="shared" si="3"/>
        <v>0</v>
      </c>
      <c r="H74" s="113" t="str">
        <f t="shared" si="4"/>
        <v>0</v>
      </c>
      <c r="I74" s="113" t="str">
        <f t="shared" si="5"/>
        <v>0</v>
      </c>
      <c r="J74" s="113" t="str">
        <f t="shared" si="6"/>
        <v>0</v>
      </c>
      <c r="K74" s="113" t="str">
        <f t="shared" si="7"/>
        <v>0</v>
      </c>
      <c r="L74" s="116"/>
      <c r="M74" s="117"/>
      <c r="N74" s="117"/>
      <c r="O74" s="117"/>
      <c r="P74" s="117"/>
      <c r="Q74" s="117"/>
      <c r="R74" s="118"/>
    </row>
    <row r="75" spans="1:18" ht="41.45" customHeight="1">
      <c r="A75" s="19"/>
      <c r="B75" s="3"/>
      <c r="C75" s="110"/>
      <c r="D75" s="110"/>
      <c r="E75" s="113" t="str">
        <f t="shared" si="1"/>
        <v>0</v>
      </c>
      <c r="F75" s="113" t="str">
        <f t="shared" si="2"/>
        <v>0</v>
      </c>
      <c r="G75" s="113" t="str">
        <f t="shared" si="3"/>
        <v>0</v>
      </c>
      <c r="H75" s="113" t="str">
        <f t="shared" si="4"/>
        <v>0</v>
      </c>
      <c r="I75" s="113" t="str">
        <f t="shared" si="5"/>
        <v>0</v>
      </c>
      <c r="J75" s="113" t="str">
        <f t="shared" si="6"/>
        <v>0</v>
      </c>
      <c r="K75" s="113" t="str">
        <f t="shared" si="7"/>
        <v>0</v>
      </c>
      <c r="L75" s="116"/>
      <c r="M75" s="117"/>
      <c r="N75" s="117"/>
      <c r="O75" s="117"/>
      <c r="P75" s="117"/>
      <c r="Q75" s="117"/>
      <c r="R75" s="118"/>
    </row>
    <row r="76" spans="1:18" ht="41.45" customHeight="1">
      <c r="A76" s="19"/>
      <c r="B76" s="3"/>
      <c r="C76" s="110"/>
      <c r="D76" s="110"/>
      <c r="E76" s="113" t="str">
        <f t="shared" si="1"/>
        <v>0</v>
      </c>
      <c r="F76" s="113" t="str">
        <f t="shared" si="2"/>
        <v>0</v>
      </c>
      <c r="G76" s="113" t="str">
        <f t="shared" si="3"/>
        <v>0</v>
      </c>
      <c r="H76" s="113" t="str">
        <f t="shared" si="4"/>
        <v>0</v>
      </c>
      <c r="I76" s="113" t="str">
        <f t="shared" si="5"/>
        <v>0</v>
      </c>
      <c r="J76" s="113" t="str">
        <f t="shared" si="6"/>
        <v>0</v>
      </c>
      <c r="K76" s="113" t="str">
        <f t="shared" si="7"/>
        <v>0</v>
      </c>
      <c r="L76" s="116"/>
      <c r="M76" s="117"/>
      <c r="N76" s="117"/>
      <c r="O76" s="117"/>
      <c r="P76" s="117"/>
      <c r="Q76" s="117"/>
      <c r="R76" s="118"/>
    </row>
    <row r="77" spans="1:18" ht="41.45" customHeight="1">
      <c r="A77" s="19"/>
      <c r="B77" s="3"/>
      <c r="C77" s="110"/>
      <c r="D77" s="110"/>
      <c r="E77" s="113" t="str">
        <f>IF(E39="X",(D39-C39),"0")</f>
        <v>0</v>
      </c>
      <c r="F77" s="113" t="str">
        <f t="shared" si="2"/>
        <v>0</v>
      </c>
      <c r="G77" s="113" t="str">
        <f t="shared" si="3"/>
        <v>0</v>
      </c>
      <c r="H77" s="113" t="str">
        <f t="shared" si="4"/>
        <v>0</v>
      </c>
      <c r="I77" s="113" t="str">
        <f t="shared" si="5"/>
        <v>0</v>
      </c>
      <c r="J77" s="113" t="str">
        <f t="shared" si="6"/>
        <v>0</v>
      </c>
      <c r="K77" s="113" t="str">
        <f t="shared" si="7"/>
        <v>0</v>
      </c>
      <c r="L77" s="116"/>
      <c r="M77" s="117"/>
      <c r="N77" s="117"/>
      <c r="O77" s="117"/>
      <c r="P77" s="117"/>
      <c r="Q77" s="117"/>
      <c r="R77" s="118"/>
    </row>
    <row r="78" spans="1:18" ht="41.45" customHeight="1">
      <c r="A78" s="19"/>
      <c r="B78" s="3"/>
      <c r="C78" s="110"/>
      <c r="D78" s="110"/>
      <c r="E78" s="113" t="str">
        <f t="shared" si="1"/>
        <v>0</v>
      </c>
      <c r="F78" s="113" t="str">
        <f t="shared" si="2"/>
        <v>0</v>
      </c>
      <c r="G78" s="113" t="str">
        <f t="shared" si="3"/>
        <v>0</v>
      </c>
      <c r="H78" s="113" t="str">
        <f t="shared" si="4"/>
        <v>0</v>
      </c>
      <c r="I78" s="113" t="str">
        <f t="shared" si="5"/>
        <v>0</v>
      </c>
      <c r="J78" s="113" t="str">
        <f t="shared" si="6"/>
        <v>0</v>
      </c>
      <c r="K78" s="113" t="str">
        <f t="shared" si="7"/>
        <v>0</v>
      </c>
      <c r="L78" s="116"/>
      <c r="M78" s="117"/>
      <c r="N78" s="117"/>
      <c r="O78" s="117"/>
      <c r="P78" s="117"/>
      <c r="Q78" s="117"/>
      <c r="R78" s="118"/>
    </row>
    <row r="79" spans="1:18" ht="41.45" customHeight="1">
      <c r="A79" s="19"/>
      <c r="B79" s="3"/>
      <c r="C79" s="110"/>
      <c r="D79" s="110"/>
      <c r="E79" s="113" t="str">
        <f t="shared" ref="E79:E84" si="8">IF(E41="X",(D41-C41),"0")</f>
        <v>0</v>
      </c>
      <c r="F79" s="113" t="str">
        <f t="shared" ref="F79:F84" si="9">IF(F41="X",(D41-C41),"0")</f>
        <v>0</v>
      </c>
      <c r="G79" s="113" t="str">
        <f t="shared" ref="G79:G84" si="10">IF(G41="X",(D41-C41),"0")</f>
        <v>0</v>
      </c>
      <c r="H79" s="113" t="str">
        <f t="shared" ref="H79:H84" si="11">IF(H41="X",(D41-C41),"0")</f>
        <v>0</v>
      </c>
      <c r="I79" s="113" t="str">
        <f t="shared" ref="I79:I84" si="12">IF(I41="X",(D41-C41),"0")</f>
        <v>0</v>
      </c>
      <c r="J79" s="113" t="str">
        <f t="shared" ref="J79:J84" si="13">IF(J41="X",(D41-C41),"0")</f>
        <v>0</v>
      </c>
      <c r="K79" s="113" t="str">
        <f t="shared" ref="K79:K84" si="14">IF(K41="X",(D41-C41),"0")</f>
        <v>0</v>
      </c>
      <c r="L79" s="119"/>
      <c r="M79" s="119"/>
      <c r="N79" s="119"/>
      <c r="O79" s="119"/>
      <c r="P79" s="119"/>
      <c r="Q79" s="119"/>
      <c r="R79" s="120"/>
    </row>
    <row r="80" spans="1:18" ht="41.45" customHeight="1">
      <c r="A80" s="19"/>
      <c r="B80" s="3"/>
      <c r="C80" s="110"/>
      <c r="D80" s="110"/>
      <c r="E80" s="113" t="str">
        <f t="shared" si="8"/>
        <v>0</v>
      </c>
      <c r="F80" s="113" t="str">
        <f t="shared" si="9"/>
        <v>0</v>
      </c>
      <c r="G80" s="113" t="str">
        <f t="shared" si="10"/>
        <v>0</v>
      </c>
      <c r="H80" s="113" t="str">
        <f t="shared" si="11"/>
        <v>0</v>
      </c>
      <c r="I80" s="113" t="str">
        <f t="shared" si="12"/>
        <v>0</v>
      </c>
      <c r="J80" s="113" t="str">
        <f t="shared" si="13"/>
        <v>0</v>
      </c>
      <c r="K80" s="113" t="str">
        <f t="shared" si="14"/>
        <v>0</v>
      </c>
      <c r="L80" s="119"/>
      <c r="M80" s="119"/>
      <c r="N80" s="119"/>
      <c r="O80" s="119"/>
      <c r="P80" s="119"/>
      <c r="Q80" s="119"/>
      <c r="R80" s="120"/>
    </row>
    <row r="81" spans="1:18" ht="41.45" customHeight="1">
      <c r="A81" s="19"/>
      <c r="B81" s="3"/>
      <c r="C81" s="110"/>
      <c r="D81" s="110"/>
      <c r="E81" s="113" t="str">
        <f t="shared" si="8"/>
        <v>0</v>
      </c>
      <c r="F81" s="113" t="str">
        <f t="shared" si="9"/>
        <v>0</v>
      </c>
      <c r="G81" s="113" t="str">
        <f t="shared" si="10"/>
        <v>0</v>
      </c>
      <c r="H81" s="113" t="str">
        <f t="shared" si="11"/>
        <v>0</v>
      </c>
      <c r="I81" s="113" t="str">
        <f t="shared" si="12"/>
        <v>0</v>
      </c>
      <c r="J81" s="113" t="str">
        <f t="shared" si="13"/>
        <v>0</v>
      </c>
      <c r="K81" s="113" t="str">
        <f t="shared" si="14"/>
        <v>0</v>
      </c>
      <c r="L81" s="119"/>
      <c r="M81" s="119"/>
      <c r="N81" s="119"/>
      <c r="O81" s="119"/>
      <c r="P81" s="119"/>
      <c r="Q81" s="119"/>
      <c r="R81" s="120"/>
    </row>
    <row r="82" spans="1:18" ht="41.45" customHeight="1">
      <c r="A82" s="19"/>
      <c r="B82" s="3"/>
      <c r="C82" s="110"/>
      <c r="D82" s="110"/>
      <c r="E82" s="113" t="str">
        <f t="shared" si="8"/>
        <v>0</v>
      </c>
      <c r="F82" s="113" t="str">
        <f t="shared" si="9"/>
        <v>0</v>
      </c>
      <c r="G82" s="113" t="str">
        <f t="shared" si="10"/>
        <v>0</v>
      </c>
      <c r="H82" s="113" t="str">
        <f t="shared" si="11"/>
        <v>0</v>
      </c>
      <c r="I82" s="113" t="str">
        <f t="shared" si="12"/>
        <v>0</v>
      </c>
      <c r="J82" s="113" t="str">
        <f t="shared" si="13"/>
        <v>0</v>
      </c>
      <c r="K82" s="113" t="str">
        <f t="shared" si="14"/>
        <v>0</v>
      </c>
      <c r="L82" s="119"/>
      <c r="M82" s="119"/>
      <c r="N82" s="119"/>
      <c r="O82" s="119"/>
      <c r="P82" s="119"/>
      <c r="Q82" s="119"/>
      <c r="R82" s="120"/>
    </row>
    <row r="83" spans="1:18" ht="41.45" customHeight="1">
      <c r="A83" s="19"/>
      <c r="B83" s="3"/>
      <c r="C83" s="110"/>
      <c r="D83" s="110"/>
      <c r="E83" s="113" t="str">
        <f t="shared" si="8"/>
        <v>0</v>
      </c>
      <c r="F83" s="113" t="str">
        <f t="shared" si="9"/>
        <v>0</v>
      </c>
      <c r="G83" s="113" t="str">
        <f t="shared" si="10"/>
        <v>0</v>
      </c>
      <c r="H83" s="113" t="str">
        <f t="shared" si="11"/>
        <v>0</v>
      </c>
      <c r="I83" s="113" t="str">
        <f t="shared" si="12"/>
        <v>0</v>
      </c>
      <c r="J83" s="113" t="str">
        <f t="shared" si="13"/>
        <v>0</v>
      </c>
      <c r="K83" s="113" t="str">
        <f t="shared" si="14"/>
        <v>0</v>
      </c>
      <c r="L83" s="119"/>
      <c r="M83" s="119"/>
      <c r="N83" s="119"/>
      <c r="O83" s="119"/>
      <c r="P83" s="119"/>
      <c r="Q83" s="119"/>
      <c r="R83" s="120"/>
    </row>
    <row r="84" spans="1:18" ht="41.45" customHeight="1">
      <c r="A84" s="19"/>
      <c r="B84" s="3"/>
      <c r="C84" s="110"/>
      <c r="D84" s="110"/>
      <c r="E84" s="113" t="str">
        <f t="shared" si="8"/>
        <v>0</v>
      </c>
      <c r="F84" s="113" t="str">
        <f t="shared" si="9"/>
        <v>0</v>
      </c>
      <c r="G84" s="113" t="str">
        <f t="shared" si="10"/>
        <v>0</v>
      </c>
      <c r="H84" s="113" t="str">
        <f t="shared" si="11"/>
        <v>0</v>
      </c>
      <c r="I84" s="113" t="str">
        <f t="shared" si="12"/>
        <v>0</v>
      </c>
      <c r="J84" s="113" t="str">
        <f t="shared" si="13"/>
        <v>0</v>
      </c>
      <c r="K84" s="113" t="str">
        <f t="shared" si="14"/>
        <v>0</v>
      </c>
      <c r="L84" s="119"/>
      <c r="M84" s="119"/>
      <c r="N84" s="119"/>
      <c r="O84" s="119"/>
      <c r="P84" s="119"/>
      <c r="Q84" s="119"/>
      <c r="R84" s="120"/>
    </row>
    <row r="85" spans="1:18" ht="41.45" customHeight="1">
      <c r="A85" s="19"/>
      <c r="B85" s="3"/>
      <c r="C85" s="110"/>
      <c r="D85" s="110"/>
      <c r="E85" s="110">
        <f t="shared" ref="E85:K85" si="15">SUM(E45:E84)</f>
        <v>12</v>
      </c>
      <c r="F85" s="110">
        <f t="shared" si="15"/>
        <v>19.600000000000001</v>
      </c>
      <c r="G85" s="110">
        <f t="shared" si="15"/>
        <v>0</v>
      </c>
      <c r="H85" s="110">
        <f t="shared" si="15"/>
        <v>0</v>
      </c>
      <c r="I85" s="110">
        <f t="shared" si="15"/>
        <v>16</v>
      </c>
      <c r="J85" s="110">
        <f t="shared" si="15"/>
        <v>11.600000000000001</v>
      </c>
      <c r="K85" s="110">
        <f t="shared" si="15"/>
        <v>4</v>
      </c>
      <c r="L85" s="119"/>
      <c r="M85" s="119"/>
      <c r="N85" s="119"/>
      <c r="O85" s="119"/>
      <c r="P85" s="119"/>
      <c r="Q85" s="119"/>
      <c r="R85" s="120"/>
    </row>
    <row r="86" spans="1:18" ht="41.45" customHeight="1">
      <c r="A86" s="19"/>
      <c r="B86" s="3"/>
      <c r="C86" s="110"/>
      <c r="D86" s="110"/>
      <c r="E86" s="110"/>
      <c r="F86" s="38"/>
      <c r="G86" s="38"/>
      <c r="H86" s="38"/>
      <c r="I86" s="38"/>
      <c r="J86" s="38"/>
      <c r="K86" s="38"/>
      <c r="L86" s="119"/>
      <c r="M86" s="119"/>
      <c r="N86" s="119"/>
      <c r="O86" s="119"/>
      <c r="P86" s="119"/>
      <c r="Q86" s="119"/>
      <c r="R86" s="120"/>
    </row>
    <row r="87" spans="1:18" ht="41.45" customHeight="1">
      <c r="A87" s="19"/>
      <c r="B87" s="3"/>
      <c r="C87" s="110"/>
      <c r="D87" s="110"/>
      <c r="E87" s="110"/>
      <c r="F87" s="38"/>
      <c r="G87" s="38"/>
      <c r="H87" s="38"/>
      <c r="I87" s="38"/>
      <c r="J87" s="38"/>
      <c r="K87" s="38"/>
      <c r="L87" s="119"/>
      <c r="M87" s="119"/>
      <c r="N87" s="119"/>
      <c r="O87" s="119"/>
      <c r="P87" s="119"/>
      <c r="Q87" s="119"/>
      <c r="R87" s="120"/>
    </row>
    <row r="88" spans="1:18" ht="41.45" customHeight="1">
      <c r="A88" s="19"/>
      <c r="B88" s="3"/>
      <c r="C88" s="110"/>
      <c r="D88" s="110"/>
      <c r="E88" s="110"/>
      <c r="F88" s="38"/>
      <c r="G88" s="38"/>
      <c r="H88" s="38"/>
      <c r="I88" s="38"/>
      <c r="J88" s="38"/>
      <c r="K88" s="38"/>
      <c r="L88" s="119"/>
      <c r="M88" s="119"/>
      <c r="N88" s="119"/>
      <c r="O88" s="119"/>
      <c r="P88" s="119"/>
      <c r="Q88" s="119"/>
      <c r="R88" s="120"/>
    </row>
    <row r="89" spans="1:18" ht="41.45" customHeight="1">
      <c r="A89" s="19"/>
      <c r="B89" s="3"/>
      <c r="C89" s="110"/>
      <c r="D89" s="110"/>
      <c r="E89" s="110"/>
      <c r="F89" s="38"/>
      <c r="G89" s="38"/>
      <c r="H89" s="38"/>
      <c r="I89" s="38"/>
      <c r="J89" s="38"/>
      <c r="K89" s="38"/>
      <c r="L89" s="119"/>
      <c r="M89" s="119"/>
      <c r="N89" s="119"/>
      <c r="O89" s="119"/>
      <c r="P89" s="119"/>
      <c r="Q89" s="119"/>
      <c r="R89" s="120"/>
    </row>
    <row r="90" spans="1:18" ht="41.45" customHeight="1">
      <c r="A90" s="19"/>
      <c r="B90" s="3"/>
      <c r="C90" s="110"/>
      <c r="D90" s="110"/>
      <c r="E90" s="110"/>
      <c r="F90" s="38"/>
      <c r="G90" s="38"/>
      <c r="H90" s="38"/>
      <c r="I90" s="38"/>
      <c r="J90" s="38"/>
      <c r="K90" s="38"/>
      <c r="L90" s="119"/>
      <c r="M90" s="119"/>
      <c r="N90" s="119"/>
      <c r="O90" s="119"/>
      <c r="P90" s="119"/>
      <c r="Q90" s="119"/>
      <c r="R90" s="120"/>
    </row>
    <row r="91" spans="1:18" ht="41.45" customHeight="1" thickBot="1">
      <c r="A91" s="20"/>
      <c r="B91" s="4"/>
      <c r="C91" s="114"/>
      <c r="D91" s="114"/>
      <c r="E91" s="114"/>
      <c r="F91" s="115"/>
      <c r="G91" s="115"/>
      <c r="H91" s="115"/>
      <c r="I91" s="115"/>
      <c r="J91" s="115"/>
      <c r="K91" s="115"/>
      <c r="L91" s="145"/>
      <c r="M91" s="145"/>
      <c r="N91" s="145"/>
      <c r="O91" s="145"/>
      <c r="P91" s="145"/>
      <c r="Q91" s="145"/>
      <c r="R91" s="146"/>
    </row>
  </sheetData>
  <mergeCells count="96">
    <mergeCell ref="L57:R57"/>
    <mergeCell ref="L61:R61"/>
    <mergeCell ref="L60:R60"/>
    <mergeCell ref="L59:R59"/>
    <mergeCell ref="L58:R58"/>
    <mergeCell ref="L78:R78"/>
    <mergeCell ref="L77:R77"/>
    <mergeCell ref="L76:R76"/>
    <mergeCell ref="L75:R75"/>
    <mergeCell ref="L74:R74"/>
    <mergeCell ref="L73:R73"/>
    <mergeCell ref="L72:R72"/>
    <mergeCell ref="L67:R67"/>
    <mergeCell ref="L68:R68"/>
    <mergeCell ref="L69:R69"/>
    <mergeCell ref="L70:R70"/>
    <mergeCell ref="L71:R71"/>
    <mergeCell ref="L62:R62"/>
    <mergeCell ref="L63:R63"/>
    <mergeCell ref="L64:R64"/>
    <mergeCell ref="L65:R65"/>
    <mergeCell ref="L66:R66"/>
    <mergeCell ref="L31:R31"/>
    <mergeCell ref="L32:R32"/>
    <mergeCell ref="L33:R33"/>
    <mergeCell ref="L34:R34"/>
    <mergeCell ref="L35:R35"/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44:R44"/>
    <mergeCell ref="L24:R24"/>
    <mergeCell ref="L25:R25"/>
    <mergeCell ref="L26:R26"/>
    <mergeCell ref="L36:R36"/>
    <mergeCell ref="L37:R37"/>
    <mergeCell ref="L38:R38"/>
    <mergeCell ref="L39:R39"/>
    <mergeCell ref="L40:R40"/>
    <mergeCell ref="L41:R41"/>
    <mergeCell ref="L42:R42"/>
    <mergeCell ref="L43:R43"/>
    <mergeCell ref="L27:R27"/>
    <mergeCell ref="L28:R28"/>
    <mergeCell ref="L29:R29"/>
    <mergeCell ref="L30:R30"/>
    <mergeCell ref="L56:R56"/>
    <mergeCell ref="L45:R45"/>
    <mergeCell ref="L46:R46"/>
    <mergeCell ref="L47:R47"/>
    <mergeCell ref="L48:R48"/>
    <mergeCell ref="L49:R49"/>
    <mergeCell ref="L50:R50"/>
    <mergeCell ref="L51:R51"/>
    <mergeCell ref="L52:R52"/>
    <mergeCell ref="L53:R53"/>
    <mergeCell ref="L54:R54"/>
    <mergeCell ref="L55:R55"/>
    <mergeCell ref="L82:R82"/>
    <mergeCell ref="L79:R79"/>
    <mergeCell ref="L80:R80"/>
    <mergeCell ref="L81:R81"/>
    <mergeCell ref="L89:R89"/>
    <mergeCell ref="L90:R90"/>
    <mergeCell ref="L91:R91"/>
    <mergeCell ref="L83:R83"/>
    <mergeCell ref="L84:R84"/>
    <mergeCell ref="L85:R85"/>
    <mergeCell ref="L86:R86"/>
    <mergeCell ref="L87:R87"/>
    <mergeCell ref="L88:R88"/>
  </mergeCells>
  <pageMargins left="0.511811024" right="0.511811024" top="0.78740157499999996" bottom="0.78740157499999996" header="0.31496062000000002" footer="0.31496062000000002"/>
  <pageSetup scale="17" orientation="portrait" r:id="rId1"/>
  <colBreaks count="1" manualBreakCount="1">
    <brk id="1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R60"/>
  <sheetViews>
    <sheetView view="pageBreakPreview" zoomScale="55" zoomScaleNormal="55" zoomScaleSheetLayoutView="55" workbookViewId="0">
      <selection activeCell="I54" sqref="I54:K54"/>
    </sheetView>
  </sheetViews>
  <sheetFormatPr defaultColWidth="8.875" defaultRowHeight="1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126" t="s">
        <v>3</v>
      </c>
      <c r="J1" s="128">
        <f>'1'!J1</f>
        <v>46204</v>
      </c>
      <c r="K1" s="11"/>
      <c r="L1" s="130" t="s">
        <v>4</v>
      </c>
      <c r="M1" s="130"/>
      <c r="N1" s="132" t="s">
        <v>354</v>
      </c>
      <c r="O1" s="132"/>
      <c r="P1" s="132"/>
      <c r="Q1" s="132"/>
      <c r="R1" s="133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127"/>
      <c r="J2" s="129"/>
      <c r="K2" s="16"/>
      <c r="L2" s="131"/>
      <c r="M2" s="131"/>
      <c r="N2" s="134"/>
      <c r="O2" s="134"/>
      <c r="P2" s="134"/>
      <c r="Q2" s="134"/>
      <c r="R2" s="135"/>
    </row>
    <row r="3" spans="1:18" ht="19.5">
      <c r="A3" s="13" t="s">
        <v>23</v>
      </c>
      <c r="B3" s="37" t="str">
        <f>TT!C16</f>
        <v>RODOVIA TO-415 - TRECHO ENTR. ROD. VICINAL-NAZARÉ A TRIBO INDIGENA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121" t="s">
        <v>1</v>
      </c>
      <c r="B5" s="123" t="s">
        <v>7</v>
      </c>
      <c r="C5" s="125" t="s">
        <v>5</v>
      </c>
      <c r="D5" s="125" t="s">
        <v>6</v>
      </c>
      <c r="E5" s="123" t="s">
        <v>10</v>
      </c>
      <c r="F5" s="123"/>
      <c r="G5" s="123"/>
      <c r="H5" s="123"/>
      <c r="I5" s="136" t="s">
        <v>11</v>
      </c>
      <c r="J5" s="137"/>
      <c r="K5" s="138"/>
      <c r="L5" s="139" t="s">
        <v>8</v>
      </c>
      <c r="M5" s="140"/>
      <c r="N5" s="140"/>
      <c r="O5" s="140"/>
      <c r="P5" s="140"/>
      <c r="Q5" s="140"/>
      <c r="R5" s="141"/>
    </row>
    <row r="6" spans="1:18" s="6" customFormat="1" ht="79.150000000000006" customHeight="1">
      <c r="A6" s="122"/>
      <c r="B6" s="124"/>
      <c r="C6" s="124"/>
      <c r="D6" s="124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42"/>
      <c r="M6" s="143"/>
      <c r="N6" s="143"/>
      <c r="O6" s="143"/>
      <c r="P6" s="143"/>
      <c r="Q6" s="143"/>
      <c r="R6" s="144"/>
    </row>
    <row r="7" spans="1:18" ht="41.45" customHeight="1">
      <c r="A7" s="21" t="s">
        <v>74</v>
      </c>
      <c r="B7" s="21" t="s">
        <v>18</v>
      </c>
      <c r="C7" s="22">
        <v>0</v>
      </c>
      <c r="D7" s="22">
        <v>2</v>
      </c>
      <c r="E7" s="21"/>
      <c r="F7" s="21"/>
      <c r="G7" s="21" t="s">
        <v>19</v>
      </c>
      <c r="H7" s="21"/>
      <c r="I7" s="21"/>
      <c r="J7" s="21" t="s">
        <v>19</v>
      </c>
      <c r="K7" s="21"/>
      <c r="L7" s="116" t="s">
        <v>393</v>
      </c>
      <c r="M7" s="117"/>
      <c r="N7" s="117"/>
      <c r="O7" s="117"/>
      <c r="P7" s="117"/>
      <c r="Q7" s="117"/>
      <c r="R7" s="118"/>
    </row>
    <row r="8" spans="1:18" ht="41.45" customHeight="1">
      <c r="A8" s="21"/>
      <c r="B8" s="21"/>
      <c r="C8" s="22">
        <f>D7</f>
        <v>2</v>
      </c>
      <c r="D8" s="22">
        <v>4</v>
      </c>
      <c r="E8" s="21"/>
      <c r="F8" s="21" t="s">
        <v>19</v>
      </c>
      <c r="G8" s="21"/>
      <c r="H8" s="21"/>
      <c r="I8" s="21"/>
      <c r="J8" s="21" t="s">
        <v>19</v>
      </c>
      <c r="K8" s="21"/>
      <c r="L8" s="116"/>
      <c r="M8" s="117"/>
      <c r="N8" s="117"/>
      <c r="O8" s="117"/>
      <c r="P8" s="117"/>
      <c r="Q8" s="117"/>
      <c r="R8" s="118"/>
    </row>
    <row r="9" spans="1:18" ht="41.45" customHeight="1">
      <c r="A9" s="21"/>
      <c r="B9" s="21"/>
      <c r="C9" s="22">
        <f t="shared" ref="C9:C12" si="0">D8</f>
        <v>4</v>
      </c>
      <c r="D9" s="22">
        <v>6</v>
      </c>
      <c r="E9" s="21"/>
      <c r="F9" s="21" t="s">
        <v>19</v>
      </c>
      <c r="G9" s="21"/>
      <c r="H9" s="21"/>
      <c r="I9" s="21" t="s">
        <v>19</v>
      </c>
      <c r="J9" s="21"/>
      <c r="K9" s="21"/>
      <c r="L9" s="116"/>
      <c r="M9" s="117"/>
      <c r="N9" s="117"/>
      <c r="O9" s="117"/>
      <c r="P9" s="117"/>
      <c r="Q9" s="117"/>
      <c r="R9" s="118"/>
    </row>
    <row r="10" spans="1:18" ht="41.45" customHeight="1">
      <c r="A10" s="21"/>
      <c r="B10" s="21"/>
      <c r="C10" s="22">
        <f t="shared" si="0"/>
        <v>6</v>
      </c>
      <c r="D10" s="22">
        <v>8</v>
      </c>
      <c r="E10" s="21"/>
      <c r="F10" s="21" t="s">
        <v>19</v>
      </c>
      <c r="G10" s="21"/>
      <c r="H10" s="21"/>
      <c r="I10" s="21" t="s">
        <v>19</v>
      </c>
      <c r="J10" s="21"/>
      <c r="K10" s="21"/>
      <c r="L10" s="116"/>
      <c r="M10" s="117"/>
      <c r="N10" s="117"/>
      <c r="O10" s="117"/>
      <c r="P10" s="117"/>
      <c r="Q10" s="117"/>
      <c r="R10" s="118"/>
    </row>
    <row r="11" spans="1:18" ht="41.45" customHeight="1">
      <c r="A11" s="21"/>
      <c r="B11" s="21"/>
      <c r="C11" s="22">
        <f>D10</f>
        <v>8</v>
      </c>
      <c r="D11" s="22">
        <v>10</v>
      </c>
      <c r="E11" s="21"/>
      <c r="F11" s="21" t="s">
        <v>19</v>
      </c>
      <c r="G11" s="21"/>
      <c r="H11" s="21"/>
      <c r="I11" s="21"/>
      <c r="J11" s="21" t="s">
        <v>19</v>
      </c>
      <c r="K11" s="21"/>
      <c r="L11" s="116"/>
      <c r="M11" s="117"/>
      <c r="N11" s="117"/>
      <c r="O11" s="117"/>
      <c r="P11" s="117"/>
      <c r="Q11" s="117"/>
      <c r="R11" s="118"/>
    </row>
    <row r="12" spans="1:18" ht="41.45" customHeight="1">
      <c r="A12" s="21"/>
      <c r="B12" s="21"/>
      <c r="C12" s="22">
        <f t="shared" si="0"/>
        <v>10</v>
      </c>
      <c r="D12" s="22">
        <v>12.1</v>
      </c>
      <c r="E12" s="21"/>
      <c r="F12" s="21"/>
      <c r="G12" s="21" t="s">
        <v>19</v>
      </c>
      <c r="H12" s="21"/>
      <c r="I12" s="21"/>
      <c r="J12" s="21" t="s">
        <v>19</v>
      </c>
      <c r="K12" s="21"/>
      <c r="L12" s="116"/>
      <c r="M12" s="117"/>
      <c r="N12" s="117"/>
      <c r="O12" s="117"/>
      <c r="P12" s="117"/>
      <c r="Q12" s="117"/>
      <c r="R12" s="118"/>
    </row>
    <row r="13" spans="1:18" ht="41.45" customHeight="1">
      <c r="A13" s="21"/>
      <c r="B13" s="21"/>
      <c r="C13" s="110"/>
      <c r="D13" s="110"/>
      <c r="E13" s="38"/>
      <c r="F13" s="38"/>
      <c r="G13" s="38"/>
      <c r="H13" s="38"/>
      <c r="I13" s="38"/>
      <c r="J13" s="38"/>
      <c r="K13" s="38"/>
      <c r="L13" s="116"/>
      <c r="M13" s="117"/>
      <c r="N13" s="117"/>
      <c r="O13" s="117"/>
      <c r="P13" s="117"/>
      <c r="Q13" s="117"/>
      <c r="R13" s="118"/>
    </row>
    <row r="14" spans="1:18" ht="41.45" customHeight="1">
      <c r="A14" s="21"/>
      <c r="B14" s="21"/>
      <c r="C14" s="110"/>
      <c r="D14" s="110"/>
      <c r="E14" s="38"/>
      <c r="F14" s="38"/>
      <c r="G14" s="38"/>
      <c r="H14" s="38"/>
      <c r="I14" s="38"/>
      <c r="J14" s="38"/>
      <c r="K14" s="38"/>
      <c r="L14" s="116"/>
      <c r="M14" s="117"/>
      <c r="N14" s="117"/>
      <c r="O14" s="117"/>
      <c r="P14" s="117"/>
      <c r="Q14" s="117"/>
      <c r="R14" s="118"/>
    </row>
    <row r="15" spans="1:18" ht="41.45" customHeight="1">
      <c r="A15" s="21"/>
      <c r="B15" s="21"/>
      <c r="C15" s="110"/>
      <c r="D15" s="110"/>
      <c r="E15" s="38"/>
      <c r="F15" s="38"/>
      <c r="G15" s="38"/>
      <c r="H15" s="38"/>
      <c r="I15" s="38"/>
      <c r="J15" s="38"/>
      <c r="K15" s="38"/>
      <c r="L15" s="116"/>
      <c r="M15" s="117"/>
      <c r="N15" s="117"/>
      <c r="O15" s="117"/>
      <c r="P15" s="117"/>
      <c r="Q15" s="117"/>
      <c r="R15" s="118"/>
    </row>
    <row r="16" spans="1:18" ht="41.45" customHeight="1">
      <c r="A16" s="21"/>
      <c r="B16" s="21"/>
      <c r="C16" s="110"/>
      <c r="D16" s="110"/>
      <c r="E16" s="38"/>
      <c r="F16" s="38"/>
      <c r="G16" s="38"/>
      <c r="H16" s="38"/>
      <c r="I16" s="38"/>
      <c r="J16" s="38"/>
      <c r="K16" s="38"/>
      <c r="L16" s="116"/>
      <c r="M16" s="117"/>
      <c r="N16" s="117"/>
      <c r="O16" s="117"/>
      <c r="P16" s="117"/>
      <c r="Q16" s="117"/>
      <c r="R16" s="118"/>
    </row>
    <row r="17" spans="1:18" ht="41.45" customHeight="1">
      <c r="A17" s="21"/>
      <c r="B17" s="21"/>
      <c r="C17" s="110"/>
      <c r="D17" s="110"/>
      <c r="E17" s="38"/>
      <c r="F17" s="38"/>
      <c r="G17" s="38"/>
      <c r="H17" s="38"/>
      <c r="I17" s="38"/>
      <c r="J17" s="38"/>
      <c r="K17" s="38"/>
      <c r="L17" s="116"/>
      <c r="M17" s="117"/>
      <c r="N17" s="117"/>
      <c r="O17" s="117"/>
      <c r="P17" s="117"/>
      <c r="Q17" s="117"/>
      <c r="R17" s="118"/>
    </row>
    <row r="18" spans="1:18" ht="41.45" customHeight="1">
      <c r="A18" s="19"/>
      <c r="B18" s="3"/>
      <c r="C18" s="110"/>
      <c r="D18" s="110"/>
      <c r="E18" s="38"/>
      <c r="F18" s="38"/>
      <c r="G18" s="38"/>
      <c r="H18" s="38"/>
      <c r="I18" s="38"/>
      <c r="J18" s="38"/>
      <c r="K18" s="38"/>
      <c r="L18" s="116"/>
      <c r="M18" s="117"/>
      <c r="N18" s="117"/>
      <c r="O18" s="117"/>
      <c r="P18" s="117"/>
      <c r="Q18" s="117"/>
      <c r="R18" s="118"/>
    </row>
    <row r="19" spans="1:18" ht="41.45" customHeight="1">
      <c r="A19" s="19"/>
      <c r="B19" s="3"/>
      <c r="C19" s="110"/>
      <c r="D19" s="110"/>
      <c r="E19" s="38"/>
      <c r="F19" s="38"/>
      <c r="G19" s="38"/>
      <c r="H19" s="38"/>
      <c r="I19" s="38"/>
      <c r="J19" s="38"/>
      <c r="K19" s="38"/>
      <c r="L19" s="116"/>
      <c r="M19" s="117"/>
      <c r="N19" s="117"/>
      <c r="O19" s="117"/>
      <c r="P19" s="117"/>
      <c r="Q19" s="117"/>
      <c r="R19" s="118"/>
    </row>
    <row r="20" spans="1:18" ht="41.45" customHeight="1">
      <c r="A20" s="19"/>
      <c r="B20" s="3"/>
      <c r="C20" s="110"/>
      <c r="D20" s="110"/>
      <c r="E20" s="38"/>
      <c r="F20" s="38"/>
      <c r="G20" s="38"/>
      <c r="H20" s="38"/>
      <c r="I20" s="38"/>
      <c r="J20" s="38"/>
      <c r="K20" s="38"/>
      <c r="L20" s="116"/>
      <c r="M20" s="117"/>
      <c r="N20" s="117"/>
      <c r="O20" s="117"/>
      <c r="P20" s="117"/>
      <c r="Q20" s="117"/>
      <c r="R20" s="118"/>
    </row>
    <row r="21" spans="1:18" ht="41.45" customHeight="1">
      <c r="A21" s="19"/>
      <c r="B21" s="3"/>
      <c r="C21" s="110"/>
      <c r="D21" s="110"/>
      <c r="E21" s="38"/>
      <c r="F21" s="38"/>
      <c r="G21" s="38"/>
      <c r="H21" s="38"/>
      <c r="I21" s="38"/>
      <c r="J21" s="38"/>
      <c r="K21" s="38"/>
      <c r="L21" s="116"/>
      <c r="M21" s="117"/>
      <c r="N21" s="117"/>
      <c r="O21" s="117"/>
      <c r="P21" s="117"/>
      <c r="Q21" s="117"/>
      <c r="R21" s="118"/>
    </row>
    <row r="22" spans="1:18" ht="41.45" customHeight="1">
      <c r="A22" s="19"/>
      <c r="B22" s="3"/>
      <c r="C22" s="110"/>
      <c r="D22" s="110"/>
      <c r="E22" s="38"/>
      <c r="F22" s="38"/>
      <c r="G22" s="38"/>
      <c r="H22" s="38"/>
      <c r="I22" s="38"/>
      <c r="J22" s="38"/>
      <c r="K22" s="38"/>
      <c r="L22" s="116"/>
      <c r="M22" s="117"/>
      <c r="N22" s="117"/>
      <c r="O22" s="117"/>
      <c r="P22" s="117"/>
      <c r="Q22" s="117"/>
      <c r="R22" s="118"/>
    </row>
    <row r="23" spans="1:18" ht="41.45" customHeight="1">
      <c r="A23" s="19"/>
      <c r="B23" s="3"/>
      <c r="C23" s="110"/>
      <c r="D23" s="110"/>
      <c r="E23" s="38"/>
      <c r="F23" s="38"/>
      <c r="G23" s="38"/>
      <c r="H23" s="38"/>
      <c r="I23" s="38"/>
      <c r="J23" s="38"/>
      <c r="K23" s="38"/>
      <c r="L23" s="116"/>
      <c r="M23" s="117"/>
      <c r="N23" s="117"/>
      <c r="O23" s="117"/>
      <c r="P23" s="117"/>
      <c r="Q23" s="117"/>
      <c r="R23" s="118"/>
    </row>
    <row r="24" spans="1:18" ht="41.45" customHeight="1">
      <c r="A24" s="19"/>
      <c r="B24" s="3"/>
      <c r="C24" s="110"/>
      <c r="D24" s="110"/>
      <c r="E24" s="38"/>
      <c r="F24" s="38"/>
      <c r="G24" s="38"/>
      <c r="H24" s="38"/>
      <c r="I24" s="38"/>
      <c r="J24" s="38"/>
      <c r="K24" s="38"/>
      <c r="L24" s="116"/>
      <c r="M24" s="117"/>
      <c r="N24" s="117"/>
      <c r="O24" s="117"/>
      <c r="P24" s="117"/>
      <c r="Q24" s="117"/>
      <c r="R24" s="118"/>
    </row>
    <row r="25" spans="1:18" ht="41.45" customHeight="1">
      <c r="A25" s="19"/>
      <c r="B25" s="3"/>
      <c r="C25" s="110"/>
      <c r="D25" s="110"/>
      <c r="E25" s="38"/>
      <c r="F25" s="38"/>
      <c r="G25" s="38"/>
      <c r="H25" s="38"/>
      <c r="I25" s="38"/>
      <c r="J25" s="38"/>
      <c r="K25" s="38"/>
      <c r="L25" s="116"/>
      <c r="M25" s="117"/>
      <c r="N25" s="117"/>
      <c r="O25" s="117"/>
      <c r="P25" s="117"/>
      <c r="Q25" s="117"/>
      <c r="R25" s="118"/>
    </row>
    <row r="26" spans="1:18" ht="41.45" customHeight="1">
      <c r="A26" s="19"/>
      <c r="B26" s="3"/>
      <c r="C26" s="110"/>
      <c r="D26" s="110"/>
      <c r="E26" s="38"/>
      <c r="F26" s="38"/>
      <c r="G26" s="38"/>
      <c r="H26" s="38"/>
      <c r="I26" s="38"/>
      <c r="J26" s="38"/>
      <c r="K26" s="38"/>
      <c r="L26" s="116"/>
      <c r="M26" s="117"/>
      <c r="N26" s="117"/>
      <c r="O26" s="117"/>
      <c r="P26" s="117"/>
      <c r="Q26" s="117"/>
      <c r="R26" s="118"/>
    </row>
    <row r="27" spans="1:18" ht="41.45" customHeight="1">
      <c r="A27" s="19"/>
      <c r="B27" s="3"/>
      <c r="C27" s="110"/>
      <c r="D27" s="110"/>
      <c r="E27" s="38"/>
      <c r="F27" s="38"/>
      <c r="G27" s="38"/>
      <c r="H27" s="38"/>
      <c r="I27" s="38"/>
      <c r="J27" s="38"/>
      <c r="K27" s="38"/>
      <c r="L27" s="116"/>
      <c r="M27" s="117"/>
      <c r="N27" s="117"/>
      <c r="O27" s="117"/>
      <c r="P27" s="117"/>
      <c r="Q27" s="117"/>
      <c r="R27" s="118"/>
    </row>
    <row r="28" spans="1:18" ht="41.45" customHeight="1">
      <c r="A28" s="19"/>
      <c r="B28" s="3"/>
      <c r="C28" s="110"/>
      <c r="D28" s="110"/>
      <c r="E28" s="38"/>
      <c r="F28" s="38"/>
      <c r="G28" s="38"/>
      <c r="H28" s="38"/>
      <c r="I28" s="38"/>
      <c r="J28" s="38"/>
      <c r="K28" s="38"/>
      <c r="L28" s="116"/>
      <c r="M28" s="117"/>
      <c r="N28" s="117"/>
      <c r="O28" s="117"/>
      <c r="P28" s="117"/>
      <c r="Q28" s="117"/>
      <c r="R28" s="118"/>
    </row>
    <row r="29" spans="1:18" ht="41.45" customHeight="1">
      <c r="A29" s="19"/>
      <c r="B29" s="3"/>
      <c r="C29" s="110"/>
      <c r="D29" s="110"/>
      <c r="E29" s="38"/>
      <c r="F29" s="38"/>
      <c r="G29" s="38"/>
      <c r="H29" s="38"/>
      <c r="I29" s="38"/>
      <c r="J29" s="38"/>
      <c r="K29" s="38"/>
      <c r="L29" s="116"/>
      <c r="M29" s="117"/>
      <c r="N29" s="117"/>
      <c r="O29" s="117"/>
      <c r="P29" s="117"/>
      <c r="Q29" s="117"/>
      <c r="R29" s="118"/>
    </row>
    <row r="30" spans="1:18" ht="41.45" customHeight="1">
      <c r="A30" s="19"/>
      <c r="B30" s="3"/>
      <c r="C30" s="110"/>
      <c r="D30" s="110"/>
      <c r="E30" s="38"/>
      <c r="F30" s="38"/>
      <c r="G30" s="38"/>
      <c r="H30" s="38"/>
      <c r="I30" s="38"/>
      <c r="J30" s="38"/>
      <c r="K30" s="38"/>
      <c r="L30" s="116"/>
      <c r="M30" s="117"/>
      <c r="N30" s="117"/>
      <c r="O30" s="117"/>
      <c r="P30" s="117"/>
      <c r="Q30" s="117"/>
      <c r="R30" s="118"/>
    </row>
    <row r="31" spans="1:18" ht="41.45" customHeight="1">
      <c r="A31" s="19"/>
      <c r="B31" s="3"/>
      <c r="C31" s="110"/>
      <c r="D31" s="110"/>
      <c r="E31" s="38"/>
      <c r="F31" s="38"/>
      <c r="G31" s="38"/>
      <c r="H31" s="38"/>
      <c r="I31" s="38"/>
      <c r="J31" s="38"/>
      <c r="K31" s="38"/>
      <c r="L31" s="116"/>
      <c r="M31" s="117"/>
      <c r="N31" s="117"/>
      <c r="O31" s="117"/>
      <c r="P31" s="117"/>
      <c r="Q31" s="117"/>
      <c r="R31" s="118"/>
    </row>
    <row r="32" spans="1:18" ht="41.45" customHeight="1">
      <c r="A32" s="19"/>
      <c r="B32" s="3"/>
      <c r="C32" s="110"/>
      <c r="D32" s="110"/>
      <c r="E32" s="38"/>
      <c r="F32" s="38"/>
      <c r="G32" s="38"/>
      <c r="H32" s="38"/>
      <c r="I32" s="38"/>
      <c r="J32" s="38"/>
      <c r="K32" s="38"/>
      <c r="L32" s="116"/>
      <c r="M32" s="117"/>
      <c r="N32" s="117"/>
      <c r="O32" s="117"/>
      <c r="P32" s="117"/>
      <c r="Q32" s="117"/>
      <c r="R32" s="118"/>
    </row>
    <row r="33" spans="1:18" ht="41.45" customHeight="1">
      <c r="A33" s="19"/>
      <c r="B33" s="3"/>
      <c r="C33" s="110"/>
      <c r="D33" s="110"/>
      <c r="E33" s="38"/>
      <c r="F33" s="38"/>
      <c r="G33" s="38"/>
      <c r="H33" s="38"/>
      <c r="I33" s="38"/>
      <c r="J33" s="38"/>
      <c r="K33" s="38"/>
      <c r="L33" s="116"/>
      <c r="M33" s="117"/>
      <c r="N33" s="117"/>
      <c r="O33" s="117"/>
      <c r="P33" s="117"/>
      <c r="Q33" s="117"/>
      <c r="R33" s="118"/>
    </row>
    <row r="34" spans="1:18" ht="41.45" customHeight="1">
      <c r="A34" s="19"/>
      <c r="B34" s="3"/>
      <c r="C34" s="110"/>
      <c r="D34" s="110"/>
      <c r="E34" s="38"/>
      <c r="F34" s="38"/>
      <c r="G34" s="38"/>
      <c r="H34" s="38"/>
      <c r="I34" s="38"/>
      <c r="J34" s="38"/>
      <c r="K34" s="38"/>
      <c r="L34" s="116"/>
      <c r="M34" s="117"/>
      <c r="N34" s="117"/>
      <c r="O34" s="117"/>
      <c r="P34" s="117"/>
      <c r="Q34" s="117"/>
      <c r="R34" s="118"/>
    </row>
    <row r="35" spans="1:18" ht="41.45" customHeight="1">
      <c r="A35" s="19"/>
      <c r="B35" s="3"/>
      <c r="C35" s="110"/>
      <c r="D35" s="110"/>
      <c r="E35" s="38"/>
      <c r="F35" s="38"/>
      <c r="G35" s="38"/>
      <c r="H35" s="38"/>
      <c r="I35" s="38"/>
      <c r="J35" s="38"/>
      <c r="K35" s="38"/>
      <c r="L35" s="116"/>
      <c r="M35" s="117"/>
      <c r="N35" s="117"/>
      <c r="O35" s="117"/>
      <c r="P35" s="117"/>
      <c r="Q35" s="117"/>
      <c r="R35" s="118"/>
    </row>
    <row r="36" spans="1:18" ht="41.45" customHeight="1">
      <c r="A36" s="23"/>
      <c r="B36" s="24"/>
      <c r="C36" s="25"/>
      <c r="D36" s="25"/>
      <c r="E36" s="25" t="str">
        <f>IF(E7="X",(D7-C7),"0")</f>
        <v>0</v>
      </c>
      <c r="F36" s="25" t="str">
        <f>IF(F7="X",(D7-C7),"0")</f>
        <v>0</v>
      </c>
      <c r="G36" s="25">
        <f>IF(G7="X",(D7-C7),"0")</f>
        <v>2</v>
      </c>
      <c r="H36" s="25" t="str">
        <f>IF(H7="X",(D7-C7),"0")</f>
        <v>0</v>
      </c>
      <c r="I36" s="25" t="str">
        <f>IF(I7="X",(D7-C7),"0")</f>
        <v>0</v>
      </c>
      <c r="J36" s="25">
        <f>IF(J7="X",(D7-C7),"0")</f>
        <v>2</v>
      </c>
      <c r="K36" s="25" t="str">
        <f>IF(K7="X",(D7-C7),"0")</f>
        <v>0</v>
      </c>
      <c r="L36" s="147"/>
      <c r="M36" s="148"/>
      <c r="N36" s="148"/>
      <c r="O36" s="148"/>
      <c r="P36" s="148"/>
      <c r="Q36" s="148"/>
      <c r="R36" s="149"/>
    </row>
    <row r="37" spans="1:18" ht="41.45" customHeight="1">
      <c r="A37" s="19"/>
      <c r="B37" s="3"/>
      <c r="C37" s="22"/>
      <c r="D37" s="22"/>
      <c r="E37" s="25" t="str">
        <f t="shared" ref="E37:E53" si="1">IF(E8="X",(D8-C8),"0")</f>
        <v>0</v>
      </c>
      <c r="F37" s="25">
        <f t="shared" ref="F37:F53" si="2">IF(F8="X",(D8-C8),"0")</f>
        <v>2</v>
      </c>
      <c r="G37" s="25" t="str">
        <f t="shared" ref="G37:G53" si="3">IF(G8="X",(D8-C8),"0")</f>
        <v>0</v>
      </c>
      <c r="H37" s="25" t="str">
        <f t="shared" ref="H37:H53" si="4">IF(H8="X",(D8-C8),"0")</f>
        <v>0</v>
      </c>
      <c r="I37" s="25" t="str">
        <f t="shared" ref="I37:I53" si="5">IF(I8="X",(D8-C8),"0")</f>
        <v>0</v>
      </c>
      <c r="J37" s="25">
        <f t="shared" ref="J37:J53" si="6">IF(J8="X",(D8-C8),"0")</f>
        <v>2</v>
      </c>
      <c r="K37" s="25" t="str">
        <f t="shared" ref="K37:K53" si="7">IF(K8="X",(D8-C8),"0")</f>
        <v>0</v>
      </c>
      <c r="L37" s="119"/>
      <c r="M37" s="119"/>
      <c r="N37" s="119"/>
      <c r="O37" s="119"/>
      <c r="P37" s="119"/>
      <c r="Q37" s="119"/>
      <c r="R37" s="120"/>
    </row>
    <row r="38" spans="1:18" ht="41.45" customHeight="1">
      <c r="A38" s="19"/>
      <c r="B38" s="3"/>
      <c r="C38" s="22"/>
      <c r="D38" s="22"/>
      <c r="E38" s="25" t="str">
        <f t="shared" si="1"/>
        <v>0</v>
      </c>
      <c r="F38" s="25">
        <f t="shared" si="2"/>
        <v>2</v>
      </c>
      <c r="G38" s="25" t="str">
        <f t="shared" si="3"/>
        <v>0</v>
      </c>
      <c r="H38" s="25" t="str">
        <f t="shared" si="4"/>
        <v>0</v>
      </c>
      <c r="I38" s="25">
        <f t="shared" si="5"/>
        <v>2</v>
      </c>
      <c r="J38" s="25" t="str">
        <f t="shared" si="6"/>
        <v>0</v>
      </c>
      <c r="K38" s="25" t="str">
        <f t="shared" si="7"/>
        <v>0</v>
      </c>
      <c r="L38" s="119"/>
      <c r="M38" s="119"/>
      <c r="N38" s="119"/>
      <c r="O38" s="119"/>
      <c r="P38" s="119"/>
      <c r="Q38" s="119"/>
      <c r="R38" s="120"/>
    </row>
    <row r="39" spans="1:18" ht="41.45" customHeight="1">
      <c r="A39" s="19"/>
      <c r="B39" s="3"/>
      <c r="C39" s="22"/>
      <c r="D39" s="22"/>
      <c r="E39" s="25" t="str">
        <f t="shared" si="1"/>
        <v>0</v>
      </c>
      <c r="F39" s="25">
        <f t="shared" si="2"/>
        <v>2</v>
      </c>
      <c r="G39" s="25" t="str">
        <f t="shared" si="3"/>
        <v>0</v>
      </c>
      <c r="H39" s="25" t="str">
        <f t="shared" si="4"/>
        <v>0</v>
      </c>
      <c r="I39" s="25">
        <f t="shared" si="5"/>
        <v>2</v>
      </c>
      <c r="J39" s="25" t="str">
        <f t="shared" si="6"/>
        <v>0</v>
      </c>
      <c r="K39" s="25" t="str">
        <f t="shared" si="7"/>
        <v>0</v>
      </c>
      <c r="L39" s="119"/>
      <c r="M39" s="119"/>
      <c r="N39" s="119"/>
      <c r="O39" s="119"/>
      <c r="P39" s="119"/>
      <c r="Q39" s="119"/>
      <c r="R39" s="120"/>
    </row>
    <row r="40" spans="1:18" ht="41.45" customHeight="1">
      <c r="A40" s="19"/>
      <c r="B40" s="3"/>
      <c r="C40" s="22"/>
      <c r="D40" s="22"/>
      <c r="E40" s="25" t="str">
        <f t="shared" si="1"/>
        <v>0</v>
      </c>
      <c r="F40" s="25">
        <f t="shared" si="2"/>
        <v>2</v>
      </c>
      <c r="G40" s="25" t="str">
        <f t="shared" si="3"/>
        <v>0</v>
      </c>
      <c r="H40" s="25" t="str">
        <f t="shared" si="4"/>
        <v>0</v>
      </c>
      <c r="I40" s="25" t="str">
        <f t="shared" si="5"/>
        <v>0</v>
      </c>
      <c r="J40" s="25">
        <f t="shared" si="6"/>
        <v>2</v>
      </c>
      <c r="K40" s="25" t="str">
        <f t="shared" si="7"/>
        <v>0</v>
      </c>
      <c r="L40" s="119"/>
      <c r="M40" s="119"/>
      <c r="N40" s="119"/>
      <c r="O40" s="119"/>
      <c r="P40" s="119"/>
      <c r="Q40" s="119"/>
      <c r="R40" s="120"/>
    </row>
    <row r="41" spans="1:18" ht="41.45" customHeight="1">
      <c r="A41" s="19"/>
      <c r="B41" s="3"/>
      <c r="C41" s="22"/>
      <c r="D41" s="22"/>
      <c r="E41" s="25" t="str">
        <f t="shared" si="1"/>
        <v>0</v>
      </c>
      <c r="F41" s="25" t="str">
        <f t="shared" si="2"/>
        <v>0</v>
      </c>
      <c r="G41" s="25">
        <f t="shared" si="3"/>
        <v>2.0999999999999996</v>
      </c>
      <c r="H41" s="25" t="str">
        <f t="shared" si="4"/>
        <v>0</v>
      </c>
      <c r="I41" s="25" t="str">
        <f t="shared" si="5"/>
        <v>0</v>
      </c>
      <c r="J41" s="25">
        <f t="shared" si="6"/>
        <v>2.0999999999999996</v>
      </c>
      <c r="K41" s="25" t="str">
        <f t="shared" si="7"/>
        <v>0</v>
      </c>
      <c r="L41" s="119"/>
      <c r="M41" s="119"/>
      <c r="N41" s="119"/>
      <c r="O41" s="119"/>
      <c r="P41" s="119"/>
      <c r="Q41" s="119"/>
      <c r="R41" s="120"/>
    </row>
    <row r="42" spans="1:18" ht="41.45" customHeight="1">
      <c r="A42" s="19"/>
      <c r="B42" s="3"/>
      <c r="C42" s="22"/>
      <c r="D42" s="22"/>
      <c r="E42" s="25" t="str">
        <f t="shared" si="1"/>
        <v>0</v>
      </c>
      <c r="F42" s="25" t="str">
        <f t="shared" si="2"/>
        <v>0</v>
      </c>
      <c r="G42" s="25" t="str">
        <f t="shared" si="3"/>
        <v>0</v>
      </c>
      <c r="H42" s="25" t="str">
        <f t="shared" si="4"/>
        <v>0</v>
      </c>
      <c r="I42" s="25" t="str">
        <f t="shared" si="5"/>
        <v>0</v>
      </c>
      <c r="J42" s="25" t="str">
        <f t="shared" si="6"/>
        <v>0</v>
      </c>
      <c r="K42" s="25" t="str">
        <f t="shared" si="7"/>
        <v>0</v>
      </c>
      <c r="L42" s="119"/>
      <c r="M42" s="119"/>
      <c r="N42" s="119"/>
      <c r="O42" s="119"/>
      <c r="P42" s="119"/>
      <c r="Q42" s="119"/>
      <c r="R42" s="120"/>
    </row>
    <row r="43" spans="1:18" ht="41.45" customHeight="1">
      <c r="A43" s="19"/>
      <c r="B43" s="3"/>
      <c r="C43" s="22"/>
      <c r="D43" s="22"/>
      <c r="E43" s="25" t="str">
        <f t="shared" si="1"/>
        <v>0</v>
      </c>
      <c r="F43" s="25" t="str">
        <f t="shared" si="2"/>
        <v>0</v>
      </c>
      <c r="G43" s="25" t="str">
        <f t="shared" si="3"/>
        <v>0</v>
      </c>
      <c r="H43" s="25" t="str">
        <f t="shared" si="4"/>
        <v>0</v>
      </c>
      <c r="I43" s="25" t="str">
        <f t="shared" si="5"/>
        <v>0</v>
      </c>
      <c r="J43" s="25" t="str">
        <f t="shared" si="6"/>
        <v>0</v>
      </c>
      <c r="K43" s="25" t="str">
        <f t="shared" si="7"/>
        <v>0</v>
      </c>
      <c r="L43" s="119"/>
      <c r="M43" s="119"/>
      <c r="N43" s="119"/>
      <c r="O43" s="119"/>
      <c r="P43" s="119"/>
      <c r="Q43" s="119"/>
      <c r="R43" s="120"/>
    </row>
    <row r="44" spans="1:18" ht="41.45" customHeight="1">
      <c r="A44" s="19"/>
      <c r="B44" s="3"/>
      <c r="C44" s="22"/>
      <c r="D44" s="22"/>
      <c r="E44" s="25" t="str">
        <f t="shared" si="1"/>
        <v>0</v>
      </c>
      <c r="F44" s="25" t="str">
        <f t="shared" si="2"/>
        <v>0</v>
      </c>
      <c r="G44" s="25" t="str">
        <f t="shared" si="3"/>
        <v>0</v>
      </c>
      <c r="H44" s="25" t="str">
        <f t="shared" si="4"/>
        <v>0</v>
      </c>
      <c r="I44" s="25" t="str">
        <f t="shared" si="5"/>
        <v>0</v>
      </c>
      <c r="J44" s="25" t="str">
        <f t="shared" si="6"/>
        <v>0</v>
      </c>
      <c r="K44" s="25" t="str">
        <f t="shared" si="7"/>
        <v>0</v>
      </c>
      <c r="L44" s="119"/>
      <c r="M44" s="119"/>
      <c r="N44" s="119"/>
      <c r="O44" s="119"/>
      <c r="P44" s="119"/>
      <c r="Q44" s="119"/>
      <c r="R44" s="120"/>
    </row>
    <row r="45" spans="1:18" ht="41.45" customHeight="1">
      <c r="A45" s="19"/>
      <c r="B45" s="3"/>
      <c r="C45" s="22"/>
      <c r="D45" s="22"/>
      <c r="E45" s="25" t="str">
        <f t="shared" si="1"/>
        <v>0</v>
      </c>
      <c r="F45" s="25" t="str">
        <f t="shared" si="2"/>
        <v>0</v>
      </c>
      <c r="G45" s="25" t="str">
        <f t="shared" si="3"/>
        <v>0</v>
      </c>
      <c r="H45" s="25" t="str">
        <f t="shared" si="4"/>
        <v>0</v>
      </c>
      <c r="I45" s="25" t="str">
        <f t="shared" si="5"/>
        <v>0</v>
      </c>
      <c r="J45" s="25" t="str">
        <f t="shared" si="6"/>
        <v>0</v>
      </c>
      <c r="K45" s="25" t="str">
        <f t="shared" si="7"/>
        <v>0</v>
      </c>
      <c r="L45" s="119"/>
      <c r="M45" s="119"/>
      <c r="N45" s="119"/>
      <c r="O45" s="119"/>
      <c r="P45" s="119"/>
      <c r="Q45" s="119"/>
      <c r="R45" s="120"/>
    </row>
    <row r="46" spans="1:18" ht="41.45" customHeight="1">
      <c r="A46" s="19"/>
      <c r="B46" s="3"/>
      <c r="C46" s="22"/>
      <c r="D46" s="22"/>
      <c r="E46" s="25" t="str">
        <f t="shared" si="1"/>
        <v>0</v>
      </c>
      <c r="F46" s="25" t="str">
        <f t="shared" si="2"/>
        <v>0</v>
      </c>
      <c r="G46" s="25" t="str">
        <f t="shared" si="3"/>
        <v>0</v>
      </c>
      <c r="H46" s="25" t="str">
        <f t="shared" si="4"/>
        <v>0</v>
      </c>
      <c r="I46" s="25" t="str">
        <f t="shared" si="5"/>
        <v>0</v>
      </c>
      <c r="J46" s="25" t="str">
        <f t="shared" si="6"/>
        <v>0</v>
      </c>
      <c r="K46" s="25" t="str">
        <f t="shared" si="7"/>
        <v>0</v>
      </c>
      <c r="L46" s="119"/>
      <c r="M46" s="119"/>
      <c r="N46" s="119"/>
      <c r="O46" s="119"/>
      <c r="P46" s="119"/>
      <c r="Q46" s="119"/>
      <c r="R46" s="120"/>
    </row>
    <row r="47" spans="1:18" ht="41.45" customHeight="1">
      <c r="A47" s="19"/>
      <c r="B47" s="3"/>
      <c r="C47" s="22"/>
      <c r="D47" s="22"/>
      <c r="E47" s="25" t="str">
        <f t="shared" si="1"/>
        <v>0</v>
      </c>
      <c r="F47" s="25" t="str">
        <f t="shared" si="2"/>
        <v>0</v>
      </c>
      <c r="G47" s="25" t="str">
        <f t="shared" si="3"/>
        <v>0</v>
      </c>
      <c r="H47" s="25" t="str">
        <f t="shared" si="4"/>
        <v>0</v>
      </c>
      <c r="I47" s="25" t="str">
        <f t="shared" si="5"/>
        <v>0</v>
      </c>
      <c r="J47" s="25" t="str">
        <f t="shared" si="6"/>
        <v>0</v>
      </c>
      <c r="K47" s="25" t="str">
        <f t="shared" si="7"/>
        <v>0</v>
      </c>
      <c r="L47" s="119"/>
      <c r="M47" s="119"/>
      <c r="N47" s="119"/>
      <c r="O47" s="119"/>
      <c r="P47" s="119"/>
      <c r="Q47" s="119"/>
      <c r="R47" s="120"/>
    </row>
    <row r="48" spans="1:18" ht="41.45" customHeight="1">
      <c r="A48" s="19"/>
      <c r="B48" s="3"/>
      <c r="C48" s="22"/>
      <c r="D48" s="22"/>
      <c r="E48" s="25" t="str">
        <f t="shared" si="1"/>
        <v>0</v>
      </c>
      <c r="F48" s="25" t="str">
        <f t="shared" si="2"/>
        <v>0</v>
      </c>
      <c r="G48" s="25" t="str">
        <f t="shared" si="3"/>
        <v>0</v>
      </c>
      <c r="H48" s="25" t="str">
        <f t="shared" si="4"/>
        <v>0</v>
      </c>
      <c r="I48" s="25" t="str">
        <f t="shared" si="5"/>
        <v>0</v>
      </c>
      <c r="J48" s="25" t="str">
        <f>IF(J19="X",(D19-C19),"0")</f>
        <v>0</v>
      </c>
      <c r="K48" s="25" t="str">
        <f t="shared" si="7"/>
        <v>0</v>
      </c>
      <c r="L48" s="119"/>
      <c r="M48" s="119"/>
      <c r="N48" s="119"/>
      <c r="O48" s="119"/>
      <c r="P48" s="119"/>
      <c r="Q48" s="119"/>
      <c r="R48" s="120"/>
    </row>
    <row r="49" spans="1:18" ht="41.45" customHeight="1">
      <c r="A49" s="19"/>
      <c r="B49" s="3"/>
      <c r="C49" s="22"/>
      <c r="D49" s="22"/>
      <c r="E49" s="25" t="str">
        <f t="shared" si="1"/>
        <v>0</v>
      </c>
      <c r="F49" s="25" t="str">
        <f t="shared" si="2"/>
        <v>0</v>
      </c>
      <c r="G49" s="25" t="str">
        <f t="shared" si="3"/>
        <v>0</v>
      </c>
      <c r="H49" s="25" t="str">
        <f t="shared" si="4"/>
        <v>0</v>
      </c>
      <c r="I49" s="25" t="str">
        <f t="shared" si="5"/>
        <v>0</v>
      </c>
      <c r="J49" s="25" t="str">
        <f t="shared" si="6"/>
        <v>0</v>
      </c>
      <c r="K49" s="25" t="str">
        <f t="shared" si="7"/>
        <v>0</v>
      </c>
      <c r="L49" s="119"/>
      <c r="M49" s="119"/>
      <c r="N49" s="119"/>
      <c r="O49" s="119"/>
      <c r="P49" s="119"/>
      <c r="Q49" s="119"/>
      <c r="R49" s="120"/>
    </row>
    <row r="50" spans="1:18" ht="41.45" customHeight="1">
      <c r="A50" s="19"/>
      <c r="B50" s="3"/>
      <c r="C50" s="22"/>
      <c r="D50" s="22"/>
      <c r="E50" s="25" t="str">
        <f t="shared" si="1"/>
        <v>0</v>
      </c>
      <c r="F50" s="25" t="str">
        <f t="shared" si="2"/>
        <v>0</v>
      </c>
      <c r="G50" s="25" t="str">
        <f t="shared" si="3"/>
        <v>0</v>
      </c>
      <c r="H50" s="25" t="str">
        <f t="shared" si="4"/>
        <v>0</v>
      </c>
      <c r="I50" s="25" t="str">
        <f t="shared" si="5"/>
        <v>0</v>
      </c>
      <c r="J50" s="25" t="str">
        <f t="shared" si="6"/>
        <v>0</v>
      </c>
      <c r="K50" s="25" t="str">
        <f t="shared" si="7"/>
        <v>0</v>
      </c>
      <c r="L50" s="119"/>
      <c r="M50" s="119"/>
      <c r="N50" s="119"/>
      <c r="O50" s="119"/>
      <c r="P50" s="119"/>
      <c r="Q50" s="119"/>
      <c r="R50" s="120"/>
    </row>
    <row r="51" spans="1:18" ht="41.45" customHeight="1">
      <c r="A51" s="19"/>
      <c r="B51" s="3"/>
      <c r="C51" s="22"/>
      <c r="D51" s="22"/>
      <c r="E51" s="25" t="str">
        <f t="shared" si="1"/>
        <v>0</v>
      </c>
      <c r="F51" s="25" t="str">
        <f t="shared" si="2"/>
        <v>0</v>
      </c>
      <c r="G51" s="25" t="str">
        <f t="shared" si="3"/>
        <v>0</v>
      </c>
      <c r="H51" s="25" t="str">
        <f t="shared" si="4"/>
        <v>0</v>
      </c>
      <c r="I51" s="25" t="str">
        <f t="shared" si="5"/>
        <v>0</v>
      </c>
      <c r="J51" s="25" t="str">
        <f t="shared" si="6"/>
        <v>0</v>
      </c>
      <c r="K51" s="25" t="str">
        <f t="shared" si="7"/>
        <v>0</v>
      </c>
      <c r="L51" s="119"/>
      <c r="M51" s="119"/>
      <c r="N51" s="119"/>
      <c r="O51" s="119"/>
      <c r="P51" s="119"/>
      <c r="Q51" s="119"/>
      <c r="R51" s="120"/>
    </row>
    <row r="52" spans="1:18" ht="41.45" customHeight="1">
      <c r="A52" s="19"/>
      <c r="B52" s="3"/>
      <c r="C52" s="22"/>
      <c r="D52" s="22"/>
      <c r="E52" s="25" t="str">
        <f t="shared" si="1"/>
        <v>0</v>
      </c>
      <c r="F52" s="25" t="str">
        <f t="shared" si="2"/>
        <v>0</v>
      </c>
      <c r="G52" s="25" t="str">
        <f t="shared" si="3"/>
        <v>0</v>
      </c>
      <c r="H52" s="25" t="str">
        <f t="shared" si="4"/>
        <v>0</v>
      </c>
      <c r="I52" s="25" t="str">
        <f t="shared" si="5"/>
        <v>0</v>
      </c>
      <c r="J52" s="25" t="str">
        <f t="shared" si="6"/>
        <v>0</v>
      </c>
      <c r="K52" s="25" t="str">
        <f t="shared" si="7"/>
        <v>0</v>
      </c>
      <c r="L52" s="119"/>
      <c r="M52" s="119"/>
      <c r="N52" s="119"/>
      <c r="O52" s="119"/>
      <c r="P52" s="119"/>
      <c r="Q52" s="119"/>
      <c r="R52" s="120"/>
    </row>
    <row r="53" spans="1:18" ht="41.45" customHeight="1">
      <c r="A53" s="19"/>
      <c r="B53" s="3"/>
      <c r="C53" s="22"/>
      <c r="D53" s="22"/>
      <c r="E53" s="25" t="str">
        <f t="shared" si="1"/>
        <v>0</v>
      </c>
      <c r="F53" s="25" t="str">
        <f t="shared" si="2"/>
        <v>0</v>
      </c>
      <c r="G53" s="25" t="str">
        <f t="shared" si="3"/>
        <v>0</v>
      </c>
      <c r="H53" s="25" t="str">
        <f t="shared" si="4"/>
        <v>0</v>
      </c>
      <c r="I53" s="25" t="str">
        <f t="shared" si="5"/>
        <v>0</v>
      </c>
      <c r="J53" s="25" t="str">
        <f t="shared" si="6"/>
        <v>0</v>
      </c>
      <c r="K53" s="25" t="str">
        <f t="shared" si="7"/>
        <v>0</v>
      </c>
      <c r="L53" s="119"/>
      <c r="M53" s="119"/>
      <c r="N53" s="119"/>
      <c r="O53" s="119"/>
      <c r="P53" s="119"/>
      <c r="Q53" s="119"/>
      <c r="R53" s="120"/>
    </row>
    <row r="54" spans="1:18" ht="41.45" customHeight="1">
      <c r="A54" s="19"/>
      <c r="B54" s="3"/>
      <c r="C54" s="22"/>
      <c r="D54" s="22"/>
      <c r="E54" s="22">
        <f t="shared" ref="E54:K54" si="8">SUM(E36:E53)</f>
        <v>0</v>
      </c>
      <c r="F54" s="22">
        <f t="shared" si="8"/>
        <v>8</v>
      </c>
      <c r="G54" s="22">
        <f t="shared" si="8"/>
        <v>4.0999999999999996</v>
      </c>
      <c r="H54" s="22">
        <f t="shared" si="8"/>
        <v>0</v>
      </c>
      <c r="I54" s="22">
        <f t="shared" si="8"/>
        <v>4</v>
      </c>
      <c r="J54" s="22">
        <f t="shared" si="8"/>
        <v>8.1</v>
      </c>
      <c r="K54" s="22">
        <f t="shared" si="8"/>
        <v>0</v>
      </c>
      <c r="L54" s="119"/>
      <c r="M54" s="119"/>
      <c r="N54" s="119"/>
      <c r="O54" s="119"/>
      <c r="P54" s="119"/>
      <c r="Q54" s="119"/>
      <c r="R54" s="120"/>
    </row>
    <row r="55" spans="1:18" ht="41.45" customHeight="1">
      <c r="A55" s="19"/>
      <c r="B55" s="3"/>
      <c r="C55" s="22"/>
      <c r="D55" s="22"/>
      <c r="E55" s="22"/>
      <c r="F55" s="21"/>
      <c r="G55" s="21"/>
      <c r="H55" s="21"/>
      <c r="I55" s="21"/>
      <c r="J55" s="21"/>
      <c r="K55" s="21"/>
      <c r="L55" s="119"/>
      <c r="M55" s="119"/>
      <c r="N55" s="119"/>
      <c r="O55" s="119"/>
      <c r="P55" s="119"/>
      <c r="Q55" s="119"/>
      <c r="R55" s="120"/>
    </row>
    <row r="56" spans="1:18" ht="41.45" customHeight="1">
      <c r="A56" s="19"/>
      <c r="B56" s="3"/>
      <c r="C56" s="22"/>
      <c r="D56" s="22"/>
      <c r="E56" s="22"/>
      <c r="F56" s="21"/>
      <c r="G56" s="21"/>
      <c r="H56" s="21"/>
      <c r="I56" s="21"/>
      <c r="J56" s="21"/>
      <c r="K56" s="21"/>
      <c r="L56" s="119"/>
      <c r="M56" s="119"/>
      <c r="N56" s="119"/>
      <c r="O56" s="119"/>
      <c r="P56" s="119"/>
      <c r="Q56" s="119"/>
      <c r="R56" s="120"/>
    </row>
    <row r="57" spans="1:18" ht="41.45" customHeight="1">
      <c r="A57" s="19"/>
      <c r="B57" s="3"/>
      <c r="C57" s="22"/>
      <c r="D57" s="22"/>
      <c r="E57" s="22"/>
      <c r="F57" s="21"/>
      <c r="G57" s="21"/>
      <c r="H57" s="21"/>
      <c r="I57" s="21"/>
      <c r="J57" s="21"/>
      <c r="K57" s="21"/>
      <c r="L57" s="119"/>
      <c r="M57" s="119"/>
      <c r="N57" s="119"/>
      <c r="O57" s="119"/>
      <c r="P57" s="119"/>
      <c r="Q57" s="119"/>
      <c r="R57" s="120"/>
    </row>
    <row r="58" spans="1:18" ht="41.45" customHeight="1">
      <c r="A58" s="19"/>
      <c r="B58" s="3"/>
      <c r="C58" s="22"/>
      <c r="D58" s="22"/>
      <c r="E58" s="22"/>
      <c r="F58" s="21"/>
      <c r="G58" s="21"/>
      <c r="H58" s="21"/>
      <c r="I58" s="21"/>
      <c r="J58" s="21"/>
      <c r="K58" s="21"/>
      <c r="L58" s="119"/>
      <c r="M58" s="119"/>
      <c r="N58" s="119"/>
      <c r="O58" s="119"/>
      <c r="P58" s="119"/>
      <c r="Q58" s="119"/>
      <c r="R58" s="120"/>
    </row>
    <row r="59" spans="1:18" ht="41.45" customHeight="1">
      <c r="A59" s="19"/>
      <c r="B59" s="3"/>
      <c r="C59" s="22"/>
      <c r="D59" s="22"/>
      <c r="E59" s="22"/>
      <c r="F59" s="21"/>
      <c r="G59" s="21"/>
      <c r="H59" s="21"/>
      <c r="I59" s="21"/>
      <c r="J59" s="21"/>
      <c r="K59" s="21"/>
      <c r="L59" s="119"/>
      <c r="M59" s="119"/>
      <c r="N59" s="119"/>
      <c r="O59" s="119"/>
      <c r="P59" s="119"/>
      <c r="Q59" s="119"/>
      <c r="R59" s="120"/>
    </row>
    <row r="60" spans="1:18" ht="41.45" customHeight="1" thickBot="1">
      <c r="A60" s="20"/>
      <c r="B60" s="4"/>
      <c r="C60" s="26"/>
      <c r="D60" s="26"/>
      <c r="E60" s="26"/>
      <c r="F60" s="27"/>
      <c r="G60" s="27"/>
      <c r="H60" s="27"/>
      <c r="I60" s="27"/>
      <c r="J60" s="27"/>
      <c r="K60" s="27"/>
      <c r="L60" s="145"/>
      <c r="M60" s="145"/>
      <c r="N60" s="145"/>
      <c r="O60" s="145"/>
      <c r="P60" s="145"/>
      <c r="Q60" s="145"/>
      <c r="R60" s="146"/>
    </row>
  </sheetData>
  <mergeCells count="65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8:R48"/>
    <mergeCell ref="L49:R49"/>
    <mergeCell ref="L50:R50"/>
    <mergeCell ref="L51:R51"/>
    <mergeCell ref="L52:R52"/>
    <mergeCell ref="L53:R53"/>
    <mergeCell ref="L58:R58"/>
    <mergeCell ref="L59:R59"/>
    <mergeCell ref="L60:R60"/>
    <mergeCell ref="L54:R54"/>
    <mergeCell ref="L55:R55"/>
    <mergeCell ref="L56:R56"/>
    <mergeCell ref="L57:R57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B1:AA115"/>
  <sheetViews>
    <sheetView view="pageBreakPreview" zoomScale="42" zoomScaleNormal="70" zoomScaleSheetLayoutView="42" workbookViewId="0">
      <selection activeCell="C7" sqref="C7"/>
    </sheetView>
  </sheetViews>
  <sheetFormatPr defaultColWidth="8.875" defaultRowHeight="15"/>
  <cols>
    <col min="1" max="1" width="8.875" style="46"/>
    <col min="2" max="2" width="27" style="46" bestFit="1" customWidth="1"/>
    <col min="3" max="3" width="112.875" style="46" customWidth="1"/>
    <col min="4" max="4" width="26.75" style="46" customWidth="1"/>
    <col min="5" max="5" width="30.125" style="46" customWidth="1"/>
    <col min="6" max="6" width="26.75" style="46" customWidth="1"/>
    <col min="7" max="7" width="33.125" style="46" customWidth="1"/>
    <col min="8" max="10" width="32" style="46" customWidth="1"/>
    <col min="11" max="16384" width="8.875" style="46"/>
  </cols>
  <sheetData>
    <row r="1" spans="2:27" ht="15.75" thickBot="1">
      <c r="D1" s="151" t="s">
        <v>20</v>
      </c>
      <c r="E1" s="151"/>
      <c r="F1" s="151"/>
      <c r="G1" s="151"/>
      <c r="H1" s="151"/>
      <c r="I1" s="151"/>
      <c r="J1" s="151"/>
    </row>
    <row r="2" spans="2:27" ht="23.25" thickBot="1">
      <c r="B2" s="157" t="s">
        <v>22</v>
      </c>
      <c r="C2" s="157" t="s">
        <v>21</v>
      </c>
      <c r="D2" s="152" t="s">
        <v>10</v>
      </c>
      <c r="E2" s="153"/>
      <c r="F2" s="153"/>
      <c r="G2" s="153"/>
      <c r="H2" s="154" t="s">
        <v>11</v>
      </c>
      <c r="I2" s="155"/>
      <c r="J2" s="156"/>
    </row>
    <row r="3" spans="2:27" ht="68.25" thickBot="1">
      <c r="B3" s="158"/>
      <c r="C3" s="158"/>
      <c r="D3" s="28" t="s">
        <v>2</v>
      </c>
      <c r="E3" s="29" t="s">
        <v>15</v>
      </c>
      <c r="F3" s="29" t="s">
        <v>16</v>
      </c>
      <c r="G3" s="29" t="s">
        <v>17</v>
      </c>
      <c r="H3" s="30" t="s">
        <v>12</v>
      </c>
      <c r="I3" s="30" t="s">
        <v>13</v>
      </c>
      <c r="J3" s="31" t="s">
        <v>14</v>
      </c>
    </row>
    <row r="4" spans="2:27" ht="45.6" customHeight="1">
      <c r="B4" s="100">
        <v>1</v>
      </c>
      <c r="C4" s="42" t="s">
        <v>24</v>
      </c>
      <c r="D4" s="48">
        <f>'1'!E167</f>
        <v>27.24</v>
      </c>
      <c r="E4" s="48">
        <f>'1'!F167</f>
        <v>48.4</v>
      </c>
      <c r="F4" s="48">
        <f>'1'!G167</f>
        <v>0</v>
      </c>
      <c r="G4" s="48">
        <f>'1'!H167</f>
        <v>0</v>
      </c>
      <c r="H4" s="48">
        <f>'1'!E167</f>
        <v>27.24</v>
      </c>
      <c r="I4" s="48">
        <f>'1'!F167</f>
        <v>48.4</v>
      </c>
      <c r="J4" s="48">
        <f>'1'!G167</f>
        <v>0</v>
      </c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spans="2:27" ht="45.6" customHeight="1">
      <c r="B5" s="43" t="s">
        <v>38</v>
      </c>
      <c r="C5" s="44" t="s">
        <v>25</v>
      </c>
      <c r="D5" s="45">
        <f>'6'!E62</f>
        <v>22</v>
      </c>
      <c r="E5" s="45">
        <f>'6'!F62</f>
        <v>13.479668777500002</v>
      </c>
      <c r="F5" s="45">
        <f>'6'!G62</f>
        <v>0</v>
      </c>
      <c r="G5" s="45">
        <f>'6'!H62</f>
        <v>0</v>
      </c>
      <c r="H5" s="45">
        <f>'6'!I62</f>
        <v>29.479668777500002</v>
      </c>
      <c r="I5" s="45">
        <f>'6'!J62</f>
        <v>0</v>
      </c>
      <c r="J5" s="45">
        <f>'6'!K62</f>
        <v>6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spans="2:27" ht="45.6" customHeight="1">
      <c r="B6" s="43" t="s">
        <v>39</v>
      </c>
      <c r="C6" s="44" t="s">
        <v>26</v>
      </c>
      <c r="D6" s="45">
        <f>'12'!E62</f>
        <v>0</v>
      </c>
      <c r="E6" s="45">
        <f>'12'!F62</f>
        <v>0</v>
      </c>
      <c r="F6" s="45">
        <f>'12'!G62</f>
        <v>26.3</v>
      </c>
      <c r="G6" s="45">
        <f>'12'!H62</f>
        <v>0</v>
      </c>
      <c r="H6" s="45">
        <f>'12'!I62</f>
        <v>0</v>
      </c>
      <c r="I6" s="45">
        <f>'12'!J62</f>
        <v>26.3</v>
      </c>
      <c r="J6" s="45">
        <f>'12'!K62</f>
        <v>0</v>
      </c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2:27" ht="45.6" customHeight="1">
      <c r="B7" s="97" t="s">
        <v>40</v>
      </c>
      <c r="C7" s="98" t="s">
        <v>27</v>
      </c>
      <c r="D7" s="45">
        <f>'20'!E62</f>
        <v>8</v>
      </c>
      <c r="E7" s="45">
        <f>'20'!F62</f>
        <v>13.21</v>
      </c>
      <c r="F7" s="45">
        <f>'20'!G62</f>
        <v>0</v>
      </c>
      <c r="G7" s="45">
        <f>'20'!H62</f>
        <v>0</v>
      </c>
      <c r="H7" s="45">
        <f>'20'!I62</f>
        <v>3.6400000000000006</v>
      </c>
      <c r="I7" s="45">
        <f>'20'!J62</f>
        <v>17.57</v>
      </c>
      <c r="J7" s="45">
        <f>'20'!K62</f>
        <v>0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2:27" ht="45.6" customHeight="1">
      <c r="B8" s="97" t="s">
        <v>41</v>
      </c>
      <c r="C8" s="98" t="s">
        <v>28</v>
      </c>
      <c r="D8" s="45">
        <f>'21'!E62</f>
        <v>16.670000000000002</v>
      </c>
      <c r="E8" s="45">
        <f>'21'!F62</f>
        <v>9</v>
      </c>
      <c r="F8" s="45">
        <f>'21'!G62</f>
        <v>0</v>
      </c>
      <c r="G8" s="45">
        <f>'21'!H62</f>
        <v>0</v>
      </c>
      <c r="H8" s="45">
        <f>'21'!I62</f>
        <v>14.670000000000002</v>
      </c>
      <c r="I8" s="45">
        <f>'21'!J62</f>
        <v>11</v>
      </c>
      <c r="J8" s="45">
        <f>'21'!K62</f>
        <v>0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2:27" ht="45.6" customHeight="1">
      <c r="B9" s="101" t="s">
        <v>42</v>
      </c>
      <c r="C9" s="102" t="s">
        <v>29</v>
      </c>
      <c r="D9" s="103">
        <f>'22'!E88</f>
        <v>10.25</v>
      </c>
      <c r="E9" s="103">
        <f>'22'!F88</f>
        <v>28</v>
      </c>
      <c r="F9" s="103">
        <f>'22'!G88</f>
        <v>0</v>
      </c>
      <c r="G9" s="103">
        <f>'22'!H88</f>
        <v>0</v>
      </c>
      <c r="H9" s="103">
        <f>'22'!I88</f>
        <v>33.200000000000003</v>
      </c>
      <c r="I9" s="103">
        <f>'22'!J88</f>
        <v>3.0499999999999972</v>
      </c>
      <c r="J9" s="103">
        <f>'22'!K88</f>
        <v>2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2:27" ht="45.6" customHeight="1">
      <c r="B10" s="43" t="s">
        <v>43</v>
      </c>
      <c r="C10" s="44" t="s">
        <v>30</v>
      </c>
      <c r="D10" s="45">
        <f>'25'!E62</f>
        <v>15.5</v>
      </c>
      <c r="E10" s="45">
        <f>'25'!F62</f>
        <v>0</v>
      </c>
      <c r="F10" s="45">
        <f>'25'!G62</f>
        <v>0</v>
      </c>
      <c r="G10" s="45">
        <f>'25'!H62</f>
        <v>0</v>
      </c>
      <c r="H10" s="45">
        <f>'25'!I62</f>
        <v>15.5</v>
      </c>
      <c r="I10" s="45">
        <f>'25'!J62</f>
        <v>0</v>
      </c>
      <c r="J10" s="45">
        <f>'25'!K62</f>
        <v>0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2:27" ht="45.6" customHeight="1">
      <c r="B11" s="43" t="s">
        <v>44</v>
      </c>
      <c r="C11" s="44" t="s">
        <v>31</v>
      </c>
      <c r="D11" s="45">
        <f>'26'!E62</f>
        <v>3</v>
      </c>
      <c r="E11" s="45">
        <f>'26'!F62</f>
        <v>11.27</v>
      </c>
      <c r="F11" s="45">
        <f>'26'!G62</f>
        <v>0</v>
      </c>
      <c r="G11" s="45">
        <f>'26'!H62</f>
        <v>0</v>
      </c>
      <c r="H11" s="45">
        <f>'26'!I62</f>
        <v>0</v>
      </c>
      <c r="I11" s="45">
        <f>'26'!J62</f>
        <v>14.27</v>
      </c>
      <c r="J11" s="45">
        <f>'26'!K62</f>
        <v>0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2:27" ht="45.6" customHeight="1">
      <c r="B12" s="43" t="s">
        <v>45</v>
      </c>
      <c r="C12" s="44" t="s">
        <v>32</v>
      </c>
      <c r="D12" s="45">
        <f>'27'!E62</f>
        <v>6</v>
      </c>
      <c r="E12" s="45">
        <f>'27'!F62</f>
        <v>14.6</v>
      </c>
      <c r="F12" s="45">
        <f>'27'!G62</f>
        <v>3.2</v>
      </c>
      <c r="G12" s="45">
        <f>'27'!H62</f>
        <v>0</v>
      </c>
      <c r="H12" s="45">
        <f>'27'!I62</f>
        <v>10.6</v>
      </c>
      <c r="I12" s="45">
        <f>'27'!J62</f>
        <v>8</v>
      </c>
      <c r="J12" s="45">
        <f>'27'!K62</f>
        <v>5.2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2:27" ht="45.6" customHeight="1">
      <c r="B13" s="43" t="s">
        <v>46</v>
      </c>
      <c r="C13" s="44" t="s">
        <v>33</v>
      </c>
      <c r="D13" s="45">
        <f>'31'!E89</f>
        <v>4.6400000000000006</v>
      </c>
      <c r="E13" s="45">
        <f>'31'!F89</f>
        <v>31.32</v>
      </c>
      <c r="F13" s="45">
        <f>'31'!G89</f>
        <v>0</v>
      </c>
      <c r="G13" s="45">
        <f>'31'!H89</f>
        <v>0</v>
      </c>
      <c r="H13" s="45">
        <f>'31'!I89</f>
        <v>22.55</v>
      </c>
      <c r="I13" s="45">
        <f>'31'!J89</f>
        <v>13.409999999999998</v>
      </c>
      <c r="J13" s="45">
        <f>'31'!K89</f>
        <v>0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2:27" ht="45.6" customHeight="1">
      <c r="B14" s="43" t="s">
        <v>47</v>
      </c>
      <c r="C14" s="44" t="s">
        <v>34</v>
      </c>
      <c r="D14" s="45">
        <f>'33'!E111</f>
        <v>49.480000000000004</v>
      </c>
      <c r="E14" s="45">
        <f>'33'!F111</f>
        <v>13.41</v>
      </c>
      <c r="F14" s="45">
        <f>'33'!G111</f>
        <v>0</v>
      </c>
      <c r="G14" s="45">
        <f>'33'!H111</f>
        <v>0</v>
      </c>
      <c r="H14" s="45">
        <f>'33'!I111</f>
        <v>42.480000000000004</v>
      </c>
      <c r="I14" s="45">
        <f>'33'!J111</f>
        <v>20.41</v>
      </c>
      <c r="J14" s="45">
        <f>'33'!K111</f>
        <v>0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2:27" ht="45.6" customHeight="1">
      <c r="B15" s="43" t="s">
        <v>48</v>
      </c>
      <c r="C15" s="44" t="s">
        <v>35</v>
      </c>
      <c r="D15" s="45">
        <f>'34'!E85</f>
        <v>12</v>
      </c>
      <c r="E15" s="45">
        <f>'34'!F85</f>
        <v>19.600000000000001</v>
      </c>
      <c r="F15" s="45">
        <f>'34'!G85</f>
        <v>0</v>
      </c>
      <c r="G15" s="45">
        <f>'34'!H85</f>
        <v>0</v>
      </c>
      <c r="H15" s="45">
        <f>'34'!I85</f>
        <v>16</v>
      </c>
      <c r="I15" s="45">
        <f>'34'!J85</f>
        <v>11.600000000000001</v>
      </c>
      <c r="J15" s="45">
        <f>'34'!K85</f>
        <v>4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2:27" ht="45.6" customHeight="1" thickBot="1">
      <c r="B16" s="104" t="s">
        <v>49</v>
      </c>
      <c r="C16" s="105" t="s">
        <v>391</v>
      </c>
      <c r="D16" s="106">
        <f>'37'!E54</f>
        <v>0</v>
      </c>
      <c r="E16" s="106">
        <f>'37'!F54</f>
        <v>8</v>
      </c>
      <c r="F16" s="106">
        <f>'37'!G54</f>
        <v>4.0999999999999996</v>
      </c>
      <c r="G16" s="106">
        <f>'37'!H54</f>
        <v>0</v>
      </c>
      <c r="H16" s="106">
        <f>'37'!I54</f>
        <v>4</v>
      </c>
      <c r="I16" s="106">
        <f>'37'!J54</f>
        <v>8.1</v>
      </c>
      <c r="J16" s="106">
        <f>'37'!K54</f>
        <v>0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2:27" ht="30" customHeight="1">
      <c r="D17" s="49"/>
      <c r="E17" s="49"/>
      <c r="F17" s="49"/>
      <c r="G17" s="49"/>
      <c r="H17" s="49"/>
      <c r="I17" s="49"/>
      <c r="J17" s="49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2:27" ht="30" customHeight="1">
      <c r="B18" s="124" t="s">
        <v>83</v>
      </c>
      <c r="C18" s="124"/>
      <c r="D18" s="52">
        <f t="shared" ref="D18:J18" si="0">SUM(D4:D16)</f>
        <v>174.78</v>
      </c>
      <c r="E18" s="52">
        <f t="shared" si="0"/>
        <v>210.2896687775</v>
      </c>
      <c r="F18" s="52">
        <f t="shared" si="0"/>
        <v>33.6</v>
      </c>
      <c r="G18" s="52">
        <f t="shared" si="0"/>
        <v>0</v>
      </c>
      <c r="H18" s="52">
        <f t="shared" si="0"/>
        <v>219.35966877750002</v>
      </c>
      <c r="I18" s="52">
        <f t="shared" si="0"/>
        <v>182.10999999999999</v>
      </c>
      <c r="J18" s="52">
        <f t="shared" si="0"/>
        <v>17.2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2:27" ht="30" customHeight="1">
      <c r="B19" s="124" t="s">
        <v>84</v>
      </c>
      <c r="C19" s="124"/>
      <c r="D19" s="53"/>
      <c r="E19" s="53"/>
      <c r="F19" s="53"/>
      <c r="G19" s="52">
        <f>SUM(D18:G18)</f>
        <v>418.66966877750002</v>
      </c>
      <c r="H19" s="53"/>
      <c r="I19" s="53"/>
      <c r="J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2:27" ht="30" customHeight="1">
      <c r="B20" s="124" t="s">
        <v>85</v>
      </c>
      <c r="C20" s="124"/>
      <c r="D20" s="53"/>
      <c r="E20" s="53"/>
      <c r="F20" s="53"/>
      <c r="G20" s="54">
        <f>G19/Trechos!H117</f>
        <v>1.0478043330253155</v>
      </c>
      <c r="H20" s="53"/>
      <c r="I20" s="53"/>
      <c r="J20" s="55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2:27" ht="30" customHeight="1">
      <c r="D21" s="49"/>
      <c r="E21" s="49"/>
      <c r="F21" s="49"/>
      <c r="G21" s="49"/>
      <c r="H21" s="49"/>
      <c r="I21" s="49"/>
      <c r="J21" s="49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2:27" ht="30" customHeight="1">
      <c r="D22" s="49"/>
      <c r="E22" s="49"/>
      <c r="F22" s="49"/>
      <c r="G22" s="49"/>
      <c r="H22" s="49"/>
      <c r="I22" s="49"/>
      <c r="J22" s="49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2:27" ht="30" customHeight="1">
      <c r="D23" s="49"/>
      <c r="E23" s="49"/>
      <c r="F23" s="49"/>
      <c r="G23" s="49"/>
      <c r="H23" s="49"/>
      <c r="I23" s="49"/>
      <c r="J23" s="49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2:27" ht="30" customHeight="1">
      <c r="D24" s="49"/>
      <c r="E24" s="49"/>
      <c r="F24" s="49"/>
      <c r="G24" s="49"/>
      <c r="H24" s="49"/>
      <c r="I24" s="49"/>
      <c r="J24" s="49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2:27" ht="30" customHeight="1">
      <c r="D25" s="49"/>
      <c r="E25" s="49"/>
      <c r="F25" s="49"/>
      <c r="G25" s="49"/>
      <c r="H25" s="49"/>
      <c r="I25" s="49"/>
      <c r="J25" s="49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2:27" ht="30" customHeight="1">
      <c r="D26" s="49"/>
      <c r="E26" s="49"/>
      <c r="F26" s="49"/>
      <c r="G26" s="49"/>
      <c r="H26" s="49"/>
      <c r="I26" s="49"/>
      <c r="J26" s="49"/>
    </row>
    <row r="27" spans="2:27" ht="30" customHeight="1">
      <c r="D27" s="49"/>
      <c r="E27" s="49"/>
      <c r="F27" s="49"/>
      <c r="G27" s="49"/>
      <c r="H27" s="49"/>
      <c r="I27" s="49"/>
      <c r="J27" s="49"/>
    </row>
    <row r="28" spans="2:27" ht="30" customHeight="1">
      <c r="D28" s="49"/>
      <c r="E28" s="49"/>
      <c r="F28" s="49"/>
      <c r="G28" s="49"/>
      <c r="H28" s="49"/>
      <c r="I28" s="49"/>
      <c r="J28" s="49"/>
    </row>
    <row r="29" spans="2:27" ht="30" customHeight="1">
      <c r="D29" s="49"/>
      <c r="E29" s="49"/>
      <c r="F29" s="49"/>
      <c r="G29" s="49"/>
      <c r="H29" s="49"/>
      <c r="I29" s="49"/>
      <c r="J29" s="49"/>
    </row>
    <row r="30" spans="2:27" ht="30" customHeight="1">
      <c r="D30" s="49"/>
      <c r="E30" s="49"/>
      <c r="F30" s="49"/>
      <c r="G30" s="49"/>
      <c r="H30" s="49"/>
      <c r="I30" s="49"/>
      <c r="J30" s="49"/>
    </row>
    <row r="31" spans="2:27" ht="30" customHeight="1">
      <c r="D31" s="49"/>
      <c r="E31" s="49"/>
      <c r="F31" s="49"/>
      <c r="G31" s="49"/>
      <c r="H31" s="49"/>
      <c r="I31" s="49"/>
      <c r="J31" s="49"/>
    </row>
    <row r="32" spans="2:27" ht="30" customHeight="1">
      <c r="D32" s="49"/>
      <c r="E32" s="49"/>
      <c r="F32" s="49"/>
      <c r="G32" s="49"/>
      <c r="H32" s="49"/>
      <c r="I32" s="49"/>
      <c r="J32" s="49"/>
    </row>
    <row r="33" spans="4:10" ht="30" customHeight="1">
      <c r="D33" s="49"/>
      <c r="E33" s="49"/>
      <c r="F33" s="49"/>
      <c r="G33" s="49"/>
      <c r="H33" s="49"/>
      <c r="I33" s="49"/>
      <c r="J33" s="49"/>
    </row>
    <row r="34" spans="4:10" ht="30" customHeight="1">
      <c r="D34" s="49"/>
      <c r="E34" s="49"/>
      <c r="F34" s="49"/>
      <c r="G34" s="49"/>
      <c r="H34" s="49"/>
      <c r="I34" s="49"/>
      <c r="J34" s="49"/>
    </row>
    <row r="35" spans="4:10" ht="30" customHeight="1">
      <c r="D35" s="49"/>
      <c r="E35" s="49"/>
      <c r="F35" s="49"/>
      <c r="G35" s="49"/>
      <c r="H35" s="49"/>
      <c r="I35" s="49"/>
      <c r="J35" s="49"/>
    </row>
    <row r="36" spans="4:10" ht="30" customHeight="1">
      <c r="D36" s="49"/>
      <c r="E36" s="49"/>
      <c r="F36" s="49"/>
      <c r="G36" s="49"/>
      <c r="H36" s="49"/>
      <c r="I36" s="49"/>
      <c r="J36" s="49"/>
    </row>
    <row r="37" spans="4:10" ht="30" customHeight="1">
      <c r="D37" s="49"/>
      <c r="E37" s="49"/>
      <c r="F37" s="49"/>
      <c r="G37" s="49"/>
      <c r="H37" s="49"/>
      <c r="I37" s="49"/>
      <c r="J37" s="49"/>
    </row>
    <row r="38" spans="4:10" ht="30" customHeight="1">
      <c r="D38" s="49"/>
      <c r="E38" s="49"/>
      <c r="F38" s="49"/>
      <c r="G38" s="49"/>
      <c r="H38" s="49"/>
      <c r="I38" s="49"/>
      <c r="J38" s="49"/>
    </row>
    <row r="39" spans="4:10" ht="30" customHeight="1">
      <c r="D39" s="49"/>
      <c r="E39" s="49"/>
      <c r="F39" s="49"/>
      <c r="G39" s="49"/>
      <c r="H39" s="49"/>
      <c r="I39" s="49"/>
      <c r="J39" s="49"/>
    </row>
    <row r="40" spans="4:10" ht="30" customHeight="1">
      <c r="D40" s="49"/>
      <c r="E40" s="49"/>
      <c r="F40" s="49"/>
      <c r="G40" s="49"/>
      <c r="H40" s="49"/>
      <c r="I40" s="49"/>
      <c r="J40" s="49"/>
    </row>
    <row r="41" spans="4:10" ht="30" customHeight="1">
      <c r="D41" s="49"/>
      <c r="E41" s="49"/>
      <c r="F41" s="49"/>
      <c r="G41" s="49"/>
      <c r="H41" s="49"/>
      <c r="I41" s="49"/>
      <c r="J41" s="49"/>
    </row>
    <row r="42" spans="4:10" ht="30" customHeight="1">
      <c r="D42" s="49"/>
      <c r="E42" s="49"/>
      <c r="F42" s="49"/>
      <c r="G42" s="49"/>
      <c r="H42" s="49"/>
      <c r="I42" s="49"/>
      <c r="J42" s="49"/>
    </row>
    <row r="43" spans="4:10" ht="30" customHeight="1">
      <c r="D43" s="49"/>
      <c r="E43" s="49"/>
      <c r="F43" s="49"/>
      <c r="G43" s="49"/>
      <c r="H43" s="49"/>
      <c r="I43" s="49"/>
      <c r="J43" s="49"/>
    </row>
    <row r="44" spans="4:10" ht="30" customHeight="1">
      <c r="D44" s="49"/>
      <c r="E44" s="49"/>
      <c r="F44" s="49"/>
      <c r="G44" s="49"/>
      <c r="H44" s="49"/>
      <c r="I44" s="49"/>
      <c r="J44" s="49"/>
    </row>
    <row r="45" spans="4:10" ht="30" customHeight="1">
      <c r="D45" s="49"/>
      <c r="E45" s="49"/>
      <c r="F45" s="49"/>
      <c r="G45" s="49"/>
      <c r="H45" s="49"/>
      <c r="I45" s="49"/>
      <c r="J45" s="49"/>
    </row>
    <row r="46" spans="4:10" ht="30" customHeight="1">
      <c r="D46" s="49"/>
      <c r="E46" s="49"/>
      <c r="F46" s="49"/>
      <c r="G46" s="49"/>
      <c r="H46" s="49"/>
      <c r="I46" s="49"/>
      <c r="J46" s="49"/>
    </row>
    <row r="47" spans="4:10" ht="30" customHeight="1">
      <c r="D47" s="49"/>
      <c r="E47" s="49"/>
      <c r="F47" s="49"/>
      <c r="G47" s="49"/>
      <c r="H47" s="49"/>
      <c r="I47" s="49"/>
      <c r="J47" s="49"/>
    </row>
    <row r="48" spans="4:10" ht="30" customHeight="1">
      <c r="D48" s="49"/>
      <c r="E48" s="49"/>
      <c r="F48" s="49"/>
      <c r="G48" s="49"/>
      <c r="H48" s="49"/>
      <c r="I48" s="49"/>
      <c r="J48" s="49"/>
    </row>
    <row r="49" spans="4:10" ht="30" customHeight="1">
      <c r="D49" s="49"/>
      <c r="E49" s="49"/>
      <c r="F49" s="49"/>
      <c r="G49" s="49"/>
      <c r="H49" s="49"/>
      <c r="I49" s="49"/>
      <c r="J49" s="49"/>
    </row>
    <row r="50" spans="4:10" ht="30" customHeight="1">
      <c r="D50" s="49"/>
      <c r="E50" s="49"/>
      <c r="F50" s="49"/>
      <c r="G50" s="49"/>
      <c r="H50" s="49"/>
      <c r="I50" s="49"/>
      <c r="J50" s="49"/>
    </row>
    <row r="51" spans="4:10" ht="30" customHeight="1">
      <c r="D51" s="49"/>
      <c r="E51" s="49"/>
      <c r="F51" s="49"/>
      <c r="G51" s="49"/>
      <c r="H51" s="49"/>
      <c r="I51" s="49"/>
      <c r="J51" s="49"/>
    </row>
    <row r="52" spans="4:10" ht="30" customHeight="1">
      <c r="D52" s="49"/>
      <c r="E52" s="49"/>
      <c r="F52" s="49"/>
      <c r="G52" s="49"/>
      <c r="H52" s="49"/>
      <c r="I52" s="49"/>
      <c r="J52" s="49"/>
    </row>
    <row r="53" spans="4:10" ht="30" customHeight="1">
      <c r="D53" s="49"/>
      <c r="E53" s="49"/>
      <c r="F53" s="49"/>
      <c r="G53" s="49"/>
      <c r="H53" s="49"/>
      <c r="I53" s="49"/>
      <c r="J53" s="49"/>
    </row>
    <row r="54" spans="4:10" ht="30" customHeight="1">
      <c r="D54" s="49"/>
      <c r="E54" s="49"/>
      <c r="F54" s="49"/>
      <c r="G54" s="49"/>
      <c r="H54" s="49"/>
      <c r="I54" s="49"/>
      <c r="J54" s="49"/>
    </row>
    <row r="55" spans="4:10" ht="30" customHeight="1">
      <c r="D55" s="49"/>
      <c r="E55" s="49"/>
      <c r="F55" s="49"/>
      <c r="G55" s="49"/>
      <c r="H55" s="49"/>
      <c r="I55" s="49"/>
      <c r="J55" s="49"/>
    </row>
    <row r="56" spans="4:10" ht="30" customHeight="1">
      <c r="D56" s="49"/>
      <c r="E56" s="49"/>
      <c r="F56" s="49"/>
      <c r="G56" s="49"/>
      <c r="H56" s="49"/>
      <c r="I56" s="49"/>
      <c r="J56" s="49"/>
    </row>
    <row r="57" spans="4:10" ht="30" customHeight="1">
      <c r="D57" s="49"/>
      <c r="E57" s="49"/>
      <c r="F57" s="49"/>
      <c r="G57" s="49"/>
      <c r="H57" s="49"/>
      <c r="I57" s="49"/>
      <c r="J57" s="49"/>
    </row>
    <row r="58" spans="4:10" ht="30" customHeight="1">
      <c r="D58" s="49"/>
      <c r="E58" s="49"/>
      <c r="F58" s="49"/>
      <c r="G58" s="49"/>
      <c r="H58" s="49"/>
      <c r="I58" s="49"/>
      <c r="J58" s="49"/>
    </row>
    <row r="59" spans="4:10" ht="30" customHeight="1">
      <c r="D59" s="49"/>
      <c r="E59" s="49"/>
      <c r="F59" s="49"/>
      <c r="G59" s="49"/>
      <c r="H59" s="49"/>
      <c r="I59" s="49"/>
      <c r="J59" s="49"/>
    </row>
    <row r="60" spans="4:10" ht="30" customHeight="1">
      <c r="D60" s="49"/>
      <c r="E60" s="49"/>
      <c r="F60" s="49"/>
      <c r="G60" s="49"/>
      <c r="H60" s="49"/>
      <c r="I60" s="49"/>
      <c r="J60" s="49"/>
    </row>
    <row r="61" spans="4:10" ht="30" customHeight="1">
      <c r="D61" s="49"/>
      <c r="E61" s="49"/>
      <c r="F61" s="49"/>
      <c r="G61" s="49"/>
      <c r="H61" s="49"/>
      <c r="I61" s="49"/>
      <c r="J61" s="49"/>
    </row>
    <row r="62" spans="4:10" ht="30" customHeight="1">
      <c r="D62" s="49"/>
      <c r="E62" s="49"/>
      <c r="F62" s="49"/>
      <c r="G62" s="49"/>
      <c r="H62" s="49"/>
      <c r="I62" s="49"/>
      <c r="J62" s="49"/>
    </row>
    <row r="63" spans="4:10" ht="30" customHeight="1">
      <c r="D63" s="49"/>
      <c r="E63" s="49"/>
      <c r="F63" s="49"/>
      <c r="G63" s="49"/>
      <c r="H63" s="49"/>
      <c r="I63" s="49"/>
      <c r="J63" s="49"/>
    </row>
    <row r="64" spans="4:10" ht="30" customHeight="1">
      <c r="D64" s="49"/>
      <c r="E64" s="49"/>
      <c r="F64" s="49"/>
      <c r="G64" s="49"/>
      <c r="H64" s="49"/>
      <c r="I64" s="49"/>
      <c r="J64" s="49"/>
    </row>
    <row r="65" spans="4:10" ht="30" customHeight="1">
      <c r="D65" s="49"/>
      <c r="E65" s="49"/>
      <c r="F65" s="49"/>
      <c r="G65" s="49"/>
      <c r="H65" s="49"/>
      <c r="I65" s="49"/>
      <c r="J65" s="49"/>
    </row>
    <row r="66" spans="4:10" ht="30" customHeight="1">
      <c r="D66" s="49"/>
      <c r="E66" s="49"/>
      <c r="F66" s="49"/>
      <c r="G66" s="49"/>
      <c r="H66" s="49"/>
      <c r="I66" s="49"/>
      <c r="J66" s="49"/>
    </row>
    <row r="67" spans="4:10" ht="30" customHeight="1">
      <c r="D67" s="49"/>
      <c r="E67" s="49"/>
      <c r="F67" s="49"/>
      <c r="G67" s="49"/>
      <c r="H67" s="49"/>
      <c r="I67" s="49"/>
      <c r="J67" s="49"/>
    </row>
    <row r="68" spans="4:10" ht="30" customHeight="1">
      <c r="D68" s="49"/>
      <c r="E68" s="49"/>
      <c r="F68" s="49"/>
      <c r="G68" s="49"/>
      <c r="H68" s="49"/>
      <c r="I68" s="49"/>
      <c r="J68" s="49"/>
    </row>
    <row r="69" spans="4:10" ht="30" customHeight="1">
      <c r="D69" s="49"/>
      <c r="E69" s="49"/>
      <c r="F69" s="49"/>
      <c r="G69" s="49"/>
      <c r="H69" s="49"/>
      <c r="I69" s="49"/>
      <c r="J69" s="49"/>
    </row>
    <row r="70" spans="4:10" ht="30" customHeight="1">
      <c r="D70" s="49"/>
      <c r="E70" s="49"/>
      <c r="F70" s="49"/>
      <c r="G70" s="49"/>
      <c r="H70" s="49"/>
      <c r="I70" s="49"/>
      <c r="J70" s="49"/>
    </row>
    <row r="71" spans="4:10" ht="30" customHeight="1">
      <c r="D71" s="49"/>
      <c r="E71" s="49"/>
      <c r="F71" s="49"/>
      <c r="G71" s="49"/>
      <c r="H71" s="49"/>
      <c r="I71" s="49"/>
      <c r="J71" s="49"/>
    </row>
    <row r="72" spans="4:10" ht="30" customHeight="1">
      <c r="D72" s="49"/>
      <c r="E72" s="49"/>
      <c r="F72" s="49"/>
      <c r="G72" s="49"/>
      <c r="H72" s="49"/>
      <c r="I72" s="49"/>
      <c r="J72" s="49"/>
    </row>
    <row r="73" spans="4:10" ht="30" customHeight="1">
      <c r="D73" s="49"/>
      <c r="E73" s="49"/>
      <c r="F73" s="49"/>
      <c r="G73" s="49"/>
      <c r="H73" s="49"/>
      <c r="I73" s="49"/>
      <c r="J73" s="49"/>
    </row>
    <row r="74" spans="4:10" ht="30" customHeight="1">
      <c r="D74" s="49"/>
      <c r="E74" s="49"/>
      <c r="F74" s="49"/>
      <c r="G74" s="49"/>
      <c r="H74" s="49"/>
      <c r="I74" s="49"/>
      <c r="J74" s="49"/>
    </row>
    <row r="75" spans="4:10" ht="30" customHeight="1">
      <c r="D75" s="49"/>
      <c r="E75" s="49"/>
      <c r="F75" s="49"/>
      <c r="G75" s="49"/>
      <c r="H75" s="49"/>
      <c r="I75" s="49"/>
      <c r="J75" s="49"/>
    </row>
    <row r="76" spans="4:10" ht="30" customHeight="1">
      <c r="D76" s="49"/>
      <c r="E76" s="49"/>
      <c r="F76" s="49"/>
      <c r="G76" s="49"/>
      <c r="H76" s="49"/>
      <c r="I76" s="49"/>
      <c r="J76" s="49"/>
    </row>
    <row r="77" spans="4:10" ht="30" customHeight="1">
      <c r="D77" s="49"/>
      <c r="E77" s="49"/>
      <c r="F77" s="49"/>
      <c r="G77" s="49"/>
      <c r="H77" s="49"/>
      <c r="I77" s="49"/>
      <c r="J77" s="49"/>
    </row>
    <row r="78" spans="4:10" ht="30" customHeight="1">
      <c r="D78" s="49"/>
      <c r="E78" s="49"/>
      <c r="F78" s="49"/>
      <c r="G78" s="49"/>
      <c r="H78" s="49"/>
      <c r="I78" s="49"/>
      <c r="J78" s="49"/>
    </row>
    <row r="79" spans="4:10" ht="30" customHeight="1">
      <c r="D79" s="49"/>
      <c r="E79" s="49"/>
      <c r="F79" s="49"/>
      <c r="G79" s="49"/>
      <c r="H79" s="49"/>
      <c r="I79" s="49"/>
      <c r="J79" s="49"/>
    </row>
    <row r="80" spans="4:10" ht="30" customHeight="1">
      <c r="D80" s="49"/>
      <c r="E80" s="49"/>
      <c r="F80" s="49"/>
      <c r="G80" s="49"/>
      <c r="H80" s="49"/>
      <c r="I80" s="49"/>
      <c r="J80" s="49"/>
    </row>
    <row r="81" spans="4:10" ht="30" customHeight="1">
      <c r="D81" s="49"/>
      <c r="E81" s="49"/>
      <c r="F81" s="49"/>
      <c r="G81" s="49"/>
      <c r="H81" s="49"/>
      <c r="I81" s="49"/>
      <c r="J81" s="49"/>
    </row>
    <row r="82" spans="4:10" ht="30" customHeight="1">
      <c r="D82" s="49"/>
      <c r="E82" s="49"/>
      <c r="F82" s="49"/>
      <c r="G82" s="49"/>
      <c r="H82" s="49"/>
      <c r="I82" s="49"/>
      <c r="J82" s="49"/>
    </row>
    <row r="83" spans="4:10" ht="30" customHeight="1">
      <c r="D83" s="49"/>
      <c r="E83" s="49"/>
      <c r="F83" s="49"/>
      <c r="G83" s="49"/>
      <c r="H83" s="49"/>
      <c r="I83" s="49"/>
      <c r="J83" s="49"/>
    </row>
    <row r="84" spans="4:10" ht="30" customHeight="1">
      <c r="D84" s="49"/>
      <c r="E84" s="49"/>
      <c r="F84" s="49"/>
      <c r="G84" s="49"/>
      <c r="H84" s="49"/>
      <c r="I84" s="49"/>
      <c r="J84" s="49"/>
    </row>
    <row r="85" spans="4:10" ht="30" customHeight="1">
      <c r="D85" s="49"/>
      <c r="E85" s="49"/>
      <c r="F85" s="49"/>
      <c r="G85" s="49"/>
      <c r="H85" s="49"/>
      <c r="I85" s="49"/>
      <c r="J85" s="49"/>
    </row>
    <row r="86" spans="4:10" ht="30" customHeight="1">
      <c r="D86" s="49"/>
      <c r="E86" s="49"/>
      <c r="F86" s="49"/>
      <c r="G86" s="49"/>
      <c r="H86" s="49"/>
      <c r="I86" s="49"/>
      <c r="J86" s="49"/>
    </row>
    <row r="87" spans="4:10" ht="30" customHeight="1">
      <c r="D87" s="49"/>
      <c r="E87" s="49"/>
      <c r="F87" s="49"/>
      <c r="G87" s="49"/>
      <c r="H87" s="49"/>
      <c r="I87" s="49"/>
      <c r="J87" s="49"/>
    </row>
    <row r="88" spans="4:10" ht="30" customHeight="1">
      <c r="D88" s="49"/>
      <c r="E88" s="49"/>
      <c r="F88" s="49"/>
      <c r="G88" s="49"/>
      <c r="H88" s="49"/>
      <c r="I88" s="49"/>
      <c r="J88" s="49"/>
    </row>
    <row r="89" spans="4:10" ht="30" customHeight="1">
      <c r="D89" s="49"/>
      <c r="E89" s="49"/>
      <c r="F89" s="49"/>
      <c r="G89" s="49"/>
      <c r="H89" s="49"/>
      <c r="I89" s="49"/>
      <c r="J89" s="49"/>
    </row>
    <row r="90" spans="4:10" ht="30" customHeight="1">
      <c r="D90" s="49"/>
      <c r="E90" s="49"/>
      <c r="F90" s="49"/>
      <c r="G90" s="49"/>
      <c r="H90" s="49"/>
      <c r="I90" s="49"/>
      <c r="J90" s="49"/>
    </row>
    <row r="91" spans="4:10" ht="30" customHeight="1">
      <c r="D91" s="49"/>
      <c r="E91" s="49"/>
      <c r="F91" s="49"/>
      <c r="G91" s="49"/>
      <c r="H91" s="49"/>
      <c r="I91" s="49"/>
      <c r="J91" s="49"/>
    </row>
    <row r="92" spans="4:10" ht="30" customHeight="1">
      <c r="D92" s="49"/>
      <c r="E92" s="49"/>
      <c r="F92" s="49"/>
      <c r="G92" s="49"/>
      <c r="H92" s="49"/>
      <c r="I92" s="49"/>
      <c r="J92" s="49"/>
    </row>
    <row r="93" spans="4:10" ht="30" customHeight="1">
      <c r="D93" s="49"/>
      <c r="E93" s="49"/>
      <c r="F93" s="49"/>
      <c r="G93" s="49"/>
      <c r="H93" s="49"/>
      <c r="I93" s="49"/>
      <c r="J93" s="49"/>
    </row>
    <row r="94" spans="4:10" ht="30" customHeight="1">
      <c r="D94" s="49"/>
      <c r="E94" s="49"/>
      <c r="F94" s="49"/>
      <c r="G94" s="49"/>
      <c r="H94" s="49"/>
      <c r="I94" s="49"/>
      <c r="J94" s="49"/>
    </row>
    <row r="95" spans="4:10" ht="30" customHeight="1">
      <c r="D95" s="49"/>
      <c r="E95" s="49"/>
      <c r="F95" s="49"/>
      <c r="G95" s="49"/>
      <c r="H95" s="49"/>
      <c r="I95" s="49"/>
      <c r="J95" s="49"/>
    </row>
    <row r="96" spans="4:10" ht="30" customHeight="1">
      <c r="D96" s="49"/>
      <c r="E96" s="49"/>
      <c r="F96" s="49"/>
      <c r="G96" s="49"/>
      <c r="H96" s="49"/>
      <c r="I96" s="49"/>
      <c r="J96" s="49"/>
    </row>
    <row r="97" spans="4:10" ht="30" customHeight="1">
      <c r="D97" s="49"/>
      <c r="E97" s="49"/>
      <c r="F97" s="49"/>
      <c r="G97" s="49"/>
      <c r="H97" s="49"/>
      <c r="I97" s="49"/>
      <c r="J97" s="49"/>
    </row>
    <row r="98" spans="4:10" ht="30" customHeight="1">
      <c r="D98" s="49"/>
      <c r="E98" s="49"/>
      <c r="F98" s="49"/>
      <c r="G98" s="49"/>
      <c r="H98" s="49"/>
      <c r="I98" s="49"/>
      <c r="J98" s="49"/>
    </row>
    <row r="99" spans="4:10" ht="30" customHeight="1">
      <c r="D99" s="49"/>
      <c r="E99" s="49"/>
      <c r="F99" s="49"/>
      <c r="G99" s="49"/>
      <c r="H99" s="49"/>
      <c r="I99" s="49"/>
      <c r="J99" s="49"/>
    </row>
    <row r="100" spans="4:10" ht="30" customHeight="1">
      <c r="D100" s="49"/>
      <c r="E100" s="49"/>
      <c r="F100" s="49"/>
      <c r="G100" s="49"/>
      <c r="H100" s="49"/>
      <c r="I100" s="49"/>
      <c r="J100" s="49"/>
    </row>
    <row r="101" spans="4:10" ht="30" customHeight="1">
      <c r="D101" s="49"/>
      <c r="E101" s="49"/>
      <c r="F101" s="49"/>
      <c r="G101" s="49"/>
      <c r="H101" s="49"/>
      <c r="I101" s="49"/>
      <c r="J101" s="49"/>
    </row>
    <row r="102" spans="4:10" ht="30" customHeight="1"/>
    <row r="103" spans="4:10" ht="30" customHeight="1"/>
    <row r="104" spans="4:10" ht="30" customHeight="1"/>
    <row r="105" spans="4:10" ht="30" customHeight="1"/>
    <row r="106" spans="4:10" ht="30" customHeight="1"/>
    <row r="107" spans="4:10" ht="30" customHeight="1"/>
    <row r="108" spans="4:10" ht="30" customHeight="1"/>
    <row r="109" spans="4:10" ht="30" customHeight="1"/>
    <row r="110" spans="4:10" ht="30" customHeight="1"/>
    <row r="111" spans="4:10" ht="30" customHeight="1"/>
    <row r="112" spans="4:10" ht="30" customHeight="1"/>
    <row r="113" ht="30" customHeight="1"/>
    <row r="114" ht="30" customHeight="1"/>
    <row r="115" ht="30" customHeight="1"/>
  </sheetData>
  <mergeCells count="8">
    <mergeCell ref="B18:C18"/>
    <mergeCell ref="B19:C19"/>
    <mergeCell ref="B20:C20"/>
    <mergeCell ref="D1:J1"/>
    <mergeCell ref="D2:G2"/>
    <mergeCell ref="H2:J2"/>
    <mergeCell ref="C2:C3"/>
    <mergeCell ref="B2:B3"/>
  </mergeCells>
  <phoneticPr fontId="15" type="noConversion"/>
  <pageMargins left="0.511811024" right="0.511811024" top="0.78740157499999996" bottom="0.78740157499999996" header="0.31496062000000002" footer="0.31496062000000002"/>
  <pageSetup scale="24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14</vt:i4>
      </vt:variant>
    </vt:vector>
  </HeadingPairs>
  <TitlesOfParts>
    <vt:vector size="29" baseType="lpstr">
      <vt:lpstr>Trechos</vt:lpstr>
      <vt:lpstr>1</vt:lpstr>
      <vt:lpstr>6</vt:lpstr>
      <vt:lpstr>12</vt:lpstr>
      <vt:lpstr>20</vt:lpstr>
      <vt:lpstr>21</vt:lpstr>
      <vt:lpstr>22</vt:lpstr>
      <vt:lpstr>25</vt:lpstr>
      <vt:lpstr>26</vt:lpstr>
      <vt:lpstr>27</vt:lpstr>
      <vt:lpstr>31</vt:lpstr>
      <vt:lpstr>33</vt:lpstr>
      <vt:lpstr>34</vt:lpstr>
      <vt:lpstr>37</vt:lpstr>
      <vt:lpstr>TT</vt:lpstr>
      <vt:lpstr>'1'!Area_de_impressao</vt:lpstr>
      <vt:lpstr>'12'!Area_de_impressao</vt:lpstr>
      <vt:lpstr>'20'!Area_de_impressao</vt:lpstr>
      <vt:lpstr>'21'!Area_de_impressao</vt:lpstr>
      <vt:lpstr>'22'!Area_de_impressao</vt:lpstr>
      <vt:lpstr>'25'!Area_de_impressao</vt:lpstr>
      <vt:lpstr>'26'!Area_de_impressao</vt:lpstr>
      <vt:lpstr>'27'!Area_de_impressao</vt:lpstr>
      <vt:lpstr>'31'!Area_de_impressao</vt:lpstr>
      <vt:lpstr>'33'!Area_de_impressao</vt:lpstr>
      <vt:lpstr>'34'!Area_de_impressao</vt:lpstr>
      <vt:lpstr>'37'!Area_de_impressao</vt:lpstr>
      <vt:lpstr>'6'!Area_de_impressao</vt:lpstr>
      <vt:lpstr>TT!Area_de_impressao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CLIENTE</cp:lastModifiedBy>
  <cp:lastPrinted>2025-08-14T18:20:02Z</cp:lastPrinted>
  <dcterms:created xsi:type="dcterms:W3CDTF">2025-07-22T11:15:05Z</dcterms:created>
  <dcterms:modified xsi:type="dcterms:W3CDTF">2026-07-30T09:28:44Z</dcterms:modified>
</cp:coreProperties>
</file>